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NTT\LPS\Pemaparan\GLIK\Kertas Kerja\Pengakhiran\"/>
    </mc:Choice>
  </mc:AlternateContent>
  <xr:revisionPtr revIDLastSave="0" documentId="13_ncr:1_{65C86B98-CCF6-4E1A-A7F4-D7E8A3F3616C}" xr6:coauthVersionLast="47" xr6:coauthVersionMax="47" xr10:uidLastSave="{00000000-0000-0000-0000-000000000000}"/>
  <bookViews>
    <workbookView xWindow="-108" yWindow="-108" windowWidth="23256" windowHeight="12720" tabRatio="673" firstSheet="5" activeTab="10" xr2:uid="{00000000-000D-0000-FFFF-FFFF00000000}"/>
  </bookViews>
  <sheets>
    <sheet name="Net" sheetId="1" r:id="rId1"/>
    <sheet name="Gross" sheetId="29" r:id="rId2"/>
    <sheet name="ABA" sheetId="23" r:id="rId3"/>
    <sheet name="Kredit" sheetId="15" r:id="rId4"/>
    <sheet name="Resume Kredit" sheetId="31" r:id="rId5"/>
    <sheet name="Tanah dan Bangunan" sheetId="24" r:id="rId6"/>
    <sheet name="Kendaraan" sheetId="25" r:id="rId7"/>
    <sheet name="Inventaris" sheetId="26" r:id="rId8"/>
    <sheet name="AYDA" sheetId="28" r:id="rId9"/>
    <sheet name="Prognosa Biaya" sheetId="33" r:id="rId10"/>
    <sheet name="Prognosa Penerimaan vs Biaya" sheetId="32" r:id="rId11"/>
  </sheets>
  <externalReferences>
    <externalReference r:id="rId12"/>
    <externalReference r:id="rId13"/>
  </externalReferences>
  <definedNames>
    <definedName name="_xlnm._FilterDatabase" localSheetId="2" hidden="1">ABA!$A$2:$J$57</definedName>
    <definedName name="_xlnm._FilterDatabase" localSheetId="8" hidden="1">AYDA!$A$1:$J$56</definedName>
    <definedName name="_xlnm._FilterDatabase" localSheetId="7" hidden="1">Inventaris!$A$1:$W$970</definedName>
    <definedName name="_xlnm._FilterDatabase" localSheetId="6" hidden="1">Kendaraan!$A$1:$I$56</definedName>
    <definedName name="_xlnm._FilterDatabase" localSheetId="3" hidden="1">Kredit!$A$3:$AT$200</definedName>
    <definedName name="_xlnm._FilterDatabase" localSheetId="5" hidden="1">'Tanah dan Bangunan'!$A$1:$I$56</definedName>
    <definedName name="_xlcn.WorksheetConnection_DraftKertasKerjaNSL.xlsxABA1" hidden="1">[1]!ABA[#Data]</definedName>
    <definedName name="_xlcn.WorksheetConnection_DraftKertasKerjaNSL.xlsxAktiva_Lainnya1" hidden="1">[1]!Aset_Lainnya[#Data]</definedName>
    <definedName name="_xlcn.WorksheetConnection_DraftKertasKerjaNSL.xlsxKas1" hidden="1">[1]!Kas[#Data]</definedName>
    <definedName name="_xlcn.WorksheetConnection_DraftKertasKerjaNSL.xlsxKYD1" hidden="1">[2]!KYD[#Data]</definedName>
    <definedName name="_xlnm.Print_Area" localSheetId="9">'Prognosa Biaya'!$A$1:$R$26</definedName>
  </definedNames>
  <calcPr calcId="181029"/>
  <pivotCaches>
    <pivotCache cacheId="0" r:id="rId14"/>
  </pivotCaches>
</workbook>
</file>

<file path=xl/calcChain.xml><?xml version="1.0" encoding="utf-8"?>
<calcChain xmlns="http://schemas.openxmlformats.org/spreadsheetml/2006/main">
  <c r="A137" i="32" l="1"/>
  <c r="G14" i="1" l="1"/>
  <c r="G5" i="1"/>
  <c r="G70" i="32"/>
  <c r="G94" i="32"/>
  <c r="C19" i="1" l="1"/>
  <c r="D18" i="1"/>
  <c r="E18" i="1"/>
  <c r="G18" i="1"/>
  <c r="C18" i="1"/>
  <c r="E21" i="1"/>
  <c r="C21" i="1"/>
  <c r="C22" i="32" l="1"/>
  <c r="D22" i="32"/>
  <c r="G13" i="29"/>
  <c r="G12" i="1"/>
  <c r="G10" i="29" s="1"/>
  <c r="G970" i="26"/>
  <c r="G969" i="26"/>
  <c r="G967" i="26"/>
  <c r="G966" i="26"/>
  <c r="G965" i="26"/>
  <c r="G964" i="26"/>
  <c r="G963" i="26"/>
  <c r="G962" i="26"/>
  <c r="G961" i="26"/>
  <c r="G959" i="26"/>
  <c r="G958" i="26"/>
  <c r="G957" i="26"/>
  <c r="G956" i="26"/>
  <c r="G955" i="26"/>
  <c r="G954" i="26"/>
  <c r="G953" i="26"/>
  <c r="G952" i="26"/>
  <c r="G951" i="26"/>
  <c r="G950" i="26"/>
  <c r="G949" i="26"/>
  <c r="G948" i="26"/>
  <c r="G947" i="26"/>
  <c r="G946" i="26"/>
  <c r="G944" i="26"/>
  <c r="G942" i="26"/>
  <c r="G941" i="26"/>
  <c r="G940" i="26"/>
  <c r="G939" i="26"/>
  <c r="G936" i="26"/>
  <c r="G935" i="26"/>
  <c r="G934" i="26"/>
  <c r="G933" i="26"/>
  <c r="G932" i="26"/>
  <c r="G931" i="26"/>
  <c r="G930" i="26"/>
  <c r="G929" i="26"/>
  <c r="G928" i="26"/>
  <c r="G927" i="26"/>
  <c r="G926" i="26"/>
  <c r="G925" i="26"/>
  <c r="G924" i="26"/>
  <c r="G923" i="26"/>
  <c r="G922" i="26"/>
  <c r="G921" i="26"/>
  <c r="G920" i="26"/>
  <c r="G919" i="26"/>
  <c r="G918" i="26"/>
  <c r="G917" i="26"/>
  <c r="G916" i="26"/>
  <c r="G915" i="26"/>
  <c r="G914" i="26"/>
  <c r="G913" i="26"/>
  <c r="G912" i="26"/>
  <c r="G910" i="26"/>
  <c r="G909" i="26"/>
  <c r="G908" i="26"/>
  <c r="G907" i="26"/>
  <c r="G906" i="26"/>
  <c r="G905" i="26"/>
  <c r="G904" i="26"/>
  <c r="G903" i="26"/>
  <c r="G902" i="26"/>
  <c r="G900" i="26"/>
  <c r="G899" i="26"/>
  <c r="G898" i="26"/>
  <c r="G897" i="26"/>
  <c r="G895" i="26"/>
  <c r="G893" i="26"/>
  <c r="G892" i="26"/>
  <c r="G891" i="26"/>
  <c r="G890" i="26"/>
  <c r="G889" i="26"/>
  <c r="G888" i="26"/>
  <c r="G887" i="26"/>
  <c r="G886" i="26"/>
  <c r="G885" i="26"/>
  <c r="G884" i="26"/>
  <c r="G883" i="26"/>
  <c r="G882" i="26"/>
  <c r="G881" i="26"/>
  <c r="G880" i="26"/>
  <c r="G878" i="26"/>
  <c r="G877" i="26"/>
  <c r="G876" i="26"/>
  <c r="G874" i="26"/>
  <c r="G873" i="26"/>
  <c r="G872" i="26"/>
  <c r="G871" i="26"/>
  <c r="G870" i="26"/>
  <c r="G869" i="26"/>
  <c r="G868" i="26"/>
  <c r="G867" i="26"/>
  <c r="G866" i="26"/>
  <c r="G865" i="26"/>
  <c r="G864" i="26"/>
  <c r="G863" i="26"/>
  <c r="G862" i="26"/>
  <c r="G861" i="26"/>
  <c r="G860" i="26"/>
  <c r="G859" i="26"/>
  <c r="G858" i="26"/>
  <c r="G857" i="26"/>
  <c r="G856" i="26"/>
  <c r="G855" i="26"/>
  <c r="G852" i="26"/>
  <c r="G851" i="26"/>
  <c r="G850" i="26"/>
  <c r="G849" i="26"/>
  <c r="G847" i="26"/>
  <c r="G846" i="26"/>
  <c r="G845" i="26"/>
  <c r="G844" i="26"/>
  <c r="G843" i="26"/>
  <c r="G839" i="26"/>
  <c r="G838" i="26"/>
  <c r="G837" i="26"/>
  <c r="G833" i="26"/>
  <c r="G832" i="26"/>
  <c r="G831" i="26"/>
  <c r="G830" i="26"/>
  <c r="G828" i="26"/>
  <c r="G827" i="26"/>
  <c r="G826" i="26"/>
  <c r="G825" i="26"/>
  <c r="G824" i="26"/>
  <c r="G823" i="26"/>
  <c r="G822" i="26"/>
  <c r="G821" i="26"/>
  <c r="G820" i="26"/>
  <c r="G818" i="26"/>
  <c r="G817" i="26"/>
  <c r="G816" i="26"/>
  <c r="G814" i="26"/>
  <c r="G813" i="26"/>
  <c r="G812" i="26"/>
  <c r="G810" i="26"/>
  <c r="G809" i="26"/>
  <c r="G807" i="26"/>
  <c r="G804" i="26"/>
  <c r="G803" i="26"/>
  <c r="G798" i="26"/>
  <c r="G797" i="26"/>
  <c r="G794" i="26"/>
  <c r="G793" i="26"/>
  <c r="G792" i="26"/>
  <c r="G791" i="26"/>
  <c r="G789" i="26"/>
  <c r="G788" i="26"/>
  <c r="G787" i="26"/>
  <c r="G786" i="26"/>
  <c r="G784" i="26"/>
  <c r="G783" i="26"/>
  <c r="G782" i="26"/>
  <c r="G781" i="26"/>
  <c r="G780" i="26"/>
  <c r="G779" i="26"/>
  <c r="G778" i="26"/>
  <c r="G776" i="26"/>
  <c r="G775" i="26"/>
  <c r="G774" i="26"/>
  <c r="G773" i="26"/>
  <c r="G772" i="26"/>
  <c r="G771" i="26"/>
  <c r="G769" i="26"/>
  <c r="G768" i="26"/>
  <c r="G767" i="26"/>
  <c r="G766" i="26"/>
  <c r="G765" i="26"/>
  <c r="G764" i="26"/>
  <c r="G762" i="26"/>
  <c r="G761" i="26"/>
  <c r="G760" i="26"/>
  <c r="G759" i="26"/>
  <c r="G758" i="26"/>
  <c r="G757" i="26"/>
  <c r="G756" i="26"/>
  <c r="G755" i="26"/>
  <c r="G754" i="26"/>
  <c r="G753" i="26"/>
  <c r="G752" i="26"/>
  <c r="G751" i="26"/>
  <c r="G750" i="26"/>
  <c r="G749" i="26"/>
  <c r="G748" i="26"/>
  <c r="G747" i="26"/>
  <c r="G746" i="26"/>
  <c r="G745" i="26"/>
  <c r="G744" i="26"/>
  <c r="G743" i="26"/>
  <c r="G742" i="26"/>
  <c r="G741" i="26"/>
  <c r="G740" i="26"/>
  <c r="G739" i="26"/>
  <c r="G737" i="26"/>
  <c r="G735" i="26"/>
  <c r="G734" i="26"/>
  <c r="G733" i="26"/>
  <c r="G732" i="26"/>
  <c r="G730" i="26"/>
  <c r="G729" i="26"/>
  <c r="G728" i="26"/>
  <c r="G727" i="26"/>
  <c r="G726" i="26"/>
  <c r="G725" i="26"/>
  <c r="G724" i="26"/>
  <c r="G723" i="26"/>
  <c r="G722" i="26"/>
  <c r="G721" i="26"/>
  <c r="G719" i="26"/>
  <c r="G718" i="26"/>
  <c r="G717" i="26"/>
  <c r="G711" i="26"/>
  <c r="G710" i="26"/>
  <c r="G709" i="26"/>
  <c r="G708" i="26"/>
  <c r="G707" i="26"/>
  <c r="G706" i="26"/>
  <c r="G705" i="26"/>
  <c r="G704" i="26"/>
  <c r="G703" i="26"/>
  <c r="G702" i="26"/>
  <c r="G699" i="26"/>
  <c r="G696" i="26"/>
  <c r="G693" i="26"/>
  <c r="G692" i="26"/>
  <c r="G687" i="26"/>
  <c r="G686" i="26"/>
  <c r="G685" i="26"/>
  <c r="G684" i="26"/>
  <c r="G682" i="26"/>
  <c r="G680" i="26"/>
  <c r="G679" i="26"/>
  <c r="G678" i="26"/>
  <c r="G677" i="26"/>
  <c r="G676" i="26"/>
  <c r="G675" i="26"/>
  <c r="G674" i="26"/>
  <c r="G672" i="26"/>
  <c r="G671" i="26"/>
  <c r="G670" i="26"/>
  <c r="G669" i="26"/>
  <c r="G666" i="26"/>
  <c r="G665" i="26"/>
  <c r="G664" i="26"/>
  <c r="G663" i="26"/>
  <c r="G662" i="26"/>
  <c r="G661" i="26"/>
  <c r="G660" i="26"/>
  <c r="G659" i="26"/>
  <c r="G658" i="26"/>
  <c r="G657" i="26"/>
  <c r="G656" i="26"/>
  <c r="G655" i="26"/>
  <c r="G654" i="26"/>
  <c r="G653" i="26"/>
  <c r="G652" i="26"/>
  <c r="G651" i="26"/>
  <c r="G650" i="26"/>
  <c r="G649" i="26"/>
  <c r="G648" i="26"/>
  <c r="G646" i="26"/>
  <c r="G645" i="26"/>
  <c r="G644" i="26"/>
  <c r="G643" i="26"/>
  <c r="G641" i="26"/>
  <c r="G640" i="26"/>
  <c r="G638" i="26"/>
  <c r="G637" i="26"/>
  <c r="G635" i="26"/>
  <c r="G634" i="26"/>
  <c r="G633" i="26"/>
  <c r="G632" i="26"/>
  <c r="G631" i="26"/>
  <c r="G630" i="26"/>
  <c r="G629" i="26"/>
  <c r="G628" i="26"/>
  <c r="G627" i="26"/>
  <c r="G626" i="26"/>
  <c r="G625" i="26"/>
  <c r="G624" i="26"/>
  <c r="G623" i="26"/>
  <c r="G622" i="26"/>
  <c r="G621" i="26"/>
  <c r="G620" i="26"/>
  <c r="G619" i="26"/>
  <c r="G618" i="26"/>
  <c r="G617" i="26"/>
  <c r="G616" i="26"/>
  <c r="G615" i="26"/>
  <c r="G614" i="26"/>
  <c r="G613" i="26"/>
  <c r="G612" i="26"/>
  <c r="G611" i="26"/>
  <c r="G610" i="26"/>
  <c r="G609" i="26"/>
  <c r="G608" i="26"/>
  <c r="G607" i="26"/>
  <c r="G606" i="26"/>
  <c r="G605" i="26"/>
  <c r="G604" i="26"/>
  <c r="G603" i="26"/>
  <c r="G602" i="26"/>
  <c r="G601" i="26"/>
  <c r="G600" i="26"/>
  <c r="G599" i="26"/>
  <c r="G598" i="26"/>
  <c r="G597" i="26"/>
  <c r="G596" i="26"/>
  <c r="G590" i="26"/>
  <c r="G589" i="26"/>
  <c r="G588" i="26"/>
  <c r="G587" i="26"/>
  <c r="G586" i="26"/>
  <c r="G585" i="26"/>
  <c r="G583" i="26"/>
  <c r="G582" i="26"/>
  <c r="G581" i="26"/>
  <c r="G580" i="26"/>
  <c r="G579" i="26"/>
  <c r="G578" i="26"/>
  <c r="G576" i="26"/>
  <c r="G575" i="26"/>
  <c r="G574" i="26"/>
  <c r="G573" i="26"/>
  <c r="G572" i="26"/>
  <c r="G571" i="26"/>
  <c r="G570" i="26"/>
  <c r="G569" i="26"/>
  <c r="G568" i="26"/>
  <c r="G567" i="26"/>
  <c r="G566" i="26"/>
  <c r="G565" i="26"/>
  <c r="G564" i="26"/>
  <c r="G563" i="26"/>
  <c r="G562" i="26"/>
  <c r="G561" i="26"/>
  <c r="G560" i="26"/>
  <c r="G559" i="26"/>
  <c r="G558" i="26"/>
  <c r="G557" i="26"/>
  <c r="G556" i="26"/>
  <c r="G555" i="26"/>
  <c r="G554" i="26"/>
  <c r="G553" i="26"/>
  <c r="G552" i="26"/>
  <c r="G551" i="26"/>
  <c r="G550" i="26"/>
  <c r="G549" i="26"/>
  <c r="G548" i="26"/>
  <c r="G547" i="26"/>
  <c r="G546" i="26"/>
  <c r="G545" i="26"/>
  <c r="G544" i="26"/>
  <c r="G543" i="26"/>
  <c r="G542" i="26"/>
  <c r="G538" i="26"/>
  <c r="G537" i="26"/>
  <c r="G536" i="26"/>
  <c r="G535" i="26"/>
  <c r="G534" i="26"/>
  <c r="G533" i="26"/>
  <c r="G532" i="26"/>
  <c r="G531" i="26"/>
  <c r="G530" i="26"/>
  <c r="G529" i="26"/>
  <c r="G527" i="26"/>
  <c r="G526" i="26"/>
  <c r="G525" i="26"/>
  <c r="G524" i="26"/>
  <c r="G523" i="26"/>
  <c r="G521" i="26"/>
  <c r="G520" i="26"/>
  <c r="G519" i="26"/>
  <c r="G518" i="26"/>
  <c r="G517" i="26"/>
  <c r="G516" i="26"/>
  <c r="G515" i="26"/>
  <c r="G514" i="26"/>
  <c r="G513" i="26"/>
  <c r="G512" i="26"/>
  <c r="G511" i="26"/>
  <c r="G510" i="26"/>
  <c r="G509" i="26"/>
  <c r="G508" i="26"/>
  <c r="G507" i="26"/>
  <c r="G506" i="26"/>
  <c r="G505" i="26"/>
  <c r="G504" i="26"/>
  <c r="G503" i="26"/>
  <c r="G502" i="26"/>
  <c r="G501" i="26"/>
  <c r="G500" i="26"/>
  <c r="G499" i="26"/>
  <c r="G498" i="26"/>
  <c r="G497" i="26"/>
  <c r="G496" i="26"/>
  <c r="G495" i="26"/>
  <c r="G494" i="26"/>
  <c r="G493" i="26"/>
  <c r="G492" i="26"/>
  <c r="G487" i="26"/>
  <c r="G486" i="26"/>
  <c r="G485" i="26"/>
  <c r="G484" i="26"/>
  <c r="G483" i="26"/>
  <c r="G482" i="26"/>
  <c r="G480" i="26"/>
  <c r="G479" i="26"/>
  <c r="G478" i="26"/>
  <c r="G477" i="26"/>
  <c r="G476" i="26"/>
  <c r="G475" i="26"/>
  <c r="G474" i="26"/>
  <c r="G473" i="26"/>
  <c r="G470" i="26"/>
  <c r="G469" i="26"/>
  <c r="G468" i="26"/>
  <c r="G466" i="26"/>
  <c r="G465" i="26"/>
  <c r="G455" i="26"/>
  <c r="G453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19" i="26"/>
  <c r="G418" i="26"/>
  <c r="G417" i="26"/>
  <c r="G416" i="26"/>
  <c r="G415" i="26"/>
  <c r="G414" i="26"/>
  <c r="G411" i="26"/>
  <c r="G410" i="26"/>
  <c r="G409" i="26"/>
  <c r="G408" i="26"/>
  <c r="G407" i="26"/>
  <c r="G406" i="26"/>
  <c r="G405" i="26"/>
  <c r="G404" i="26"/>
  <c r="G401" i="26"/>
  <c r="G400" i="26"/>
  <c r="G399" i="26"/>
  <c r="G396" i="26"/>
  <c r="G394" i="26"/>
  <c r="G392" i="26"/>
  <c r="G390" i="26"/>
  <c r="G389" i="26"/>
  <c r="G387" i="26"/>
  <c r="G386" i="26"/>
  <c r="G384" i="26"/>
  <c r="G383" i="26"/>
  <c r="G382" i="26"/>
  <c r="G381" i="26"/>
  <c r="G379" i="26"/>
  <c r="G378" i="26"/>
  <c r="G377" i="26"/>
  <c r="G376" i="26"/>
  <c r="G375" i="26"/>
  <c r="G374" i="26"/>
  <c r="G372" i="26"/>
  <c r="G371" i="26"/>
  <c r="G370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2" i="26"/>
  <c r="G349" i="26"/>
  <c r="G348" i="26"/>
  <c r="G346" i="26"/>
  <c r="G345" i="26"/>
  <c r="G344" i="26"/>
  <c r="G343" i="26"/>
  <c r="G341" i="26"/>
  <c r="G340" i="26"/>
  <c r="G337" i="26"/>
  <c r="G336" i="26"/>
  <c r="G331" i="26"/>
  <c r="G330" i="26"/>
  <c r="G328" i="26"/>
  <c r="G326" i="26"/>
  <c r="G324" i="26"/>
  <c r="G317" i="26"/>
  <c r="G316" i="26"/>
  <c r="G314" i="26"/>
  <c r="G312" i="26"/>
  <c r="G311" i="26"/>
  <c r="G306" i="26"/>
  <c r="G305" i="26"/>
  <c r="G303" i="26"/>
  <c r="G299" i="26"/>
  <c r="G297" i="26"/>
  <c r="G294" i="26"/>
  <c r="G293" i="26"/>
  <c r="G291" i="26"/>
  <c r="G289" i="26"/>
  <c r="G288" i="26"/>
  <c r="G287" i="26"/>
  <c r="G286" i="26"/>
  <c r="G285" i="26"/>
  <c r="G284" i="26"/>
  <c r="G282" i="26"/>
  <c r="G281" i="26"/>
  <c r="G280" i="26"/>
  <c r="G277" i="26"/>
  <c r="G276" i="26"/>
  <c r="G273" i="26"/>
  <c r="G272" i="26"/>
  <c r="G271" i="26"/>
  <c r="G270" i="26"/>
  <c r="G269" i="26"/>
  <c r="G268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5" i="26"/>
  <c r="G244" i="26"/>
  <c r="G242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7" i="26"/>
  <c r="G225" i="26"/>
  <c r="G224" i="26"/>
  <c r="G223" i="26"/>
  <c r="G222" i="26"/>
  <c r="G221" i="26"/>
  <c r="G220" i="26"/>
  <c r="G219" i="26"/>
  <c r="G218" i="26"/>
  <c r="G217" i="26"/>
  <c r="G215" i="26"/>
  <c r="G214" i="26"/>
  <c r="G212" i="26"/>
  <c r="G211" i="26"/>
  <c r="G210" i="26"/>
  <c r="G209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3" i="26"/>
  <c r="G162" i="26"/>
  <c r="G160" i="26"/>
  <c r="G159" i="26"/>
  <c r="G158" i="26"/>
  <c r="G157" i="26"/>
  <c r="G156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39" i="26"/>
  <c r="G138" i="26"/>
  <c r="G137" i="26"/>
  <c r="G136" i="26"/>
  <c r="G135" i="26"/>
  <c r="G134" i="26"/>
  <c r="G133" i="26"/>
  <c r="G132" i="26"/>
  <c r="G131" i="26"/>
  <c r="G130" i="26"/>
  <c r="G129" i="26"/>
  <c r="G126" i="26"/>
  <c r="G125" i="26"/>
  <c r="G123" i="26"/>
  <c r="G120" i="26"/>
  <c r="G119" i="26"/>
  <c r="G118" i="26"/>
  <c r="G117" i="26"/>
  <c r="G116" i="26"/>
  <c r="G112" i="26"/>
  <c r="G111" i="26"/>
  <c r="G110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3" i="26"/>
  <c r="G92" i="26"/>
  <c r="G91" i="26"/>
  <c r="G90" i="26"/>
  <c r="G89" i="26"/>
  <c r="G88" i="26"/>
  <c r="G87" i="26"/>
  <c r="G86" i="26"/>
  <c r="G85" i="26"/>
  <c r="G84" i="26"/>
  <c r="G82" i="26"/>
  <c r="G81" i="26"/>
  <c r="G80" i="26"/>
  <c r="G79" i="26"/>
  <c r="G78" i="26"/>
  <c r="G76" i="26"/>
  <c r="G75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5" i="26"/>
  <c r="G54" i="26"/>
  <c r="G52" i="26"/>
  <c r="G51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3" i="26"/>
  <c r="G12" i="26"/>
  <c r="G11" i="26"/>
  <c r="G8" i="26"/>
  <c r="G7" i="26"/>
  <c r="G6" i="26"/>
  <c r="G5" i="26"/>
  <c r="G4" i="26"/>
  <c r="G3" i="26"/>
  <c r="G2" i="26"/>
  <c r="G16" i="25"/>
  <c r="G10" i="25"/>
  <c r="G4" i="24"/>
  <c r="G2" i="24"/>
  <c r="G6" i="1"/>
  <c r="G6" i="29" s="1"/>
  <c r="H19" i="23"/>
  <c r="H18" i="23"/>
  <c r="H17" i="23"/>
  <c r="H8" i="23"/>
  <c r="P56" i="15"/>
  <c r="G118" i="32" l="1"/>
  <c r="F126" i="32" l="1"/>
  <c r="E126" i="32"/>
  <c r="D126" i="32"/>
  <c r="C126" i="32"/>
  <c r="B126" i="32"/>
  <c r="F118" i="32"/>
  <c r="E118" i="32"/>
  <c r="D118" i="32"/>
  <c r="C118" i="32"/>
  <c r="B118" i="32"/>
  <c r="G117" i="32"/>
  <c r="F117" i="32"/>
  <c r="G116" i="32"/>
  <c r="F116" i="32"/>
  <c r="E116" i="32"/>
  <c r="D116" i="32"/>
  <c r="C116" i="32"/>
  <c r="B116" i="32"/>
  <c r="G115" i="32"/>
  <c r="F115" i="32"/>
  <c r="E115" i="32"/>
  <c r="D115" i="32"/>
  <c r="C115" i="32"/>
  <c r="B115" i="32"/>
  <c r="G113" i="32"/>
  <c r="C113" i="32"/>
  <c r="G109" i="32"/>
  <c r="C109" i="32"/>
  <c r="F107" i="32"/>
  <c r="E107" i="32"/>
  <c r="D107" i="32"/>
  <c r="F106" i="32"/>
  <c r="E106" i="32"/>
  <c r="D106" i="32"/>
  <c r="G105" i="32"/>
  <c r="F94" i="32"/>
  <c r="E94" i="32"/>
  <c r="D94" i="32"/>
  <c r="C94" i="32"/>
  <c r="B94" i="32"/>
  <c r="G93" i="32"/>
  <c r="F93" i="32"/>
  <c r="G92" i="32"/>
  <c r="F92" i="32"/>
  <c r="E92" i="32"/>
  <c r="D92" i="32"/>
  <c r="C92" i="32"/>
  <c r="B92" i="32"/>
  <c r="G91" i="32"/>
  <c r="F91" i="32"/>
  <c r="E91" i="32"/>
  <c r="D91" i="32"/>
  <c r="C91" i="32"/>
  <c r="B91" i="32"/>
  <c r="G89" i="32"/>
  <c r="C89" i="32"/>
  <c r="G85" i="32"/>
  <c r="C85" i="32"/>
  <c r="F83" i="32"/>
  <c r="E83" i="32"/>
  <c r="D83" i="32"/>
  <c r="F82" i="32"/>
  <c r="E82" i="32"/>
  <c r="D82" i="32"/>
  <c r="G81" i="32"/>
  <c r="F70" i="32"/>
  <c r="E70" i="32"/>
  <c r="D70" i="32"/>
  <c r="C70" i="32"/>
  <c r="B70" i="32"/>
  <c r="G69" i="32"/>
  <c r="F69" i="32"/>
  <c r="G68" i="32"/>
  <c r="F68" i="32"/>
  <c r="E68" i="32"/>
  <c r="D68" i="32"/>
  <c r="C68" i="32"/>
  <c r="B68" i="32"/>
  <c r="G67" i="32"/>
  <c r="F67" i="32"/>
  <c r="E67" i="32"/>
  <c r="D67" i="32"/>
  <c r="C67" i="32"/>
  <c r="B67" i="32"/>
  <c r="G65" i="32"/>
  <c r="C65" i="32"/>
  <c r="F62" i="32"/>
  <c r="E62" i="32"/>
  <c r="D62" i="32"/>
  <c r="G61" i="32"/>
  <c r="C61" i="32"/>
  <c r="F59" i="32"/>
  <c r="E59" i="32"/>
  <c r="D59" i="32"/>
  <c r="F58" i="32"/>
  <c r="E58" i="32"/>
  <c r="D58" i="32"/>
  <c r="G57" i="32"/>
  <c r="G46" i="32"/>
  <c r="F46" i="32"/>
  <c r="E46" i="32"/>
  <c r="D46" i="32"/>
  <c r="C46" i="32"/>
  <c r="B46" i="32"/>
  <c r="G45" i="32"/>
  <c r="F45" i="32"/>
  <c r="C45" i="32"/>
  <c r="G44" i="32"/>
  <c r="F44" i="32"/>
  <c r="E44" i="32"/>
  <c r="D44" i="32"/>
  <c r="C44" i="32"/>
  <c r="B44" i="32"/>
  <c r="G43" i="32"/>
  <c r="F43" i="32"/>
  <c r="E43" i="32"/>
  <c r="D43" i="32"/>
  <c r="C43" i="32"/>
  <c r="B43" i="32"/>
  <c r="G41" i="32"/>
  <c r="G37" i="32"/>
  <c r="F35" i="32"/>
  <c r="G35" i="32" s="1"/>
  <c r="C59" i="32" s="1"/>
  <c r="G59" i="32" s="1"/>
  <c r="C83" i="32" s="1"/>
  <c r="G83" i="32" s="1"/>
  <c r="C107" i="32" s="1"/>
  <c r="G107" i="32" s="1"/>
  <c r="E35" i="32"/>
  <c r="D35" i="32"/>
  <c r="C35" i="32"/>
  <c r="B35" i="32"/>
  <c r="F34" i="32"/>
  <c r="E34" i="32"/>
  <c r="D34" i="32"/>
  <c r="C34" i="32"/>
  <c r="B34" i="32"/>
  <c r="G34" i="32" s="1"/>
  <c r="C58" i="32" s="1"/>
  <c r="G58" i="32" s="1"/>
  <c r="C82" i="32" s="1"/>
  <c r="G82" i="32" s="1"/>
  <c r="C106" i="32" s="1"/>
  <c r="G106" i="32" s="1"/>
  <c r="G33" i="32"/>
  <c r="B31" i="32"/>
  <c r="G31" i="32" s="1"/>
  <c r="C55" i="32" s="1"/>
  <c r="G55" i="32" s="1"/>
  <c r="C79" i="32" s="1"/>
  <c r="G79" i="32" s="1"/>
  <c r="C103" i="32" s="1"/>
  <c r="G103" i="32" s="1"/>
  <c r="B30" i="32"/>
  <c r="G30" i="32" s="1"/>
  <c r="N28" i="32"/>
  <c r="B22" i="32"/>
  <c r="D21" i="32"/>
  <c r="C21" i="32"/>
  <c r="D20" i="32"/>
  <c r="C20" i="32"/>
  <c r="B20" i="32"/>
  <c r="D19" i="32"/>
  <c r="C19" i="32"/>
  <c r="B19" i="32"/>
  <c r="D17" i="32"/>
  <c r="D11" i="32"/>
  <c r="C11" i="32"/>
  <c r="B11" i="32"/>
  <c r="D10" i="32"/>
  <c r="C10" i="32"/>
  <c r="B10" i="32"/>
  <c r="B7" i="32"/>
  <c r="D7" i="32" s="1"/>
  <c r="B6" i="32"/>
  <c r="D6" i="32" s="1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R23" i="33"/>
  <c r="R22" i="33"/>
  <c r="R21" i="33"/>
  <c r="R20" i="33"/>
  <c r="R19" i="33"/>
  <c r="R18" i="33"/>
  <c r="R17" i="33"/>
  <c r="R16" i="33"/>
  <c r="R15" i="33"/>
  <c r="R14" i="33"/>
  <c r="R13" i="33"/>
  <c r="R12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R9" i="33"/>
  <c r="R8" i="33"/>
  <c r="R7" i="33"/>
  <c r="R6" i="33"/>
  <c r="C6" i="33"/>
  <c r="R5" i="33"/>
  <c r="C5" i="33"/>
  <c r="W25" i="28"/>
  <c r="F110" i="32" s="1"/>
  <c r="V25" i="28"/>
  <c r="E110" i="32" s="1"/>
  <c r="U25" i="28"/>
  <c r="D110" i="32" s="1"/>
  <c r="T25" i="28"/>
  <c r="F86" i="32" s="1"/>
  <c r="S25" i="28"/>
  <c r="E86" i="32" s="1"/>
  <c r="R25" i="28"/>
  <c r="D86" i="32" s="1"/>
  <c r="Q25" i="28"/>
  <c r="P25" i="28"/>
  <c r="O25" i="28"/>
  <c r="N25" i="28"/>
  <c r="F38" i="32" s="1"/>
  <c r="M25" i="28"/>
  <c r="E38" i="32" s="1"/>
  <c r="L25" i="28"/>
  <c r="D38" i="32" s="1"/>
  <c r="K25" i="28"/>
  <c r="C38" i="32" s="1"/>
  <c r="G25" i="28"/>
  <c r="E25" i="28"/>
  <c r="D25" i="28"/>
  <c r="X24" i="28"/>
  <c r="X23" i="28"/>
  <c r="X22" i="28"/>
  <c r="X21" i="28"/>
  <c r="X20" i="28"/>
  <c r="X19" i="28"/>
  <c r="X18" i="28"/>
  <c r="X17" i="28"/>
  <c r="X16" i="28"/>
  <c r="X15" i="28"/>
  <c r="X14" i="28"/>
  <c r="X13" i="28"/>
  <c r="X12" i="28"/>
  <c r="X11" i="28"/>
  <c r="X10" i="28"/>
  <c r="X9" i="28"/>
  <c r="X8" i="28"/>
  <c r="X7" i="28"/>
  <c r="X6" i="28"/>
  <c r="X5" i="28"/>
  <c r="X4" i="28"/>
  <c r="X3" i="28"/>
  <c r="X2" i="28"/>
  <c r="V970" i="26"/>
  <c r="F108" i="32" s="1"/>
  <c r="U970" i="26"/>
  <c r="E108" i="32" s="1"/>
  <c r="T970" i="26"/>
  <c r="D108" i="32" s="1"/>
  <c r="S970" i="26"/>
  <c r="F84" i="32" s="1"/>
  <c r="R970" i="26"/>
  <c r="E84" i="32" s="1"/>
  <c r="Q970" i="26"/>
  <c r="D84" i="32" s="1"/>
  <c r="P970" i="26"/>
  <c r="F60" i="32" s="1"/>
  <c r="O970" i="26"/>
  <c r="E60" i="32" s="1"/>
  <c r="N970" i="26"/>
  <c r="D60" i="32" s="1"/>
  <c r="M970" i="26"/>
  <c r="F36" i="32" s="1"/>
  <c r="L970" i="26"/>
  <c r="E36" i="32" s="1"/>
  <c r="K970" i="26"/>
  <c r="D36" i="32" s="1"/>
  <c r="J970" i="26"/>
  <c r="C12" i="32" s="1"/>
  <c r="F970" i="26"/>
  <c r="E970" i="26"/>
  <c r="D970" i="26"/>
  <c r="W969" i="26"/>
  <c r="W967" i="26"/>
  <c r="W966" i="26"/>
  <c r="W965" i="26"/>
  <c r="W964" i="26"/>
  <c r="W963" i="26"/>
  <c r="W962" i="26"/>
  <c r="W961" i="26"/>
  <c r="W959" i="26"/>
  <c r="W958" i="26"/>
  <c r="W957" i="26"/>
  <c r="W956" i="26"/>
  <c r="W955" i="26"/>
  <c r="W954" i="26"/>
  <c r="W953" i="26"/>
  <c r="W952" i="26"/>
  <c r="W951" i="26"/>
  <c r="W950" i="26"/>
  <c r="W949" i="26"/>
  <c r="W948" i="26"/>
  <c r="W947" i="26"/>
  <c r="W946" i="26"/>
  <c r="W944" i="26"/>
  <c r="W942" i="26"/>
  <c r="W941" i="26"/>
  <c r="W940" i="26"/>
  <c r="W939" i="26"/>
  <c r="W936" i="26"/>
  <c r="W935" i="26"/>
  <c r="W934" i="26"/>
  <c r="W933" i="26"/>
  <c r="W932" i="26"/>
  <c r="W931" i="26"/>
  <c r="W930" i="26"/>
  <c r="W929" i="26"/>
  <c r="W928" i="26"/>
  <c r="W927" i="26"/>
  <c r="W926" i="26"/>
  <c r="W925" i="26"/>
  <c r="W924" i="26"/>
  <c r="W923" i="26"/>
  <c r="W922" i="26"/>
  <c r="W921" i="26"/>
  <c r="W920" i="26"/>
  <c r="W919" i="26"/>
  <c r="W918" i="26"/>
  <c r="W917" i="26"/>
  <c r="W916" i="26"/>
  <c r="W915" i="26"/>
  <c r="W914" i="26"/>
  <c r="W913" i="26"/>
  <c r="W912" i="26"/>
  <c r="W910" i="26"/>
  <c r="W909" i="26"/>
  <c r="W908" i="26"/>
  <c r="W907" i="26"/>
  <c r="W906" i="26"/>
  <c r="W905" i="26"/>
  <c r="W904" i="26"/>
  <c r="W903" i="26"/>
  <c r="W902" i="26"/>
  <c r="W900" i="26"/>
  <c r="W899" i="26"/>
  <c r="W898" i="26"/>
  <c r="W897" i="26"/>
  <c r="W895" i="26"/>
  <c r="W893" i="26"/>
  <c r="W892" i="26"/>
  <c r="W891" i="26"/>
  <c r="W890" i="26"/>
  <c r="W889" i="26"/>
  <c r="W888" i="26"/>
  <c r="W887" i="26"/>
  <c r="W886" i="26"/>
  <c r="W885" i="26"/>
  <c r="W884" i="26"/>
  <c r="W883" i="26"/>
  <c r="W882" i="26"/>
  <c r="W881" i="26"/>
  <c r="W880" i="26"/>
  <c r="W878" i="26"/>
  <c r="W877" i="26"/>
  <c r="W876" i="26"/>
  <c r="W874" i="26"/>
  <c r="W873" i="26"/>
  <c r="W872" i="26"/>
  <c r="W871" i="26"/>
  <c r="W870" i="26"/>
  <c r="W869" i="26"/>
  <c r="W868" i="26"/>
  <c r="W867" i="26"/>
  <c r="W866" i="26"/>
  <c r="W865" i="26"/>
  <c r="W864" i="26"/>
  <c r="W863" i="26"/>
  <c r="W862" i="26"/>
  <c r="W861" i="26"/>
  <c r="W860" i="26"/>
  <c r="W859" i="26"/>
  <c r="W858" i="26"/>
  <c r="W857" i="26"/>
  <c r="W856" i="26"/>
  <c r="W855" i="26"/>
  <c r="W852" i="26"/>
  <c r="W851" i="26"/>
  <c r="W850" i="26"/>
  <c r="W849" i="26"/>
  <c r="W847" i="26"/>
  <c r="W846" i="26"/>
  <c r="W845" i="26"/>
  <c r="W844" i="26"/>
  <c r="W843" i="26"/>
  <c r="W839" i="26"/>
  <c r="W838" i="26"/>
  <c r="W837" i="26"/>
  <c r="W833" i="26"/>
  <c r="W832" i="26"/>
  <c r="W831" i="26"/>
  <c r="W830" i="26"/>
  <c r="W828" i="26"/>
  <c r="W827" i="26"/>
  <c r="W826" i="26"/>
  <c r="W825" i="26"/>
  <c r="W824" i="26"/>
  <c r="W823" i="26"/>
  <c r="W822" i="26"/>
  <c r="W821" i="26"/>
  <c r="W820" i="26"/>
  <c r="W818" i="26"/>
  <c r="W817" i="26"/>
  <c r="W816" i="26"/>
  <c r="W814" i="26"/>
  <c r="W813" i="26"/>
  <c r="W812" i="26"/>
  <c r="W810" i="26"/>
  <c r="W809" i="26"/>
  <c r="W807" i="26"/>
  <c r="W804" i="26"/>
  <c r="W803" i="26"/>
  <c r="W798" i="26"/>
  <c r="W797" i="26"/>
  <c r="W794" i="26"/>
  <c r="W793" i="26"/>
  <c r="W792" i="26"/>
  <c r="W791" i="26"/>
  <c r="W789" i="26"/>
  <c r="W788" i="26"/>
  <c r="W787" i="26"/>
  <c r="W786" i="26"/>
  <c r="W784" i="26"/>
  <c r="W783" i="26"/>
  <c r="W782" i="26"/>
  <c r="W781" i="26"/>
  <c r="W780" i="26"/>
  <c r="W779" i="26"/>
  <c r="W778" i="26"/>
  <c r="W776" i="26"/>
  <c r="W775" i="26"/>
  <c r="W774" i="26"/>
  <c r="W773" i="26"/>
  <c r="W772" i="26"/>
  <c r="W771" i="26"/>
  <c r="W769" i="26"/>
  <c r="W768" i="26"/>
  <c r="W767" i="26"/>
  <c r="W766" i="26"/>
  <c r="W765" i="26"/>
  <c r="W764" i="26"/>
  <c r="W762" i="26"/>
  <c r="W761" i="26"/>
  <c r="W760" i="26"/>
  <c r="W759" i="26"/>
  <c r="W758" i="26"/>
  <c r="W757" i="26"/>
  <c r="W756" i="26"/>
  <c r="W755" i="26"/>
  <c r="W754" i="26"/>
  <c r="W753" i="26"/>
  <c r="W752" i="26"/>
  <c r="W751" i="26"/>
  <c r="W750" i="26"/>
  <c r="W749" i="26"/>
  <c r="W748" i="26"/>
  <c r="W747" i="26"/>
  <c r="W746" i="26"/>
  <c r="W745" i="26"/>
  <c r="W744" i="26"/>
  <c r="W743" i="26"/>
  <c r="W742" i="26"/>
  <c r="W741" i="26"/>
  <c r="W740" i="26"/>
  <c r="W739" i="26"/>
  <c r="W737" i="26"/>
  <c r="W735" i="26"/>
  <c r="W734" i="26"/>
  <c r="W733" i="26"/>
  <c r="W732" i="26"/>
  <c r="W730" i="26"/>
  <c r="W729" i="26"/>
  <c r="W728" i="26"/>
  <c r="W727" i="26"/>
  <c r="W726" i="26"/>
  <c r="W725" i="26"/>
  <c r="W724" i="26"/>
  <c r="W723" i="26"/>
  <c r="W722" i="26"/>
  <c r="W721" i="26"/>
  <c r="W719" i="26"/>
  <c r="W718" i="26"/>
  <c r="W717" i="26"/>
  <c r="W711" i="26"/>
  <c r="W710" i="26"/>
  <c r="W709" i="26"/>
  <c r="W708" i="26"/>
  <c r="W707" i="26"/>
  <c r="W706" i="26"/>
  <c r="W705" i="26"/>
  <c r="W704" i="26"/>
  <c r="W703" i="26"/>
  <c r="W702" i="26"/>
  <c r="W699" i="26"/>
  <c r="W696" i="26"/>
  <c r="W693" i="26"/>
  <c r="W692" i="26"/>
  <c r="W687" i="26"/>
  <c r="W686" i="26"/>
  <c r="W685" i="26"/>
  <c r="W684" i="26"/>
  <c r="W682" i="26"/>
  <c r="W680" i="26"/>
  <c r="W679" i="26"/>
  <c r="W678" i="26"/>
  <c r="W677" i="26"/>
  <c r="W676" i="26"/>
  <c r="W675" i="26"/>
  <c r="W674" i="26"/>
  <c r="W672" i="26"/>
  <c r="W671" i="26"/>
  <c r="W670" i="26"/>
  <c r="W669" i="26"/>
  <c r="W666" i="26"/>
  <c r="W665" i="26"/>
  <c r="W664" i="26"/>
  <c r="W663" i="26"/>
  <c r="W662" i="26"/>
  <c r="W661" i="26"/>
  <c r="W660" i="26"/>
  <c r="W659" i="26"/>
  <c r="W658" i="26"/>
  <c r="W657" i="26"/>
  <c r="W656" i="26"/>
  <c r="W655" i="26"/>
  <c r="W654" i="26"/>
  <c r="W653" i="26"/>
  <c r="W652" i="26"/>
  <c r="W651" i="26"/>
  <c r="W650" i="26"/>
  <c r="W649" i="26"/>
  <c r="W648" i="26"/>
  <c r="W646" i="26"/>
  <c r="W645" i="26"/>
  <c r="W644" i="26"/>
  <c r="W643" i="26"/>
  <c r="W641" i="26"/>
  <c r="W640" i="26"/>
  <c r="W638" i="26"/>
  <c r="W637" i="26"/>
  <c r="W635" i="26"/>
  <c r="W634" i="26"/>
  <c r="W633" i="26"/>
  <c r="W632" i="26"/>
  <c r="W631" i="26"/>
  <c r="W630" i="26"/>
  <c r="W629" i="26"/>
  <c r="W628" i="26"/>
  <c r="W627" i="26"/>
  <c r="W626" i="26"/>
  <c r="W625" i="26"/>
  <c r="W624" i="26"/>
  <c r="W623" i="26"/>
  <c r="W622" i="26"/>
  <c r="W621" i="26"/>
  <c r="W620" i="26"/>
  <c r="W619" i="26"/>
  <c r="W618" i="26"/>
  <c r="W617" i="26"/>
  <c r="W616" i="26"/>
  <c r="W615" i="26"/>
  <c r="W614" i="26"/>
  <c r="W613" i="26"/>
  <c r="W612" i="26"/>
  <c r="W611" i="26"/>
  <c r="W610" i="26"/>
  <c r="W609" i="26"/>
  <c r="W608" i="26"/>
  <c r="W607" i="26"/>
  <c r="W606" i="26"/>
  <c r="W605" i="26"/>
  <c r="W604" i="26"/>
  <c r="W603" i="26"/>
  <c r="W602" i="26"/>
  <c r="W601" i="26"/>
  <c r="W600" i="26"/>
  <c r="W599" i="26"/>
  <c r="W598" i="26"/>
  <c r="W597" i="26"/>
  <c r="W596" i="26"/>
  <c r="W590" i="26"/>
  <c r="W589" i="26"/>
  <c r="W588" i="26"/>
  <c r="W587" i="26"/>
  <c r="W586" i="26"/>
  <c r="W585" i="26"/>
  <c r="W583" i="26"/>
  <c r="W582" i="26"/>
  <c r="W581" i="26"/>
  <c r="W580" i="26"/>
  <c r="W579" i="26"/>
  <c r="W578" i="26"/>
  <c r="W576" i="26"/>
  <c r="W575" i="26"/>
  <c r="W574" i="26"/>
  <c r="W573" i="26"/>
  <c r="W572" i="26"/>
  <c r="W571" i="26"/>
  <c r="W570" i="26"/>
  <c r="W569" i="26"/>
  <c r="W568" i="26"/>
  <c r="W567" i="26"/>
  <c r="W566" i="26"/>
  <c r="W565" i="26"/>
  <c r="W564" i="26"/>
  <c r="W563" i="26"/>
  <c r="W562" i="26"/>
  <c r="W561" i="26"/>
  <c r="W560" i="26"/>
  <c r="W559" i="26"/>
  <c r="W558" i="26"/>
  <c r="W557" i="26"/>
  <c r="W556" i="26"/>
  <c r="W555" i="26"/>
  <c r="W554" i="26"/>
  <c r="W553" i="26"/>
  <c r="W552" i="26"/>
  <c r="W551" i="26"/>
  <c r="W550" i="26"/>
  <c r="W549" i="26"/>
  <c r="W548" i="26"/>
  <c r="W547" i="26"/>
  <c r="W546" i="26"/>
  <c r="W545" i="26"/>
  <c r="W544" i="26"/>
  <c r="W543" i="26"/>
  <c r="W542" i="26"/>
  <c r="W538" i="26"/>
  <c r="W537" i="26"/>
  <c r="W536" i="26"/>
  <c r="W535" i="26"/>
  <c r="W534" i="26"/>
  <c r="W533" i="26"/>
  <c r="W532" i="26"/>
  <c r="W531" i="26"/>
  <c r="W530" i="26"/>
  <c r="W529" i="26"/>
  <c r="W527" i="26"/>
  <c r="W526" i="26"/>
  <c r="W525" i="26"/>
  <c r="W524" i="26"/>
  <c r="W523" i="26"/>
  <c r="W521" i="26"/>
  <c r="W520" i="26"/>
  <c r="W519" i="26"/>
  <c r="W518" i="26"/>
  <c r="W517" i="26"/>
  <c r="W516" i="26"/>
  <c r="W515" i="26"/>
  <c r="W514" i="26"/>
  <c r="W513" i="26"/>
  <c r="W512" i="26"/>
  <c r="W511" i="26"/>
  <c r="W510" i="26"/>
  <c r="W509" i="26"/>
  <c r="W508" i="26"/>
  <c r="W507" i="26"/>
  <c r="W506" i="26"/>
  <c r="W505" i="26"/>
  <c r="W504" i="26"/>
  <c r="W503" i="26"/>
  <c r="W502" i="26"/>
  <c r="W501" i="26"/>
  <c r="W500" i="26"/>
  <c r="W499" i="26"/>
  <c r="W498" i="26"/>
  <c r="W497" i="26"/>
  <c r="W496" i="26"/>
  <c r="W495" i="26"/>
  <c r="W494" i="26"/>
  <c r="W493" i="26"/>
  <c r="W492" i="26"/>
  <c r="W487" i="26"/>
  <c r="W486" i="26"/>
  <c r="W485" i="26"/>
  <c r="W484" i="26"/>
  <c r="W483" i="26"/>
  <c r="W482" i="26"/>
  <c r="W480" i="26"/>
  <c r="W479" i="26"/>
  <c r="W478" i="26"/>
  <c r="W477" i="26"/>
  <c r="W476" i="26"/>
  <c r="W475" i="26"/>
  <c r="W474" i="26"/>
  <c r="W473" i="26"/>
  <c r="W470" i="26"/>
  <c r="W469" i="26"/>
  <c r="W468" i="26"/>
  <c r="W466" i="26"/>
  <c r="W465" i="26"/>
  <c r="W455" i="26"/>
  <c r="W453" i="26"/>
  <c r="W451" i="26"/>
  <c r="W450" i="26"/>
  <c r="W449" i="26"/>
  <c r="W448" i="26"/>
  <c r="W447" i="26"/>
  <c r="W446" i="26"/>
  <c r="W445" i="26"/>
  <c r="W444" i="26"/>
  <c r="W443" i="26"/>
  <c r="W442" i="26"/>
  <c r="W441" i="26"/>
  <c r="W440" i="26"/>
  <c r="W439" i="26"/>
  <c r="W438" i="26"/>
  <c r="W437" i="26"/>
  <c r="W436" i="26"/>
  <c r="W435" i="26"/>
  <c r="W434" i="26"/>
  <c r="W433" i="26"/>
  <c r="W432" i="26"/>
  <c r="W431" i="26"/>
  <c r="W430" i="26"/>
  <c r="W429" i="26"/>
  <c r="W428" i="26"/>
  <c r="W427" i="26"/>
  <c r="W426" i="26"/>
  <c r="W425" i="26"/>
  <c r="W424" i="26"/>
  <c r="W423" i="26"/>
  <c r="W422" i="26"/>
  <c r="W421" i="26"/>
  <c r="W419" i="26"/>
  <c r="W418" i="26"/>
  <c r="W417" i="26"/>
  <c r="W416" i="26"/>
  <c r="W415" i="26"/>
  <c r="W414" i="26"/>
  <c r="W411" i="26"/>
  <c r="W410" i="26"/>
  <c r="W409" i="26"/>
  <c r="W408" i="26"/>
  <c r="W407" i="26"/>
  <c r="W406" i="26"/>
  <c r="W405" i="26"/>
  <c r="W404" i="26"/>
  <c r="W401" i="26"/>
  <c r="W400" i="26"/>
  <c r="W399" i="26"/>
  <c r="W396" i="26"/>
  <c r="W394" i="26"/>
  <c r="W392" i="26"/>
  <c r="W390" i="26"/>
  <c r="W389" i="26"/>
  <c r="W387" i="26"/>
  <c r="W386" i="26"/>
  <c r="W384" i="26"/>
  <c r="W383" i="26"/>
  <c r="W382" i="26"/>
  <c r="W381" i="26"/>
  <c r="W379" i="26"/>
  <c r="W378" i="26"/>
  <c r="W377" i="26"/>
  <c r="W376" i="26"/>
  <c r="W375" i="26"/>
  <c r="W374" i="26"/>
  <c r="W372" i="26"/>
  <c r="W371" i="26"/>
  <c r="W370" i="26"/>
  <c r="W368" i="26"/>
  <c r="W367" i="26"/>
  <c r="W366" i="26"/>
  <c r="W365" i="26"/>
  <c r="W364" i="26"/>
  <c r="W363" i="26"/>
  <c r="W362" i="26"/>
  <c r="W361" i="26"/>
  <c r="W360" i="26"/>
  <c r="W359" i="26"/>
  <c r="W358" i="26"/>
  <c r="W357" i="26"/>
  <c r="W356" i="26"/>
  <c r="W355" i="26"/>
  <c r="W354" i="26"/>
  <c r="W352" i="26"/>
  <c r="W349" i="26"/>
  <c r="W348" i="26"/>
  <c r="W346" i="26"/>
  <c r="W345" i="26"/>
  <c r="W344" i="26"/>
  <c r="W343" i="26"/>
  <c r="W341" i="26"/>
  <c r="W340" i="26"/>
  <c r="W337" i="26"/>
  <c r="W336" i="26"/>
  <c r="W331" i="26"/>
  <c r="W330" i="26"/>
  <c r="W328" i="26"/>
  <c r="W326" i="26"/>
  <c r="W324" i="26"/>
  <c r="W317" i="26"/>
  <c r="W316" i="26"/>
  <c r="W314" i="26"/>
  <c r="W312" i="26"/>
  <c r="W311" i="26"/>
  <c r="W306" i="26"/>
  <c r="W305" i="26"/>
  <c r="W303" i="26"/>
  <c r="W299" i="26"/>
  <c r="W297" i="26"/>
  <c r="W294" i="26"/>
  <c r="W293" i="26"/>
  <c r="W291" i="26"/>
  <c r="W289" i="26"/>
  <c r="W288" i="26"/>
  <c r="W287" i="26"/>
  <c r="W286" i="26"/>
  <c r="W285" i="26"/>
  <c r="W284" i="26"/>
  <c r="W282" i="26"/>
  <c r="W281" i="26"/>
  <c r="W280" i="26"/>
  <c r="W277" i="26"/>
  <c r="W276" i="26"/>
  <c r="W273" i="26"/>
  <c r="W272" i="26"/>
  <c r="W271" i="26"/>
  <c r="W270" i="26"/>
  <c r="W269" i="26"/>
  <c r="W268" i="26"/>
  <c r="W265" i="26"/>
  <c r="W264" i="26"/>
  <c r="W263" i="26"/>
  <c r="W262" i="26"/>
  <c r="W261" i="26"/>
  <c r="W260" i="26"/>
  <c r="W259" i="26"/>
  <c r="W258" i="26"/>
  <c r="W257" i="26"/>
  <c r="W256" i="26"/>
  <c r="W255" i="26"/>
  <c r="W254" i="26"/>
  <c r="W253" i="26"/>
  <c r="W252" i="26"/>
  <c r="W251" i="26"/>
  <c r="W250" i="26"/>
  <c r="W249" i="26"/>
  <c r="W248" i="26"/>
  <c r="W247" i="26"/>
  <c r="W245" i="26"/>
  <c r="W244" i="26"/>
  <c r="W242" i="26"/>
  <c r="W240" i="26"/>
  <c r="W239" i="26"/>
  <c r="W238" i="26"/>
  <c r="W237" i="26"/>
  <c r="W236" i="26"/>
  <c r="W235" i="26"/>
  <c r="W234" i="26"/>
  <c r="W233" i="26"/>
  <c r="W232" i="26"/>
  <c r="W231" i="26"/>
  <c r="W230" i="26"/>
  <c r="W229" i="26"/>
  <c r="W227" i="26"/>
  <c r="W225" i="26"/>
  <c r="W224" i="26"/>
  <c r="W223" i="26"/>
  <c r="W222" i="26"/>
  <c r="W221" i="26"/>
  <c r="W220" i="26"/>
  <c r="W219" i="26"/>
  <c r="W218" i="26"/>
  <c r="W217" i="26"/>
  <c r="W215" i="26"/>
  <c r="W214" i="26"/>
  <c r="W212" i="26"/>
  <c r="W211" i="26"/>
  <c r="W210" i="26"/>
  <c r="W209" i="26"/>
  <c r="W207" i="26"/>
  <c r="W206" i="26"/>
  <c r="W205" i="26"/>
  <c r="W204" i="26"/>
  <c r="W203" i="26"/>
  <c r="W202" i="26"/>
  <c r="W201" i="26"/>
  <c r="W200" i="26"/>
  <c r="W199" i="26"/>
  <c r="W198" i="26"/>
  <c r="W197" i="26"/>
  <c r="W196" i="26"/>
  <c r="W195" i="26"/>
  <c r="W194" i="26"/>
  <c r="W193" i="26"/>
  <c r="W192" i="26"/>
  <c r="W191" i="26"/>
  <c r="W190" i="26"/>
  <c r="W189" i="26"/>
  <c r="W188" i="26"/>
  <c r="W187" i="26"/>
  <c r="W186" i="26"/>
  <c r="W185" i="26"/>
  <c r="W184" i="26"/>
  <c r="W183" i="26"/>
  <c r="W182" i="26"/>
  <c r="W181" i="26"/>
  <c r="W180" i="26"/>
  <c r="W179" i="26"/>
  <c r="W178" i="26"/>
  <c r="W177" i="26"/>
  <c r="W176" i="26"/>
  <c r="W175" i="26"/>
  <c r="W174" i="26"/>
  <c r="W173" i="26"/>
  <c r="W172" i="26"/>
  <c r="W171" i="26"/>
  <c r="W170" i="26"/>
  <c r="W169" i="26"/>
  <c r="W168" i="26"/>
  <c r="W167" i="26"/>
  <c r="W166" i="26"/>
  <c r="W163" i="26"/>
  <c r="W162" i="26"/>
  <c r="W160" i="26"/>
  <c r="W159" i="26"/>
  <c r="W158" i="26"/>
  <c r="W157" i="26"/>
  <c r="W156" i="26"/>
  <c r="W154" i="26"/>
  <c r="W153" i="26"/>
  <c r="W152" i="26"/>
  <c r="W151" i="26"/>
  <c r="W150" i="26"/>
  <c r="W149" i="26"/>
  <c r="W148" i="26"/>
  <c r="W147" i="26"/>
  <c r="W146" i="26"/>
  <c r="W145" i="26"/>
  <c r="W144" i="26"/>
  <c r="W143" i="26"/>
  <c r="W142" i="26"/>
  <c r="W141" i="26"/>
  <c r="W139" i="26"/>
  <c r="W138" i="26"/>
  <c r="W137" i="26"/>
  <c r="W136" i="26"/>
  <c r="W135" i="26"/>
  <c r="W134" i="26"/>
  <c r="W133" i="26"/>
  <c r="W132" i="26"/>
  <c r="W131" i="26"/>
  <c r="W130" i="26"/>
  <c r="W129" i="26"/>
  <c r="W126" i="26"/>
  <c r="W125" i="26"/>
  <c r="W123" i="26"/>
  <c r="W120" i="26"/>
  <c r="W119" i="26"/>
  <c r="W118" i="26"/>
  <c r="W117" i="26"/>
  <c r="W116" i="26"/>
  <c r="W112" i="26"/>
  <c r="W111" i="26"/>
  <c r="W110" i="26"/>
  <c r="W108" i="26"/>
  <c r="W107" i="26"/>
  <c r="W106" i="26"/>
  <c r="W105" i="26"/>
  <c r="W104" i="26"/>
  <c r="W103" i="26"/>
  <c r="W102" i="26"/>
  <c r="W101" i="26"/>
  <c r="W100" i="26"/>
  <c r="W99" i="26"/>
  <c r="W98" i="26"/>
  <c r="W97" i="26"/>
  <c r="W96" i="26"/>
  <c r="W95" i="26"/>
  <c r="W93" i="26"/>
  <c r="W92" i="26"/>
  <c r="W91" i="26"/>
  <c r="W90" i="26"/>
  <c r="W89" i="26"/>
  <c r="W88" i="26"/>
  <c r="W87" i="26"/>
  <c r="W86" i="26"/>
  <c r="W85" i="26"/>
  <c r="W84" i="26"/>
  <c r="W82" i="26"/>
  <c r="W81" i="26"/>
  <c r="W80" i="26"/>
  <c r="W79" i="26"/>
  <c r="W78" i="26"/>
  <c r="W76" i="26"/>
  <c r="W75" i="26"/>
  <c r="W73" i="26"/>
  <c r="W72" i="26"/>
  <c r="W71" i="26"/>
  <c r="W70" i="26"/>
  <c r="W69" i="26"/>
  <c r="W68" i="26"/>
  <c r="W67" i="26"/>
  <c r="W66" i="26"/>
  <c r="W65" i="26"/>
  <c r="W64" i="26"/>
  <c r="W63" i="26"/>
  <c r="W62" i="26"/>
  <c r="W61" i="26"/>
  <c r="W60" i="26"/>
  <c r="W59" i="26"/>
  <c r="W58" i="26"/>
  <c r="W57" i="26"/>
  <c r="W55" i="26"/>
  <c r="W54" i="26"/>
  <c r="W52" i="26"/>
  <c r="W51" i="26"/>
  <c r="W49" i="26"/>
  <c r="W48" i="26"/>
  <c r="W47" i="26"/>
  <c r="W46" i="26"/>
  <c r="W45" i="26"/>
  <c r="W44" i="26"/>
  <c r="W43" i="26"/>
  <c r="W42" i="26"/>
  <c r="W41" i="26"/>
  <c r="W40" i="26"/>
  <c r="W39" i="26"/>
  <c r="W38" i="26"/>
  <c r="W37" i="26"/>
  <c r="W36" i="26"/>
  <c r="W35" i="26"/>
  <c r="W34" i="26"/>
  <c r="W33" i="26"/>
  <c r="W32" i="26"/>
  <c r="W31" i="26"/>
  <c r="W30" i="26"/>
  <c r="W29" i="26"/>
  <c r="W28" i="26"/>
  <c r="W27" i="26"/>
  <c r="W26" i="26"/>
  <c r="W25" i="26"/>
  <c r="W24" i="26"/>
  <c r="W23" i="26"/>
  <c r="W22" i="26"/>
  <c r="W21" i="26"/>
  <c r="W20" i="26"/>
  <c r="W19" i="26"/>
  <c r="W18" i="26"/>
  <c r="W17" i="26"/>
  <c r="W16" i="26"/>
  <c r="W15" i="26"/>
  <c r="W13" i="26"/>
  <c r="W12" i="26"/>
  <c r="W11" i="26"/>
  <c r="W8" i="26"/>
  <c r="W7" i="26"/>
  <c r="W970" i="26" s="1"/>
  <c r="W6" i="26"/>
  <c r="W5" i="26"/>
  <c r="W4" i="26"/>
  <c r="W3" i="26"/>
  <c r="W2" i="26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F16" i="25"/>
  <c r="E16" i="25"/>
  <c r="D16" i="25"/>
  <c r="X15" i="25"/>
  <c r="X14" i="25"/>
  <c r="X13" i="25"/>
  <c r="X12" i="25"/>
  <c r="X11" i="25"/>
  <c r="X10" i="25"/>
  <c r="X9" i="25"/>
  <c r="X8" i="25"/>
  <c r="X7" i="25"/>
  <c r="X6" i="25"/>
  <c r="X5" i="25"/>
  <c r="X4" i="25"/>
  <c r="X3" i="25"/>
  <c r="X2" i="25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F4" i="24"/>
  <c r="E4" i="24"/>
  <c r="D4" i="24"/>
  <c r="X3" i="24"/>
  <c r="X2" i="24"/>
  <c r="P51" i="31"/>
  <c r="O51" i="31"/>
  <c r="N51" i="31"/>
  <c r="M51" i="31"/>
  <c r="L51" i="31"/>
  <c r="P50" i="31"/>
  <c r="O50" i="31"/>
  <c r="N50" i="31"/>
  <c r="M50" i="31"/>
  <c r="L50" i="31"/>
  <c r="P43" i="31"/>
  <c r="O43" i="31"/>
  <c r="N43" i="31"/>
  <c r="M43" i="31"/>
  <c r="L43" i="31"/>
  <c r="P40" i="31"/>
  <c r="O40" i="31"/>
  <c r="N40" i="31"/>
  <c r="M40" i="31"/>
  <c r="L40" i="31"/>
  <c r="P35" i="31"/>
  <c r="O35" i="31"/>
  <c r="N35" i="31"/>
  <c r="M35" i="31"/>
  <c r="L35" i="31"/>
  <c r="G28" i="31"/>
  <c r="F28" i="31"/>
  <c r="E28" i="31"/>
  <c r="D28" i="31"/>
  <c r="C28" i="31"/>
  <c r="G27" i="31"/>
  <c r="F27" i="31"/>
  <c r="E27" i="31"/>
  <c r="D27" i="31"/>
  <c r="C27" i="31"/>
  <c r="G26" i="31"/>
  <c r="G25" i="31"/>
  <c r="G24" i="31"/>
  <c r="G22" i="31"/>
  <c r="F22" i="31"/>
  <c r="E22" i="31"/>
  <c r="D22" i="31"/>
  <c r="C22" i="31"/>
  <c r="G21" i="31"/>
  <c r="G20" i="31"/>
  <c r="G19" i="31"/>
  <c r="G18" i="31"/>
  <c r="AO200" i="15"/>
  <c r="D104" i="32" s="1"/>
  <c r="AN200" i="15"/>
  <c r="F80" i="32" s="1"/>
  <c r="AM200" i="15"/>
  <c r="E80" i="32" s="1"/>
  <c r="AL200" i="15"/>
  <c r="D80" i="32" s="1"/>
  <c r="AK200" i="15"/>
  <c r="F56" i="32" s="1"/>
  <c r="AJ200" i="15"/>
  <c r="E56" i="32" s="1"/>
  <c r="AI200" i="15"/>
  <c r="D56" i="32" s="1"/>
  <c r="AH200" i="15"/>
  <c r="F32" i="32" s="1"/>
  <c r="F42" i="32" s="1"/>
  <c r="AG200" i="15"/>
  <c r="E32" i="32" s="1"/>
  <c r="E42" i="32" s="1"/>
  <c r="AF200" i="15"/>
  <c r="D32" i="32" s="1"/>
  <c r="D42" i="32" s="1"/>
  <c r="AE200" i="15"/>
  <c r="C32" i="32" s="1"/>
  <c r="C42" i="32" s="1"/>
  <c r="Z200" i="15"/>
  <c r="E7" i="1" s="1"/>
  <c r="Y200" i="15"/>
  <c r="T200" i="15"/>
  <c r="S200" i="15"/>
  <c r="P200" i="15"/>
  <c r="B39" i="32" s="1"/>
  <c r="O200" i="15"/>
  <c r="M200" i="15"/>
  <c r="L200" i="15"/>
  <c r="K200" i="15"/>
  <c r="J200" i="15"/>
  <c r="I200" i="15"/>
  <c r="G200" i="15"/>
  <c r="F200" i="15"/>
  <c r="E200" i="15"/>
  <c r="AR199" i="15"/>
  <c r="V199" i="15"/>
  <c r="U199" i="15"/>
  <c r="W199" i="15"/>
  <c r="N199" i="15"/>
  <c r="H199" i="15"/>
  <c r="AR198" i="15"/>
  <c r="V198" i="15"/>
  <c r="U198" i="15"/>
  <c r="W198" i="15"/>
  <c r="N198" i="15"/>
  <c r="H198" i="15"/>
  <c r="V197" i="15"/>
  <c r="U197" i="15"/>
  <c r="AQ197" i="15" s="1"/>
  <c r="AR197" i="15" s="1"/>
  <c r="R197" i="15"/>
  <c r="N197" i="15"/>
  <c r="H197" i="15"/>
  <c r="AR196" i="15"/>
  <c r="W196" i="15"/>
  <c r="V196" i="15"/>
  <c r="U196" i="15"/>
  <c r="R196" i="15"/>
  <c r="N196" i="15"/>
  <c r="H196" i="15"/>
  <c r="AR195" i="15"/>
  <c r="V195" i="15"/>
  <c r="U195" i="15"/>
  <c r="R195" i="15"/>
  <c r="N195" i="15"/>
  <c r="H195" i="15"/>
  <c r="AR194" i="15"/>
  <c r="V194" i="15"/>
  <c r="U194" i="15"/>
  <c r="R194" i="15"/>
  <c r="W194" i="15"/>
  <c r="N194" i="15"/>
  <c r="H194" i="15"/>
  <c r="AR193" i="15"/>
  <c r="V193" i="15"/>
  <c r="U193" i="15"/>
  <c r="R193" i="15"/>
  <c r="W193" i="15"/>
  <c r="N193" i="15"/>
  <c r="H193" i="15"/>
  <c r="AR192" i="15"/>
  <c r="V192" i="15"/>
  <c r="U192" i="15"/>
  <c r="W192" i="15"/>
  <c r="N192" i="15"/>
  <c r="H192" i="15"/>
  <c r="AR191" i="15"/>
  <c r="V191" i="15"/>
  <c r="U191" i="15"/>
  <c r="R191" i="15"/>
  <c r="N191" i="15"/>
  <c r="H191" i="15"/>
  <c r="AR190" i="15"/>
  <c r="V190" i="15"/>
  <c r="U190" i="15"/>
  <c r="W190" i="15"/>
  <c r="N190" i="15"/>
  <c r="H190" i="15"/>
  <c r="W189" i="15"/>
  <c r="V189" i="15"/>
  <c r="U189" i="15"/>
  <c r="R189" i="15"/>
  <c r="N189" i="15"/>
  <c r="H189" i="15"/>
  <c r="AR188" i="15"/>
  <c r="V188" i="15"/>
  <c r="U188" i="15"/>
  <c r="N188" i="15"/>
  <c r="H188" i="15"/>
  <c r="AR187" i="15"/>
  <c r="V187" i="15"/>
  <c r="U187" i="15"/>
  <c r="W187" i="15"/>
  <c r="N187" i="15"/>
  <c r="H187" i="15"/>
  <c r="AR186" i="15"/>
  <c r="V186" i="15"/>
  <c r="U186" i="15"/>
  <c r="W186" i="15"/>
  <c r="N186" i="15"/>
  <c r="H186" i="15"/>
  <c r="AR185" i="15"/>
  <c r="V185" i="15"/>
  <c r="U185" i="15"/>
  <c r="W185" i="15"/>
  <c r="N185" i="15"/>
  <c r="H185" i="15"/>
  <c r="AR184" i="15"/>
  <c r="V184" i="15"/>
  <c r="U184" i="15"/>
  <c r="R184" i="15"/>
  <c r="N184" i="15"/>
  <c r="H184" i="15"/>
  <c r="AR183" i="15"/>
  <c r="V183" i="15"/>
  <c r="U183" i="15"/>
  <c r="N183" i="15"/>
  <c r="H183" i="15"/>
  <c r="AR182" i="15"/>
  <c r="W182" i="15"/>
  <c r="V182" i="15"/>
  <c r="U182" i="15"/>
  <c r="R182" i="15"/>
  <c r="N182" i="15"/>
  <c r="H182" i="15"/>
  <c r="V181" i="15"/>
  <c r="U181" i="15"/>
  <c r="AQ181" i="15" s="1"/>
  <c r="AR181" i="15" s="1"/>
  <c r="N181" i="15"/>
  <c r="H181" i="15"/>
  <c r="AR180" i="15"/>
  <c r="W180" i="15"/>
  <c r="V180" i="15"/>
  <c r="U180" i="15"/>
  <c r="R180" i="15"/>
  <c r="N180" i="15"/>
  <c r="H180" i="15"/>
  <c r="AR179" i="15"/>
  <c r="V179" i="15"/>
  <c r="U179" i="15"/>
  <c r="R179" i="15"/>
  <c r="W179" i="15"/>
  <c r="N179" i="15"/>
  <c r="H179" i="15"/>
  <c r="AR178" i="15"/>
  <c r="V178" i="15"/>
  <c r="U178" i="15"/>
  <c r="R178" i="15"/>
  <c r="W178" i="15"/>
  <c r="N178" i="15"/>
  <c r="H178" i="15"/>
  <c r="AR177" i="15"/>
  <c r="V177" i="15"/>
  <c r="R177" i="15"/>
  <c r="N177" i="15"/>
  <c r="H177" i="15"/>
  <c r="AR176" i="15"/>
  <c r="V176" i="15"/>
  <c r="U176" i="15"/>
  <c r="R176" i="15"/>
  <c r="N176" i="15"/>
  <c r="H176" i="15"/>
  <c r="AR175" i="15"/>
  <c r="V175" i="15"/>
  <c r="U175" i="15"/>
  <c r="N175" i="15"/>
  <c r="H175" i="15"/>
  <c r="AR174" i="15"/>
  <c r="W174" i="15"/>
  <c r="V174" i="15"/>
  <c r="U174" i="15"/>
  <c r="R174" i="15"/>
  <c r="N174" i="15"/>
  <c r="H174" i="15"/>
  <c r="AR173" i="15"/>
  <c r="W173" i="15"/>
  <c r="V173" i="15"/>
  <c r="U173" i="15"/>
  <c r="R173" i="15"/>
  <c r="N173" i="15"/>
  <c r="H173" i="15"/>
  <c r="AR172" i="15"/>
  <c r="V172" i="15"/>
  <c r="U172" i="15"/>
  <c r="N172" i="15"/>
  <c r="H172" i="15"/>
  <c r="AR171" i="15"/>
  <c r="V171" i="15"/>
  <c r="U171" i="15"/>
  <c r="W171" i="15"/>
  <c r="N171" i="15"/>
  <c r="H171" i="15"/>
  <c r="AR170" i="15"/>
  <c r="V170" i="15"/>
  <c r="U170" i="15"/>
  <c r="R170" i="15"/>
  <c r="W170" i="15"/>
  <c r="N170" i="15"/>
  <c r="H170" i="15"/>
  <c r="AR169" i="15"/>
  <c r="V169" i="15"/>
  <c r="U169" i="15"/>
  <c r="W169" i="15"/>
  <c r="N169" i="15"/>
  <c r="H169" i="15"/>
  <c r="AR168" i="15"/>
  <c r="V168" i="15"/>
  <c r="U168" i="15"/>
  <c r="R168" i="15"/>
  <c r="N168" i="15"/>
  <c r="H168" i="15"/>
  <c r="AR167" i="15"/>
  <c r="V167" i="15"/>
  <c r="U167" i="15"/>
  <c r="N167" i="15"/>
  <c r="H167" i="15"/>
  <c r="AR166" i="15"/>
  <c r="W166" i="15"/>
  <c r="V166" i="15"/>
  <c r="U166" i="15"/>
  <c r="R166" i="15"/>
  <c r="N166" i="15"/>
  <c r="H166" i="15"/>
  <c r="AR165" i="15"/>
  <c r="W165" i="15"/>
  <c r="V165" i="15"/>
  <c r="U165" i="15"/>
  <c r="R165" i="15"/>
  <c r="N165" i="15"/>
  <c r="H165" i="15"/>
  <c r="AR164" i="15"/>
  <c r="V164" i="15"/>
  <c r="U164" i="15"/>
  <c r="N164" i="15"/>
  <c r="H164" i="15"/>
  <c r="AR163" i="15"/>
  <c r="V163" i="15"/>
  <c r="U163" i="15"/>
  <c r="R163" i="15"/>
  <c r="W163" i="15"/>
  <c r="N163" i="15"/>
  <c r="H163" i="15"/>
  <c r="AR162" i="15"/>
  <c r="V162" i="15"/>
  <c r="U162" i="15"/>
  <c r="W162" i="15"/>
  <c r="N162" i="15"/>
  <c r="H162" i="15"/>
  <c r="AR161" i="15"/>
  <c r="V161" i="15"/>
  <c r="U161" i="15"/>
  <c r="W161" i="15"/>
  <c r="O161" i="15"/>
  <c r="N161" i="15"/>
  <c r="H161" i="15"/>
  <c r="AR160" i="15"/>
  <c r="V160" i="15"/>
  <c r="U160" i="15"/>
  <c r="N160" i="15"/>
  <c r="H160" i="15"/>
  <c r="AR159" i="15"/>
  <c r="W159" i="15"/>
  <c r="V159" i="15"/>
  <c r="U159" i="15"/>
  <c r="R159" i="15"/>
  <c r="N159" i="15"/>
  <c r="H159" i="15"/>
  <c r="AR158" i="15"/>
  <c r="V158" i="15"/>
  <c r="U158" i="15"/>
  <c r="R158" i="15"/>
  <c r="N158" i="15"/>
  <c r="H158" i="15"/>
  <c r="AR157" i="15"/>
  <c r="V157" i="15"/>
  <c r="U157" i="15"/>
  <c r="N157" i="15"/>
  <c r="H157" i="15"/>
  <c r="AR156" i="15"/>
  <c r="V156" i="15"/>
  <c r="U156" i="15"/>
  <c r="W156" i="15"/>
  <c r="N156" i="15"/>
  <c r="H156" i="15"/>
  <c r="AR155" i="15"/>
  <c r="V155" i="15"/>
  <c r="U155" i="15"/>
  <c r="W155" i="15"/>
  <c r="N155" i="15"/>
  <c r="H155" i="15"/>
  <c r="AR154" i="15"/>
  <c r="V154" i="15"/>
  <c r="U154" i="15"/>
  <c r="W154" i="15"/>
  <c r="N154" i="15"/>
  <c r="H154" i="15"/>
  <c r="AR153" i="15"/>
  <c r="V153" i="15"/>
  <c r="U153" i="15"/>
  <c r="R153" i="15"/>
  <c r="N153" i="15"/>
  <c r="H153" i="15"/>
  <c r="AR152" i="15"/>
  <c r="V152" i="15"/>
  <c r="U152" i="15"/>
  <c r="W152" i="15"/>
  <c r="N152" i="15"/>
  <c r="H152" i="15"/>
  <c r="V151" i="15"/>
  <c r="U151" i="15"/>
  <c r="R151" i="15"/>
  <c r="N151" i="15"/>
  <c r="H151" i="15"/>
  <c r="AR150" i="15"/>
  <c r="V150" i="15"/>
  <c r="U150" i="15"/>
  <c r="R150" i="15"/>
  <c r="N150" i="15"/>
  <c r="H150" i="15"/>
  <c r="AR149" i="15"/>
  <c r="V149" i="15"/>
  <c r="U149" i="15"/>
  <c r="W149" i="15"/>
  <c r="N149" i="15"/>
  <c r="H149" i="15"/>
  <c r="AR148" i="15"/>
  <c r="V148" i="15"/>
  <c r="U148" i="15"/>
  <c r="R148" i="15"/>
  <c r="W148" i="15"/>
  <c r="N148" i="15"/>
  <c r="H148" i="15"/>
  <c r="AR147" i="15"/>
  <c r="V147" i="15"/>
  <c r="U147" i="15"/>
  <c r="W147" i="15"/>
  <c r="N147" i="15"/>
  <c r="H147" i="15"/>
  <c r="AR146" i="15"/>
  <c r="V146" i="15"/>
  <c r="U146" i="15"/>
  <c r="R146" i="15"/>
  <c r="N146" i="15"/>
  <c r="H146" i="15"/>
  <c r="AR145" i="15"/>
  <c r="V145" i="15"/>
  <c r="U145" i="15"/>
  <c r="W145" i="15"/>
  <c r="N145" i="15"/>
  <c r="H145" i="15"/>
  <c r="AR144" i="15"/>
  <c r="W144" i="15"/>
  <c r="V144" i="15"/>
  <c r="U144" i="15"/>
  <c r="R144" i="15"/>
  <c r="N144" i="15"/>
  <c r="H144" i="15"/>
  <c r="AR143" i="15"/>
  <c r="W143" i="15"/>
  <c r="V143" i="15"/>
  <c r="U143" i="15"/>
  <c r="R143" i="15"/>
  <c r="N143" i="15"/>
  <c r="H143" i="15"/>
  <c r="AR142" i="15"/>
  <c r="V142" i="15"/>
  <c r="U142" i="15"/>
  <c r="R142" i="15"/>
  <c r="N142" i="15"/>
  <c r="H142" i="15"/>
  <c r="AR141" i="15"/>
  <c r="V141" i="15"/>
  <c r="U141" i="15"/>
  <c r="W141" i="15"/>
  <c r="N141" i="15"/>
  <c r="H141" i="15"/>
  <c r="AR140" i="15"/>
  <c r="V140" i="15"/>
  <c r="U140" i="15"/>
  <c r="W140" i="15"/>
  <c r="O140" i="15"/>
  <c r="N140" i="15"/>
  <c r="H140" i="15"/>
  <c r="AR139" i="15"/>
  <c r="V139" i="15"/>
  <c r="U139" i="15"/>
  <c r="R139" i="15"/>
  <c r="N139" i="15"/>
  <c r="H139" i="15"/>
  <c r="AR138" i="15"/>
  <c r="V138" i="15"/>
  <c r="U138" i="15"/>
  <c r="W138" i="15"/>
  <c r="N138" i="15"/>
  <c r="H138" i="15"/>
  <c r="W137" i="15"/>
  <c r="V137" i="15"/>
  <c r="U137" i="15"/>
  <c r="R137" i="15"/>
  <c r="N137" i="15"/>
  <c r="H137" i="15"/>
  <c r="AR136" i="15"/>
  <c r="V136" i="15"/>
  <c r="U136" i="15"/>
  <c r="R136" i="15"/>
  <c r="N136" i="15"/>
  <c r="H136" i="15"/>
  <c r="AR135" i="15"/>
  <c r="W135" i="15"/>
  <c r="V135" i="15"/>
  <c r="U135" i="15"/>
  <c r="R135" i="15"/>
  <c r="N135" i="15"/>
  <c r="H135" i="15"/>
  <c r="AR134" i="15"/>
  <c r="V134" i="15"/>
  <c r="U134" i="15"/>
  <c r="W134" i="15"/>
  <c r="N134" i="15"/>
  <c r="H134" i="15"/>
  <c r="AR133" i="15"/>
  <c r="V133" i="15"/>
  <c r="U133" i="15"/>
  <c r="R133" i="15"/>
  <c r="W133" i="15"/>
  <c r="N133" i="15"/>
  <c r="H133" i="15"/>
  <c r="AR132" i="15"/>
  <c r="W132" i="15"/>
  <c r="V132" i="15"/>
  <c r="U132" i="15"/>
  <c r="R132" i="15"/>
  <c r="N132" i="15"/>
  <c r="H132" i="15"/>
  <c r="AR131" i="15"/>
  <c r="V131" i="15"/>
  <c r="U131" i="15"/>
  <c r="W131" i="15"/>
  <c r="N131" i="15"/>
  <c r="H131" i="15"/>
  <c r="AR130" i="15"/>
  <c r="V130" i="15"/>
  <c r="U130" i="15"/>
  <c r="W130" i="15"/>
  <c r="N130" i="15"/>
  <c r="H130" i="15"/>
  <c r="AR129" i="15"/>
  <c r="V129" i="15"/>
  <c r="U129" i="15"/>
  <c r="R129" i="15"/>
  <c r="N129" i="15"/>
  <c r="H129" i="15"/>
  <c r="AR128" i="15"/>
  <c r="V128" i="15"/>
  <c r="U128" i="15"/>
  <c r="R128" i="15"/>
  <c r="N128" i="15"/>
  <c r="H128" i="15"/>
  <c r="AR127" i="15"/>
  <c r="W127" i="15"/>
  <c r="V127" i="15"/>
  <c r="U127" i="15"/>
  <c r="R127" i="15"/>
  <c r="N127" i="15"/>
  <c r="H127" i="15"/>
  <c r="AR126" i="15"/>
  <c r="V126" i="15"/>
  <c r="U126" i="15"/>
  <c r="W126" i="15"/>
  <c r="N126" i="15"/>
  <c r="H126" i="15"/>
  <c r="AR125" i="15"/>
  <c r="V125" i="15"/>
  <c r="U125" i="15"/>
  <c r="R125" i="15"/>
  <c r="W125" i="15"/>
  <c r="N125" i="15"/>
  <c r="H125" i="15"/>
  <c r="AR124" i="15"/>
  <c r="V124" i="15"/>
  <c r="U124" i="15"/>
  <c r="R124" i="15"/>
  <c r="N124" i="15"/>
  <c r="H124" i="15"/>
  <c r="AR123" i="15"/>
  <c r="V123" i="15"/>
  <c r="U123" i="15"/>
  <c r="W123" i="15"/>
  <c r="O123" i="15"/>
  <c r="N123" i="15"/>
  <c r="H123" i="15"/>
  <c r="AR122" i="15"/>
  <c r="V122" i="15"/>
  <c r="U122" i="15"/>
  <c r="R122" i="15"/>
  <c r="N122" i="15"/>
  <c r="H122" i="15"/>
  <c r="AR121" i="15"/>
  <c r="V121" i="15"/>
  <c r="U121" i="15"/>
  <c r="R121" i="15"/>
  <c r="N121" i="15"/>
  <c r="H121" i="15"/>
  <c r="AR120" i="15"/>
  <c r="W120" i="15"/>
  <c r="V120" i="15"/>
  <c r="U120" i="15"/>
  <c r="R120" i="15"/>
  <c r="N120" i="15"/>
  <c r="H120" i="15"/>
  <c r="AR119" i="15"/>
  <c r="V119" i="15"/>
  <c r="U119" i="15"/>
  <c r="R119" i="15"/>
  <c r="W119" i="15"/>
  <c r="N119" i="15"/>
  <c r="H119" i="15"/>
  <c r="AR118" i="15"/>
  <c r="V118" i="15"/>
  <c r="U118" i="15"/>
  <c r="W118" i="15"/>
  <c r="N118" i="15"/>
  <c r="H118" i="15"/>
  <c r="AR117" i="15"/>
  <c r="V117" i="15"/>
  <c r="U117" i="15"/>
  <c r="R117" i="15"/>
  <c r="N117" i="15"/>
  <c r="H117" i="15"/>
  <c r="AR116" i="15"/>
  <c r="V116" i="15"/>
  <c r="U116" i="15"/>
  <c r="W116" i="15"/>
  <c r="O116" i="15"/>
  <c r="N116" i="15"/>
  <c r="H116" i="15"/>
  <c r="AR115" i="15"/>
  <c r="V115" i="15"/>
  <c r="U115" i="15"/>
  <c r="R115" i="15"/>
  <c r="N115" i="15"/>
  <c r="H115" i="15"/>
  <c r="AR114" i="15"/>
  <c r="V114" i="15"/>
  <c r="U114" i="15"/>
  <c r="R114" i="15"/>
  <c r="O114" i="15"/>
  <c r="N114" i="15"/>
  <c r="H114" i="15"/>
  <c r="AR113" i="15"/>
  <c r="V113" i="15"/>
  <c r="U113" i="15"/>
  <c r="W113" i="15"/>
  <c r="N113" i="15"/>
  <c r="H113" i="15"/>
  <c r="AR112" i="15"/>
  <c r="V112" i="15"/>
  <c r="U112" i="15"/>
  <c r="W112" i="15"/>
  <c r="N112" i="15"/>
  <c r="H112" i="15"/>
  <c r="AR111" i="15"/>
  <c r="W111" i="15"/>
  <c r="V111" i="15"/>
  <c r="U111" i="15"/>
  <c r="R111" i="15"/>
  <c r="N111" i="15"/>
  <c r="H111" i="15"/>
  <c r="AR110" i="15"/>
  <c r="V110" i="15"/>
  <c r="U110" i="15"/>
  <c r="W110" i="15"/>
  <c r="N110" i="15"/>
  <c r="H110" i="15"/>
  <c r="AR109" i="15"/>
  <c r="W109" i="15"/>
  <c r="V109" i="15"/>
  <c r="U109" i="15"/>
  <c r="R109" i="15"/>
  <c r="N109" i="15"/>
  <c r="H109" i="15"/>
  <c r="AR108" i="15"/>
  <c r="W108" i="15"/>
  <c r="V108" i="15"/>
  <c r="U108" i="15"/>
  <c r="R108" i="15"/>
  <c r="N108" i="15"/>
  <c r="H108" i="15"/>
  <c r="AR107" i="15"/>
  <c r="V107" i="15"/>
  <c r="U107" i="15"/>
  <c r="R107" i="15"/>
  <c r="N107" i="15"/>
  <c r="H107" i="15"/>
  <c r="AR106" i="15"/>
  <c r="V106" i="15"/>
  <c r="U106" i="15"/>
  <c r="W106" i="15"/>
  <c r="N106" i="15"/>
  <c r="H106" i="15"/>
  <c r="AR105" i="15"/>
  <c r="V105" i="15"/>
  <c r="U105" i="15"/>
  <c r="W105" i="15"/>
  <c r="N105" i="15"/>
  <c r="H105" i="15"/>
  <c r="AR104" i="15"/>
  <c r="V104" i="15"/>
  <c r="U104" i="15"/>
  <c r="R104" i="15"/>
  <c r="W104" i="15"/>
  <c r="N104" i="15"/>
  <c r="H104" i="15"/>
  <c r="AR103" i="15"/>
  <c r="V103" i="15"/>
  <c r="U103" i="15"/>
  <c r="W103" i="15"/>
  <c r="N103" i="15"/>
  <c r="H103" i="15"/>
  <c r="AR102" i="15"/>
  <c r="V102" i="15"/>
  <c r="U102" i="15"/>
  <c r="W102" i="15"/>
  <c r="N102" i="15"/>
  <c r="H102" i="15"/>
  <c r="AR101" i="15"/>
  <c r="V101" i="15"/>
  <c r="U101" i="15"/>
  <c r="W101" i="15"/>
  <c r="N101" i="15"/>
  <c r="H101" i="15"/>
  <c r="AR100" i="15"/>
  <c r="V100" i="15"/>
  <c r="U100" i="15"/>
  <c r="R100" i="15"/>
  <c r="N100" i="15"/>
  <c r="H100" i="15"/>
  <c r="AR99" i="15"/>
  <c r="V99" i="15"/>
  <c r="U99" i="15"/>
  <c r="R99" i="15"/>
  <c r="N99" i="15"/>
  <c r="H99" i="15"/>
  <c r="AR98" i="15"/>
  <c r="V98" i="15"/>
  <c r="U98" i="15"/>
  <c r="R98" i="15"/>
  <c r="O98" i="15"/>
  <c r="N98" i="15"/>
  <c r="H98" i="15"/>
  <c r="AR97" i="15"/>
  <c r="V97" i="15"/>
  <c r="U97" i="15"/>
  <c r="W97" i="15"/>
  <c r="N97" i="15"/>
  <c r="H97" i="15"/>
  <c r="AR96" i="15"/>
  <c r="W96" i="15"/>
  <c r="V96" i="15"/>
  <c r="U96" i="15"/>
  <c r="R96" i="15"/>
  <c r="N96" i="15"/>
  <c r="H96" i="15"/>
  <c r="AR95" i="15"/>
  <c r="W95" i="15"/>
  <c r="V95" i="15"/>
  <c r="U95" i="15"/>
  <c r="R95" i="15"/>
  <c r="N95" i="15"/>
  <c r="H95" i="15"/>
  <c r="AR94" i="15"/>
  <c r="W94" i="15"/>
  <c r="V94" i="15"/>
  <c r="U94" i="15"/>
  <c r="R94" i="15"/>
  <c r="N94" i="15"/>
  <c r="H94" i="15"/>
  <c r="AR93" i="15"/>
  <c r="V93" i="15"/>
  <c r="U93" i="15"/>
  <c r="R93" i="15"/>
  <c r="N93" i="15"/>
  <c r="H93" i="15"/>
  <c r="AR92" i="15"/>
  <c r="V92" i="15"/>
  <c r="U92" i="15"/>
  <c r="R92" i="15"/>
  <c r="N92" i="15"/>
  <c r="H92" i="15"/>
  <c r="AR91" i="15"/>
  <c r="V91" i="15"/>
  <c r="U91" i="15"/>
  <c r="W91" i="15"/>
  <c r="N91" i="15"/>
  <c r="H91" i="15"/>
  <c r="AR90" i="15"/>
  <c r="V90" i="15"/>
  <c r="U90" i="15"/>
  <c r="W90" i="15"/>
  <c r="N90" i="15"/>
  <c r="H90" i="15"/>
  <c r="AR89" i="15"/>
  <c r="V89" i="15"/>
  <c r="U89" i="15"/>
  <c r="W89" i="15"/>
  <c r="O89" i="15"/>
  <c r="N89" i="15"/>
  <c r="H89" i="15"/>
  <c r="AR88" i="15"/>
  <c r="V88" i="15"/>
  <c r="U88" i="15"/>
  <c r="W88" i="15"/>
  <c r="N88" i="15"/>
  <c r="H88" i="15"/>
  <c r="AR87" i="15"/>
  <c r="W87" i="15"/>
  <c r="V87" i="15"/>
  <c r="U87" i="15"/>
  <c r="R87" i="15"/>
  <c r="N87" i="15"/>
  <c r="H87" i="15"/>
  <c r="AR86" i="15"/>
  <c r="V86" i="15"/>
  <c r="U86" i="15"/>
  <c r="R86" i="15"/>
  <c r="N86" i="15"/>
  <c r="H86" i="15"/>
  <c r="AR85" i="15"/>
  <c r="V85" i="15"/>
  <c r="U85" i="15"/>
  <c r="R85" i="15"/>
  <c r="N85" i="15"/>
  <c r="H85" i="15"/>
  <c r="AR84" i="15"/>
  <c r="V84" i="15"/>
  <c r="U84" i="15"/>
  <c r="W84" i="15"/>
  <c r="N84" i="15"/>
  <c r="H84" i="15"/>
  <c r="AR83" i="15"/>
  <c r="V83" i="15"/>
  <c r="U83" i="15"/>
  <c r="W83" i="15"/>
  <c r="N83" i="15"/>
  <c r="H83" i="15"/>
  <c r="AR82" i="15"/>
  <c r="V82" i="15"/>
  <c r="U82" i="15"/>
  <c r="R82" i="15"/>
  <c r="W82" i="15"/>
  <c r="N82" i="15"/>
  <c r="H82" i="15"/>
  <c r="AR81" i="15"/>
  <c r="V81" i="15"/>
  <c r="U81" i="15"/>
  <c r="W81" i="15"/>
  <c r="O81" i="15"/>
  <c r="N81" i="15"/>
  <c r="H81" i="15"/>
  <c r="AR80" i="15"/>
  <c r="V80" i="15"/>
  <c r="U80" i="15"/>
  <c r="R80" i="15"/>
  <c r="N80" i="15"/>
  <c r="H80" i="15"/>
  <c r="AR79" i="15"/>
  <c r="V79" i="15"/>
  <c r="U79" i="15"/>
  <c r="R79" i="15"/>
  <c r="N79" i="15"/>
  <c r="H79" i="15"/>
  <c r="AR78" i="15"/>
  <c r="W78" i="15"/>
  <c r="V78" i="15"/>
  <c r="U78" i="15"/>
  <c r="R78" i="15"/>
  <c r="N78" i="15"/>
  <c r="H78" i="15"/>
  <c r="AR77" i="15"/>
  <c r="W77" i="15"/>
  <c r="V77" i="15"/>
  <c r="U77" i="15"/>
  <c r="R77" i="15"/>
  <c r="N77" i="15"/>
  <c r="H77" i="15"/>
  <c r="AR76" i="15"/>
  <c r="V76" i="15"/>
  <c r="U76" i="15"/>
  <c r="W76" i="15"/>
  <c r="N76" i="15"/>
  <c r="H76" i="15"/>
  <c r="AR75" i="15"/>
  <c r="V75" i="15"/>
  <c r="U75" i="15"/>
  <c r="R75" i="15"/>
  <c r="N75" i="15"/>
  <c r="H75" i="15"/>
  <c r="AR74" i="15"/>
  <c r="W74" i="15"/>
  <c r="V74" i="15"/>
  <c r="U74" i="15"/>
  <c r="R74" i="15"/>
  <c r="N74" i="15"/>
  <c r="H74" i="15"/>
  <c r="AR73" i="15"/>
  <c r="V73" i="15"/>
  <c r="U73" i="15"/>
  <c r="R73" i="15"/>
  <c r="N73" i="15"/>
  <c r="H73" i="15"/>
  <c r="AR72" i="15"/>
  <c r="W72" i="15"/>
  <c r="V72" i="15"/>
  <c r="U72" i="15"/>
  <c r="R72" i="15"/>
  <c r="N72" i="15"/>
  <c r="H72" i="15"/>
  <c r="AR71" i="15"/>
  <c r="V71" i="15"/>
  <c r="U71" i="15"/>
  <c r="R71" i="15"/>
  <c r="N71" i="15"/>
  <c r="H71" i="15"/>
  <c r="AR70" i="15"/>
  <c r="V70" i="15"/>
  <c r="U70" i="15"/>
  <c r="W70" i="15"/>
  <c r="N70" i="15"/>
  <c r="H70" i="15"/>
  <c r="AR69" i="15"/>
  <c r="V69" i="15"/>
  <c r="U69" i="15"/>
  <c r="W69" i="15"/>
  <c r="O69" i="15"/>
  <c r="N69" i="15"/>
  <c r="H69" i="15"/>
  <c r="V68" i="15"/>
  <c r="U68" i="15"/>
  <c r="AR68" i="15" s="1"/>
  <c r="W68" i="15"/>
  <c r="N68" i="15"/>
  <c r="H68" i="15"/>
  <c r="AR67" i="15"/>
  <c r="W67" i="15"/>
  <c r="V67" i="15"/>
  <c r="R67" i="15"/>
  <c r="N67" i="15"/>
  <c r="H67" i="15"/>
  <c r="AR66" i="15"/>
  <c r="V66" i="15"/>
  <c r="R66" i="15"/>
  <c r="N66" i="15"/>
  <c r="H66" i="15"/>
  <c r="AR65" i="15"/>
  <c r="V65" i="15"/>
  <c r="U65" i="15"/>
  <c r="W65" i="15"/>
  <c r="N65" i="15"/>
  <c r="H65" i="15"/>
  <c r="AR64" i="15"/>
  <c r="V64" i="15"/>
  <c r="U64" i="15"/>
  <c r="R64" i="15"/>
  <c r="O64" i="15"/>
  <c r="N64" i="15"/>
  <c r="H64" i="15"/>
  <c r="AR63" i="15"/>
  <c r="V63" i="15"/>
  <c r="U63" i="15"/>
  <c r="R63" i="15"/>
  <c r="N63" i="15"/>
  <c r="H63" i="15"/>
  <c r="AR62" i="15"/>
  <c r="V62" i="15"/>
  <c r="U62" i="15"/>
  <c r="R62" i="15"/>
  <c r="N62" i="15"/>
  <c r="H62" i="15"/>
  <c r="AR61" i="15"/>
  <c r="V61" i="15"/>
  <c r="U61" i="15"/>
  <c r="W61" i="15"/>
  <c r="N61" i="15"/>
  <c r="H61" i="15"/>
  <c r="AR60" i="15"/>
  <c r="V60" i="15"/>
  <c r="U60" i="15"/>
  <c r="W60" i="15"/>
  <c r="N60" i="15"/>
  <c r="H60" i="15"/>
  <c r="AR59" i="15"/>
  <c r="V59" i="15"/>
  <c r="W59" i="15"/>
  <c r="O59" i="15"/>
  <c r="N59" i="15"/>
  <c r="H59" i="15"/>
  <c r="AR58" i="15"/>
  <c r="V58" i="15"/>
  <c r="W58" i="15"/>
  <c r="N58" i="15"/>
  <c r="H58" i="15"/>
  <c r="AR57" i="15"/>
  <c r="V57" i="15"/>
  <c r="U57" i="15"/>
  <c r="W57" i="15"/>
  <c r="O57" i="15"/>
  <c r="N57" i="15"/>
  <c r="H57" i="15"/>
  <c r="AR56" i="15"/>
  <c r="W56" i="15"/>
  <c r="U56" i="15"/>
  <c r="R56" i="15"/>
  <c r="N56" i="15"/>
  <c r="H56" i="15"/>
  <c r="V55" i="15"/>
  <c r="U55" i="15"/>
  <c r="AP55" i="15" s="1"/>
  <c r="AR55" i="15" s="1"/>
  <c r="R55" i="15"/>
  <c r="N55" i="15"/>
  <c r="H55" i="15"/>
  <c r="AR54" i="15"/>
  <c r="W54" i="15"/>
  <c r="V54" i="15"/>
  <c r="U54" i="15"/>
  <c r="R54" i="15"/>
  <c r="N54" i="15"/>
  <c r="H54" i="15"/>
  <c r="AR53" i="15"/>
  <c r="V53" i="15"/>
  <c r="W53" i="15"/>
  <c r="O53" i="15"/>
  <c r="N53" i="15"/>
  <c r="H53" i="15"/>
  <c r="AR52" i="15"/>
  <c r="V52" i="15"/>
  <c r="U52" i="15"/>
  <c r="W52" i="15"/>
  <c r="N52" i="15"/>
  <c r="H52" i="15"/>
  <c r="AR51" i="15"/>
  <c r="V51" i="15"/>
  <c r="U51" i="15"/>
  <c r="R51" i="15"/>
  <c r="N51" i="15"/>
  <c r="H51" i="15"/>
  <c r="AR50" i="15"/>
  <c r="V50" i="15"/>
  <c r="W50" i="15"/>
  <c r="O50" i="15"/>
  <c r="N50" i="15"/>
  <c r="H50" i="15"/>
  <c r="AR49" i="15"/>
  <c r="W49" i="15"/>
  <c r="V49" i="15"/>
  <c r="U49" i="15"/>
  <c r="R49" i="15"/>
  <c r="N49" i="15"/>
  <c r="H49" i="15"/>
  <c r="AR48" i="15"/>
  <c r="V48" i="15"/>
  <c r="U48" i="15"/>
  <c r="R48" i="15"/>
  <c r="N48" i="15"/>
  <c r="H48" i="15"/>
  <c r="AR47" i="15"/>
  <c r="V47" i="15"/>
  <c r="U47" i="15"/>
  <c r="R47" i="15"/>
  <c r="W47" i="15"/>
  <c r="N47" i="15"/>
  <c r="H47" i="15"/>
  <c r="AR46" i="15"/>
  <c r="V46" i="15"/>
  <c r="U46" i="15"/>
  <c r="W46" i="15"/>
  <c r="N46" i="15"/>
  <c r="H46" i="15"/>
  <c r="AR45" i="15"/>
  <c r="V45" i="15"/>
  <c r="U45" i="15"/>
  <c r="W45" i="15"/>
  <c r="N45" i="15"/>
  <c r="H45" i="15"/>
  <c r="AR44" i="15"/>
  <c r="V44" i="15"/>
  <c r="R44" i="15"/>
  <c r="W44" i="15"/>
  <c r="O44" i="15"/>
  <c r="N44" i="15"/>
  <c r="H44" i="15"/>
  <c r="AR43" i="15"/>
  <c r="W43" i="15"/>
  <c r="V43" i="15"/>
  <c r="U43" i="15"/>
  <c r="R43" i="15"/>
  <c r="N43" i="15"/>
  <c r="H43" i="15"/>
  <c r="AR42" i="15"/>
  <c r="W42" i="15"/>
  <c r="V42" i="15"/>
  <c r="R42" i="15"/>
  <c r="O42" i="15"/>
  <c r="N42" i="15"/>
  <c r="H42" i="15"/>
  <c r="AR41" i="15"/>
  <c r="V41" i="15"/>
  <c r="U41" i="15"/>
  <c r="R41" i="15"/>
  <c r="N41" i="15"/>
  <c r="H41" i="15"/>
  <c r="AR40" i="15"/>
  <c r="V40" i="15"/>
  <c r="U40" i="15"/>
  <c r="R40" i="15"/>
  <c r="N40" i="15"/>
  <c r="H40" i="15"/>
  <c r="AR39" i="15"/>
  <c r="W39" i="15"/>
  <c r="V39" i="15"/>
  <c r="U39" i="15"/>
  <c r="R39" i="15"/>
  <c r="N39" i="15"/>
  <c r="H39" i="15"/>
  <c r="AR38" i="15"/>
  <c r="V38" i="15"/>
  <c r="U38" i="15"/>
  <c r="W38" i="15"/>
  <c r="O38" i="15"/>
  <c r="N38" i="15"/>
  <c r="H38" i="15"/>
  <c r="AR37" i="15"/>
  <c r="V37" i="15"/>
  <c r="U37" i="15"/>
  <c r="W37" i="15"/>
  <c r="N37" i="15"/>
  <c r="H37" i="15"/>
  <c r="AR36" i="15"/>
  <c r="V36" i="15"/>
  <c r="W36" i="15"/>
  <c r="O36" i="15"/>
  <c r="N36" i="15"/>
  <c r="H36" i="15"/>
  <c r="AR35" i="15"/>
  <c r="V35" i="15"/>
  <c r="U35" i="15"/>
  <c r="W35" i="15"/>
  <c r="N35" i="15"/>
  <c r="H35" i="15"/>
  <c r="AR34" i="15"/>
  <c r="W34" i="15"/>
  <c r="V34" i="15"/>
  <c r="R34" i="15"/>
  <c r="N34" i="15"/>
  <c r="H34" i="15"/>
  <c r="AR33" i="15"/>
  <c r="V33" i="15"/>
  <c r="U33" i="15"/>
  <c r="W33" i="15"/>
  <c r="N33" i="15"/>
  <c r="H33" i="15"/>
  <c r="AR32" i="15"/>
  <c r="W32" i="15"/>
  <c r="V32" i="15"/>
  <c r="U32" i="15"/>
  <c r="R32" i="15"/>
  <c r="N32" i="15"/>
  <c r="H32" i="15"/>
  <c r="AR31" i="15"/>
  <c r="V31" i="15"/>
  <c r="U31" i="15"/>
  <c r="R31" i="15"/>
  <c r="N31" i="15"/>
  <c r="H31" i="15"/>
  <c r="AR30" i="15"/>
  <c r="W30" i="15"/>
  <c r="V30" i="15"/>
  <c r="U30" i="15"/>
  <c r="R30" i="15"/>
  <c r="N30" i="15"/>
  <c r="H30" i="15"/>
  <c r="AR29" i="15"/>
  <c r="V29" i="15"/>
  <c r="U29" i="15"/>
  <c r="W29" i="15"/>
  <c r="N29" i="15"/>
  <c r="H29" i="15"/>
  <c r="AR28" i="15"/>
  <c r="V28" i="15"/>
  <c r="U28" i="15"/>
  <c r="W28" i="15"/>
  <c r="N28" i="15"/>
  <c r="H28" i="15"/>
  <c r="AR27" i="15"/>
  <c r="V27" i="15"/>
  <c r="U27" i="15"/>
  <c r="R27" i="15"/>
  <c r="N27" i="15"/>
  <c r="H27" i="15"/>
  <c r="AR26" i="15"/>
  <c r="V26" i="15"/>
  <c r="U26" i="15"/>
  <c r="W26" i="15"/>
  <c r="N26" i="15"/>
  <c r="H26" i="15"/>
  <c r="AR25" i="15"/>
  <c r="V25" i="15"/>
  <c r="U25" i="15"/>
  <c r="R25" i="15"/>
  <c r="N25" i="15"/>
  <c r="H25" i="15"/>
  <c r="AR24" i="15"/>
  <c r="V24" i="15"/>
  <c r="U24" i="15"/>
  <c r="R24" i="15"/>
  <c r="N24" i="15"/>
  <c r="H24" i="15"/>
  <c r="AR23" i="15"/>
  <c r="V23" i="15"/>
  <c r="U23" i="15"/>
  <c r="W23" i="15"/>
  <c r="N23" i="15"/>
  <c r="H23" i="15"/>
  <c r="AR22" i="15"/>
  <c r="V22" i="15"/>
  <c r="U22" i="15"/>
  <c r="W22" i="15"/>
  <c r="N22" i="15"/>
  <c r="H22" i="15"/>
  <c r="AR21" i="15"/>
  <c r="V21" i="15"/>
  <c r="U21" i="15"/>
  <c r="W21" i="15"/>
  <c r="N21" i="15"/>
  <c r="H21" i="15"/>
  <c r="AR20" i="15"/>
  <c r="V20" i="15"/>
  <c r="W20" i="15"/>
  <c r="O20" i="15"/>
  <c r="N20" i="15"/>
  <c r="H20" i="15"/>
  <c r="AR19" i="15"/>
  <c r="W19" i="15"/>
  <c r="V19" i="15"/>
  <c r="R19" i="15"/>
  <c r="O19" i="15"/>
  <c r="N19" i="15"/>
  <c r="H19" i="15"/>
  <c r="AR18" i="15"/>
  <c r="W18" i="15"/>
  <c r="V18" i="15"/>
  <c r="R18" i="15"/>
  <c r="O18" i="15"/>
  <c r="N18" i="15"/>
  <c r="H18" i="15"/>
  <c r="AR17" i="15"/>
  <c r="V17" i="15"/>
  <c r="U17" i="15"/>
  <c r="R17" i="15"/>
  <c r="N17" i="15"/>
  <c r="H17" i="15"/>
  <c r="AR16" i="15"/>
  <c r="V16" i="15"/>
  <c r="U16" i="15"/>
  <c r="R16" i="15"/>
  <c r="N16" i="15"/>
  <c r="H16" i="15"/>
  <c r="AR15" i="15"/>
  <c r="W15" i="15"/>
  <c r="V15" i="15"/>
  <c r="U15" i="15"/>
  <c r="R15" i="15"/>
  <c r="N15" i="15"/>
  <c r="H15" i="15"/>
  <c r="AR14" i="15"/>
  <c r="V14" i="15"/>
  <c r="U14" i="15"/>
  <c r="W14" i="15"/>
  <c r="N14" i="15"/>
  <c r="H14" i="15"/>
  <c r="AR13" i="15"/>
  <c r="V13" i="15"/>
  <c r="U13" i="15"/>
  <c r="W13" i="15"/>
  <c r="N13" i="15"/>
  <c r="H13" i="15"/>
  <c r="V12" i="15"/>
  <c r="U12" i="15"/>
  <c r="AP12" i="15" s="1"/>
  <c r="AR12" i="15" s="1"/>
  <c r="W12" i="15"/>
  <c r="N12" i="15"/>
  <c r="H12" i="15"/>
  <c r="AR11" i="15"/>
  <c r="V11" i="15"/>
  <c r="U11" i="15"/>
  <c r="W11" i="15"/>
  <c r="O11" i="15"/>
  <c r="N11" i="15"/>
  <c r="H11" i="15"/>
  <c r="V10" i="15"/>
  <c r="U10" i="15"/>
  <c r="AP10" i="15" s="1"/>
  <c r="AR10" i="15" s="1"/>
  <c r="R10" i="15"/>
  <c r="N10" i="15"/>
  <c r="H10" i="15"/>
  <c r="AR9" i="15"/>
  <c r="V9" i="15"/>
  <c r="U9" i="15"/>
  <c r="R9" i="15"/>
  <c r="N9" i="15"/>
  <c r="H9" i="15"/>
  <c r="AR8" i="15"/>
  <c r="V8" i="15"/>
  <c r="U8" i="15"/>
  <c r="W8" i="15"/>
  <c r="N8" i="15"/>
  <c r="H8" i="15"/>
  <c r="AR7" i="15"/>
  <c r="W7" i="15"/>
  <c r="V7" i="15"/>
  <c r="U7" i="15"/>
  <c r="R7" i="15"/>
  <c r="N7" i="15"/>
  <c r="H7" i="15"/>
  <c r="AR6" i="15"/>
  <c r="W6" i="15"/>
  <c r="V6" i="15"/>
  <c r="U6" i="15"/>
  <c r="R6" i="15"/>
  <c r="O6" i="15"/>
  <c r="N6" i="15"/>
  <c r="H6" i="15"/>
  <c r="AR5" i="15"/>
  <c r="W5" i="15"/>
  <c r="V5" i="15"/>
  <c r="U5" i="15"/>
  <c r="R5" i="15"/>
  <c r="N5" i="15"/>
  <c r="H5" i="15"/>
  <c r="V4" i="15"/>
  <c r="U4" i="15"/>
  <c r="AP4" i="15" s="1"/>
  <c r="N4" i="15"/>
  <c r="H4" i="15"/>
  <c r="D57" i="23"/>
  <c r="G19" i="23"/>
  <c r="F19" i="23"/>
  <c r="E19" i="23"/>
  <c r="C16" i="29"/>
  <c r="F12" i="29"/>
  <c r="I12" i="29" s="1"/>
  <c r="F10" i="29"/>
  <c r="H10" i="29" s="1"/>
  <c r="E10" i="29"/>
  <c r="C10" i="29"/>
  <c r="I6" i="29"/>
  <c r="F6" i="29"/>
  <c r="H6" i="29" s="1"/>
  <c r="E6" i="29"/>
  <c r="I5" i="29"/>
  <c r="H5" i="29"/>
  <c r="G5" i="29"/>
  <c r="F14" i="1"/>
  <c r="E12" i="1"/>
  <c r="C12" i="1"/>
  <c r="C9" i="1"/>
  <c r="H6" i="1"/>
  <c r="F6" i="1"/>
  <c r="E6" i="1"/>
  <c r="I6" i="1" s="1"/>
  <c r="I5" i="1"/>
  <c r="H5" i="1"/>
  <c r="AT22" i="15" l="1"/>
  <c r="AT52" i="15"/>
  <c r="AT92" i="15"/>
  <c r="AT72" i="15"/>
  <c r="AT77" i="15"/>
  <c r="AT78" i="15"/>
  <c r="AT46" i="15"/>
  <c r="AT63" i="15"/>
  <c r="AT76" i="15"/>
  <c r="AT82" i="15"/>
  <c r="AT97" i="15"/>
  <c r="AT65" i="15"/>
  <c r="AT73" i="15"/>
  <c r="AT62" i="15"/>
  <c r="AT80" i="15"/>
  <c r="AT85" i="15"/>
  <c r="AT94" i="15"/>
  <c r="AT49" i="15"/>
  <c r="AT61" i="15"/>
  <c r="AT84" i="15"/>
  <c r="AT99" i="15"/>
  <c r="AT37" i="15"/>
  <c r="AT184" i="15"/>
  <c r="AT183" i="15"/>
  <c r="AT186" i="15"/>
  <c r="AT182" i="15"/>
  <c r="E19" i="1"/>
  <c r="E25" i="1"/>
  <c r="G39" i="32"/>
  <c r="C63" i="32" s="1"/>
  <c r="G63" i="32" s="1"/>
  <c r="C87" i="32" s="1"/>
  <c r="G87" i="32" s="1"/>
  <c r="C111" i="32" s="1"/>
  <c r="G111" i="32" s="1"/>
  <c r="C54" i="32"/>
  <c r="G54" i="32" s="1"/>
  <c r="C78" i="32" s="1"/>
  <c r="G78" i="32" s="1"/>
  <c r="C102" i="32" s="1"/>
  <c r="G102" i="32" s="1"/>
  <c r="I14" i="1"/>
  <c r="G12" i="29"/>
  <c r="F7" i="29"/>
  <c r="X19" i="15"/>
  <c r="X36" i="15"/>
  <c r="F7" i="1"/>
  <c r="F13" i="29"/>
  <c r="H13" i="29" s="1"/>
  <c r="X18" i="15"/>
  <c r="X76" i="15"/>
  <c r="X30" i="15"/>
  <c r="X116" i="15"/>
  <c r="F12" i="1"/>
  <c r="I12" i="1" s="1"/>
  <c r="D66" i="32"/>
  <c r="D71" i="32" s="1"/>
  <c r="B36" i="32"/>
  <c r="G36" i="32" s="1"/>
  <c r="C60" i="32" s="1"/>
  <c r="G60" i="32" s="1"/>
  <c r="C84" i="32" s="1"/>
  <c r="G84" i="32" s="1"/>
  <c r="C108" i="32" s="1"/>
  <c r="G108" i="32" s="1"/>
  <c r="B12" i="32"/>
  <c r="D12" i="32" s="1"/>
  <c r="C36" i="32"/>
  <c r="I10" i="29"/>
  <c r="E66" i="32"/>
  <c r="E71" i="32" s="1"/>
  <c r="X25" i="28"/>
  <c r="C47" i="32"/>
  <c r="E90" i="32"/>
  <c r="E95" i="32" s="1"/>
  <c r="E47" i="32"/>
  <c r="D114" i="32"/>
  <c r="D119" i="32" s="1"/>
  <c r="B14" i="32"/>
  <c r="D14" i="32" s="1"/>
  <c r="D90" i="32"/>
  <c r="D95" i="32" s="1"/>
  <c r="F90" i="32"/>
  <c r="F95" i="32" s="1"/>
  <c r="H12" i="29"/>
  <c r="F47" i="32"/>
  <c r="C14" i="32"/>
  <c r="B38" i="32"/>
  <c r="G38" i="32" s="1"/>
  <c r="C62" i="32" s="1"/>
  <c r="G62" i="32" s="1"/>
  <c r="C86" i="32" s="1"/>
  <c r="G86" i="32" s="1"/>
  <c r="C110" i="32" s="1"/>
  <c r="G110" i="32" s="1"/>
  <c r="D47" i="32"/>
  <c r="H14" i="1"/>
  <c r="F66" i="32"/>
  <c r="F71" i="32" s="1"/>
  <c r="X39" i="15"/>
  <c r="X84" i="15"/>
  <c r="X135" i="15"/>
  <c r="X140" i="15"/>
  <c r="X74" i="15"/>
  <c r="X113" i="15"/>
  <c r="X138" i="15"/>
  <c r="X163" i="15"/>
  <c r="X155" i="15"/>
  <c r="X72" i="15"/>
  <c r="X106" i="15"/>
  <c r="X131" i="15"/>
  <c r="X171" i="15"/>
  <c r="X187" i="15"/>
  <c r="X141" i="15"/>
  <c r="X190" i="15"/>
  <c r="F15" i="1"/>
  <c r="X6" i="15"/>
  <c r="X53" i="15"/>
  <c r="X69" i="15"/>
  <c r="X109" i="15"/>
  <c r="X123" i="15"/>
  <c r="X42" i="15"/>
  <c r="X26" i="15"/>
  <c r="X78" i="15"/>
  <c r="X15" i="15"/>
  <c r="X149" i="15"/>
  <c r="X186" i="15"/>
  <c r="X21" i="15"/>
  <c r="X134" i="15"/>
  <c r="X156" i="15"/>
  <c r="X60" i="15"/>
  <c r="X148" i="15"/>
  <c r="X67" i="15"/>
  <c r="X111" i="15"/>
  <c r="X54" i="15"/>
  <c r="X95" i="15"/>
  <c r="X105" i="15"/>
  <c r="X120" i="15"/>
  <c r="X170" i="15"/>
  <c r="X23" i="15"/>
  <c r="X5" i="15"/>
  <c r="X49" i="15"/>
  <c r="X91" i="15"/>
  <c r="X126" i="15"/>
  <c r="X165" i="15"/>
  <c r="X166" i="15"/>
  <c r="X173" i="15"/>
  <c r="X174" i="15"/>
  <c r="X179" i="15"/>
  <c r="X182" i="15"/>
  <c r="E7" i="29"/>
  <c r="E16" i="29" s="1"/>
  <c r="X22" i="15"/>
  <c r="R113" i="15"/>
  <c r="X65" i="15"/>
  <c r="X43" i="15"/>
  <c r="W62" i="15"/>
  <c r="X62" i="15" s="1"/>
  <c r="U200" i="15"/>
  <c r="X8" i="15"/>
  <c r="W9" i="15"/>
  <c r="X9" i="15" s="1"/>
  <c r="W10" i="15"/>
  <c r="X10" i="15" s="1"/>
  <c r="X14" i="15"/>
  <c r="W16" i="15"/>
  <c r="X16" i="15" s="1"/>
  <c r="W17" i="15"/>
  <c r="X17" i="15" s="1"/>
  <c r="R23" i="15"/>
  <c r="W25" i="15"/>
  <c r="X25" i="15" s="1"/>
  <c r="R33" i="15"/>
  <c r="X34" i="15"/>
  <c r="X38" i="15"/>
  <c r="W40" i="15"/>
  <c r="X40" i="15" s="1"/>
  <c r="W41" i="15"/>
  <c r="X41" i="15" s="1"/>
  <c r="X47" i="15"/>
  <c r="X57" i="15"/>
  <c r="W79" i="15"/>
  <c r="X79" i="15" s="1"/>
  <c r="W80" i="15"/>
  <c r="X80" i="15" s="1"/>
  <c r="W86" i="15"/>
  <c r="X86" i="15" s="1"/>
  <c r="R101" i="15"/>
  <c r="X102" i="15"/>
  <c r="X127" i="15"/>
  <c r="W136" i="15"/>
  <c r="X136" i="15" s="1"/>
  <c r="R140" i="15"/>
  <c r="R141" i="15"/>
  <c r="X144" i="15"/>
  <c r="R149" i="15"/>
  <c r="W151" i="15"/>
  <c r="X151" i="15" s="1"/>
  <c r="R155" i="15"/>
  <c r="R156" i="15"/>
  <c r="W158" i="15"/>
  <c r="X158" i="15" s="1"/>
  <c r="R171" i="15"/>
  <c r="X194" i="15"/>
  <c r="X196" i="15"/>
  <c r="X199" i="15"/>
  <c r="X33" i="15"/>
  <c r="R28" i="15"/>
  <c r="R29" i="15"/>
  <c r="X193" i="15"/>
  <c r="R130" i="15"/>
  <c r="X180" i="15"/>
  <c r="R186" i="15"/>
  <c r="R187" i="15"/>
  <c r="X13" i="15"/>
  <c r="X32" i="15"/>
  <c r="R52" i="15"/>
  <c r="R65" i="15"/>
  <c r="W100" i="15"/>
  <c r="X100" i="15" s="1"/>
  <c r="X130" i="15"/>
  <c r="W142" i="15"/>
  <c r="X142" i="15" s="1"/>
  <c r="X152" i="15"/>
  <c r="X162" i="15"/>
  <c r="R185" i="15"/>
  <c r="X192" i="15"/>
  <c r="X198" i="15"/>
  <c r="X101" i="15"/>
  <c r="X83" i="15"/>
  <c r="X89" i="15"/>
  <c r="X97" i="15"/>
  <c r="W99" i="15"/>
  <c r="X99" i="15" s="1"/>
  <c r="R105" i="15"/>
  <c r="W115" i="15"/>
  <c r="X115" i="15" s="1"/>
  <c r="R152" i="15"/>
  <c r="W177" i="15"/>
  <c r="X177" i="15" s="1"/>
  <c r="W55" i="15"/>
  <c r="X55" i="15" s="1"/>
  <c r="W66" i="15"/>
  <c r="X66" i="15" s="1"/>
  <c r="W73" i="15"/>
  <c r="X73" i="15" s="1"/>
  <c r="W75" i="15"/>
  <c r="X75" i="15" s="1"/>
  <c r="W27" i="15"/>
  <c r="X27" i="15" s="1"/>
  <c r="W114" i="15"/>
  <c r="X114" i="15" s="1"/>
  <c r="W122" i="15"/>
  <c r="X122" i="15" s="1"/>
  <c r="W129" i="15"/>
  <c r="X129" i="15" s="1"/>
  <c r="W153" i="15"/>
  <c r="X153" i="15" s="1"/>
  <c r="X77" i="15"/>
  <c r="X90" i="15"/>
  <c r="R162" i="15"/>
  <c r="X29" i="15"/>
  <c r="W31" i="15"/>
  <c r="X31" i="15" s="1"/>
  <c r="X45" i="15"/>
  <c r="X94" i="15"/>
  <c r="W98" i="15"/>
  <c r="X98" i="15" s="1"/>
  <c r="R8" i="15"/>
  <c r="R11" i="15"/>
  <c r="R20" i="15"/>
  <c r="X50" i="15"/>
  <c r="W51" i="15"/>
  <c r="X51" i="15" s="1"/>
  <c r="X58" i="15"/>
  <c r="X61" i="15"/>
  <c r="W63" i="15"/>
  <c r="X63" i="15" s="1"/>
  <c r="W64" i="15"/>
  <c r="X64" i="15" s="1"/>
  <c r="R69" i="15"/>
  <c r="R81" i="15"/>
  <c r="X82" i="15"/>
  <c r="X87" i="15"/>
  <c r="W93" i="15"/>
  <c r="X93" i="15" s="1"/>
  <c r="R103" i="15"/>
  <c r="X104" i="15"/>
  <c r="X110" i="15"/>
  <c r="X119" i="15"/>
  <c r="R126" i="15"/>
  <c r="R134" i="15"/>
  <c r="X145" i="15"/>
  <c r="X159" i="15"/>
  <c r="W168" i="15"/>
  <c r="X168" i="15" s="1"/>
  <c r="W176" i="15"/>
  <c r="X176" i="15" s="1"/>
  <c r="W184" i="15"/>
  <c r="X184" i="15" s="1"/>
  <c r="W191" i="15"/>
  <c r="X191" i="15" s="1"/>
  <c r="B15" i="32"/>
  <c r="D15" i="32" s="1"/>
  <c r="X56" i="15"/>
  <c r="X46" i="15"/>
  <c r="X11" i="15"/>
  <c r="X88" i="15"/>
  <c r="X35" i="15"/>
  <c r="X70" i="15"/>
  <c r="R181" i="15"/>
  <c r="W181" i="15"/>
  <c r="X181" i="15" s="1"/>
  <c r="R88" i="15"/>
  <c r="Q200" i="15"/>
  <c r="X96" i="15"/>
  <c r="W139" i="15"/>
  <c r="X139" i="15" s="1"/>
  <c r="X154" i="15"/>
  <c r="R164" i="15"/>
  <c r="W164" i="15"/>
  <c r="X164" i="15" s="1"/>
  <c r="X68" i="15"/>
  <c r="W160" i="15"/>
  <c r="X160" i="15" s="1"/>
  <c r="R160" i="15"/>
  <c r="V200" i="15"/>
  <c r="R12" i="15"/>
  <c r="X20" i="15"/>
  <c r="R70" i="15"/>
  <c r="X81" i="15"/>
  <c r="R4" i="15"/>
  <c r="R21" i="15"/>
  <c r="R22" i="15"/>
  <c r="R35" i="15"/>
  <c r="R45" i="15"/>
  <c r="R46" i="15"/>
  <c r="R68" i="15"/>
  <c r="R83" i="15"/>
  <c r="R84" i="15"/>
  <c r="R102" i="15"/>
  <c r="R106" i="15"/>
  <c r="X108" i="15"/>
  <c r="R110" i="15"/>
  <c r="X112" i="15"/>
  <c r="W117" i="15"/>
  <c r="X117" i="15" s="1"/>
  <c r="R131" i="15"/>
  <c r="X132" i="15"/>
  <c r="X133" i="15"/>
  <c r="R172" i="15"/>
  <c r="W172" i="15"/>
  <c r="X172" i="15" s="1"/>
  <c r="W183" i="15"/>
  <c r="X183" i="15" s="1"/>
  <c r="R183" i="15"/>
  <c r="X185" i="15"/>
  <c r="AQ151" i="15"/>
  <c r="AR151" i="15" s="1"/>
  <c r="R26" i="15"/>
  <c r="X37" i="15"/>
  <c r="R38" i="15"/>
  <c r="R58" i="15"/>
  <c r="R60" i="15"/>
  <c r="R61" i="15"/>
  <c r="W85" i="15"/>
  <c r="X85" i="15" s="1"/>
  <c r="R90" i="15"/>
  <c r="R91" i="15"/>
  <c r="W107" i="15"/>
  <c r="X107" i="15" s="1"/>
  <c r="R123" i="15"/>
  <c r="X125" i="15"/>
  <c r="X147" i="15"/>
  <c r="X169" i="15"/>
  <c r="R36" i="15"/>
  <c r="R37" i="15"/>
  <c r="X44" i="15"/>
  <c r="R57" i="15"/>
  <c r="X103" i="15"/>
  <c r="R13" i="15"/>
  <c r="W24" i="15"/>
  <c r="X24" i="15" s="1"/>
  <c r="W48" i="15"/>
  <c r="X48" i="15" s="1"/>
  <c r="R50" i="15"/>
  <c r="R59" i="15"/>
  <c r="R89" i="15"/>
  <c r="W128" i="15"/>
  <c r="X128" i="15" s="1"/>
  <c r="R145" i="15"/>
  <c r="W150" i="15"/>
  <c r="X150" i="15" s="1"/>
  <c r="R157" i="15"/>
  <c r="W157" i="15"/>
  <c r="X157" i="15" s="1"/>
  <c r="W167" i="15"/>
  <c r="X167" i="15" s="1"/>
  <c r="R167" i="15"/>
  <c r="X178" i="15"/>
  <c r="AQ189" i="15"/>
  <c r="AR189" i="15" s="1"/>
  <c r="AT189" i="15" s="1"/>
  <c r="X189" i="15"/>
  <c r="W4" i="15"/>
  <c r="H200" i="15"/>
  <c r="W71" i="15"/>
  <c r="X71" i="15" s="1"/>
  <c r="X118" i="15"/>
  <c r="W124" i="15"/>
  <c r="X124" i="15" s="1"/>
  <c r="R138" i="15"/>
  <c r="X143" i="15"/>
  <c r="R188" i="15"/>
  <c r="W188" i="15"/>
  <c r="X188" i="15" s="1"/>
  <c r="X161" i="15"/>
  <c r="R14" i="15"/>
  <c r="AP200" i="15"/>
  <c r="E104" i="32" s="1"/>
  <c r="E114" i="32" s="1"/>
  <c r="E119" i="32" s="1"/>
  <c r="X59" i="15"/>
  <c r="N200" i="15"/>
  <c r="AR4" i="15"/>
  <c r="X7" i="15"/>
  <c r="X12" i="15"/>
  <c r="X28" i="15"/>
  <c r="X52" i="15"/>
  <c r="R53" i="15"/>
  <c r="R76" i="15"/>
  <c r="W92" i="15"/>
  <c r="X92" i="15" s="1"/>
  <c r="R97" i="15"/>
  <c r="R116" i="15"/>
  <c r="W121" i="15"/>
  <c r="X121" i="15" s="1"/>
  <c r="AQ137" i="15"/>
  <c r="X137" i="15"/>
  <c r="W146" i="15"/>
  <c r="X146" i="15" s="1"/>
  <c r="W175" i="15"/>
  <c r="X175" i="15" s="1"/>
  <c r="R175" i="15"/>
  <c r="R190" i="15"/>
  <c r="W195" i="15"/>
  <c r="X195" i="15" s="1"/>
  <c r="R198" i="15"/>
  <c r="R112" i="15"/>
  <c r="R118" i="15"/>
  <c r="R147" i="15"/>
  <c r="R154" i="15"/>
  <c r="R161" i="15"/>
  <c r="R169" i="15"/>
  <c r="R192" i="15"/>
  <c r="W197" i="15"/>
  <c r="X197" i="15" s="1"/>
  <c r="R199" i="15"/>
  <c r="B8" i="32"/>
  <c r="C8" i="32"/>
  <c r="C18" i="32" s="1"/>
  <c r="C23" i="32" s="1"/>
  <c r="B32" i="32"/>
  <c r="B40" i="32" l="1"/>
  <c r="G40" i="32" s="1"/>
  <c r="B16" i="32"/>
  <c r="D16" i="32" s="1"/>
  <c r="I7" i="1"/>
  <c r="I15" i="1"/>
  <c r="H12" i="1"/>
  <c r="I13" i="29"/>
  <c r="H15" i="1"/>
  <c r="B114" i="32"/>
  <c r="B119" i="32" s="1"/>
  <c r="B90" i="32"/>
  <c r="B95" i="32" s="1"/>
  <c r="B66" i="32"/>
  <c r="B71" i="32" s="1"/>
  <c r="I7" i="29"/>
  <c r="W200" i="15"/>
  <c r="F14" i="29"/>
  <c r="F16" i="29" s="1"/>
  <c r="F16" i="1"/>
  <c r="F21" i="1" s="1"/>
  <c r="D7" i="1"/>
  <c r="D7" i="29"/>
  <c r="AQ200" i="15"/>
  <c r="F104" i="32" s="1"/>
  <c r="F114" i="32" s="1"/>
  <c r="F119" i="32" s="1"/>
  <c r="AR137" i="15"/>
  <c r="AR200" i="15" s="1"/>
  <c r="D8" i="32"/>
  <c r="R200" i="15"/>
  <c r="G32" i="32"/>
  <c r="X4" i="15"/>
  <c r="X200" i="15" s="1"/>
  <c r="B18" i="32" l="1"/>
  <c r="B23" i="32" s="1"/>
  <c r="B42" i="32"/>
  <c r="B47" i="32" s="1"/>
  <c r="F18" i="1"/>
  <c r="C64" i="32"/>
  <c r="G64" i="32" s="1"/>
  <c r="C88" i="32" s="1"/>
  <c r="G88" i="32" s="1"/>
  <c r="C112" i="32" s="1"/>
  <c r="G112" i="32" s="1"/>
  <c r="H21" i="1"/>
  <c r="I21" i="1"/>
  <c r="G42" i="32"/>
  <c r="G7" i="29"/>
  <c r="G16" i="29" s="1"/>
  <c r="D16" i="29"/>
  <c r="H7" i="29"/>
  <c r="C56" i="32"/>
  <c r="G7" i="1"/>
  <c r="G19" i="1" s="1"/>
  <c r="H7" i="1"/>
  <c r="I16" i="29"/>
  <c r="H16" i="29"/>
  <c r="D18" i="32" l="1"/>
  <c r="D23" i="32" s="1"/>
  <c r="I18" i="1"/>
  <c r="H18" i="1"/>
  <c r="F19" i="1"/>
  <c r="H19" i="1" s="1"/>
  <c r="C66" i="32"/>
  <c r="C71" i="32" s="1"/>
  <c r="G56" i="32"/>
  <c r="G47" i="32"/>
  <c r="C125" i="32"/>
  <c r="C127" i="32" s="1"/>
  <c r="I19" i="1" l="1"/>
  <c r="B125" i="32"/>
  <c r="B127" i="32" s="1"/>
  <c r="C128" i="32" s="1"/>
  <c r="C131" i="32"/>
  <c r="C129" i="32"/>
  <c r="C80" i="32"/>
  <c r="G66" i="32"/>
  <c r="B131" i="32" l="1"/>
  <c r="B129" i="32"/>
  <c r="C90" i="32"/>
  <c r="C95" i="32" s="1"/>
  <c r="G80" i="32"/>
  <c r="G71" i="32"/>
  <c r="D125" i="32"/>
  <c r="D127" i="32" s="1"/>
  <c r="D131" i="32" l="1"/>
  <c r="D128" i="32"/>
  <c r="D129" i="32"/>
  <c r="G90" i="32"/>
  <c r="G95" i="32" s="1"/>
  <c r="C104" i="32"/>
  <c r="G104" i="32" l="1"/>
  <c r="G114" i="32" s="1"/>
  <c r="C114" i="32"/>
  <c r="C119" i="32" s="1"/>
  <c r="E125" i="32"/>
  <c r="E127" i="32" s="1"/>
  <c r="E131" i="32" l="1"/>
  <c r="E128" i="32"/>
  <c r="E129" i="32"/>
  <c r="G119" i="32"/>
  <c r="F125" i="32"/>
  <c r="F127" i="32" s="1"/>
  <c r="F128" i="32" l="1"/>
  <c r="F131" i="32"/>
  <c r="F135" i="32" s="1"/>
  <c r="F129" i="32"/>
</calcChain>
</file>

<file path=xl/sharedStrings.xml><?xml version="1.0" encoding="utf-8"?>
<sst xmlns="http://schemas.openxmlformats.org/spreadsheetml/2006/main" count="4559" uniqueCount="1430">
  <si>
    <t>Jenis Aset</t>
  </si>
  <si>
    <t>Setoff Kredit</t>
  </si>
  <si>
    <t>Nilai Aset Belum Diselesaikan</t>
  </si>
  <si>
    <t>% Pencairan (NP)</t>
  </si>
  <si>
    <t>Kas</t>
  </si>
  <si>
    <t>Kredit</t>
  </si>
  <si>
    <t>PPAP</t>
  </si>
  <si>
    <t>Rupa-Rupa Aktiva</t>
  </si>
  <si>
    <t>Total Aset</t>
  </si>
  <si>
    <t>(a)</t>
  </si>
  <si>
    <t>(b)</t>
  </si>
  <si>
    <t>(c)</t>
  </si>
  <si>
    <t>(d)</t>
  </si>
  <si>
    <t>Aktiva Tetap dan Inventaris</t>
  </si>
  <si>
    <t>Ak. Penyusutan Aktiva Tetap dan Inventaris</t>
  </si>
  <si>
    <t>Aktiva Tetap - Nilai Buku</t>
  </si>
  <si>
    <t>NP Audited</t>
  </si>
  <si>
    <t>(e)</t>
  </si>
  <si>
    <t>(f) = (b-c-e)</t>
  </si>
  <si>
    <t>(g) = (e/(b-c))</t>
  </si>
  <si>
    <t>(h) = (e/d)</t>
  </si>
  <si>
    <t>Antar Bank Aktiva (ABA)</t>
  </si>
  <si>
    <t>Jenis Agunan</t>
  </si>
  <si>
    <t>Jenis Pengikatan</t>
  </si>
  <si>
    <t>Setoff Pokok</t>
  </si>
  <si>
    <t>Nama Debitur</t>
  </si>
  <si>
    <t>- AYDA</t>
  </si>
  <si>
    <t>- Penerimaan Lainnya</t>
  </si>
  <si>
    <t>Kredit Net</t>
  </si>
  <si>
    <t xml:space="preserve"> </t>
  </si>
  <si>
    <t>-</t>
  </si>
  <si>
    <t xml:space="preserve">Kol. </t>
  </si>
  <si>
    <t>No.</t>
  </si>
  <si>
    <t>Baki Debet 
(NP Audited)</t>
  </si>
  <si>
    <t>Total</t>
  </si>
  <si>
    <t>Keterangan</t>
  </si>
  <si>
    <t>Strategi Pencairan</t>
  </si>
  <si>
    <t>A. Sisa Aset PT BPR Legian (DL) - Netto</t>
  </si>
  <si>
    <t>- PYAD</t>
  </si>
  <si>
    <t>- Akural Denda Kredit</t>
  </si>
  <si>
    <t>Bunga 
(NP Audited)</t>
  </si>
  <si>
    <t>Denda
(NP Audited)</t>
  </si>
  <si>
    <t>Nomor Rekening</t>
  </si>
  <si>
    <t>Uraian</t>
  </si>
  <si>
    <t>Uraian Penempatan Pada Bank Lain</t>
  </si>
  <si>
    <t>Jenis Penempatan Dana</t>
  </si>
  <si>
    <t>Saldo
(NP Audited)</t>
  </si>
  <si>
    <t>Keterangan
(Cair/Belum Dicairkan)</t>
  </si>
  <si>
    <t>Realisasi Pencairan</t>
  </si>
  <si>
    <t>Kode Aset</t>
  </si>
  <si>
    <t>02.300408</t>
  </si>
  <si>
    <t>Bunardi Podjan</t>
  </si>
  <si>
    <t>02.300506</t>
  </si>
  <si>
    <t>Wilman Ardan</t>
  </si>
  <si>
    <t>02.300100</t>
  </si>
  <si>
    <t>02.300353</t>
  </si>
  <si>
    <t>Rokhim</t>
  </si>
  <si>
    <t>02.300531</t>
  </si>
  <si>
    <t>Raju Lusmana</t>
  </si>
  <si>
    <t>02.300539</t>
  </si>
  <si>
    <t>Kadek Ngurah Robi Juniawan</t>
  </si>
  <si>
    <t>02.300602</t>
  </si>
  <si>
    <t>Putu Ayu Junita Sari</t>
  </si>
  <si>
    <t>02.300625</t>
  </si>
  <si>
    <t>Made Ita Yulita</t>
  </si>
  <si>
    <t>02.300666</t>
  </si>
  <si>
    <t>02.300681</t>
  </si>
  <si>
    <t>I Nyoman Sidia</t>
  </si>
  <si>
    <t>02.300695</t>
  </si>
  <si>
    <t xml:space="preserve">Made Wira Sastrawan </t>
  </si>
  <si>
    <t>02.300701</t>
  </si>
  <si>
    <t>I Ketut Sariyana</t>
  </si>
  <si>
    <t>02.300702</t>
  </si>
  <si>
    <t>I Gede Dananjaya Siadja</t>
  </si>
  <si>
    <t>02.300703</t>
  </si>
  <si>
    <t xml:space="preserve">Ni Nengah Nuasih </t>
  </si>
  <si>
    <t>02.300707</t>
  </si>
  <si>
    <t>I Ketut Subagia</t>
  </si>
  <si>
    <t>02.300709</t>
  </si>
  <si>
    <t>I Putu Widi Indriyana</t>
  </si>
  <si>
    <t>02.300714</t>
  </si>
  <si>
    <t>I Wayan Widiatmika Kurniawan</t>
  </si>
  <si>
    <t>02.300721</t>
  </si>
  <si>
    <t xml:space="preserve">I Putu Gede Wirawan </t>
  </si>
  <si>
    <t>02.300737</t>
  </si>
  <si>
    <t>I Putu Wastika</t>
  </si>
  <si>
    <t>02.200010</t>
  </si>
  <si>
    <t>Supyan Yusuf</t>
  </si>
  <si>
    <t>02.200125</t>
  </si>
  <si>
    <t>Darmika Dewa Gede</t>
  </si>
  <si>
    <t>02.200335</t>
  </si>
  <si>
    <t>Aloisius Rendi Holo</t>
  </si>
  <si>
    <t>02.200337</t>
  </si>
  <si>
    <t>Anak Agung Istri Vera Raditya</t>
  </si>
  <si>
    <t>02.200342</t>
  </si>
  <si>
    <t>02.200357</t>
  </si>
  <si>
    <t>Dewa Nyoman Widnyana</t>
  </si>
  <si>
    <t>02.100361</t>
  </si>
  <si>
    <t xml:space="preserve">I Wayan Mertawa SH </t>
  </si>
  <si>
    <t>02.100377</t>
  </si>
  <si>
    <t>Ni Pande Putu Andri Liani</t>
  </si>
  <si>
    <t>02.100382</t>
  </si>
  <si>
    <t>Made Ayu Ima Pradasari</t>
  </si>
  <si>
    <t>02.100437</t>
  </si>
  <si>
    <t>Ni Made Ayu Sita Setyawati</t>
  </si>
  <si>
    <t>02.100449</t>
  </si>
  <si>
    <t>Ni Wayan Astini</t>
  </si>
  <si>
    <t>02.100404</t>
  </si>
  <si>
    <t>I Gede Ketut Dinamika</t>
  </si>
  <si>
    <t>02.300667</t>
  </si>
  <si>
    <t>I Ketut Minsana</t>
  </si>
  <si>
    <t>02.300561</t>
  </si>
  <si>
    <t>Pt.Bali Selancar Laut Biru</t>
  </si>
  <si>
    <t>02.300620</t>
  </si>
  <si>
    <t>Ni Putu Novi Wulandari</t>
  </si>
  <si>
    <t>02.300186</t>
  </si>
  <si>
    <t>02.200245</t>
  </si>
  <si>
    <t>Sebe Adi Putra I Made</t>
  </si>
  <si>
    <t>02.200345</t>
  </si>
  <si>
    <t>Dwinata Yudistira Putra</t>
  </si>
  <si>
    <t>02.200321</t>
  </si>
  <si>
    <t>I Gede Andriawan Dusak</t>
  </si>
  <si>
    <t>02.100346</t>
  </si>
  <si>
    <t>02.100429</t>
  </si>
  <si>
    <t>02.300499</t>
  </si>
  <si>
    <t>I Nyoman Surawibawa</t>
  </si>
  <si>
    <t>02.300512</t>
  </si>
  <si>
    <t>02.300671</t>
  </si>
  <si>
    <t xml:space="preserve">Ni Wayan Darmini  </t>
  </si>
  <si>
    <t>02.300682</t>
  </si>
  <si>
    <t>Muhamad Sutioso</t>
  </si>
  <si>
    <t>02.300699</t>
  </si>
  <si>
    <t>Bambang Basuki</t>
  </si>
  <si>
    <t>02.300700</t>
  </si>
  <si>
    <t>Ni Wayan Darmini</t>
  </si>
  <si>
    <t>02.300722</t>
  </si>
  <si>
    <t>Anak Agung Sagung Alit Ernawa</t>
  </si>
  <si>
    <t>02.300740</t>
  </si>
  <si>
    <t>I Ketut Hary Wiguna</t>
  </si>
  <si>
    <t>02.300752</t>
  </si>
  <si>
    <t>02.200323</t>
  </si>
  <si>
    <t>Wawan Setiawan</t>
  </si>
  <si>
    <t>02.200346</t>
  </si>
  <si>
    <t>02.200350</t>
  </si>
  <si>
    <t>Ni Putu Suciati</t>
  </si>
  <si>
    <t>02.200359</t>
  </si>
  <si>
    <t>Masruh</t>
  </si>
  <si>
    <t>02.200360</t>
  </si>
  <si>
    <t>Noor Fikriyana Ruhyadi</t>
  </si>
  <si>
    <t>02.100419</t>
  </si>
  <si>
    <t>I Gede Arya Wiguna,S.Ag</t>
  </si>
  <si>
    <t>02.400099</t>
  </si>
  <si>
    <t>Paulus Tjiptadi</t>
  </si>
  <si>
    <t>Setoff Bunga</t>
  </si>
  <si>
    <t>Setoff Denda</t>
  </si>
  <si>
    <t>Total Setoff</t>
  </si>
  <si>
    <t>02.100406</t>
  </si>
  <si>
    <t>I Wayan Gede Wahyudarma</t>
  </si>
  <si>
    <t>02.100446</t>
  </si>
  <si>
    <t xml:space="preserve">I Putu Januarimbawa </t>
  </si>
  <si>
    <t>02.100465</t>
  </si>
  <si>
    <t>I Putu Januarimbawa</t>
  </si>
  <si>
    <t>02.100467</t>
  </si>
  <si>
    <t>Putu Dika Paradiswara</t>
  </si>
  <si>
    <t>02.300540</t>
  </si>
  <si>
    <t>Tjok Dwie Taraputera</t>
  </si>
  <si>
    <t>02.300618</t>
  </si>
  <si>
    <t>Voyensis Susilo Agum</t>
  </si>
  <si>
    <t>02.300636</t>
  </si>
  <si>
    <t xml:space="preserve">Rosa Olivia </t>
  </si>
  <si>
    <t>02.300679</t>
  </si>
  <si>
    <t xml:space="preserve">Trisaraswati  </t>
  </si>
  <si>
    <t>02.300687</t>
  </si>
  <si>
    <t xml:space="preserve">I Wayan Rustawan </t>
  </si>
  <si>
    <t>02.300693</t>
  </si>
  <si>
    <t xml:space="preserve">I Nyoman Ari Kusuma Artha </t>
  </si>
  <si>
    <t>02.300706</t>
  </si>
  <si>
    <t>I Made Sukasna</t>
  </si>
  <si>
    <t>02.300713</t>
  </si>
  <si>
    <t xml:space="preserve">Ida Ayu Made Ari Wahyuni </t>
  </si>
  <si>
    <t>02.300730</t>
  </si>
  <si>
    <t xml:space="preserve">Ratna Cynthia Lesmana </t>
  </si>
  <si>
    <t>02.300733</t>
  </si>
  <si>
    <t xml:space="preserve">I Gede Sutrisna </t>
  </si>
  <si>
    <t>02.300739</t>
  </si>
  <si>
    <t xml:space="preserve">Komang Robhy Suardika </t>
  </si>
  <si>
    <t>02.300747</t>
  </si>
  <si>
    <t>I Ketut Tangkas Budidarma</t>
  </si>
  <si>
    <t>02.300749</t>
  </si>
  <si>
    <t>I Wayan Rustawan</t>
  </si>
  <si>
    <t>02.400103</t>
  </si>
  <si>
    <t xml:space="preserve">Ni Putu Adnyani </t>
  </si>
  <si>
    <t>02.400104</t>
  </si>
  <si>
    <t>I Ketut Sudra</t>
  </si>
  <si>
    <t>02.200343</t>
  </si>
  <si>
    <t>Ni Nyoman Anggareni</t>
  </si>
  <si>
    <t>02.100456</t>
  </si>
  <si>
    <t>Anak Agung Gede Wiranatha</t>
  </si>
  <si>
    <t>02.300471</t>
  </si>
  <si>
    <t>I Gusti Made Pujayasa</t>
  </si>
  <si>
    <t>02.300613</t>
  </si>
  <si>
    <t>Ida Ayu Komang Manik Trisnawa</t>
  </si>
  <si>
    <t>02.300634</t>
  </si>
  <si>
    <t>Wayan Arda Chandra</t>
  </si>
  <si>
    <t>02.300750</t>
  </si>
  <si>
    <t>Raden Ajeng Koesramadhani</t>
  </si>
  <si>
    <t>02.100457</t>
  </si>
  <si>
    <t>02.200307</t>
  </si>
  <si>
    <t xml:space="preserve">I Gst Nyoman Santhi </t>
  </si>
  <si>
    <t>02.200354</t>
  </si>
  <si>
    <t xml:space="preserve">I Made Sugita </t>
  </si>
  <si>
    <t>02.200355</t>
  </si>
  <si>
    <t xml:space="preserve">I Gusti Nyoman Santhi </t>
  </si>
  <si>
    <t>02.300185</t>
  </si>
  <si>
    <t>Lestari Ni Gusti Putu</t>
  </si>
  <si>
    <t>02.300658</t>
  </si>
  <si>
    <t>Ni Made Ari Cahyanti</t>
  </si>
  <si>
    <t>02.300684</t>
  </si>
  <si>
    <t xml:space="preserve">Ni Nyoman Jelih </t>
  </si>
  <si>
    <t>02.300725</t>
  </si>
  <si>
    <t>I Gusti Ayu Arwati</t>
  </si>
  <si>
    <t>02.300732</t>
  </si>
  <si>
    <t>I Made Astawa</t>
  </si>
  <si>
    <t>02.300741</t>
  </si>
  <si>
    <t xml:space="preserve">Poppy Eunike Nany Kustiani </t>
  </si>
  <si>
    <t>02.300745</t>
  </si>
  <si>
    <t xml:space="preserve">Ni Made Ari Cahyanti </t>
  </si>
  <si>
    <t>02.300748</t>
  </si>
  <si>
    <t>I Gusti Ngurah Adi Putra</t>
  </si>
  <si>
    <t>02.400089</t>
  </si>
  <si>
    <t>02.400101</t>
  </si>
  <si>
    <t>Ida Ayu Putu Yustini</t>
  </si>
  <si>
    <t>02.200329</t>
  </si>
  <si>
    <t>I Agus Nuaba Putra</t>
  </si>
  <si>
    <t>02.200358</t>
  </si>
  <si>
    <t>02.200316</t>
  </si>
  <si>
    <t>02.200356</t>
  </si>
  <si>
    <t>Ni Wayan Londri</t>
  </si>
  <si>
    <t>02.300619</t>
  </si>
  <si>
    <t>I Made Merdana</t>
  </si>
  <si>
    <t>02.300712</t>
  </si>
  <si>
    <t>02.300746</t>
  </si>
  <si>
    <t>I Nyoman Sukanata</t>
  </si>
  <si>
    <t>02.100401</t>
  </si>
  <si>
    <t>I Gede Rudi</t>
  </si>
  <si>
    <t>02.100405</t>
  </si>
  <si>
    <t>Ida Bagus Gede Sutisna Adi</t>
  </si>
  <si>
    <t>02.200351</t>
  </si>
  <si>
    <t xml:space="preserve">Haji Suhendry Hafni </t>
  </si>
  <si>
    <t>02.300417</t>
  </si>
  <si>
    <t>I Ketut Ardika</t>
  </si>
  <si>
    <t>02.300566</t>
  </si>
  <si>
    <t>Ni Wayan Widiantari</t>
  </si>
  <si>
    <t>02.300605</t>
  </si>
  <si>
    <t>I Putu Widiasa</t>
  </si>
  <si>
    <t>02.300641</t>
  </si>
  <si>
    <t>Ni Ketut Alit Yulisari Yudha</t>
  </si>
  <si>
    <t>02.300751</t>
  </si>
  <si>
    <t xml:space="preserve">Siti Ristati Isja Sadar </t>
  </si>
  <si>
    <t>02.100348</t>
  </si>
  <si>
    <t>Wawan Riyanto</t>
  </si>
  <si>
    <t>02.100351</t>
  </si>
  <si>
    <t>Agus Permana Putra</t>
  </si>
  <si>
    <t>02.100391</t>
  </si>
  <si>
    <t>Abdul Latif</t>
  </si>
  <si>
    <t>02.100420</t>
  </si>
  <si>
    <t>I Made Sari Adnyana</t>
  </si>
  <si>
    <t>02.100421</t>
  </si>
  <si>
    <t>I Putu Budhi Widyana</t>
  </si>
  <si>
    <t>02.100430</t>
  </si>
  <si>
    <t>02.100436</t>
  </si>
  <si>
    <t>Putu Ayu Astitiningsih</t>
  </si>
  <si>
    <t>02.100447</t>
  </si>
  <si>
    <t>I Putu Prendi Wirajaya</t>
  </si>
  <si>
    <t>02.100450</t>
  </si>
  <si>
    <t>I Ketut Temaja</t>
  </si>
  <si>
    <t>02.100453</t>
  </si>
  <si>
    <t>Ni Putu Susy Firmayanti</t>
  </si>
  <si>
    <t>02.100462</t>
  </si>
  <si>
    <t>Mariyono</t>
  </si>
  <si>
    <t>02.100463</t>
  </si>
  <si>
    <t>02.300416</t>
  </si>
  <si>
    <t>Iksan Arbi Purnawan</t>
  </si>
  <si>
    <t>02.300462</t>
  </si>
  <si>
    <t>Ida Bagus Putu Widi Adnyana</t>
  </si>
  <si>
    <t>02.300601</t>
  </si>
  <si>
    <t>Eka Sugiartha</t>
  </si>
  <si>
    <t>02.300630</t>
  </si>
  <si>
    <t>Erma Septiovita</t>
  </si>
  <si>
    <t>02.300647</t>
  </si>
  <si>
    <t>I Putu Suardana</t>
  </si>
  <si>
    <t>02.300648</t>
  </si>
  <si>
    <t>I Ketut Wiyasa</t>
  </si>
  <si>
    <t>02.300652</t>
  </si>
  <si>
    <t>Helida</t>
  </si>
  <si>
    <t>02.300659</t>
  </si>
  <si>
    <t>Tikno Widodo Alias Sutikno</t>
  </si>
  <si>
    <t>02.300662</t>
  </si>
  <si>
    <t>Anik Nerti</t>
  </si>
  <si>
    <t>02.300663</t>
  </si>
  <si>
    <t>02.300668</t>
  </si>
  <si>
    <t>Diraji Dwiya Suhita</t>
  </si>
  <si>
    <t>02.300674</t>
  </si>
  <si>
    <t>Desak Ketut Sri Juniarti</t>
  </si>
  <si>
    <t>02.300677</t>
  </si>
  <si>
    <t>Ni Luh Wayan Asri Sutini</t>
  </si>
  <si>
    <t>02.300678</t>
  </si>
  <si>
    <t>I Made Suryawan</t>
  </si>
  <si>
    <t>02.300683</t>
  </si>
  <si>
    <t>Rima Julita Kauno</t>
  </si>
  <si>
    <t>02.300685</t>
  </si>
  <si>
    <t>Anak Agung Ngurah Victory</t>
  </si>
  <si>
    <t>02.300686</t>
  </si>
  <si>
    <t>Ni Made Sitiani</t>
  </si>
  <si>
    <t>02.300708</t>
  </si>
  <si>
    <t>Manche Leony Lontoh</t>
  </si>
  <si>
    <t>02.300710</t>
  </si>
  <si>
    <t>02.300716</t>
  </si>
  <si>
    <t>02.300718</t>
  </si>
  <si>
    <t>I Putu Oka Mahendra</t>
  </si>
  <si>
    <t>02.300726</t>
  </si>
  <si>
    <t>02.300728</t>
  </si>
  <si>
    <t>02.300734</t>
  </si>
  <si>
    <t>02.300735</t>
  </si>
  <si>
    <t>02.300738</t>
  </si>
  <si>
    <t>02.300742</t>
  </si>
  <si>
    <t>02.300744</t>
  </si>
  <si>
    <t>Ni Ketut Sri Padma Ayuning</t>
  </si>
  <si>
    <t>02.400083</t>
  </si>
  <si>
    <t>Meliana Ida Mareta Hutapea</t>
  </si>
  <si>
    <t>02.400085</t>
  </si>
  <si>
    <t>I Made Rujana</t>
  </si>
  <si>
    <t>02.400086</t>
  </si>
  <si>
    <t>I Kadek Budiartawan</t>
  </si>
  <si>
    <t>02.400087</t>
  </si>
  <si>
    <t>I Wayan Suparta</t>
  </si>
  <si>
    <t>02.400091</t>
  </si>
  <si>
    <t>I Gusti Made Widya Pramana</t>
  </si>
  <si>
    <t>02.400093</t>
  </si>
  <si>
    <t>Putu Gede Darmawan</t>
  </si>
  <si>
    <t>02.400095</t>
  </si>
  <si>
    <t>I Ketut Mahardika</t>
  </si>
  <si>
    <t>02.400097</t>
  </si>
  <si>
    <t>Mohammad Rafli Al Gifari</t>
  </si>
  <si>
    <t>02.400102</t>
  </si>
  <si>
    <t>02.100438</t>
  </si>
  <si>
    <t>I Gusti Putu Arsana</t>
  </si>
  <si>
    <t>02.100451</t>
  </si>
  <si>
    <t>I Nyoman Suardhika</t>
  </si>
  <si>
    <t>02.100461</t>
  </si>
  <si>
    <t>02.200341</t>
  </si>
  <si>
    <t>02.300373</t>
  </si>
  <si>
    <t>Muhammad Ridwan</t>
  </si>
  <si>
    <t>02.300612</t>
  </si>
  <si>
    <t>Ni Nengah Sadriyati</t>
  </si>
  <si>
    <t>02.300624</t>
  </si>
  <si>
    <t>Joko Nuryantoko</t>
  </si>
  <si>
    <t>02.300639</t>
  </si>
  <si>
    <t>I Wayan Sudana Eka Putra</t>
  </si>
  <si>
    <t>02.300640</t>
  </si>
  <si>
    <t>02.300643</t>
  </si>
  <si>
    <t>Puthut Gunawan</t>
  </si>
  <si>
    <t>02.300644</t>
  </si>
  <si>
    <t>Made Gde Wahyu Sudharmawan</t>
  </si>
  <si>
    <t>02.300650</t>
  </si>
  <si>
    <t>I Nyoman Sutarsa</t>
  </si>
  <si>
    <t>02.300651</t>
  </si>
  <si>
    <t>I Nengah Pasek Suryawan</t>
  </si>
  <si>
    <t>02.300656</t>
  </si>
  <si>
    <t>Andy Martinus</t>
  </si>
  <si>
    <t>02.300660</t>
  </si>
  <si>
    <t>Putu Sualaksana Abdiyasa</t>
  </si>
  <si>
    <t>02.300675</t>
  </si>
  <si>
    <t>Gaguk Agus Prianto</t>
  </si>
  <si>
    <t>02.300691</t>
  </si>
  <si>
    <t>I Gusti Ngurah Agung Krisna</t>
  </si>
  <si>
    <t>02.300717</t>
  </si>
  <si>
    <t>02.300719</t>
  </si>
  <si>
    <t>02.300724</t>
  </si>
  <si>
    <t>02.300727</t>
  </si>
  <si>
    <t>02.300729</t>
  </si>
  <si>
    <t>02.300736</t>
  </si>
  <si>
    <t>02.300743</t>
  </si>
  <si>
    <t>02.400094</t>
  </si>
  <si>
    <t>Putu Seniasih</t>
  </si>
  <si>
    <t>02.400096</t>
  </si>
  <si>
    <t>I Wayan Darmaya</t>
  </si>
  <si>
    <t>02.400100</t>
  </si>
  <si>
    <t>02.100283</t>
  </si>
  <si>
    <t>I Gusti Lanang Ngurah Pande SH</t>
  </si>
  <si>
    <t>02.100355</t>
  </si>
  <si>
    <t>Ni Luh Gede Suryani</t>
  </si>
  <si>
    <t>02.100431</t>
  </si>
  <si>
    <t>Joko Pratomo</t>
  </si>
  <si>
    <t>02.100444</t>
  </si>
  <si>
    <t>I Gusti Agung Jaya Wiratma</t>
  </si>
  <si>
    <t>02.200340</t>
  </si>
  <si>
    <t>Leni Fitriya Agustiningsih</t>
  </si>
  <si>
    <t>02.300396</t>
  </si>
  <si>
    <t>Made Sudana</t>
  </si>
  <si>
    <t>02.300621</t>
  </si>
  <si>
    <t>I Ketut Sudana</t>
  </si>
  <si>
    <t>02.400060</t>
  </si>
  <si>
    <t>I Ketut Sudarsana</t>
  </si>
  <si>
    <t>02.400068</t>
  </si>
  <si>
    <t>I Komang Putra</t>
  </si>
  <si>
    <t>02.400072</t>
  </si>
  <si>
    <t>I Made Putra Adnyana</t>
  </si>
  <si>
    <t>SHM</t>
  </si>
  <si>
    <t>BPKB</t>
  </si>
  <si>
    <t>SHGB</t>
  </si>
  <si>
    <t>KTA</t>
  </si>
  <si>
    <t>SHT</t>
  </si>
  <si>
    <t>SKMHT</t>
  </si>
  <si>
    <t>Tidak Ada Pengikatan</t>
  </si>
  <si>
    <t>Kendala Pencairan</t>
  </si>
  <si>
    <t>Belum Lunas</t>
  </si>
  <si>
    <t>Lunas</t>
  </si>
  <si>
    <t>LANAP</t>
  </si>
  <si>
    <t>Pencairan Pokok
 s.d Mei 2021</t>
  </si>
  <si>
    <t>Pencairan Bunga
 s.d Mei 2021</t>
  </si>
  <si>
    <t>Pencairan Denda
 s.d Mei 2021</t>
  </si>
  <si>
    <t>Total Pencairan 
 s.d Mei 2021</t>
  </si>
  <si>
    <t>Haircut Bunga 
s.d Mei 2021</t>
  </si>
  <si>
    <t>Haircut Denda
s.d Mei 2021</t>
  </si>
  <si>
    <t>Sisa Kewajiban Pokok Mei 2021</t>
  </si>
  <si>
    <t>Sisa Kewajiban Bunga s.d. Mei 2021</t>
  </si>
  <si>
    <t>Sisa Kewajiban Denda s.d. Mei 2021</t>
  </si>
  <si>
    <t>Total Sisa Kewajiban s.d. Mei 2021</t>
  </si>
  <si>
    <t>Luluk Badria Murni</t>
  </si>
  <si>
    <t>Total Kewajiban 
(NP Audited)</t>
  </si>
  <si>
    <t>Penyesuaian 
Bunga Berjalan</t>
  </si>
  <si>
    <t>Penyesuaian Denda Berjalan</t>
  </si>
  <si>
    <t>Take Over</t>
  </si>
  <si>
    <t>Lelang KPKNL</t>
  </si>
  <si>
    <t>Penagihan Langsung</t>
  </si>
  <si>
    <t>Cessie</t>
  </si>
  <si>
    <t>Nilai Likuidasi</t>
  </si>
  <si>
    <t>Bank Mandiri - Cab Veteran Denpasar</t>
  </si>
  <si>
    <t>Bank BNI Cab Renon Denpsr</t>
  </si>
  <si>
    <t>Bank BPD Bali Cab Renon Dpsr</t>
  </si>
  <si>
    <t>Bank BCA</t>
  </si>
  <si>
    <t>Bank CIMB Niaga</t>
  </si>
  <si>
    <t>Bank Permata - Dewi Sartika</t>
  </si>
  <si>
    <t>Bank Danamon</t>
  </si>
  <si>
    <t>Bank OK Bank Indonesia</t>
  </si>
  <si>
    <t>Bank Andara - Denpasar</t>
  </si>
  <si>
    <t>Bank BPR Lestari - Denpasar</t>
  </si>
  <si>
    <t>Bank BPR Supra - Sukabumi</t>
  </si>
  <si>
    <t>Saldo 
(LANAP)</t>
  </si>
  <si>
    <t>Giro dan Tabungan</t>
  </si>
  <si>
    <t>Realisasi Pencairan s.d. Mei 2021</t>
  </si>
  <si>
    <t>Cair</t>
  </si>
  <si>
    <t>Belum Cair</t>
  </si>
  <si>
    <t>Deposito</t>
  </si>
  <si>
    <t>Setoff dengan Kewajiban BDL</t>
  </si>
  <si>
    <t>Gedung Kantor Pusat Denpasar Jl. Gajah Mada No. 125 sd 127</t>
  </si>
  <si>
    <t>Gedung Kantor Cabang Tabanan Jl Ngurah Rai No. 97</t>
  </si>
  <si>
    <t>Penjualan Langsung</t>
  </si>
  <si>
    <t>Kondisi Perekomian Bali pasca Pandemi</t>
  </si>
  <si>
    <t xml:space="preserve">Mobil Alpard DK1092JE </t>
  </si>
  <si>
    <t>Mobil Alpard DK1473XG</t>
  </si>
  <si>
    <t>Mobil Inova(DK 1349 GJ)</t>
  </si>
  <si>
    <t>Mobil Inova</t>
  </si>
  <si>
    <t>Mobil Avanza</t>
  </si>
  <si>
    <t>Sepeda Motor Revo</t>
  </si>
  <si>
    <t>Sepeda Motor Honda Revo</t>
  </si>
  <si>
    <t>Sepeda Motor Supra X</t>
  </si>
  <si>
    <t>Sepeda Motor Yamaha Mio</t>
  </si>
  <si>
    <t>Sepeda Motor Honda Vario</t>
  </si>
  <si>
    <t>Lukisan Gatsu</t>
  </si>
  <si>
    <t xml:space="preserve">Lukisan Lantai 3 Kpo </t>
  </si>
  <si>
    <t>Lukisan R.Komisaris</t>
  </si>
  <si>
    <t>Kursi Sapi Gatsu</t>
  </si>
  <si>
    <t>Karpet Zebra Kulit Sapi Kk Gatsu</t>
  </si>
  <si>
    <t xml:space="preserve">Lukisan R. Komisaris </t>
  </si>
  <si>
    <t>Sofa Besar R. Komisaris</t>
  </si>
  <si>
    <t>Jam R. Komisaris</t>
  </si>
  <si>
    <t>Kursi Kotak Sapi</t>
  </si>
  <si>
    <t>Cermin Teller Kpo</t>
  </si>
  <si>
    <t>Lukisan Accounting Kpo</t>
  </si>
  <si>
    <t>Kursi Komisaris</t>
  </si>
  <si>
    <t>Lukisan Kom Kpo</t>
  </si>
  <si>
    <t>Lukisan R. Dirut Kpo</t>
  </si>
  <si>
    <t>Lukisan R. Hrd</t>
  </si>
  <si>
    <t>Lukisan R. Bm Kpo</t>
  </si>
  <si>
    <t>Lukisan Kupu2</t>
  </si>
  <si>
    <t>Lukisan 3 Wanita</t>
  </si>
  <si>
    <t>Lukisan Wanita Penari</t>
  </si>
  <si>
    <t>Lukisan Wanita Sawah</t>
  </si>
  <si>
    <t>Lukisan Wanita Tidur</t>
  </si>
  <si>
    <t>Lukisan Kpo</t>
  </si>
  <si>
    <t xml:space="preserve">Lukisan Taman </t>
  </si>
  <si>
    <t xml:space="preserve">Lukisan Becak </t>
  </si>
  <si>
    <t>Lukisan Ayam</t>
  </si>
  <si>
    <t>Meja Laci Kayu R. Komisaris</t>
  </si>
  <si>
    <t>Sound R. Komisaris Utama</t>
  </si>
  <si>
    <t>Lukisan Anggrek</t>
  </si>
  <si>
    <t>Lukisan Ibu Dan Anak</t>
  </si>
  <si>
    <t>Lukisan Penari</t>
  </si>
  <si>
    <t>Pernak Pernik Biri</t>
  </si>
  <si>
    <t>Pernak-Pernik Kepala Kuda</t>
  </si>
  <si>
    <t>Pernak Pernik Guci Kerang</t>
  </si>
  <si>
    <t>Pernak Pernik Asbak</t>
  </si>
  <si>
    <t>Pernak Pernik Naga</t>
  </si>
  <si>
    <t>Pengharum Lampion</t>
  </si>
  <si>
    <t xml:space="preserve">Patung Gajah Besar </t>
  </si>
  <si>
    <t>Patung Gajah Kecil</t>
  </si>
  <si>
    <t xml:space="preserve">Gajah Berantai </t>
  </si>
  <si>
    <t xml:space="preserve">Patung Kuda Loncat </t>
  </si>
  <si>
    <t>Patung Kuda</t>
  </si>
  <si>
    <t xml:space="preserve">Lampu Zebra </t>
  </si>
  <si>
    <t>Lampu Tingkat</t>
  </si>
  <si>
    <t>Pembelian Kamera Nikon</t>
  </si>
  <si>
    <t>Pembelian Kaca Hias</t>
  </si>
  <si>
    <t>GENSET GATSU</t>
  </si>
  <si>
    <t>Lukisan Model Perempuan Besar</t>
  </si>
  <si>
    <t>2 Buah Sofa Kerobokan A</t>
  </si>
  <si>
    <t>3 Buah Sofa Kerobokan B</t>
  </si>
  <si>
    <t>3 Buah Sofa Kerobokan C</t>
  </si>
  <si>
    <t>2 Buah Sofa Kerobokan D</t>
  </si>
  <si>
    <t>2 Buah Sofa Kerobokan E</t>
  </si>
  <si>
    <t xml:space="preserve">1 Buah Sofa Kerobokan F </t>
  </si>
  <si>
    <t>1 buah Sofa Kerobokan G</t>
  </si>
  <si>
    <t>1 Buah Sofa Kerobokan H</t>
  </si>
  <si>
    <t>1 Buah Sofa Kerobokan I</t>
  </si>
  <si>
    <t xml:space="preserve">1 Buah Lukisan 3 Anak Anak </t>
  </si>
  <si>
    <t xml:space="preserve">1 lukisan Bunga Kecil Kecil </t>
  </si>
  <si>
    <t xml:space="preserve">1 Lukisan Petani di sawah </t>
  </si>
  <si>
    <t xml:space="preserve">1 Lukisan Orang Di pasar </t>
  </si>
  <si>
    <t xml:space="preserve">1 Lukisan Kelapa Gading </t>
  </si>
  <si>
    <t xml:space="preserve">1 Lukisan Bunga Paku </t>
  </si>
  <si>
    <t xml:space="preserve">1 Lukisan Pohon Di Hutan </t>
  </si>
  <si>
    <t xml:space="preserve">2 Buah Sofa Belang </t>
  </si>
  <si>
    <t xml:space="preserve">2 Buah Lampu Meja </t>
  </si>
  <si>
    <t>2 Buah Lampu Chanderlier</t>
  </si>
  <si>
    <t xml:space="preserve">1 Buah Kursi Kulit Sapi </t>
  </si>
  <si>
    <t xml:space="preserve">1 Buah Meja Bundar Kayu </t>
  </si>
  <si>
    <t xml:space="preserve">1 Lukisan Pasar </t>
  </si>
  <si>
    <t xml:space="preserve">1 Lukisan Kain Songket </t>
  </si>
  <si>
    <t xml:space="preserve">Meja A </t>
  </si>
  <si>
    <t xml:space="preserve">Meja B </t>
  </si>
  <si>
    <t xml:space="preserve">Bangku Panjang tanpa lengan </t>
  </si>
  <si>
    <t xml:space="preserve">Bangku Panjang berlengan </t>
  </si>
  <si>
    <t xml:space="preserve">Meja C </t>
  </si>
  <si>
    <t xml:space="preserve">Meja D </t>
  </si>
  <si>
    <t>2 Meja E</t>
  </si>
  <si>
    <t>2 Meja F</t>
  </si>
  <si>
    <t xml:space="preserve">1 Lampu Gantung </t>
  </si>
  <si>
    <t xml:space="preserve">1 Lampu Gantung Warna Warni </t>
  </si>
  <si>
    <t>Meja G</t>
  </si>
  <si>
    <t xml:space="preserve">Meja H </t>
  </si>
  <si>
    <t>Meja I</t>
  </si>
  <si>
    <t>Meja J</t>
  </si>
  <si>
    <t xml:space="preserve">Kaca Hias Bundar </t>
  </si>
  <si>
    <t xml:space="preserve">Kaca Hias Kotak </t>
  </si>
  <si>
    <t xml:space="preserve">Kaca Hias Gelombang </t>
  </si>
  <si>
    <t>Meja K</t>
  </si>
  <si>
    <t xml:space="preserve">Meja L </t>
  </si>
  <si>
    <t xml:space="preserve">Meja M </t>
  </si>
  <si>
    <t>Lemari A</t>
  </si>
  <si>
    <t>Lemari B</t>
  </si>
  <si>
    <t xml:space="preserve">Lemari C </t>
  </si>
  <si>
    <t>Meja N</t>
  </si>
  <si>
    <t xml:space="preserve">Meja O </t>
  </si>
  <si>
    <t xml:space="preserve">Meja P </t>
  </si>
  <si>
    <t>Meja Q</t>
  </si>
  <si>
    <t>Meja R</t>
  </si>
  <si>
    <t>1 Kursi Panjang Kayu (Meja)</t>
  </si>
  <si>
    <t xml:space="preserve">2 Guci Kuning </t>
  </si>
  <si>
    <t>2 Speaker</t>
  </si>
  <si>
    <t xml:space="preserve">Patung Miniatur </t>
  </si>
  <si>
    <t xml:space="preserve">Karpet </t>
  </si>
  <si>
    <t xml:space="preserve">Vas Bunga Dimeja Teller </t>
  </si>
  <si>
    <t>Vas Bunga Lt 2</t>
  </si>
  <si>
    <t xml:space="preserve">Lukisan dibelakang Teller </t>
  </si>
  <si>
    <t xml:space="preserve">Lukisan Gadis Bali Dibelakang CS </t>
  </si>
  <si>
    <t xml:space="preserve">Rangkaian Bunga Hias </t>
  </si>
  <si>
    <t>2 Bingkai Foto A,B</t>
  </si>
  <si>
    <t>2 Bingkai Foto C,D</t>
  </si>
  <si>
    <t xml:space="preserve">1 Karpet Kulit Sapi </t>
  </si>
  <si>
    <t xml:space="preserve">1 Taplak Meja Panjang di meja meeting </t>
  </si>
  <si>
    <t>1 Bunga Pintu Masuk tangga LT 1</t>
  </si>
  <si>
    <t xml:space="preserve">1 Bunga Pojok ruang BM </t>
  </si>
  <si>
    <t xml:space="preserve">1 Bunga di meja BM </t>
  </si>
  <si>
    <t xml:space="preserve">1 Bunga CS </t>
  </si>
  <si>
    <t xml:space="preserve">2 Bunga di ruang eksekutif </t>
  </si>
  <si>
    <t xml:space="preserve">1 Bunga di samping monitor cctv </t>
  </si>
  <si>
    <t xml:space="preserve">1 Lampu di ruang nasabah </t>
  </si>
  <si>
    <t xml:space="preserve">1 Buah Jam Meja Teller </t>
  </si>
  <si>
    <t>Pajangan dinding A</t>
  </si>
  <si>
    <t xml:space="preserve">Pajangan dinding B </t>
  </si>
  <si>
    <t xml:space="preserve">Pajangan dinding C </t>
  </si>
  <si>
    <t xml:space="preserve">Pajangan dinding D </t>
  </si>
  <si>
    <t>Pajangan dinding E</t>
  </si>
  <si>
    <t xml:space="preserve">Pajangan dinding F </t>
  </si>
  <si>
    <t xml:space="preserve">Pajangan dinding G </t>
  </si>
  <si>
    <t>Pajangan dinding H</t>
  </si>
  <si>
    <t>Pajangan dinding I</t>
  </si>
  <si>
    <t>Pajangan dinding J</t>
  </si>
  <si>
    <t>Pajangan dinding K</t>
  </si>
  <si>
    <t>Pajangan dinding L</t>
  </si>
  <si>
    <t>Pajangan dinding M</t>
  </si>
  <si>
    <t>Pajangan dinding N</t>
  </si>
  <si>
    <t>Pajangan dinding O</t>
  </si>
  <si>
    <t>Pajangan dinding P</t>
  </si>
  <si>
    <t>Pajangan dinding Q</t>
  </si>
  <si>
    <t>Pajangan dinding R</t>
  </si>
  <si>
    <t>Bunga Kecil 1</t>
  </si>
  <si>
    <t>Bunga Kecil 2</t>
  </si>
  <si>
    <t>Bunga Kecil 3</t>
  </si>
  <si>
    <t>Bunga Kecil 4  (Bajra)</t>
  </si>
  <si>
    <t>Bunga Kecil 5</t>
  </si>
  <si>
    <t>Bunga Kecil 6</t>
  </si>
  <si>
    <t>2 Bunga Kecil 7</t>
  </si>
  <si>
    <t>Bunga Kecil 8 (Bajra)</t>
  </si>
  <si>
    <t>Bunga Kecil 9 (Bajra)</t>
  </si>
  <si>
    <t>Bunga Kecil 10 (Bajra)</t>
  </si>
  <si>
    <t>Gucci Asbak A</t>
  </si>
  <si>
    <t>Gucci Asbak B</t>
  </si>
  <si>
    <t>Microwave</t>
  </si>
  <si>
    <t xml:space="preserve">Bunga Hias </t>
  </si>
  <si>
    <t xml:space="preserve">Meja Kantor </t>
  </si>
  <si>
    <t>Sofa</t>
  </si>
  <si>
    <t xml:space="preserve">4 PCS LP Gantung </t>
  </si>
  <si>
    <t>Lemari dan meja wooden</t>
  </si>
  <si>
    <t>Lukisan pot bunga</t>
  </si>
  <si>
    <t>Lukisan Bunga Matahari</t>
  </si>
  <si>
    <t xml:space="preserve">Lukisan Bunga </t>
  </si>
  <si>
    <t>Lukisan Penari Pendet</t>
  </si>
  <si>
    <t>Cermin persegi panjang</t>
  </si>
  <si>
    <t>Penjualan Langsung/Lelang</t>
  </si>
  <si>
    <t>Intelligen Money Detector</t>
  </si>
  <si>
    <t>Printer Canon Mp 258 (Drktr,R&amp;D,Persnl)</t>
  </si>
  <si>
    <t>Filling Cabinet 4 Shelves</t>
  </si>
  <si>
    <t>Filling Drawer 2 Shelves</t>
  </si>
  <si>
    <t>Lemari Pendek Expo Beech</t>
  </si>
  <si>
    <t xml:space="preserve">Lcd Proyektor Sony+Layar 70' </t>
  </si>
  <si>
    <t>Ups Ica Ce 1200 V A</t>
  </si>
  <si>
    <t>Solution X 100 C (Finger Print)</t>
  </si>
  <si>
    <t>Cash Box Vitex (Tl1,Tl2,Bo)</t>
  </si>
  <si>
    <t xml:space="preserve">Gorden Vertikal 8008-7 </t>
  </si>
  <si>
    <t>Laptop Thoshiba L635</t>
  </si>
  <si>
    <t>Printer Canon Mp 258 (Spi)</t>
  </si>
  <si>
    <t>D-Link 8 Port</t>
  </si>
  <si>
    <t>Paket Pc</t>
  </si>
  <si>
    <t>Sound System</t>
  </si>
  <si>
    <t>Stand Fan Miyako</t>
  </si>
  <si>
    <t>Cash Box Vitex (Teller)</t>
  </si>
  <si>
    <t xml:space="preserve">1 Set Meja+Kursi+Lemari+Laci+6Kursi Hadap </t>
  </si>
  <si>
    <t>Printer Canon Mp 258 (Drtr)</t>
  </si>
  <si>
    <t>Apar Yamato 2 Kg</t>
  </si>
  <si>
    <t>Printer Hp Laserjet Cp1525N</t>
  </si>
  <si>
    <t>Ups Gama 1200 Va</t>
  </si>
  <si>
    <t>Telepon Slt Panasonic Kxt-S 505</t>
  </si>
  <si>
    <t>Camera Cctv+Digital Telph Transtell</t>
  </si>
  <si>
    <t>Mesin Tell Fr 2650T</t>
  </si>
  <si>
    <t>Mesin Tik Manual M 2000</t>
  </si>
  <si>
    <t>Lemari Arsip</t>
  </si>
  <si>
    <t>Computer</t>
  </si>
  <si>
    <t>Jam</t>
  </si>
  <si>
    <t>Kursi Tunggu</t>
  </si>
  <si>
    <t>Ups</t>
  </si>
  <si>
    <t>Pot Angrek</t>
  </si>
  <si>
    <t>Printer</t>
  </si>
  <si>
    <t>Meja Bundar</t>
  </si>
  <si>
    <t>Tv</t>
  </si>
  <si>
    <t>Kursi Sofa</t>
  </si>
  <si>
    <t>Meja Tamu</t>
  </si>
  <si>
    <t>Dispenser</t>
  </si>
  <si>
    <t>Kulkas</t>
  </si>
  <si>
    <t>Meja Kerja</t>
  </si>
  <si>
    <t>Meja Komputer</t>
  </si>
  <si>
    <t>Kursi Direktur</t>
  </si>
  <si>
    <t>Kursi Informa</t>
  </si>
  <si>
    <t>Meja Meeting</t>
  </si>
  <si>
    <t>Kursi Kerja Ichiko</t>
  </si>
  <si>
    <t>Lukisan</t>
  </si>
  <si>
    <t>Komputer (Dr Tbn)</t>
  </si>
  <si>
    <t>Komputer Benq + Cpu Lg/Ga</t>
  </si>
  <si>
    <t>Telepone Panasonic/Ga</t>
  </si>
  <si>
    <t>Mikrotik Rb 750</t>
  </si>
  <si>
    <t>Modem Router Mikrotik</t>
  </si>
  <si>
    <t>Tv Lcd Panasonic Th L37S10X</t>
  </si>
  <si>
    <t>Laptop Asus 14"</t>
  </si>
  <si>
    <t>Lcd Panasonic Th-L32 C 30 G</t>
  </si>
  <si>
    <t>Printer Epson L200/Ga</t>
  </si>
  <si>
    <t>Telepon Panasonic Analog</t>
  </si>
  <si>
    <t>Telepon Panasonic  Wireless</t>
  </si>
  <si>
    <t>Money Detector</t>
  </si>
  <si>
    <t>Komputer</t>
  </si>
  <si>
    <t>Printer Epson Plq-20(Kpo,Sanur)</t>
  </si>
  <si>
    <t>Printer Epson L-200 (Acc,Prsnl,P Dwi,Sanur)</t>
  </si>
  <si>
    <t>Ups Gama 600</t>
  </si>
  <si>
    <t>Printer Epson Lq-2190</t>
  </si>
  <si>
    <t>Printer Epson Aculaser 2310 Dn</t>
  </si>
  <si>
    <t>Laptop Asus N 435 M</t>
  </si>
  <si>
    <t>Laptop Sony 14112/B</t>
  </si>
  <si>
    <t>Printer Epson Plq-20</t>
  </si>
  <si>
    <t>Nikon Digital Camera+Thosiba Sdhc</t>
  </si>
  <si>
    <t>Handycam Sony</t>
  </si>
  <si>
    <t>Laptop Hp 430 U/ Spi</t>
  </si>
  <si>
    <t>Laptop Hp Pavilion U/ Spi</t>
  </si>
  <si>
    <t>Printer Epson</t>
  </si>
  <si>
    <t>Camera Cctv Samsung</t>
  </si>
  <si>
    <t>Money Counter Original</t>
  </si>
  <si>
    <t>Kipas Angin</t>
  </si>
  <si>
    <t>Tabung Pemadam</t>
  </si>
  <si>
    <t>Printer L-200</t>
  </si>
  <si>
    <t>Printer Plq 2190</t>
  </si>
  <si>
    <t>Ups Gama 2000 Va</t>
  </si>
  <si>
    <t>Printer Canon E-501(Spi+Oprs)</t>
  </si>
  <si>
    <t>Mesin Fax Panasonic Kxfp 701</t>
  </si>
  <si>
    <t>Printer Epson L210 (U/Bo)</t>
  </si>
  <si>
    <t>Paper Shedder U/Legal</t>
  </si>
  <si>
    <t>Mesin Banknotes Detector Nibo 689</t>
  </si>
  <si>
    <t>Pompa Air Shitmizu</t>
  </si>
  <si>
    <t>Pabx Panasonik Kx-Tes824Nd</t>
  </si>
  <si>
    <t>Mesin Ro Sulingan Air Minum</t>
  </si>
  <si>
    <t>Dispenser Sharp</t>
  </si>
  <si>
    <t>Cermin Lantai 1</t>
  </si>
  <si>
    <t>Mesin Absen Kantor Kas Gatsu</t>
  </si>
  <si>
    <t>Karpet Lantai Gatsu</t>
  </si>
  <si>
    <t xml:space="preserve"> Pabx Gatsu</t>
  </si>
  <si>
    <t>Cctv Gatsu</t>
  </si>
  <si>
    <t>Pc Admin Kredit</t>
  </si>
  <si>
    <t>Modem Tp Link</t>
  </si>
  <si>
    <t>Kulkas 1 Pintu Merk Panasonic Gatsu</t>
  </si>
  <si>
    <t>Dispenser Merk Sanken Gatsu</t>
  </si>
  <si>
    <t>Microwave Merk Sharp Gatsu</t>
  </si>
  <si>
    <t>Karpet Lantai 3 Kpo</t>
  </si>
  <si>
    <t>Pot Bunga Kpo</t>
  </si>
  <si>
    <t xml:space="preserve">Printer Kpo </t>
  </si>
  <si>
    <t>Meja Gatsu</t>
  </si>
  <si>
    <t>Kursi Merah  Hitam Kpo</t>
  </si>
  <si>
    <t xml:space="preserve">Meja Kpo </t>
  </si>
  <si>
    <t xml:space="preserve">Lukisan Depan Hrd </t>
  </si>
  <si>
    <t>Lukisan R. Marketing</t>
  </si>
  <si>
    <t xml:space="preserve">Tlp Wareless Panasonik Kpo </t>
  </si>
  <si>
    <t>Cushion Mermaid Gold Gatsu</t>
  </si>
  <si>
    <t>Wodden Modern Chair Gatsu</t>
  </si>
  <si>
    <t>Curtain Lantai 2&amp;3</t>
  </si>
  <si>
    <t>Kursi Direktur Gatsu</t>
  </si>
  <si>
    <t>Meja Kantor Recover Gatsu</t>
  </si>
  <si>
    <t>Throw Pillow Gatsu</t>
  </si>
  <si>
    <t xml:space="preserve">Bench Gatsu </t>
  </si>
  <si>
    <t>Cabinet Kpo</t>
  </si>
  <si>
    <t>Permadani Paris Kpo</t>
  </si>
  <si>
    <t xml:space="preserve">Lukisan Bunga Anggrek </t>
  </si>
  <si>
    <t>Permadani Paris Merah 170</t>
  </si>
  <si>
    <t>Permadani Paris Biru 170</t>
  </si>
  <si>
    <t>Bourbon Dining Chair Red</t>
  </si>
  <si>
    <t>Permadani Paris 210X310</t>
  </si>
  <si>
    <t>Karpet Bulu Halus 1X1,5</t>
  </si>
  <si>
    <t>Permadani Paris 125X160</t>
  </si>
  <si>
    <t>Permadani Paris 170X230</t>
  </si>
  <si>
    <t>Permadani 170X230</t>
  </si>
  <si>
    <t>Permadani Paris Kpo Lt 1</t>
  </si>
  <si>
    <t>Alat Jaringan Lt 1</t>
  </si>
  <si>
    <t>Printer Epson L 360 Cs</t>
  </si>
  <si>
    <t xml:space="preserve">Bunga Westerin </t>
  </si>
  <si>
    <t xml:space="preserve">Patung Selamat Datang 1 Set </t>
  </si>
  <si>
    <t>Pembelian Bunga Hias</t>
  </si>
  <si>
    <t>Inventaris Kk Gatsu 3 Mar&amp;10 Aprl</t>
  </si>
  <si>
    <t>Pembelian Wine Bucket</t>
  </si>
  <si>
    <t>Pembelian Lomo Staff Chair Low</t>
  </si>
  <si>
    <t>Pembelian Ziggo Arm Chair Turquoise</t>
  </si>
  <si>
    <t>Pembelian Nectar Glass Troley White</t>
  </si>
  <si>
    <t>Pembelian  Anniston Sofa 2S Petrol</t>
  </si>
  <si>
    <t>Pembelian  Anniston Sofa 3S Petrol</t>
  </si>
  <si>
    <t>Pembelian Samsung Led Tv 55^</t>
  </si>
  <si>
    <t>Pembelian Samsung Refrigerator 250 Lt</t>
  </si>
  <si>
    <t>Pembelian Electrolux Coffe Maker</t>
  </si>
  <si>
    <t>Pembelian Electrolux Drip Coffe Maker</t>
  </si>
  <si>
    <t>Pembelian Dvr Cctv</t>
  </si>
  <si>
    <t>Pembelian Hp Kantor Samsung A7</t>
  </si>
  <si>
    <t>Pembelian Tape Alpard &amp;Panel</t>
  </si>
  <si>
    <t>Pembelian Permadani Kk Gatsu</t>
  </si>
  <si>
    <t>Pembelian Bunga Sakura Merah Kk Gatsu</t>
  </si>
  <si>
    <t>Pembelian Bunga Sakura Kuning Kk Gatsu</t>
  </si>
  <si>
    <t>Pembelian Taylor Extand Dining Table High Gloss</t>
  </si>
  <si>
    <t>Pembelian Michigan Dining Chair  Udc80199 Pu Black</t>
  </si>
  <si>
    <t>Pembelian Tristan Dining Cair C-4032 Pu Black</t>
  </si>
  <si>
    <t>Pembelian Zara Visitor Chair Zm-227 Dh Black</t>
  </si>
  <si>
    <t>Pembelian Yoland Round Dining Table Clear Glass</t>
  </si>
  <si>
    <t>Pembelian Tyclops Dining Chair Pu C-4307 Black W/ White Stripe</t>
  </si>
  <si>
    <t>Pembelian Flipchart,Spidol</t>
  </si>
  <si>
    <t>Printer Epson L360</t>
  </si>
  <si>
    <t>Permadani 250X330 R.Komisaris</t>
  </si>
  <si>
    <t>Printer Canon G2010</t>
  </si>
  <si>
    <t>Cashbox Teller1 Warna Merah</t>
  </si>
  <si>
    <t>Cashbox Teller3 Warna Hitam</t>
  </si>
  <si>
    <t>Dvr Ctv Kpo</t>
  </si>
  <si>
    <t>Carpet Grassland White</t>
  </si>
  <si>
    <t>Forgan Dinning Chair</t>
  </si>
  <si>
    <t>Hugo Director Chair</t>
  </si>
  <si>
    <t>Carpet Gris Gold</t>
  </si>
  <si>
    <t>Halsta Cabinet</t>
  </si>
  <si>
    <t>Franza</t>
  </si>
  <si>
    <t>Permadani</t>
  </si>
  <si>
    <t>Printer Marketing</t>
  </si>
  <si>
    <t>Printer HRD</t>
  </si>
  <si>
    <t>Kursi Lipat Chitose</t>
  </si>
  <si>
    <t>Kursi Ichico IC 200</t>
  </si>
  <si>
    <t>Meja partisi</t>
  </si>
  <si>
    <t>Papan Flipchart</t>
  </si>
  <si>
    <t>Filling Cabinet 3 Laci</t>
  </si>
  <si>
    <t>Ac Daikin 1.5 PK</t>
  </si>
  <si>
    <t>Outdoor Ac Nasional 2 PK</t>
  </si>
  <si>
    <t>Brankas  OBRA</t>
  </si>
  <si>
    <t>Mesin Hitung</t>
  </si>
  <si>
    <t>Pass Book</t>
  </si>
  <si>
    <t>AC</t>
  </si>
  <si>
    <t>Mesin Diesel</t>
  </si>
  <si>
    <t>SDB 5x10 KPO</t>
  </si>
  <si>
    <t>SDB 10x10 KPO</t>
  </si>
  <si>
    <t>Foldable Platformth-C-150H</t>
  </si>
  <si>
    <t>Brankas Bernstein size 3</t>
  </si>
  <si>
    <t>Meja L Ichico IW-03</t>
  </si>
  <si>
    <t>Meja  Stgh Biro Ichico IW-03</t>
  </si>
  <si>
    <t>Kursi Ichico IC 101 Tc</t>
  </si>
  <si>
    <t>BRANKAS SOLINGEN</t>
  </si>
  <si>
    <t>OFFICE CHAIR</t>
  </si>
  <si>
    <t>LOCKER KRISBOW</t>
  </si>
  <si>
    <t>BUFFET KACA KRISBOW</t>
  </si>
  <si>
    <t>AC LG (MNG ACC+PRSN)</t>
  </si>
  <si>
    <t>TROMOL UANG TELLER</t>
  </si>
  <si>
    <t>Papan Flipchart untuk Kas Sanur</t>
  </si>
  <si>
    <t>MEJA RUANG MEETING</t>
  </si>
  <si>
    <t>CABINET LT 4</t>
  </si>
  <si>
    <t>BOX PEMADAM KECIL</t>
  </si>
  <si>
    <t>BOX PEMADAM BESAR</t>
  </si>
  <si>
    <t>AC LG U/KK SESETAN</t>
  </si>
  <si>
    <t>AC LG (U/LEGAL)</t>
  </si>
  <si>
    <t>AC LG 1,5 PK (U/DIREKTUR)</t>
  </si>
  <si>
    <t>LEMARI ARSIP U/BO+TELLER+CS</t>
  </si>
  <si>
    <t>AC LG 1,5 PK (U/TELLER)</t>
  </si>
  <si>
    <t>SOFA U/R.TUNGGU TELLER</t>
  </si>
  <si>
    <t>MEJA TV U/ R.TUNGGU TELER</t>
  </si>
  <si>
    <t>FILLING CABINET 4 laci adm kredit</t>
  </si>
  <si>
    <t>AC ruangan GA</t>
  </si>
  <si>
    <t xml:space="preserve">AC 2 PK  INVENTEN LG </t>
  </si>
  <si>
    <t xml:space="preserve">AC 2 PK INVENTEN LG </t>
  </si>
  <si>
    <t xml:space="preserve">AC 1 PK INVENTEN LG </t>
  </si>
  <si>
    <t>AC 2 PK LG TYPE T-19</t>
  </si>
  <si>
    <t>AC 1,5PK LG TYPE S-12</t>
  </si>
  <si>
    <t>AC GATSU</t>
  </si>
  <si>
    <t>PEMBELIAN LAMPU LED&amp;LAMPU DECORATIV</t>
  </si>
  <si>
    <t>PEMBELIAN DROUND</t>
  </si>
  <si>
    <t>TABUNG PEMADAM</t>
  </si>
  <si>
    <t>PRINTER CANON G200 (ADMIN)</t>
  </si>
  <si>
    <t>PEMBELIAN PROYECTRUM GATSU</t>
  </si>
  <si>
    <t>Papan Tulis</t>
  </si>
  <si>
    <t>8 PORT HUB Internet</t>
  </si>
  <si>
    <t>Mesin Tell Struk</t>
  </si>
  <si>
    <t>Microweve Sharf 200</t>
  </si>
  <si>
    <t>Lemari Es Toshiba</t>
  </si>
  <si>
    <t>Meja Kerja Informa</t>
  </si>
  <si>
    <t>Kursi Kerja ICHIKO</t>
  </si>
  <si>
    <t>Mesin Hitung Uang Besar</t>
  </si>
  <si>
    <t>Jam Dinding Saiko</t>
  </si>
  <si>
    <t xml:space="preserve">Pot Anggrek </t>
  </si>
  <si>
    <t xml:space="preserve">Kursi Tamu Sofa 2 Set </t>
  </si>
  <si>
    <t>Sofa 2 Seat ( Informa )</t>
  </si>
  <si>
    <t>Kursi Direktur Informa</t>
  </si>
  <si>
    <t>Telephone ( Transtell )</t>
  </si>
  <si>
    <t xml:space="preserve">Dispenser Sanken </t>
  </si>
  <si>
    <t>Printer Epson PLQ 20</t>
  </si>
  <si>
    <t>Kulkas Panasonic</t>
  </si>
  <si>
    <t>Computer + CPU</t>
  </si>
  <si>
    <t>Printer Besar Epson LQ</t>
  </si>
  <si>
    <t>Kursi Kerja Executive Informa</t>
  </si>
  <si>
    <t>Meja Kerja Executive Informa</t>
  </si>
  <si>
    <t>CPU</t>
  </si>
  <si>
    <t>Monitor</t>
  </si>
  <si>
    <t>Net Komputing</t>
  </si>
  <si>
    <t>UPS Gama 600 VA</t>
  </si>
  <si>
    <t xml:space="preserve">Printer Epson PLQ-20 </t>
  </si>
  <si>
    <t>Printer Epson L-200</t>
  </si>
  <si>
    <t>Printer Epson LQ-2190</t>
  </si>
  <si>
    <t>Prntr PLQ20+2 Windos 7 Orgl</t>
  </si>
  <si>
    <t>Printer Epson L200</t>
  </si>
  <si>
    <t>Computer Merk Dell</t>
  </si>
  <si>
    <t>Camera CCTV Samsung</t>
  </si>
  <si>
    <t>Money Counter Origin Pronotos</t>
  </si>
  <si>
    <t>Lcd,Keytlp,3port CO line</t>
  </si>
  <si>
    <t>Rak pantry/kitchen set&amp;meja mkn</t>
  </si>
  <si>
    <t>Meja Counter &amp; Meja Cabinet</t>
  </si>
  <si>
    <t>Meja Kecil &amp; Rak Depan</t>
  </si>
  <si>
    <t>Meja Rapat &amp; Meja Kecil</t>
  </si>
  <si>
    <t>Mesin Fax</t>
  </si>
  <si>
    <t>Mesin Detector Valas</t>
  </si>
  <si>
    <t>Printer Epson L201</t>
  </si>
  <si>
    <t xml:space="preserve">Mesin RO </t>
  </si>
  <si>
    <t xml:space="preserve">Mesin Absen Sidik Jari </t>
  </si>
  <si>
    <t xml:space="preserve">Permadani </t>
  </si>
  <si>
    <t>Printer Canon G 200</t>
  </si>
  <si>
    <t xml:space="preserve">2 Bunga Hias Sakura </t>
  </si>
  <si>
    <t xml:space="preserve">10 Kursi Lomo Staff chair low backblue </t>
  </si>
  <si>
    <t xml:space="preserve">6 Kursi Ziggo ARM Chair Turquoise </t>
  </si>
  <si>
    <t xml:space="preserve">2 Kursi Nurco CT Clear Black Chrome </t>
  </si>
  <si>
    <t xml:space="preserve">1 Kursi Maurice Baroque Chair Blue </t>
  </si>
  <si>
    <t xml:space="preserve">1 Kursi Flynn Manarerial Chair Low </t>
  </si>
  <si>
    <t xml:space="preserve">3 Kursi Maurice Baroque Chair Blue </t>
  </si>
  <si>
    <t xml:space="preserve">3 Kursi Anniston Sofa 3S Petrol </t>
  </si>
  <si>
    <t>PABX</t>
  </si>
  <si>
    <t xml:space="preserve">TV Samsung </t>
  </si>
  <si>
    <t xml:space="preserve">Hardisk CCTV </t>
  </si>
  <si>
    <t xml:space="preserve">Kain Volve </t>
  </si>
  <si>
    <t xml:space="preserve">4 Permadani </t>
  </si>
  <si>
    <t xml:space="preserve">Kulkas SHARP </t>
  </si>
  <si>
    <t xml:space="preserve">2 PCS LP Dinding </t>
  </si>
  <si>
    <t xml:space="preserve">Sepasang Patung Bali </t>
  </si>
  <si>
    <t>CCTV (Pind dr gol II )</t>
  </si>
  <si>
    <t>Cas Box V-tex</t>
  </si>
  <si>
    <t>Printer Epson Matrik</t>
  </si>
  <si>
    <t>Camera case + Baterai</t>
  </si>
  <si>
    <t>Lemari Besi Arsip kredit</t>
  </si>
  <si>
    <t>Ups Ica 600VA</t>
  </si>
  <si>
    <t>Brankas Solingen Tahan Api</t>
  </si>
  <si>
    <t>Brankas Krisbow Cobra</t>
  </si>
  <si>
    <t>Brangkas Solingen</t>
  </si>
  <si>
    <t>Office Chair</t>
  </si>
  <si>
    <t>Locker 4 Door Blue Krisbow</t>
  </si>
  <si>
    <t>4 Seater Waiting Chair</t>
  </si>
  <si>
    <t>Cashbox TS8835</t>
  </si>
  <si>
    <t>AC 1PK Merk LG</t>
  </si>
  <si>
    <t>AC 1.5PK Merk LG</t>
  </si>
  <si>
    <t xml:space="preserve">AC </t>
  </si>
  <si>
    <t xml:space="preserve">Intelligen Money Detector </t>
  </si>
  <si>
    <t>paper shredder (penghancur kertas) KPO</t>
  </si>
  <si>
    <t>money counter(penghtng uang krts)</t>
  </si>
  <si>
    <t>telphon panasonic</t>
  </si>
  <si>
    <t>9 unit komputer lengkap (KPO)</t>
  </si>
  <si>
    <t>UPS Gama 600 Va Line Interactive</t>
  </si>
  <si>
    <t>Printer passbook epson PLQ-20</t>
  </si>
  <si>
    <t>printer epson LQ-2190</t>
  </si>
  <si>
    <t>Printer epson  L200</t>
  </si>
  <si>
    <t>D-Link Switch HUB 16 port</t>
  </si>
  <si>
    <t>Mikrotik Router RB750 Series</t>
  </si>
  <si>
    <t>Pinger print( absen)</t>
  </si>
  <si>
    <t>Bufet kaca Biru Krisbow</t>
  </si>
  <si>
    <t>Meja Teller</t>
  </si>
  <si>
    <t>Meja Pemimpin 7,5 X 160 Multiplek</t>
  </si>
  <si>
    <t>Meja CS 45X 120 Multiplek</t>
  </si>
  <si>
    <t>Meja marketing, analis, Bo, adm Krdt</t>
  </si>
  <si>
    <t>Washtafel satu set</t>
  </si>
  <si>
    <t>Meja Marketing, Lantai 2</t>
  </si>
  <si>
    <t>Meja Analis, Lantai 2</t>
  </si>
  <si>
    <t>Rak Arsip Pimpinan Cabang, Lantai 2</t>
  </si>
  <si>
    <t>Meja Admin, Lantai 2</t>
  </si>
  <si>
    <t>Meja IT, Lantai 2</t>
  </si>
  <si>
    <t>Meja Backoffice, Lantai 1</t>
  </si>
  <si>
    <t>Meja Supervisor Teller, Lantai 1</t>
  </si>
  <si>
    <t>Meja Supervisor CS, Lantai 1</t>
  </si>
  <si>
    <t>Rak Slip, Lantai 1</t>
  </si>
  <si>
    <t>CCTV</t>
  </si>
  <si>
    <t>Gorden</t>
  </si>
  <si>
    <t>Mesin RO</t>
  </si>
  <si>
    <t>Permadani Karpet Merah</t>
  </si>
  <si>
    <t>Printer canon G2000</t>
  </si>
  <si>
    <t>Drawer 4 selves (piling kabinet)</t>
  </si>
  <si>
    <t>Flip chart V-tec(papan)</t>
  </si>
  <si>
    <t>Cash box  v-tec</t>
  </si>
  <si>
    <t>Cash box  eagle</t>
  </si>
  <si>
    <t>Public chair</t>
  </si>
  <si>
    <t>Table square</t>
  </si>
  <si>
    <t>Money Counter Gallant</t>
  </si>
  <si>
    <t>Brankas Solingen Pertalock</t>
  </si>
  <si>
    <t>Kursi Pemimpin Indachi Vecto II-N</t>
  </si>
  <si>
    <t>Kursi Hadap Indachi Vecto III-VCR</t>
  </si>
  <si>
    <t>Kursi Kerja Indachi Vecto III-N</t>
  </si>
  <si>
    <t>Cash BOX V-Tec CB-98868L</t>
  </si>
  <si>
    <t>AC Samsung 1/2 PK</t>
  </si>
  <si>
    <t>AC Samsung 1 PK</t>
  </si>
  <si>
    <t>AC Samsung 1.5 PK</t>
  </si>
  <si>
    <t>Kursi kerja merah</t>
  </si>
  <si>
    <t>Camera Casio Exilin</t>
  </si>
  <si>
    <t>Conter II</t>
  </si>
  <si>
    <t>Kursi Tiger</t>
  </si>
  <si>
    <t>Dispensr Sharp II</t>
  </si>
  <si>
    <t>Printer Epson LX 300+</t>
  </si>
  <si>
    <t>Printer Epson LQ 2190 (kor)</t>
  </si>
  <si>
    <t>Unit komputer lengkap</t>
  </si>
  <si>
    <t>Printer Epson PLX20</t>
  </si>
  <si>
    <t>Meja Counter Teller</t>
  </si>
  <si>
    <t>Meja Counter BO</t>
  </si>
  <si>
    <t>Kursi Kerja</t>
  </si>
  <si>
    <t>Kursi Sofa (Informa)</t>
  </si>
  <si>
    <t>Almari Arsip</t>
  </si>
  <si>
    <t>Meja Counter Marketing</t>
  </si>
  <si>
    <t>Switch dan Mikrotik</t>
  </si>
  <si>
    <t>Camera Digital</t>
  </si>
  <si>
    <t>Printer Epson L210 (Bajera)</t>
  </si>
  <si>
    <t>Printer Canon G 2000</t>
  </si>
  <si>
    <t>Mesin Air RO</t>
  </si>
  <si>
    <t>Cabinet 4 Pintu</t>
  </si>
  <si>
    <t>Karpen bulu halus dpn Teller</t>
  </si>
  <si>
    <t>Derwood 2 chair white 3 buah</t>
  </si>
  <si>
    <t>cctv &amp;8 camera (pind  dr gol II)</t>
  </si>
  <si>
    <t>Mesin Absensi sidik jari ( Pind dr gol II )</t>
  </si>
  <si>
    <t>Brankas</t>
  </si>
  <si>
    <t>Lemari besi</t>
  </si>
  <si>
    <t>Lemari Besi</t>
  </si>
  <si>
    <t>2 Set kursi tunggu 404 TF</t>
  </si>
  <si>
    <t>Lemari Besi 2 pintu Sak</t>
  </si>
  <si>
    <t>Cash Box Eagle</t>
  </si>
  <si>
    <t>Kursi Tunggu FPC</t>
  </si>
  <si>
    <t>Brankas Garuda</t>
  </si>
  <si>
    <t>Ac.Split Mitsubisi</t>
  </si>
  <si>
    <t>Mesin Absensi &amp; papan</t>
  </si>
  <si>
    <t>Mesin penghancur kertas</t>
  </si>
  <si>
    <t>Filling Kabinet 4 laci</t>
  </si>
  <si>
    <t xml:space="preserve">Mesin Absensi </t>
  </si>
  <si>
    <t>Loker 4x4 Krisbow</t>
  </si>
  <si>
    <t>Mesin Penghitung Uang(Origin)</t>
  </si>
  <si>
    <t>AC IGT 09 NL (Bjr)</t>
  </si>
  <si>
    <t>AC Daikin</t>
  </si>
  <si>
    <t>Meja Kaca (Informa)</t>
  </si>
  <si>
    <t>Bunga dan Vas</t>
  </si>
  <si>
    <t>Kipas Angin Miyako</t>
  </si>
  <si>
    <t>Dispenser Miyako</t>
  </si>
  <si>
    <t>Printer Canon MP 258</t>
  </si>
  <si>
    <t>Neon Lamp</t>
  </si>
  <si>
    <t>Flash disk</t>
  </si>
  <si>
    <t>Kursi Plastik</t>
  </si>
  <si>
    <t>Printer Epson L350</t>
  </si>
  <si>
    <t>Printer Canon iP2770</t>
  </si>
  <si>
    <t>Printer Epson CX 5500</t>
  </si>
  <si>
    <t>Mesin Itung Uang Super Power</t>
  </si>
  <si>
    <t>Mesin UV</t>
  </si>
  <si>
    <t>Stabilizer</t>
  </si>
  <si>
    <t xml:space="preserve">UPS ICA </t>
  </si>
  <si>
    <t>Kipas Angin Cosmos</t>
  </si>
  <si>
    <t>Filling Cabinet Indowicker 2 Laci</t>
  </si>
  <si>
    <t>Lampu Sorot</t>
  </si>
  <si>
    <t>Kaca Cermin Bulet</t>
  </si>
  <si>
    <t>Kursi Kerja Pincab</t>
  </si>
  <si>
    <t>Kursi Kerja Kredit</t>
  </si>
  <si>
    <t>Meja Kerja 1/2 Biro</t>
  </si>
  <si>
    <t>Papan Informasi</t>
  </si>
  <si>
    <t>Lemari 5 Pintu</t>
  </si>
  <si>
    <t>Lemari Big Panel</t>
  </si>
  <si>
    <t>Lemari Olympic</t>
  </si>
  <si>
    <t>Lemari Arsip Kayu</t>
  </si>
  <si>
    <t>Lemari Arsip Kayu Panjang</t>
  </si>
  <si>
    <t>Lemari Arsip Kayu Kecil</t>
  </si>
  <si>
    <t>Rak Arsip Kayu</t>
  </si>
  <si>
    <t>Tempat Sampah Krisbow</t>
  </si>
  <si>
    <t>Tangga</t>
  </si>
  <si>
    <t>Vas bunga plastik</t>
  </si>
  <si>
    <t>Tanaman Pohon Pisang Plastik</t>
  </si>
  <si>
    <t>Pengharum ruangan</t>
  </si>
  <si>
    <t>Punch Paper</t>
  </si>
  <si>
    <t>Tempat air kaca menara</t>
  </si>
  <si>
    <t>Gelas mium kaca</t>
  </si>
  <si>
    <t>Tempat wadah permen</t>
  </si>
  <si>
    <t>Tempat wadah camilan</t>
  </si>
  <si>
    <t>Tempat sampah plastik</t>
  </si>
  <si>
    <t>Kabel roll</t>
  </si>
  <si>
    <t>Jam dinding</t>
  </si>
  <si>
    <t>Papan pengumuman</t>
  </si>
  <si>
    <t>Lukisan panjang abstrak</t>
  </si>
  <si>
    <t>Pohon natal dan hiasan</t>
  </si>
  <si>
    <t>Lampion imlek dan hiasan</t>
  </si>
  <si>
    <t>Tanaman bunga plastik</t>
  </si>
  <si>
    <t>Kotak tissu</t>
  </si>
  <si>
    <t>Tempat canang</t>
  </si>
  <si>
    <t>Lukisan Koi</t>
  </si>
  <si>
    <t>Taplak meja</t>
  </si>
  <si>
    <t>Kalkulator</t>
  </si>
  <si>
    <t>Set cup</t>
  </si>
  <si>
    <t>Tray (nampan kecil)</t>
  </si>
  <si>
    <t>Tempat permen</t>
  </si>
  <si>
    <t>Gelas minum</t>
  </si>
  <si>
    <t>Keranjang air minum</t>
  </si>
  <si>
    <t>Tangga baja</t>
  </si>
  <si>
    <t>Toples kopi dan gula</t>
  </si>
  <si>
    <t>Tray (nampan besar)</t>
  </si>
  <si>
    <t>Dispenser dan 2 galon</t>
  </si>
  <si>
    <t>Kotak obat</t>
  </si>
  <si>
    <t>Kursi plastik biru</t>
  </si>
  <si>
    <t>Vakum cleaner</t>
  </si>
  <si>
    <t>Karpet kecil</t>
  </si>
  <si>
    <t>Rak piring</t>
  </si>
  <si>
    <t>Payung bank legian</t>
  </si>
  <si>
    <t>Jam dinding  baru</t>
  </si>
  <si>
    <t>Mug bank legian</t>
  </si>
  <si>
    <t>Keben</t>
  </si>
  <si>
    <t>Cup bank</t>
  </si>
  <si>
    <t>Souvenis Tas Bank Legian</t>
  </si>
  <si>
    <t>Tong Sampah Aluminium</t>
  </si>
  <si>
    <t xml:space="preserve">Loker Besi </t>
  </si>
  <si>
    <t>Lemari Kayu</t>
  </si>
  <si>
    <t>Telepon Panasonik</t>
  </si>
  <si>
    <t>Telepon Panasonik (punya KPO)</t>
  </si>
  <si>
    <t>Komputer 1 set Merk LG</t>
  </si>
  <si>
    <t>Kursi Kerja Merah</t>
  </si>
  <si>
    <t>Permadani Paris 210 x 310</t>
  </si>
  <si>
    <t>Meja Kerja Pimpinan</t>
  </si>
  <si>
    <t>Kursi Hadap</t>
  </si>
  <si>
    <t>Permadani Paris 167 x 230</t>
  </si>
  <si>
    <t>Komputer Lengkap</t>
  </si>
  <si>
    <t>Passbook PLQ 20</t>
  </si>
  <si>
    <t>Meja CS</t>
  </si>
  <si>
    <t>Lukisan Orang (Abstrak)</t>
  </si>
  <si>
    <t>Meja Kaca (Informa) - Kecil</t>
  </si>
  <si>
    <t>Meja Kaca Bulat</t>
  </si>
  <si>
    <t>Troli Minuman</t>
  </si>
  <si>
    <t>Rak Informa</t>
  </si>
  <si>
    <t>Rak Arsip Besi</t>
  </si>
  <si>
    <t>Sofa Bulat</t>
  </si>
  <si>
    <t>Meja Rak / Buffet</t>
  </si>
  <si>
    <t>Sofa Kayu Set</t>
  </si>
  <si>
    <t>Kursi Kayu</t>
  </si>
  <si>
    <t>Meja Kayu Bulat</t>
  </si>
  <si>
    <t>Kursi</t>
  </si>
  <si>
    <t>Hub D-Link</t>
  </si>
  <si>
    <t>Tangga Baja</t>
  </si>
  <si>
    <t>1 Set Cangkir Emas</t>
  </si>
  <si>
    <t>Laci Arsip</t>
  </si>
  <si>
    <t>AC Sharp</t>
  </si>
  <si>
    <t>AC LG</t>
  </si>
  <si>
    <t>Coffee Maker Electolux</t>
  </si>
  <si>
    <t xml:space="preserve">Guci Lilin </t>
  </si>
  <si>
    <t xml:space="preserve">Tempat Lilin Tinggi </t>
  </si>
  <si>
    <t xml:space="preserve">1 Taplak Meja CS </t>
  </si>
  <si>
    <t>Lampu lilin berdiri bungan Biru</t>
  </si>
  <si>
    <t>Cermin kotak toilet 1</t>
  </si>
  <si>
    <t>Cermin kotak toilet 2</t>
  </si>
  <si>
    <t>Vas Bunga Silver</t>
  </si>
  <si>
    <t>CPU Power logic merah</t>
  </si>
  <si>
    <t>CPU Power logic abu-abu</t>
  </si>
  <si>
    <t>CPU Simbadala</t>
  </si>
  <si>
    <t>Kursi Panjang Kayu Coklat</t>
  </si>
  <si>
    <t>Meja Panjang Besi Silver</t>
  </si>
  <si>
    <t xml:space="preserve">Pemadam Api </t>
  </si>
  <si>
    <t>Kipas Angin Putih</t>
  </si>
  <si>
    <t>Locker Krisbow</t>
  </si>
  <si>
    <t xml:space="preserve">Kursi Kantor </t>
  </si>
  <si>
    <t>Bunga Sakura beserta</t>
  </si>
  <si>
    <t>Lukisan 2 Anak</t>
  </si>
  <si>
    <t>AC Samsung</t>
  </si>
  <si>
    <t>Meja Partisi</t>
  </si>
  <si>
    <t>Pot Bunga</t>
  </si>
  <si>
    <t>Locker Krisbow 9 Laci</t>
  </si>
  <si>
    <t>Filling Cabinet 4 Laci</t>
  </si>
  <si>
    <t>Drawer Meja - Indovicker</t>
  </si>
  <si>
    <t>Drawer Meja - Informa</t>
  </si>
  <si>
    <t>Tempat Sampah Besar Krisbow</t>
  </si>
  <si>
    <t>Sofa 2 Seat</t>
  </si>
  <si>
    <t>Meja Kecil 3 Laci</t>
  </si>
  <si>
    <t>Meja Besi Kecil 3 Laci</t>
  </si>
  <si>
    <t>Cermin</t>
  </si>
  <si>
    <t>Jam Dinding Diamond</t>
  </si>
  <si>
    <t>Tempat Air Minum Menara Kaca</t>
  </si>
  <si>
    <t>Lemari Arsip Brother 4 Laci</t>
  </si>
  <si>
    <t>Brankas Kecil Krisbow</t>
  </si>
  <si>
    <t>Mesin UV Fujiwa</t>
  </si>
  <si>
    <t>Aroma Diffuser Ultransmit</t>
  </si>
  <si>
    <t>Lampu UV Neon HATTASU</t>
  </si>
  <si>
    <t>Tempat Sampah Kecil ACE Hardware</t>
  </si>
  <si>
    <t>Telephone</t>
  </si>
  <si>
    <t>Meja Kecil Cokelat</t>
  </si>
  <si>
    <t>Meja Laci Kayu besar</t>
  </si>
  <si>
    <t>Meja Laci Kayu Kecil</t>
  </si>
  <si>
    <t>1 Set Computer + CPU + Speaker + Webcam</t>
  </si>
  <si>
    <t>Kubikel Meja Kerja</t>
  </si>
  <si>
    <t>Lukisan Genta</t>
  </si>
  <si>
    <t>Rak Besi Arsip</t>
  </si>
  <si>
    <t>Rak Piring</t>
  </si>
  <si>
    <t>Rak Kecil Warna (Hitam - Putih)</t>
  </si>
  <si>
    <t>Rak TV</t>
  </si>
  <si>
    <t>Lemari Kaca Kecil</t>
  </si>
  <si>
    <t>Pot Bunga Matahari</t>
  </si>
  <si>
    <t>Lampu Gantung R. Tunggu Nasabah</t>
  </si>
  <si>
    <t>Pigura Cermin - Bulat</t>
  </si>
  <si>
    <t>Karpet Kecil</t>
  </si>
  <si>
    <t>Tempat Minum Tower</t>
  </si>
  <si>
    <t>Tempat Sampah Krisbow - Kotak</t>
  </si>
  <si>
    <t>Pot Bunga Bakung</t>
  </si>
  <si>
    <t>Lampu Gantung</t>
  </si>
  <si>
    <t>Cash Box Krisbow</t>
  </si>
  <si>
    <t>Permadani 100 x 150</t>
  </si>
  <si>
    <t>Meja Rak Kecil</t>
  </si>
  <si>
    <t>Pot Bunga Lily</t>
  </si>
  <si>
    <t>Pot Bunga Pakis</t>
  </si>
  <si>
    <t>Pot Bunga Stand</t>
  </si>
  <si>
    <t>Printer PLQ 20</t>
  </si>
  <si>
    <t xml:space="preserve">Monitor </t>
  </si>
  <si>
    <t>Kursi Hadap Nasabah - Merah</t>
  </si>
  <si>
    <t>Pot Bambu</t>
  </si>
  <si>
    <t>Meja Bulat Kaca</t>
  </si>
  <si>
    <t>Pot Bunga Kuning</t>
  </si>
  <si>
    <t>AC Daikin - 1,5 PK</t>
  </si>
  <si>
    <t>Sofa Set</t>
  </si>
  <si>
    <t>Dining Table + 4 Kursi</t>
  </si>
  <si>
    <t>Meja Kaca Informa Set</t>
  </si>
  <si>
    <t>Kitchen Set</t>
  </si>
  <si>
    <t>Dining Table Informa</t>
  </si>
  <si>
    <t>Kursi Sofa Merah</t>
  </si>
  <si>
    <t xml:space="preserve">Mesin Hitung Uang </t>
  </si>
  <si>
    <t>Pajangan Naga</t>
  </si>
  <si>
    <t>Pintu Kaca</t>
  </si>
  <si>
    <t>Sofa Biru</t>
  </si>
  <si>
    <t>Vas Bunga Mawar</t>
  </si>
  <si>
    <t>Telpon Wireless Panasonic</t>
  </si>
  <si>
    <t xml:space="preserve">Lampu Hias </t>
  </si>
  <si>
    <t>Pajangan Topeng</t>
  </si>
  <si>
    <t>Kursi Hadap Informa</t>
  </si>
  <si>
    <t>Pot Bunga Bambu</t>
  </si>
  <si>
    <t>Pot Bunga Biru</t>
  </si>
  <si>
    <t>Kursi Hadap Ichiko</t>
  </si>
  <si>
    <t>Pot Bunga Antorium</t>
  </si>
  <si>
    <t xml:space="preserve">Pot Bunga </t>
  </si>
  <si>
    <t>Pot Pohon Bambu</t>
  </si>
  <si>
    <t>Meja Bundar + 4 Kursi</t>
  </si>
  <si>
    <t>Kursi Kerja Cokelat</t>
  </si>
  <si>
    <t>Pot Bunga Ungu</t>
  </si>
  <si>
    <t>Patung Kuda Hias</t>
  </si>
  <si>
    <t>Pot Bunga Mawar</t>
  </si>
  <si>
    <t>Meja Laci/ Rak</t>
  </si>
  <si>
    <t>Pot Bunga Merah</t>
  </si>
  <si>
    <t>Lemari Arsip Cokelat</t>
  </si>
  <si>
    <t>Lemari Arsip Krem</t>
  </si>
  <si>
    <t>Showcase</t>
  </si>
  <si>
    <t xml:space="preserve">Pohon Bambu </t>
  </si>
  <si>
    <t>Pajangan Dinding</t>
  </si>
  <si>
    <t>Lemari Arsip Uno</t>
  </si>
  <si>
    <t>Lemari Arsip Krisbow</t>
  </si>
  <si>
    <t>Printer Epson LQ2190</t>
  </si>
  <si>
    <t>Mesin Tik Olivetti Linea 98</t>
  </si>
  <si>
    <t xml:space="preserve">Pot Bunga Lavender </t>
  </si>
  <si>
    <t>Kursi Kerja Tiger</t>
  </si>
  <si>
    <t>Lemari Arsip kayu</t>
  </si>
  <si>
    <t>Meja Siku</t>
  </si>
  <si>
    <t>Dispenser Domo</t>
  </si>
  <si>
    <t>Rak Arsip</t>
  </si>
  <si>
    <t>Kursi Pimpinan Ichiko</t>
  </si>
  <si>
    <t>Speaker Wireless</t>
  </si>
  <si>
    <t>AC Mitsubishi</t>
  </si>
  <si>
    <t xml:space="preserve">HDD WD 1 TB </t>
  </si>
  <si>
    <t>Kursi Informa Kecil warna biru</t>
  </si>
  <si>
    <t>Pot Bunga ilalang</t>
  </si>
  <si>
    <t>Meja Kaca Ukir</t>
  </si>
  <si>
    <t>Lemari ukir arsip set</t>
  </si>
  <si>
    <t>Cermin Kaca Kotak</t>
  </si>
  <si>
    <t>Ukiran Kuda</t>
  </si>
  <si>
    <t>CPU HP, CPU DELL</t>
  </si>
  <si>
    <t>Meja Kerja coklat kecil</t>
  </si>
  <si>
    <t>Kaca Cermin Kotak</t>
  </si>
  <si>
    <t>Lemari Krisbow</t>
  </si>
  <si>
    <t>Loker 4x4 informa</t>
  </si>
  <si>
    <t>Meja kerja kaca 1/2 biro</t>
  </si>
  <si>
    <t>Lukisan Pajangan Wayang</t>
  </si>
  <si>
    <t>Sofa Set + Meja Kaca</t>
  </si>
  <si>
    <t>Meja Kerja Informa silver</t>
  </si>
  <si>
    <t>Kaca ukir kayu partisi</t>
  </si>
  <si>
    <t>Cermin Wastafel</t>
  </si>
  <si>
    <t>Layar Monitor</t>
  </si>
  <si>
    <t>Meja Multiplex</t>
  </si>
  <si>
    <t>Kursi Ergotech</t>
  </si>
  <si>
    <t>Meja Informa</t>
  </si>
  <si>
    <t>Kursi plastik informa</t>
  </si>
  <si>
    <t>Meja Rapat</t>
  </si>
  <si>
    <t>Tempat Lilin</t>
  </si>
  <si>
    <t>Pot Pohon Pisang</t>
  </si>
  <si>
    <t>Jam Stand</t>
  </si>
  <si>
    <t>Meja + Kursi Direktur Informa</t>
  </si>
  <si>
    <t>Lemari</t>
  </si>
  <si>
    <t>Kursi platik MP</t>
  </si>
  <si>
    <t>Meja + Kursi Direktur Utama</t>
  </si>
  <si>
    <t>Meja server</t>
  </si>
  <si>
    <t>Cebo Coffe Maker</t>
  </si>
  <si>
    <t>Galon Aqua</t>
  </si>
  <si>
    <t>UPS ICACE 600</t>
  </si>
  <si>
    <t>Meja Makan</t>
  </si>
  <si>
    <t>Meja 2 Laci</t>
  </si>
  <si>
    <t>Rangka Sofa</t>
  </si>
  <si>
    <t>Hub &amp; Mikrotik</t>
  </si>
  <si>
    <t>Printer Epson L 200</t>
  </si>
  <si>
    <t>Printer Canon iX4000</t>
  </si>
  <si>
    <t>Kursi plastik Napolly</t>
  </si>
  <si>
    <t>Tabung Gas</t>
  </si>
  <si>
    <t>Mesin hitung uang Origin pronotes</t>
  </si>
  <si>
    <t>Intelligen Money Detector Bossecom</t>
  </si>
  <si>
    <t>Kursi putar</t>
  </si>
  <si>
    <t>Meja kaca kecil</t>
  </si>
  <si>
    <t>Sofa ukir besa</t>
  </si>
  <si>
    <t>Meja Kaca besar</t>
  </si>
  <si>
    <t>Meja kerja kaca 1 biro</t>
  </si>
  <si>
    <t>Laci Indovicker</t>
  </si>
  <si>
    <t>Monitor Philips 19IEL</t>
  </si>
  <si>
    <t>Stavol Matsumoto</t>
  </si>
  <si>
    <t>Monitor LG Flatron B1953SE</t>
  </si>
  <si>
    <t>Brankas SentrySafe</t>
  </si>
  <si>
    <t>Brankas SentrySafe Kecil</t>
  </si>
  <si>
    <t>Brankas Krisbow</t>
  </si>
  <si>
    <t>Pot bunga lidah buaya</t>
  </si>
  <si>
    <t>pot bunga anturium</t>
  </si>
  <si>
    <t>Lukisan Ikan Paus</t>
  </si>
  <si>
    <t>Lukisan Pasar</t>
  </si>
  <si>
    <t>Lukisan pemandangan sawah</t>
  </si>
  <si>
    <t>Lukisan Kuda</t>
  </si>
  <si>
    <t>Lukisan  Burung Plaminggo</t>
  </si>
  <si>
    <t>Lukisan Burung Beo</t>
  </si>
  <si>
    <t>Lukisan Burung Beo Background Orange</t>
  </si>
  <si>
    <t>Lukisan Burung Beo Background Pink</t>
  </si>
  <si>
    <t>Lukisan Burung Beo Background Biru</t>
  </si>
  <si>
    <t>I MADE IRWAN WIDIANA</t>
  </si>
  <si>
    <t>I WAYAN JULI ADNYANA</t>
  </si>
  <si>
    <t>I MADE ASTRAGINA</t>
  </si>
  <si>
    <t>I GUSTI AGUNG PUTU DHARMA DHARWITA</t>
  </si>
  <si>
    <t>MONEY BHASKARA PUTRA</t>
  </si>
  <si>
    <t>I GEDE DERESTI</t>
  </si>
  <si>
    <t>BAGUS KURNIAWAN</t>
  </si>
  <si>
    <t>GUSTI AYU MERTININGSIH</t>
  </si>
  <si>
    <t>I MADE YASA</t>
  </si>
  <si>
    <t>I PUTU DANA</t>
  </si>
  <si>
    <t>I WAYAN BUDIANA</t>
  </si>
  <si>
    <t>KOMANG ASTIKA YASA</t>
  </si>
  <si>
    <t>HENNY</t>
  </si>
  <si>
    <t>JUNANTO TJANDRAWINATA</t>
  </si>
  <si>
    <t>DANIEL KURNIAWAN</t>
  </si>
  <si>
    <t>PUTU AGUS HERLLY DIANTARA</t>
  </si>
  <si>
    <t>CHRISTIAN SUGIANTO</t>
  </si>
  <si>
    <t>Nilai Likuidasi Agunan</t>
  </si>
  <si>
    <t xml:space="preserve">Lelang 2 </t>
  </si>
  <si>
    <t>Realisasi Upaya</t>
  </si>
  <si>
    <t>Lelang I TAP</t>
  </si>
  <si>
    <t>Lelang I LAKU</t>
  </si>
  <si>
    <t>Non HT</t>
  </si>
  <si>
    <t>Lelang 2 / Penjualan Sukarela</t>
  </si>
  <si>
    <t>Proses Balik Nama Sertifikat</t>
  </si>
  <si>
    <t>Penjualan Sukarela</t>
  </si>
  <si>
    <t>Pencairan Aset s.d. Mei 2021</t>
  </si>
  <si>
    <t>% Pencairan (LANAP)</t>
  </si>
  <si>
    <t>Row Labels</t>
  </si>
  <si>
    <t>Grand Total</t>
  </si>
  <si>
    <t>Count of Nama Debitur</t>
  </si>
  <si>
    <t>Sum of Baki Debet 
(NP Audited)</t>
  </si>
  <si>
    <t>Sum of Setoff Pokok</t>
  </si>
  <si>
    <t>Sum of Pencairan Pokok
 s.d Mei 2021</t>
  </si>
  <si>
    <t>Sum of Sisa Kewajiban Pokok Mei 2021</t>
  </si>
  <si>
    <t>Sum of LANAP</t>
  </si>
  <si>
    <t>Subtotal</t>
  </si>
  <si>
    <t>Kol.</t>
  </si>
  <si>
    <t>Jumlah Debitur</t>
  </si>
  <si>
    <t>Pencairan 
s.d. Mei 2021</t>
  </si>
  <si>
    <t>Sisa Kewajiban Pokok s.d. Mei 2021</t>
  </si>
  <si>
    <t>(1)</t>
  </si>
  <si>
    <t>(2)</t>
  </si>
  <si>
    <t>(3)</t>
  </si>
  <si>
    <t>(4)</t>
  </si>
  <si>
    <t>(5)</t>
  </si>
  <si>
    <t>(6)</t>
  </si>
  <si>
    <t>(7) = (4) - (5) - (6)</t>
  </si>
  <si>
    <t>(7)</t>
  </si>
  <si>
    <t>(8) = (5) - (6) - (7)</t>
  </si>
  <si>
    <t>Total Penerimaan/Biaya</t>
  </si>
  <si>
    <t xml:space="preserve">Total Penerimaan </t>
  </si>
  <si>
    <t>Biaya Pendukung Likuidasi</t>
  </si>
  <si>
    <t xml:space="preserve">Biaya Kegiatan Likuidasi </t>
  </si>
  <si>
    <t>Biaya Cadangan Pengakhiran</t>
  </si>
  <si>
    <t>Total Biaya Likuidasi</t>
  </si>
  <si>
    <t>Surplus/Defisit Likuidasi</t>
  </si>
  <si>
    <t>Deskripsi</t>
  </si>
  <si>
    <t>Opsi Tidak Diperpanjang</t>
  </si>
  <si>
    <t>Opsi Perpanjangan 
 3 Bulan</t>
  </si>
  <si>
    <t>Opsi Perpanjangan 
6 Bulan</t>
  </si>
  <si>
    <t>Opsi Perpanjang 
9 Bulan</t>
  </si>
  <si>
    <t>Potensi Pencairan Aset</t>
  </si>
  <si>
    <t>Estimasi Biaya Likuidasi</t>
  </si>
  <si>
    <t>Akumulasi Surplus Likuidasi</t>
  </si>
  <si>
    <t>Surplus Likuidasi Jika Opsi Tidak Diperpanjang</t>
  </si>
  <si>
    <t>Recovery Rate atas Klaim Penjaminan LPS</t>
  </si>
  <si>
    <t>Recovery Rate atas Seluruh Kewajiban</t>
  </si>
  <si>
    <t>Realisasi 
sd 31 Mei 2021</t>
  </si>
  <si>
    <t>Prognosa Juni 2021</t>
  </si>
  <si>
    <t>- Tanah dan Bangunan</t>
  </si>
  <si>
    <t>- Kendaraan</t>
  </si>
  <si>
    <t>- Inventaris</t>
  </si>
  <si>
    <t>No</t>
  </si>
  <si>
    <t xml:space="preserve">Jenis Aset/ Biaya </t>
  </si>
  <si>
    <t>Realisasi Pencairan/Biaya 
per 31 Mei 2021</t>
  </si>
  <si>
    <t>Dana Cadangan Pengakhiran</t>
  </si>
  <si>
    <t>1. Biaya Pendukung Likuidasi</t>
  </si>
  <si>
    <t>Honor Tim Likuidasi</t>
  </si>
  <si>
    <t>Honor Tenaga Pendukung</t>
  </si>
  <si>
    <t>Pembayaran THR Tim Likuidasi dan Tenaga Pendukung</t>
  </si>
  <si>
    <t>Biaya kantor dan operasional  lainya</t>
  </si>
  <si>
    <t>Insentif pencairan aset dan penagihan piutang</t>
  </si>
  <si>
    <t>Subtotal Biaya Pendukung</t>
  </si>
  <si>
    <t>2. Biaya Kegiatan Likuidasi</t>
  </si>
  <si>
    <t>Menyampaikan Rencana Kerja dan Anggaran TL.</t>
  </si>
  <si>
    <t>Menindaklanjuti aspek legal pembubaran badan hukum bank.</t>
  </si>
  <si>
    <t>Menyelesaikan kewajiban kepada pegawai.</t>
  </si>
  <si>
    <t>Menyampaikan Neraca Penutupan yang telah diaudit KAP/Inst. Pemerintah Bid. Audit kpd LPS.</t>
  </si>
  <si>
    <t>Melakukan inventarisasi aset dan kewajiban.</t>
  </si>
  <si>
    <t>Melakukan penyelesaian kewajiban pihak yg  menyebabkan bank gagal.</t>
  </si>
  <si>
    <t>Menyampaikan Laporan Perubahan Aset Neto periode 2021 untuk mendapat persetujuan LPS.</t>
  </si>
  <si>
    <t>Melakukan pencairan  aset/inventarisasi aset</t>
  </si>
  <si>
    <t>Melakukan penagihan kredit.</t>
  </si>
  <si>
    <t xml:space="preserve">Melakukan pembayaran kewajiban sesuai ketentuan </t>
  </si>
  <si>
    <t>Menyampaikan Neraca Akhir Likuidasi kepada LPS.</t>
  </si>
  <si>
    <t>Menindaklanjuti pengakhiran proses likuidasi.</t>
  </si>
  <si>
    <t>Subtotal Biaya Kegiatan</t>
  </si>
  <si>
    <t>Total Biaya</t>
  </si>
  <si>
    <t>Prognosa 
June 2021</t>
  </si>
  <si>
    <t>A. Tidak Dilakukan Perpanjangan</t>
  </si>
  <si>
    <t>B. Opsi Perpanjangan 3 Bulan</t>
  </si>
  <si>
    <t>C. Opsi Perpanjangan 6 Bulan</t>
  </si>
  <si>
    <t>Prognosa Realisasi s.d. Sep-21</t>
  </si>
  <si>
    <t>(4) = (2) + (3)</t>
  </si>
  <si>
    <t>(7) = (2) + (3) + (4) + (5) + (6)</t>
  </si>
  <si>
    <t>(7) = (3) + (4) + (5) + (6)</t>
  </si>
  <si>
    <t>C. Opsi Perpanjangan 9 Bulan</t>
  </si>
  <si>
    <t>Prognosa Realisasi s.d. Dec-21</t>
  </si>
  <si>
    <t>C. Opsi Perpanjangan 12 Bulan</t>
  </si>
  <si>
    <t>(Rp89.143.384.749,-).</t>
  </si>
  <si>
    <t>(Rp169.392.762.679,-).</t>
  </si>
  <si>
    <t>Opsi Perpanjang 
12 Bulan</t>
  </si>
  <si>
    <t>Nilai Aset yang Belum Dicairkan</t>
  </si>
  <si>
    <t>A. Sisa Aset PT BPR Legian (DL) - Gross</t>
  </si>
  <si>
    <t>Total RRA</t>
  </si>
  <si>
    <t>Kredit Linkage (BPR Supra)</t>
  </si>
  <si>
    <t>Sudah dilakukan lelang namun agunan tidak mengcover seluruh kewajiban debitur</t>
  </si>
  <si>
    <t>data set off GPKL</t>
  </si>
  <si>
    <t>LANAP/LAPAN</t>
  </si>
  <si>
    <t>NP 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</si>
</sst>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#,##0;[Red]\(\-#,##0\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Book Antiqua"/>
      <family val="1"/>
    </font>
    <font>
      <sz val="9"/>
      <color theme="1"/>
      <name val="Calibri"/>
      <family val="2"/>
      <scheme val="minor"/>
    </font>
    <font>
      <sz val="9"/>
      <color rgb="FF000000"/>
      <name val="Book Antiqua"/>
      <family val="1"/>
    </font>
    <font>
      <b/>
      <sz val="9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Book Antiqua"/>
      <family val="1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7"/>
      <color rgb="FF0D0D0D"/>
      <name val="Segoe UI"/>
      <family val="2"/>
    </font>
    <font>
      <sz val="7"/>
      <color rgb="FF000000"/>
      <name val="Segoe UI"/>
      <family val="2"/>
    </font>
    <font>
      <sz val="7"/>
      <color rgb="FFFF0000"/>
      <name val="Segoe UI"/>
      <family val="2"/>
    </font>
    <font>
      <b/>
      <sz val="7"/>
      <color rgb="FF000000"/>
      <name val="Segoe U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9" fillId="0" borderId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0" fontId="11" fillId="0" borderId="0"/>
  </cellStyleXfs>
  <cellXfs count="37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right" vertical="center"/>
    </xf>
    <xf numFmtId="165" fontId="4" fillId="0" borderId="10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65" fontId="3" fillId="0" borderId="0" xfId="0" applyNumberFormat="1" applyFont="1"/>
    <xf numFmtId="0" fontId="2" fillId="0" borderId="4" xfId="0" applyFont="1" applyBorder="1" applyAlignment="1">
      <alignment horizontal="left" vertical="center"/>
    </xf>
    <xf numFmtId="165" fontId="4" fillId="0" borderId="12" xfId="0" applyNumberFormat="1" applyFont="1" applyBorder="1" applyAlignment="1">
      <alignment horizontal="right" vertical="center"/>
    </xf>
    <xf numFmtId="165" fontId="4" fillId="3" borderId="13" xfId="0" applyNumberFormat="1" applyFont="1" applyFill="1" applyBorder="1" applyAlignment="1">
      <alignment horizontal="right" vertical="center"/>
    </xf>
    <xf numFmtId="164" fontId="4" fillId="3" borderId="12" xfId="0" applyNumberFormat="1" applyFont="1" applyFill="1" applyBorder="1" applyAlignment="1">
      <alignment horizontal="right" vertical="center"/>
    </xf>
    <xf numFmtId="165" fontId="4" fillId="3" borderId="12" xfId="0" applyNumberFormat="1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0" xfId="0" applyFont="1"/>
    <xf numFmtId="0" fontId="2" fillId="2" borderId="1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1" applyFont="1" applyBorder="1"/>
    <xf numFmtId="9" fontId="4" fillId="0" borderId="1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right" vertical="center"/>
    </xf>
    <xf numFmtId="164" fontId="3" fillId="0" borderId="0" xfId="1" applyFont="1"/>
    <xf numFmtId="164" fontId="3" fillId="0" borderId="0" xfId="0" applyNumberFormat="1" applyFont="1"/>
    <xf numFmtId="0" fontId="0" fillId="0" borderId="0" xfId="0" applyAlignment="1">
      <alignment horizontal="center"/>
    </xf>
    <xf numFmtId="164" fontId="4" fillId="0" borderId="16" xfId="0" applyNumberFormat="1" applyFont="1" applyBorder="1" applyAlignment="1">
      <alignment horizontal="right" vertical="center"/>
    </xf>
    <xf numFmtId="0" fontId="2" fillId="2" borderId="19" xfId="0" applyFont="1" applyFill="1" applyBorder="1" applyAlignment="1">
      <alignment horizontal="left" vertical="center" wrapText="1"/>
    </xf>
    <xf numFmtId="165" fontId="2" fillId="2" borderId="17" xfId="0" applyNumberFormat="1" applyFont="1" applyFill="1" applyBorder="1" applyAlignment="1">
      <alignment horizontal="right" vertical="center"/>
    </xf>
    <xf numFmtId="9" fontId="2" fillId="2" borderId="20" xfId="0" applyNumberFormat="1" applyFont="1" applyFill="1" applyBorder="1" applyAlignment="1">
      <alignment horizontal="center" vertical="center"/>
    </xf>
    <xf numFmtId="9" fontId="2" fillId="2" borderId="18" xfId="0" applyNumberFormat="1" applyFont="1" applyFill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/>
    </xf>
    <xf numFmtId="165" fontId="2" fillId="3" borderId="22" xfId="0" applyNumberFormat="1" applyFont="1" applyFill="1" applyBorder="1" applyAlignment="1">
      <alignment horizontal="right" vertical="center"/>
    </xf>
    <xf numFmtId="165" fontId="4" fillId="3" borderId="23" xfId="0" applyNumberFormat="1" applyFont="1" applyFill="1" applyBorder="1" applyAlignment="1">
      <alignment horizontal="right" vertical="center"/>
    </xf>
    <xf numFmtId="165" fontId="4" fillId="3" borderId="22" xfId="0" applyNumberFormat="1" applyFont="1" applyFill="1" applyBorder="1" applyAlignment="1">
      <alignment horizontal="right" vertical="center"/>
    </xf>
    <xf numFmtId="9" fontId="4" fillId="3" borderId="0" xfId="0" applyNumberFormat="1" applyFont="1" applyFill="1" applyBorder="1" applyAlignment="1">
      <alignment horizontal="center" vertical="center"/>
    </xf>
    <xf numFmtId="9" fontId="4" fillId="3" borderId="24" xfId="0" applyNumberFormat="1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164" fontId="0" fillId="0" borderId="0" xfId="1" applyFont="1"/>
    <xf numFmtId="164" fontId="8" fillId="0" borderId="0" xfId="1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164" fontId="4" fillId="0" borderId="8" xfId="1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12" xfId="1" applyFont="1" applyBorder="1"/>
    <xf numFmtId="0" fontId="10" fillId="0" borderId="0" xfId="0" applyFont="1"/>
    <xf numFmtId="165" fontId="2" fillId="0" borderId="8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164" fontId="4" fillId="0" borderId="5" xfId="1" applyFont="1" applyBorder="1" applyAlignment="1">
      <alignment horizontal="right" vertical="center"/>
    </xf>
    <xf numFmtId="9" fontId="4" fillId="0" borderId="5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/>
    </xf>
    <xf numFmtId="165" fontId="4" fillId="0" borderId="16" xfId="0" applyNumberFormat="1" applyFont="1" applyBorder="1" applyAlignment="1">
      <alignment horizontal="right" vertical="center"/>
    </xf>
    <xf numFmtId="165" fontId="4" fillId="0" borderId="31" xfId="0" applyNumberFormat="1" applyFont="1" applyBorder="1" applyAlignment="1">
      <alignment horizontal="right" vertical="center"/>
    </xf>
    <xf numFmtId="9" fontId="4" fillId="0" borderId="31" xfId="0" applyNumberFormat="1" applyFont="1" applyBorder="1" applyAlignment="1">
      <alignment horizontal="center" vertical="center"/>
    </xf>
    <xf numFmtId="9" fontId="4" fillId="4" borderId="26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right" vertical="center"/>
    </xf>
    <xf numFmtId="9" fontId="4" fillId="0" borderId="3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65" fontId="2" fillId="0" borderId="12" xfId="0" applyNumberFormat="1" applyFont="1" applyBorder="1" applyAlignment="1">
      <alignment horizontal="right" vertical="center"/>
    </xf>
    <xf numFmtId="164" fontId="4" fillId="3" borderId="22" xfId="0" applyNumberFormat="1" applyFont="1" applyFill="1" applyBorder="1" applyAlignment="1">
      <alignment horizontal="right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164" fontId="4" fillId="3" borderId="2" xfId="1" applyFont="1" applyFill="1" applyBorder="1" applyAlignment="1">
      <alignment horizontal="right" vertical="center"/>
    </xf>
    <xf numFmtId="9" fontId="4" fillId="3" borderId="2" xfId="0" applyNumberFormat="1" applyFont="1" applyFill="1" applyBorder="1" applyAlignment="1">
      <alignment horizontal="center" vertical="center"/>
    </xf>
    <xf numFmtId="9" fontId="2" fillId="3" borderId="3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left" vertical="center"/>
    </xf>
    <xf numFmtId="164" fontId="4" fillId="0" borderId="12" xfId="1" applyFont="1" applyBorder="1" applyAlignment="1">
      <alignment horizontal="right" vertical="center"/>
    </xf>
    <xf numFmtId="0" fontId="3" fillId="0" borderId="5" xfId="0" applyFont="1" applyBorder="1"/>
    <xf numFmtId="0" fontId="0" fillId="0" borderId="5" xfId="0" applyFont="1" applyBorder="1"/>
    <xf numFmtId="164" fontId="1" fillId="0" borderId="5" xfId="1" applyFont="1" applyBorder="1"/>
    <xf numFmtId="164" fontId="1" fillId="0" borderId="5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6" xfId="0" applyBorder="1"/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164" fontId="1" fillId="0" borderId="12" xfId="1" applyFont="1" applyBorder="1"/>
    <xf numFmtId="0" fontId="8" fillId="0" borderId="27" xfId="0" applyFont="1" applyBorder="1"/>
    <xf numFmtId="0" fontId="8" fillId="0" borderId="28" xfId="0" applyFont="1" applyBorder="1"/>
    <xf numFmtId="164" fontId="8" fillId="0" borderId="28" xfId="0" applyNumberFormat="1" applyFont="1" applyBorder="1"/>
    <xf numFmtId="0" fontId="8" fillId="0" borderId="0" xfId="0" applyFont="1"/>
    <xf numFmtId="41" fontId="0" fillId="0" borderId="5" xfId="0" applyNumberFormat="1" applyBorder="1"/>
    <xf numFmtId="166" fontId="0" fillId="0" borderId="5" xfId="0" applyNumberFormat="1" applyBorder="1"/>
    <xf numFmtId="0" fontId="8" fillId="5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Font="1"/>
    <xf numFmtId="166" fontId="0" fillId="0" borderId="0" xfId="0" applyNumberFormat="1"/>
    <xf numFmtId="3" fontId="0" fillId="0" borderId="5" xfId="0" applyNumberForma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Border="1"/>
    <xf numFmtId="0" fontId="8" fillId="0" borderId="33" xfId="0" applyFont="1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17" fontId="8" fillId="0" borderId="1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/>
    <xf numFmtId="164" fontId="1" fillId="0" borderId="5" xfId="1" applyFont="1" applyFill="1" applyBorder="1"/>
    <xf numFmtId="164" fontId="0" fillId="0" borderId="5" xfId="1" applyFont="1" applyFill="1" applyBorder="1"/>
    <xf numFmtId="166" fontId="0" fillId="0" borderId="5" xfId="0" applyNumberFormat="1" applyFill="1" applyBorder="1"/>
    <xf numFmtId="41" fontId="0" fillId="0" borderId="5" xfId="0" applyNumberFormat="1" applyFill="1" applyBorder="1"/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/>
    <xf numFmtId="164" fontId="0" fillId="0" borderId="4" xfId="1" applyFont="1" applyBorder="1"/>
    <xf numFmtId="164" fontId="0" fillId="0" borderId="6" xfId="1" applyFont="1" applyBorder="1"/>
    <xf numFmtId="164" fontId="0" fillId="0" borderId="4" xfId="1" applyFont="1" applyFill="1" applyBorder="1"/>
    <xf numFmtId="164" fontId="0" fillId="0" borderId="7" xfId="1" applyFont="1" applyBorder="1"/>
    <xf numFmtId="164" fontId="0" fillId="0" borderId="8" xfId="1" applyFont="1" applyBorder="1"/>
    <xf numFmtId="17" fontId="8" fillId="0" borderId="15" xfId="0" applyNumberFormat="1" applyFont="1" applyBorder="1" applyAlignment="1">
      <alignment horizontal="center" vertical="center"/>
    </xf>
    <xf numFmtId="164" fontId="0" fillId="0" borderId="10" xfId="1" applyFont="1" applyBorder="1"/>
    <xf numFmtId="164" fontId="0" fillId="0" borderId="10" xfId="1" applyFont="1" applyFill="1" applyBorder="1"/>
    <xf numFmtId="164" fontId="0" fillId="0" borderId="30" xfId="1" applyFont="1" applyBorder="1"/>
    <xf numFmtId="17" fontId="8" fillId="0" borderId="35" xfId="0" applyNumberFormat="1" applyFont="1" applyBorder="1" applyAlignment="1">
      <alignment horizontal="center" vertical="center"/>
    </xf>
    <xf numFmtId="164" fontId="0" fillId="0" borderId="36" xfId="1" applyFont="1" applyBorder="1"/>
    <xf numFmtId="9" fontId="0" fillId="0" borderId="0" xfId="8" applyFont="1"/>
    <xf numFmtId="164" fontId="8" fillId="0" borderId="27" xfId="0" applyNumberFormat="1" applyFont="1" applyBorder="1"/>
    <xf numFmtId="164" fontId="8" fillId="0" borderId="34" xfId="0" applyNumberFormat="1" applyFont="1" applyBorder="1"/>
    <xf numFmtId="3" fontId="0" fillId="0" borderId="5" xfId="0" applyNumberFormat="1" applyBorder="1"/>
    <xf numFmtId="3" fontId="0" fillId="0" borderId="12" xfId="0" applyNumberFormat="1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0" borderId="5" xfId="1" applyFont="1" applyBorder="1" applyAlignment="1">
      <alignment vertical="center"/>
    </xf>
    <xf numFmtId="164" fontId="0" fillId="0" borderId="5" xfId="1" applyFont="1" applyBorder="1" applyAlignment="1">
      <alignment horizontal="center"/>
    </xf>
    <xf numFmtId="164" fontId="0" fillId="0" borderId="5" xfId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0" borderId="12" xfId="1" applyFont="1" applyBorder="1" applyAlignment="1">
      <alignment horizontal="center" vertical="center"/>
    </xf>
    <xf numFmtId="164" fontId="0" fillId="0" borderId="12" xfId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28" xfId="0" applyBorder="1"/>
    <xf numFmtId="164" fontId="0" fillId="0" borderId="28" xfId="1" applyFont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64" fontId="8" fillId="0" borderId="8" xfId="1" applyFont="1" applyBorder="1"/>
    <xf numFmtId="0" fontId="0" fillId="0" borderId="11" xfId="0" applyBorder="1" applyAlignment="1">
      <alignment horizontal="center"/>
    </xf>
    <xf numFmtId="164" fontId="8" fillId="0" borderId="28" xfId="1" applyFont="1" applyBorder="1"/>
    <xf numFmtId="0" fontId="8" fillId="0" borderId="15" xfId="0" applyFont="1" applyBorder="1" applyAlignment="1">
      <alignment horizontal="center" vertical="center" wrapText="1"/>
    </xf>
    <xf numFmtId="164" fontId="8" fillId="0" borderId="30" xfId="1" applyFont="1" applyBorder="1"/>
    <xf numFmtId="0" fontId="8" fillId="0" borderId="35" xfId="0" applyFont="1" applyBorder="1" applyAlignment="1">
      <alignment horizontal="center" vertical="center"/>
    </xf>
    <xf numFmtId="164" fontId="0" fillId="0" borderId="36" xfId="1" applyFont="1" applyBorder="1" applyAlignment="1">
      <alignment vertical="center"/>
    </xf>
    <xf numFmtId="164" fontId="0" fillId="0" borderId="37" xfId="1" applyFont="1" applyBorder="1" applyAlignment="1">
      <alignment vertical="center"/>
    </xf>
    <xf numFmtId="17" fontId="8" fillId="0" borderId="38" xfId="0" applyNumberFormat="1" applyFont="1" applyBorder="1" applyAlignment="1">
      <alignment horizontal="center" vertical="center"/>
    </xf>
    <xf numFmtId="164" fontId="8" fillId="0" borderId="40" xfId="1" applyFont="1" applyBorder="1"/>
    <xf numFmtId="0" fontId="0" fillId="0" borderId="3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/>
    <xf numFmtId="0" fontId="0" fillId="0" borderId="33" xfId="0" applyBorder="1"/>
    <xf numFmtId="0" fontId="0" fillId="0" borderId="11" xfId="0" applyBorder="1"/>
    <xf numFmtId="0" fontId="0" fillId="0" borderId="27" xfId="0" applyBorder="1"/>
    <xf numFmtId="164" fontId="8" fillId="0" borderId="27" xfId="1" applyFont="1" applyBorder="1"/>
    <xf numFmtId="164" fontId="8" fillId="0" borderId="29" xfId="1" applyFont="1" applyBorder="1"/>
    <xf numFmtId="164" fontId="0" fillId="0" borderId="5" xfId="0" applyNumberFormat="1" applyBorder="1"/>
    <xf numFmtId="0" fontId="8" fillId="0" borderId="5" xfId="0" applyFont="1" applyBorder="1" applyAlignment="1">
      <alignment horizontal="center"/>
    </xf>
    <xf numFmtId="164" fontId="0" fillId="0" borderId="12" xfId="0" applyNumberFormat="1" applyBorder="1"/>
    <xf numFmtId="164" fontId="0" fillId="0" borderId="6" xfId="0" applyNumberFormat="1" applyBorder="1"/>
    <xf numFmtId="164" fontId="8" fillId="0" borderId="29" xfId="0" applyNumberFormat="1" applyFont="1" applyBorder="1"/>
    <xf numFmtId="0" fontId="0" fillId="0" borderId="33" xfId="0" applyBorder="1" applyAlignment="1">
      <alignment horizontal="center"/>
    </xf>
    <xf numFmtId="164" fontId="0" fillId="0" borderId="5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12" xfId="0" applyNumberForma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164" fontId="8" fillId="0" borderId="33" xfId="0" applyNumberFormat="1" applyFont="1" applyBorder="1"/>
    <xf numFmtId="164" fontId="0" fillId="0" borderId="4" xfId="1" applyFont="1" applyBorder="1" applyAlignment="1">
      <alignment vertical="center"/>
    </xf>
    <xf numFmtId="164" fontId="0" fillId="0" borderId="10" xfId="1" applyFont="1" applyBorder="1" applyAlignment="1">
      <alignment vertical="center"/>
    </xf>
    <xf numFmtId="164" fontId="0" fillId="0" borderId="11" xfId="1" applyFont="1" applyBorder="1" applyAlignment="1">
      <alignment vertical="center"/>
    </xf>
    <xf numFmtId="164" fontId="0" fillId="0" borderId="13" xfId="1" applyFont="1" applyBorder="1" applyAlignment="1">
      <alignment vertical="center"/>
    </xf>
    <xf numFmtId="164" fontId="0" fillId="0" borderId="36" xfId="1" applyFont="1" applyFill="1" applyBorder="1"/>
    <xf numFmtId="0" fontId="0" fillId="0" borderId="5" xfId="0" applyFill="1" applyBorder="1"/>
    <xf numFmtId="3" fontId="0" fillId="0" borderId="5" xfId="0" applyNumberFormat="1" applyFill="1" applyBorder="1"/>
    <xf numFmtId="0" fontId="12" fillId="0" borderId="2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8" fillId="3" borderId="5" xfId="0" applyFont="1" applyFill="1" applyBorder="1" applyAlignment="1">
      <alignment horizontal="center"/>
    </xf>
    <xf numFmtId="164" fontId="8" fillId="3" borderId="5" xfId="1" applyFont="1" applyFill="1" applyBorder="1"/>
    <xf numFmtId="164" fontId="8" fillId="3" borderId="6" xfId="1" applyFont="1" applyFill="1" applyBorder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8" fillId="3" borderId="4" xfId="0" applyFont="1" applyFill="1" applyBorder="1"/>
    <xf numFmtId="0" fontId="8" fillId="3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164" fontId="0" fillId="3" borderId="5" xfId="1" applyFont="1" applyFill="1" applyBorder="1"/>
    <xf numFmtId="0" fontId="0" fillId="3" borderId="11" xfId="0" applyFill="1" applyBorder="1"/>
    <xf numFmtId="0" fontId="0" fillId="3" borderId="12" xfId="0" applyFill="1" applyBorder="1"/>
    <xf numFmtId="164" fontId="8" fillId="3" borderId="12" xfId="1" applyFont="1" applyFill="1" applyBorder="1"/>
    <xf numFmtId="0" fontId="0" fillId="3" borderId="27" xfId="0" applyFill="1" applyBorder="1"/>
    <xf numFmtId="0" fontId="0" fillId="3" borderId="28" xfId="0" applyFill="1" applyBorder="1"/>
    <xf numFmtId="0" fontId="8" fillId="3" borderId="28" xfId="0" applyFont="1" applyFill="1" applyBorder="1"/>
    <xf numFmtId="164" fontId="8" fillId="3" borderId="28" xfId="1" applyFont="1" applyFill="1" applyBorder="1"/>
    <xf numFmtId="164" fontId="0" fillId="3" borderId="6" xfId="1" applyFont="1" applyFill="1" applyBorder="1"/>
    <xf numFmtId="164" fontId="8" fillId="3" borderId="14" xfId="1" applyFont="1" applyFill="1" applyBorder="1"/>
    <xf numFmtId="164" fontId="8" fillId="3" borderId="29" xfId="1" applyFont="1" applyFill="1" applyBorder="1"/>
    <xf numFmtId="0" fontId="8" fillId="3" borderId="12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164" fontId="0" fillId="0" borderId="16" xfId="1" applyFont="1" applyBorder="1"/>
    <xf numFmtId="164" fontId="0" fillId="0" borderId="26" xfId="1" applyFont="1" applyBorder="1"/>
    <xf numFmtId="164" fontId="0" fillId="0" borderId="5" xfId="1" applyFont="1" applyBorder="1" applyAlignment="1">
      <alignment horizontal="left" vertical="center" wrapText="1"/>
    </xf>
    <xf numFmtId="164" fontId="8" fillId="3" borderId="5" xfId="1" applyFont="1" applyFill="1" applyBorder="1" applyAlignment="1">
      <alignment horizontal="center" vertical="center" wrapText="1"/>
    </xf>
    <xf numFmtId="164" fontId="0" fillId="0" borderId="5" xfId="1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right" vertical="center"/>
    </xf>
    <xf numFmtId="3" fontId="14" fillId="0" borderId="5" xfId="0" applyNumberFormat="1" applyFont="1" applyBorder="1" applyAlignment="1">
      <alignment horizontal="right" vertical="center" wrapText="1"/>
    </xf>
    <xf numFmtId="3" fontId="14" fillId="0" borderId="6" xfId="0" applyNumberFormat="1" applyFont="1" applyBorder="1" applyAlignment="1">
      <alignment horizontal="right" vertical="center" wrapText="1"/>
    </xf>
    <xf numFmtId="3" fontId="14" fillId="0" borderId="6" xfId="0" applyNumberFormat="1" applyFont="1" applyBorder="1" applyAlignment="1">
      <alignment horizontal="right" vertical="center"/>
    </xf>
    <xf numFmtId="164" fontId="14" fillId="0" borderId="5" xfId="1" applyFont="1" applyBorder="1" applyAlignment="1">
      <alignment horizontal="right" vertical="center"/>
    </xf>
    <xf numFmtId="41" fontId="15" fillId="0" borderId="5" xfId="1" applyNumberFormat="1" applyFont="1" applyBorder="1" applyAlignment="1">
      <alignment horizontal="right" vertical="center"/>
    </xf>
    <xf numFmtId="41" fontId="15" fillId="0" borderId="6" xfId="1" applyNumberFormat="1" applyFont="1" applyBorder="1" applyAlignment="1">
      <alignment horizontal="right" vertical="center"/>
    </xf>
    <xf numFmtId="0" fontId="16" fillId="6" borderId="11" xfId="0" applyFont="1" applyFill="1" applyBorder="1" applyAlignment="1">
      <alignment horizontal="left" vertical="center" wrapText="1"/>
    </xf>
    <xf numFmtId="0" fontId="16" fillId="6" borderId="19" xfId="0" applyFont="1" applyFill="1" applyBorder="1" applyAlignment="1">
      <alignment horizontal="left" vertical="center" wrapText="1"/>
    </xf>
    <xf numFmtId="10" fontId="0" fillId="0" borderId="0" xfId="0" applyNumberFormat="1"/>
    <xf numFmtId="164" fontId="8" fillId="0" borderId="5" xfId="1" applyFont="1" applyBorder="1" applyAlignment="1">
      <alignment horizontal="left" vertical="center" wrapText="1"/>
    </xf>
    <xf numFmtId="164" fontId="8" fillId="0" borderId="5" xfId="1" applyFont="1" applyBorder="1"/>
    <xf numFmtId="0" fontId="9" fillId="0" borderId="0" xfId="4"/>
    <xf numFmtId="0" fontId="9" fillId="3" borderId="5" xfId="4" applyFill="1" applyBorder="1"/>
    <xf numFmtId="0" fontId="17" fillId="3" borderId="5" xfId="4" applyFont="1" applyFill="1" applyBorder="1"/>
    <xf numFmtId="41" fontId="17" fillId="3" borderId="5" xfId="4" applyNumberFormat="1" applyFont="1" applyFill="1" applyBorder="1"/>
    <xf numFmtId="41" fontId="17" fillId="3" borderId="5" xfId="4" applyNumberFormat="1" applyFont="1" applyFill="1" applyBorder="1" applyAlignment="1">
      <alignment vertical="center"/>
    </xf>
    <xf numFmtId="41" fontId="0" fillId="0" borderId="0" xfId="5" applyFont="1"/>
    <xf numFmtId="0" fontId="9" fillId="0" borderId="5" xfId="4" applyBorder="1" applyAlignment="1">
      <alignment horizontal="center"/>
    </xf>
    <xf numFmtId="0" fontId="9" fillId="0" borderId="5" xfId="4" applyBorder="1" applyAlignment="1">
      <alignment wrapText="1"/>
    </xf>
    <xf numFmtId="41" fontId="9" fillId="0" borderId="5" xfId="5" applyFont="1" applyBorder="1"/>
    <xf numFmtId="41" fontId="9" fillId="0" borderId="5" xfId="5" applyFont="1" applyBorder="1" applyAlignment="1">
      <alignment vertical="center"/>
    </xf>
    <xf numFmtId="41" fontId="9" fillId="0" borderId="5" xfId="4" applyNumberFormat="1" applyBorder="1" applyAlignment="1">
      <alignment vertical="center"/>
    </xf>
    <xf numFmtId="41" fontId="9" fillId="0" borderId="0" xfId="4" applyNumberFormat="1"/>
    <xf numFmtId="0" fontId="9" fillId="4" borderId="5" xfId="4" applyFill="1" applyBorder="1" applyAlignment="1">
      <alignment vertical="center" wrapText="1"/>
    </xf>
    <xf numFmtId="41" fontId="9" fillId="4" borderId="5" xfId="5" applyFont="1" applyFill="1" applyBorder="1" applyAlignment="1">
      <alignment vertical="center"/>
    </xf>
    <xf numFmtId="41" fontId="9" fillId="4" borderId="5" xfId="4" applyNumberFormat="1" applyFill="1" applyBorder="1" applyAlignment="1">
      <alignment vertical="center"/>
    </xf>
    <xf numFmtId="0" fontId="9" fillId="4" borderId="0" xfId="4" applyFill="1" applyAlignment="1">
      <alignment vertical="center"/>
    </xf>
    <xf numFmtId="164" fontId="9" fillId="0" borderId="5" xfId="1" applyFont="1" applyBorder="1"/>
    <xf numFmtId="0" fontId="9" fillId="0" borderId="5" xfId="4" applyBorder="1" applyAlignment="1">
      <alignment vertical="center"/>
    </xf>
    <xf numFmtId="41" fontId="17" fillId="3" borderId="5" xfId="5" applyFont="1" applyFill="1" applyBorder="1"/>
    <xf numFmtId="0" fontId="9" fillId="0" borderId="5" xfId="4" applyBorder="1" applyAlignment="1">
      <alignment horizontal="center" vertical="center"/>
    </xf>
    <xf numFmtId="0" fontId="9" fillId="0" borderId="5" xfId="4" applyBorder="1" applyAlignment="1">
      <alignment vertical="center" wrapText="1"/>
    </xf>
    <xf numFmtId="164" fontId="9" fillId="0" borderId="5" xfId="1" applyFont="1" applyBorder="1" applyAlignment="1">
      <alignment vertical="center"/>
    </xf>
    <xf numFmtId="164" fontId="9" fillId="0" borderId="0" xfId="1" applyFont="1" applyAlignment="1">
      <alignment vertical="center"/>
    </xf>
    <xf numFmtId="10" fontId="9" fillId="0" borderId="0" xfId="4" applyNumberFormat="1"/>
    <xf numFmtId="0" fontId="8" fillId="3" borderId="5" xfId="0" quotePrefix="1" applyFont="1" applyFill="1" applyBorder="1" applyAlignment="1">
      <alignment horizontal="center" vertical="center"/>
    </xf>
    <xf numFmtId="0" fontId="8" fillId="3" borderId="16" xfId="0" quotePrefix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164" fontId="8" fillId="3" borderId="8" xfId="1" applyFont="1" applyFill="1" applyBorder="1"/>
    <xf numFmtId="164" fontId="8" fillId="3" borderId="9" xfId="1" applyFont="1" applyFill="1" applyBorder="1"/>
    <xf numFmtId="0" fontId="14" fillId="0" borderId="11" xfId="0" applyFont="1" applyBorder="1" applyAlignment="1">
      <alignment horizontal="left" vertical="center" wrapText="1"/>
    </xf>
    <xf numFmtId="0" fontId="16" fillId="6" borderId="2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left" vertical="center" wrapText="1"/>
    </xf>
    <xf numFmtId="165" fontId="2" fillId="3" borderId="17" xfId="0" applyNumberFormat="1" applyFont="1" applyFill="1" applyBorder="1" applyAlignment="1">
      <alignment horizontal="right" vertical="center"/>
    </xf>
    <xf numFmtId="9" fontId="2" fillId="3" borderId="20" xfId="0" applyNumberFormat="1" applyFont="1" applyFill="1" applyBorder="1" applyAlignment="1">
      <alignment horizontal="center" vertical="center"/>
    </xf>
    <xf numFmtId="9" fontId="2" fillId="3" borderId="18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/>
    </xf>
    <xf numFmtId="0" fontId="8" fillId="3" borderId="5" xfId="0" quotePrefix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10" fontId="3" fillId="0" borderId="0" xfId="8" applyNumberFormat="1" applyFont="1"/>
    <xf numFmtId="0" fontId="8" fillId="3" borderId="6" xfId="0" quotePrefix="1" applyFont="1" applyFill="1" applyBorder="1" applyAlignment="1">
      <alignment horizontal="center" wrapText="1"/>
    </xf>
    <xf numFmtId="0" fontId="0" fillId="0" borderId="4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64" fontId="8" fillId="0" borderId="6" xfId="1" applyFont="1" applyBorder="1"/>
    <xf numFmtId="0" fontId="0" fillId="0" borderId="4" xfId="0" quotePrefix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3" fillId="0" borderId="5" xfId="1" applyFont="1" applyBorder="1"/>
    <xf numFmtId="164" fontId="4" fillId="0" borderId="30" xfId="1" applyFont="1" applyBorder="1" applyAlignment="1">
      <alignment horizontal="right" vertical="center"/>
    </xf>
    <xf numFmtId="3" fontId="0" fillId="0" borderId="0" xfId="0" applyNumberFormat="1"/>
    <xf numFmtId="164" fontId="8" fillId="3" borderId="6" xfId="1" applyFont="1" applyFill="1" applyBorder="1" applyAlignment="1">
      <alignment horizontal="center" vertical="center" wrapText="1"/>
    </xf>
    <xf numFmtId="164" fontId="4" fillId="0" borderId="20" xfId="1" applyFont="1" applyBorder="1" applyAlignment="1">
      <alignment horizontal="right" vertical="center"/>
    </xf>
    <xf numFmtId="9" fontId="4" fillId="0" borderId="20" xfId="0" applyNumberFormat="1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left" vertical="center"/>
    </xf>
    <xf numFmtId="164" fontId="2" fillId="3" borderId="17" xfId="1" applyFont="1" applyFill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7" fontId="17" fillId="2" borderId="5" xfId="4" applyNumberFormat="1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 wrapText="1"/>
    </xf>
    <xf numFmtId="17" fontId="17" fillId="2" borderId="5" xfId="4" applyNumberFormat="1" applyFont="1" applyFill="1" applyBorder="1" applyAlignment="1">
      <alignment horizontal="center" vertical="center" wrapText="1"/>
    </xf>
    <xf numFmtId="0" fontId="17" fillId="2" borderId="12" xfId="4" applyFont="1" applyFill="1" applyBorder="1" applyAlignment="1">
      <alignment horizontal="center" vertical="center" wrapText="1"/>
    </xf>
    <xf numFmtId="0" fontId="17" fillId="2" borderId="16" xfId="4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7" fontId="8" fillId="3" borderId="44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0" fontId="8" fillId="6" borderId="39" xfId="8" applyNumberFormat="1" applyFont="1" applyFill="1" applyBorder="1" applyAlignment="1">
      <alignment horizontal="center" vertical="center"/>
    </xf>
    <xf numFmtId="10" fontId="8" fillId="6" borderId="40" xfId="8" applyNumberFormat="1" applyFont="1" applyFill="1" applyBorder="1" applyAlignment="1">
      <alignment horizontal="center" vertical="center"/>
    </xf>
    <xf numFmtId="10" fontId="8" fillId="6" borderId="45" xfId="8" applyNumberFormat="1" applyFont="1" applyFill="1" applyBorder="1" applyAlignment="1">
      <alignment horizontal="center" vertical="center"/>
    </xf>
    <xf numFmtId="10" fontId="8" fillId="6" borderId="46" xfId="8" applyNumberFormat="1" applyFont="1" applyFill="1" applyBorder="1" applyAlignment="1">
      <alignment horizontal="center" vertical="center"/>
    </xf>
    <xf numFmtId="0" fontId="0" fillId="5" borderId="0" xfId="0" applyFill="1"/>
    <xf numFmtId="10" fontId="0" fillId="0" borderId="0" xfId="8" applyNumberFormat="1" applyFont="1"/>
  </cellXfs>
  <cellStyles count="10">
    <cellStyle name="Comma [0]" xfId="1" builtinId="6"/>
    <cellStyle name="Comma [0] 2" xfId="5" xr:uid="{00000000-0005-0000-0000-000001000000}"/>
    <cellStyle name="Comma 2 2" xfId="2" xr:uid="{00000000-0005-0000-0000-000002000000}"/>
    <cellStyle name="Normal" xfId="0" builtinId="0"/>
    <cellStyle name="Normal 2" xfId="4" xr:uid="{00000000-0005-0000-0000-000004000000}"/>
    <cellStyle name="Normal 31" xfId="7" xr:uid="{FA5E5FA3-084A-42E7-9449-B3F233D20559}"/>
    <cellStyle name="Normal 4" xfId="3" xr:uid="{00000000-0005-0000-0000-000005000000}"/>
    <cellStyle name="Normal 75" xfId="9" xr:uid="{139E273E-28DB-43A5-AD75-AA17A09EBEAF}"/>
    <cellStyle name="Percent" xfId="8" builtinId="5"/>
    <cellStyle name="Percent 2" xfId="6" xr:uid="{00000000-0005-0000-0000-000007000000}"/>
  </cellStyles>
  <dxfs count="0"/>
  <tableStyles count="0" defaultTableStyle="TableStyleMedium2" defaultPivotStyle="PivotStyleLight16"/>
  <colors>
    <mruColors>
      <color rgb="FF974807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T.%20BPRS%20SAFIR%20BENGKULU%20DL\Evaluasi%20Potensi\Evaluasi%20Potensi%20PT.%20BPRS%20Safir%20Bengkulu%20(D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Huwaidi/Documents/GLIK/EVAP/BPR%20Safir%20Bengkulu/Desember%202020/Evaluasi%20Potensi%20Pencairan%20Aset%20PT.%20BPRS%20Safir%20Bengkulu%20(D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perbaikan"/>
      <sheetName val="NAL"/>
      <sheetName val="D. Kumulatif"/>
      <sheetName val="1. Kas &amp; ABA"/>
      <sheetName val="2. Surat Berharga"/>
      <sheetName val="3. KYD"/>
      <sheetName val="Sheet2"/>
      <sheetName val="Sheet3"/>
      <sheetName val="Sheet1"/>
      <sheetName val="3.1. Resume KYD"/>
      <sheetName val="4. Tagihan Lain"/>
      <sheetName val="5.2. ATI Bangunan"/>
      <sheetName val="5.3. ATI Kendaraan"/>
      <sheetName val="5.4. ATI Inventaris"/>
      <sheetName val="6. Aset yang Diagunkan"/>
      <sheetName val="7. Aset Lainnya"/>
      <sheetName val="7.1. HB"/>
      <sheetName val="8. Kewajiban BDL"/>
      <sheetName val="8.1 Penetapan Rekonver"/>
      <sheetName val="8.2 RKAB"/>
      <sheetName val="8.3 Rincian Kewajiban NP"/>
      <sheetName val="Evaluasi Potensi P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 Potensi Realisasi"/>
      <sheetName val="Pembiayaan Berdasarkan Pembayar"/>
      <sheetName val="5.1. ATI Tanah"/>
      <sheetName val="5.2. ATI Bangunan"/>
      <sheetName val="5.3. ATI Kendaraan"/>
      <sheetName val="5.4. ATI Inventaris"/>
      <sheetName val="Pembiayaan Berdasarkan Agunan"/>
      <sheetName val="Evaluasi Potensi Pencairan As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Naufal Huwaidi" refreshedDate="44356.90449375" createdVersion="6" refreshedVersion="6" minRefreshableVersion="3" recordCount="196" xr:uid="{A7511739-F571-45FF-97BF-FF4B3341485E}">
  <cacheSource type="worksheet">
    <worksheetSource ref="A3:AC199" sheet="Kredit"/>
  </cacheSource>
  <cacheFields count="29">
    <cacheField name="No." numFmtId="0">
      <sharedItems containsSemiMixedTypes="0" containsString="0" containsNumber="1" containsInteger="1" minValue="1" maxValue="196"/>
    </cacheField>
    <cacheField name="Nomor Rekening" numFmtId="0">
      <sharedItems/>
    </cacheField>
    <cacheField name="Nama Debitur" numFmtId="0">
      <sharedItems/>
    </cacheField>
    <cacheField name="Kol. 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aki Debet _x000a_(NP Audited)" numFmtId="164">
      <sharedItems containsSemiMixedTypes="0" containsString="0" containsNumber="1" minValue="0" maxValue="2507662332.0700002"/>
    </cacheField>
    <cacheField name="Bunga _x000a_(NP Audited)" numFmtId="164">
      <sharedItems containsSemiMixedTypes="0" containsString="0" containsNumber="1" minValue="0" maxValue="608980223.88"/>
    </cacheField>
    <cacheField name="Denda_x000a_(NP Audited)" numFmtId="164">
      <sharedItems containsSemiMixedTypes="0" containsString="0" containsNumber="1" minValue="0" maxValue="599364898.77999997"/>
    </cacheField>
    <cacheField name="Total Kewajiban _x000a_(NP Audited)" numFmtId="164">
      <sharedItems containsSemiMixedTypes="0" containsString="0" containsNumber="1" minValue="483191.4" maxValue="2988396648.4100003"/>
    </cacheField>
    <cacheField name="Penyesuaian _x000a_Bunga Berjalan" numFmtId="164">
      <sharedItems containsString="0" containsBlank="1" containsNumber="1" minValue="0" maxValue="1286547861"/>
    </cacheField>
    <cacheField name="Penyesuaian Denda Berjalan" numFmtId="164">
      <sharedItems containsSemiMixedTypes="0" containsString="0" containsNumber="1" minValue="0" maxValue="1097951462.77"/>
    </cacheField>
    <cacheField name="Setoff Pokok" numFmtId="164">
      <sharedItems containsSemiMixedTypes="0" containsString="0" containsNumber="1" minValue="0" maxValue="104230918"/>
    </cacheField>
    <cacheField name="Setoff Bunga" numFmtId="0">
      <sharedItems containsNonDate="0" containsString="0" containsBlank="1"/>
    </cacheField>
    <cacheField name="Setoff Denda" numFmtId="0">
      <sharedItems containsNonDate="0" containsString="0" containsBlank="1"/>
    </cacheField>
    <cacheField name="Total Setoff" numFmtId="164">
      <sharedItems containsSemiMixedTypes="0" containsString="0" containsNumber="1" minValue="0" maxValue="104230918"/>
    </cacheField>
    <cacheField name="Pencairan Pokok_x000a_ s.d Mei 2021" numFmtId="164">
      <sharedItems containsSemiMixedTypes="0" containsString="0" containsNumber="1" minValue="0" maxValue="2483022380"/>
    </cacheField>
    <cacheField name="Pencairan Bunga_x000a_ s.d Mei 2021" numFmtId="164">
      <sharedItems containsSemiMixedTypes="0" containsString="0" containsNumber="1" minValue="0" maxValue="1580362162"/>
    </cacheField>
    <cacheField name="Pencairan Denda_x000a_ s.d Mei 2021" numFmtId="164">
      <sharedItems containsSemiMixedTypes="0" containsString="0" containsNumber="1" minValue="0" maxValue="84815675"/>
    </cacheField>
    <cacheField name="Total Pencairan _x000a_ s.d Mei 2021" numFmtId="164">
      <sharedItems containsSemiMixedTypes="0" containsString="0" containsNumber="1" minValue="0" maxValue="4148200217"/>
    </cacheField>
    <cacheField name="Haircut Bunga _x000a_s.d Mei 2021" numFmtId="164">
      <sharedItems containsSemiMixedTypes="0" containsString="0" containsNumber="1" minValue="0" maxValue="760518036.63"/>
    </cacheField>
    <cacheField name="Haircut Denda_x000a_s.d Mei 2021" numFmtId="164">
      <sharedItems containsSemiMixedTypes="0" containsString="0" containsNumber="1" minValue="0" maxValue="1129542364.77"/>
    </cacheField>
    <cacheField name="Sisa Kewajiban Pokok Mei 2021" numFmtId="166">
      <sharedItems containsSemiMixedTypes="0" containsString="0" containsNumber="1" minValue="0" maxValue="2495680814.04"/>
    </cacheField>
    <cacheField name="Sisa Kewajiban Bunga s.d. Mei 2021" numFmtId="41">
      <sharedItems containsSemiMixedTypes="0" containsString="0" containsNumber="1" minValue="-17634620" maxValue="608980223.88"/>
    </cacheField>
    <cacheField name="Sisa Kewajiban Denda s.d. Mei 2021" numFmtId="166">
      <sharedItems containsSemiMixedTypes="0" containsString="0" containsNumber="1" minValue="0" maxValue="599364898.77999997"/>
    </cacheField>
    <cacheField name="Total Sisa Kewajiban s.d. Mei 2021" numFmtId="166">
      <sharedItems containsSemiMixedTypes="0" containsString="0" containsNumber="1" minValue="-17634620" maxValue="2988396648.4100003"/>
    </cacheField>
    <cacheField name="Nilai Likuidasi" numFmtId="166">
      <sharedItems containsMixedTypes="1" containsNumber="1" containsInteger="1" minValue="0" maxValue="4988000000"/>
    </cacheField>
    <cacheField name="LANAP" numFmtId="0">
      <sharedItems containsSemiMixedTypes="0" containsString="0" containsNumber="1" minValue="0" maxValue="2507654280"/>
    </cacheField>
    <cacheField name="Jenis Agunan" numFmtId="0">
      <sharedItems count="4">
        <s v="SHM"/>
        <s v="BPKB"/>
        <s v="SHGB"/>
        <s v="KTA"/>
      </sharedItems>
    </cacheField>
    <cacheField name="Jenis Pengikatan" numFmtId="0">
      <sharedItems count="3">
        <s v="SHT"/>
        <s v="Tidak Ada Pengikatan"/>
        <s v="SKMHT"/>
      </sharedItems>
    </cacheField>
    <cacheField name="Keterangan" numFmtId="0">
      <sharedItems count="2">
        <s v="Belum Lunas"/>
        <s v="Lun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"/>
    <s v="02.300408"/>
    <s v="Bunardi Podjan"/>
    <x v="0"/>
    <n v="762514930.88999999"/>
    <n v="11231782.74"/>
    <n v="10972501.6"/>
    <n v="784719215.23000002"/>
    <n v="0"/>
    <n v="0"/>
    <n v="0"/>
    <m/>
    <m/>
    <n v="0"/>
    <n v="396000000"/>
    <n v="0"/>
    <n v="0"/>
    <n v="396000000"/>
    <n v="0"/>
    <n v="0"/>
    <n v="366514930.88999999"/>
    <n v="11231782.74"/>
    <n v="10972501.6"/>
    <n v="388719215.23000002"/>
    <n v="1131000000"/>
    <n v="762514931"/>
    <x v="0"/>
    <x v="0"/>
    <x v="0"/>
  </r>
  <r>
    <n v="2"/>
    <s v="02.300506"/>
    <s v="Wilman Ardan"/>
    <x v="0"/>
    <n v="75054323.900000006"/>
    <n v="598573"/>
    <n v="2966605.06"/>
    <n v="78619501.960000008"/>
    <n v="28545351"/>
    <n v="0"/>
    <n v="9023"/>
    <m/>
    <m/>
    <n v="9023"/>
    <n v="75045300.900000006"/>
    <n v="29143924"/>
    <n v="2966605.06"/>
    <n v="107155829.96000001"/>
    <n v="0"/>
    <n v="0"/>
    <n v="0"/>
    <n v="0"/>
    <n v="0"/>
    <n v="0"/>
    <n v="131000000"/>
    <n v="75045301"/>
    <x v="0"/>
    <x v="0"/>
    <x v="1"/>
  </r>
  <r>
    <n v="3"/>
    <s v="02.300100"/>
    <s v="Luluk Badria Murni"/>
    <x v="0"/>
    <n v="57660605.07"/>
    <n v="1365896"/>
    <n v="10489875"/>
    <n v="69516376.069999993"/>
    <n v="12734643"/>
    <n v="10215385"/>
    <n v="8051"/>
    <m/>
    <m/>
    <n v="8051"/>
    <n v="57652554.07"/>
    <n v="13070997"/>
    <n v="20705260"/>
    <n v="91428811.069999993"/>
    <n v="0"/>
    <n v="0"/>
    <n v="0"/>
    <n v="1029542"/>
    <n v="0"/>
    <n v="1029542"/>
    <n v="0"/>
    <n v="57652554"/>
    <x v="0"/>
    <x v="0"/>
    <x v="1"/>
  </r>
  <r>
    <n v="4"/>
    <s v="02.300353"/>
    <s v="Rokhim"/>
    <x v="0"/>
    <n v="47930622.310000002"/>
    <n v="263618"/>
    <n v="0"/>
    <n v="48194240.310000002"/>
    <n v="95862"/>
    <n v="2412898"/>
    <n v="0"/>
    <m/>
    <m/>
    <n v="0"/>
    <n v="47930622.310000002"/>
    <n v="359480"/>
    <n v="2412898"/>
    <n v="50703000.310000002"/>
    <n v="0"/>
    <n v="0"/>
    <n v="0"/>
    <n v="0"/>
    <n v="0"/>
    <n v="0"/>
    <n v="0"/>
    <n v="47930622"/>
    <x v="0"/>
    <x v="0"/>
    <x v="1"/>
  </r>
  <r>
    <n v="5"/>
    <s v="02.300531"/>
    <s v="Raju Lusmana"/>
    <x v="0"/>
    <n v="661487869.29999995"/>
    <n v="12237526"/>
    <n v="82574662"/>
    <n v="756300057.29999995"/>
    <n v="12035228"/>
    <n v="1146508"/>
    <n v="0"/>
    <m/>
    <m/>
    <n v="0"/>
    <n v="661487869.29999995"/>
    <n v="24272754"/>
    <n v="83721170"/>
    <n v="769481793.29999995"/>
    <n v="0"/>
    <n v="0"/>
    <n v="0"/>
    <n v="0"/>
    <n v="0"/>
    <n v="0"/>
    <n v="0"/>
    <n v="661487869"/>
    <x v="0"/>
    <x v="0"/>
    <x v="1"/>
  </r>
  <r>
    <n v="6"/>
    <s v="02.300539"/>
    <s v="Kadek Ngurah Robi Juniawan"/>
    <x v="0"/>
    <n v="164710439.44999999"/>
    <n v="1422000"/>
    <n v="0"/>
    <n v="166132439.44999999"/>
    <n v="6483419"/>
    <n v="6000"/>
    <n v="20738744"/>
    <m/>
    <m/>
    <n v="20738744"/>
    <n v="143971695.44999999"/>
    <n v="7905419"/>
    <n v="6000"/>
    <n v="151883114.44999999"/>
    <n v="0"/>
    <n v="0"/>
    <n v="0"/>
    <n v="0"/>
    <n v="0"/>
    <n v="0"/>
    <n v="0"/>
    <n v="143971695"/>
    <x v="0"/>
    <x v="0"/>
    <x v="1"/>
  </r>
  <r>
    <n v="7"/>
    <s v="02.300602"/>
    <s v="Putu Ayu Junita Sari"/>
    <x v="0"/>
    <n v="38800844.469999999"/>
    <n v="206937.72"/>
    <n v="0"/>
    <n v="39007782.189999998"/>
    <m/>
    <n v="0"/>
    <n v="0"/>
    <m/>
    <m/>
    <n v="0"/>
    <n v="24527180"/>
    <n v="0"/>
    <n v="0"/>
    <n v="24527180"/>
    <n v="0"/>
    <n v="0"/>
    <n v="14273664.469999999"/>
    <n v="206937.72"/>
    <n v="0"/>
    <n v="14480602.189999999"/>
    <n v="477000000"/>
    <n v="38800844.312677257"/>
    <x v="0"/>
    <x v="0"/>
    <x v="0"/>
  </r>
  <r>
    <n v="8"/>
    <s v="02.300625"/>
    <s v="Made Ita Yulita"/>
    <x v="0"/>
    <n v="35148499.759999998"/>
    <n v="171837"/>
    <n v="0"/>
    <n v="35320336.759999998"/>
    <n v="5686809"/>
    <n v="0"/>
    <n v="84346"/>
    <m/>
    <m/>
    <n v="84346"/>
    <n v="35064153.759999998"/>
    <n v="5858646"/>
    <n v="0"/>
    <n v="40922799.759999998"/>
    <n v="0"/>
    <n v="0"/>
    <n v="0"/>
    <n v="0"/>
    <n v="0"/>
    <n v="0"/>
    <n v="0"/>
    <n v="13014860"/>
    <x v="0"/>
    <x v="1"/>
    <x v="1"/>
  </r>
  <r>
    <n v="9"/>
    <s v="02.300666"/>
    <s v="Putu Ayu Junita Sari"/>
    <x v="0"/>
    <n v="25560630.690000001"/>
    <n v="11360.28"/>
    <n v="0"/>
    <n v="25571990.970000003"/>
    <m/>
    <n v="0"/>
    <n v="0.35219068493006489"/>
    <m/>
    <m/>
    <n v="0.35219068493006489"/>
    <n v="12442231"/>
    <n v="0"/>
    <n v="0"/>
    <n v="12442231"/>
    <n v="0"/>
    <n v="0"/>
    <n v="13118399.337809317"/>
    <n v="11360.28"/>
    <n v="0"/>
    <n v="13129759.617809316"/>
    <n v="0"/>
    <n v="6589591.6478093155"/>
    <x v="0"/>
    <x v="0"/>
    <x v="0"/>
  </r>
  <r>
    <n v="10"/>
    <s v="02.300681"/>
    <s v="I Nyoman Sidia"/>
    <x v="0"/>
    <n v="741259689.72000003"/>
    <n v="6486022.2000000002"/>
    <n v="221818.86"/>
    <n v="747967530.78000009"/>
    <m/>
    <n v="0"/>
    <n v="9023"/>
    <m/>
    <m/>
    <n v="9023"/>
    <n v="139109592"/>
    <n v="0"/>
    <n v="0"/>
    <n v="139109592"/>
    <n v="0"/>
    <n v="0"/>
    <n v="602141074.72000003"/>
    <n v="6486022.2000000002"/>
    <n v="221818.86"/>
    <n v="608848915.78000009"/>
    <n v="1220000000"/>
    <n v="741250667"/>
    <x v="0"/>
    <x v="0"/>
    <x v="0"/>
  </r>
  <r>
    <n v="11"/>
    <s v="02.300695"/>
    <s v="Made Wira Sastrawan "/>
    <x v="0"/>
    <n v="3970117.94"/>
    <n v="31761"/>
    <n v="0"/>
    <n v="4001878.94"/>
    <n v="404796"/>
    <n v="0"/>
    <n v="35351"/>
    <m/>
    <m/>
    <n v="35351"/>
    <n v="3934766.9400000004"/>
    <n v="436557"/>
    <n v="0"/>
    <n v="4371323.9400000004"/>
    <n v="0"/>
    <n v="0"/>
    <n v="0"/>
    <n v="0"/>
    <n v="0"/>
    <n v="0"/>
    <n v="0"/>
    <n v="1175116"/>
    <x v="1"/>
    <x v="1"/>
    <x v="1"/>
  </r>
  <r>
    <n v="12"/>
    <s v="02.300701"/>
    <s v="I Ketut Sariyana"/>
    <x v="0"/>
    <n v="8170422.3799999999"/>
    <n v="72626"/>
    <n v="0"/>
    <n v="8243048.3799999999"/>
    <n v="1439405"/>
    <n v="0"/>
    <n v="30699"/>
    <m/>
    <m/>
    <n v="30699"/>
    <n v="8139723.3799999999"/>
    <n v="1512031"/>
    <n v="0"/>
    <n v="9651754.379999999"/>
    <n v="0"/>
    <n v="0"/>
    <n v="0"/>
    <n v="0"/>
    <n v="0"/>
    <n v="0"/>
    <n v="0"/>
    <n v="5273550"/>
    <x v="1"/>
    <x v="1"/>
    <x v="1"/>
  </r>
  <r>
    <n v="13"/>
    <s v="02.300702"/>
    <s v="I Gede Dananjaya Siadja"/>
    <x v="0"/>
    <n v="566665227.69000006"/>
    <n v="8074979"/>
    <n v="0"/>
    <n v="574740206.69000006"/>
    <n v="41922585"/>
    <n v="64294"/>
    <n v="34315042"/>
    <m/>
    <m/>
    <n v="34315042"/>
    <n v="532350185.69000006"/>
    <n v="49997564"/>
    <n v="64294"/>
    <n v="582412043.69000006"/>
    <n v="0"/>
    <n v="0"/>
    <n v="0"/>
    <n v="0"/>
    <n v="0"/>
    <n v="0"/>
    <n v="0"/>
    <n v="532350186"/>
    <x v="0"/>
    <x v="0"/>
    <x v="1"/>
  </r>
  <r>
    <n v="14"/>
    <s v="02.300703"/>
    <s v="Ni Nengah Nuasih "/>
    <x v="0"/>
    <n v="16340836.380000001"/>
    <n v="137989"/>
    <n v="0"/>
    <n v="16478825.380000001"/>
    <n v="2772161"/>
    <n v="0"/>
    <n v="56496"/>
    <m/>
    <m/>
    <n v="56496"/>
    <n v="16284340.380000001"/>
    <n v="2910150"/>
    <n v="0"/>
    <n v="19194490.380000003"/>
    <n v="0"/>
    <n v="0"/>
    <n v="0"/>
    <n v="0"/>
    <n v="0"/>
    <n v="0"/>
    <n v="0"/>
    <n v="7670128"/>
    <x v="1"/>
    <x v="1"/>
    <x v="1"/>
  </r>
  <r>
    <n v="15"/>
    <s v="02.300707"/>
    <s v="I Ketut Subagia"/>
    <x v="0"/>
    <n v="72632799.989999995"/>
    <n v="355093.64"/>
    <n v="0"/>
    <n v="72987893.629999995"/>
    <n v="17661768"/>
    <n v="0"/>
    <n v="48103"/>
    <m/>
    <m/>
    <n v="48103"/>
    <n v="72584697"/>
    <n v="18016861.640000001"/>
    <n v="0"/>
    <n v="90601558.640000001"/>
    <n v="0"/>
    <n v="0"/>
    <n v="0"/>
    <n v="0"/>
    <n v="0"/>
    <n v="0"/>
    <n v="0"/>
    <n v="29181685"/>
    <x v="0"/>
    <x v="1"/>
    <x v="1"/>
  </r>
  <r>
    <n v="16"/>
    <s v="02.300709"/>
    <s v="I Putu Widi Indriyana"/>
    <x v="0"/>
    <n v="29434505.870000001"/>
    <n v="353214"/>
    <n v="0"/>
    <n v="29787719.870000001"/>
    <n v="4399453"/>
    <n v="0"/>
    <n v="95713"/>
    <m/>
    <m/>
    <n v="95713"/>
    <n v="29338793"/>
    <n v="4752667"/>
    <n v="0"/>
    <n v="34091460"/>
    <n v="0"/>
    <n v="0"/>
    <n v="0"/>
    <n v="0"/>
    <n v="0"/>
    <n v="0"/>
    <n v="0"/>
    <n v="29338793"/>
    <x v="1"/>
    <x v="1"/>
    <x v="1"/>
  </r>
  <r>
    <n v="17"/>
    <s v="02.300714"/>
    <s v="I Wayan Widiatmika Kurniawan"/>
    <x v="0"/>
    <n v="11105855.699999999"/>
    <n v="64167"/>
    <n v="0"/>
    <n v="11170022.699999999"/>
    <n v="767759"/>
    <n v="0"/>
    <n v="127596"/>
    <m/>
    <m/>
    <n v="127596"/>
    <n v="10978260"/>
    <n v="831926"/>
    <n v="0"/>
    <n v="11810186"/>
    <n v="0"/>
    <n v="0"/>
    <n v="0"/>
    <n v="0"/>
    <n v="0"/>
    <n v="0"/>
    <n v="0"/>
    <n v="10978260"/>
    <x v="1"/>
    <x v="1"/>
    <x v="1"/>
  </r>
  <r>
    <n v="18"/>
    <s v="02.300721"/>
    <s v="I Putu Gede Wirawan "/>
    <x v="0"/>
    <n v="12463477.34"/>
    <n v="149562"/>
    <n v="0"/>
    <n v="12613039.34"/>
    <n v="1637896"/>
    <n v="0"/>
    <n v="63434"/>
    <m/>
    <m/>
    <n v="63434"/>
    <n v="12400043.339999996"/>
    <n v="1787458"/>
    <n v="0"/>
    <n v="14187501.339999996"/>
    <n v="0"/>
    <n v="0"/>
    <n v="0"/>
    <n v="0"/>
    <n v="0"/>
    <n v="0"/>
    <n v="0"/>
    <n v="8917510"/>
    <x v="1"/>
    <x v="1"/>
    <x v="1"/>
  </r>
  <r>
    <n v="19"/>
    <s v="02.300737"/>
    <s v="I Putu Wastika"/>
    <x v="0"/>
    <n v="45345151.82"/>
    <n v="80613.600000000006"/>
    <n v="0"/>
    <n v="45425765.420000002"/>
    <m/>
    <n v="0"/>
    <n v="63773"/>
    <m/>
    <m/>
    <n v="63773"/>
    <n v="12172098.119999999"/>
    <n v="0"/>
    <n v="0"/>
    <n v="12172098.119999999"/>
    <n v="0"/>
    <n v="0"/>
    <n v="33109280.700000003"/>
    <n v="80613.600000000006"/>
    <n v="0"/>
    <n v="33189894.300000004"/>
    <n v="0"/>
    <n v="2253000"/>
    <x v="1"/>
    <x v="1"/>
    <x v="0"/>
  </r>
  <r>
    <n v="20"/>
    <s v="02.200010"/>
    <s v="Supyan Yusuf"/>
    <x v="0"/>
    <n v="25300983.52"/>
    <n v="215901"/>
    <n v="2417073"/>
    <n v="27933957.52"/>
    <n v="312978"/>
    <n v="47064"/>
    <n v="0"/>
    <m/>
    <m/>
    <n v="0"/>
    <n v="25300983.52"/>
    <n v="528879"/>
    <n v="2464137"/>
    <n v="28293999.52"/>
    <n v="0"/>
    <n v="0"/>
    <n v="0"/>
    <n v="0"/>
    <n v="0"/>
    <n v="0"/>
    <n v="0"/>
    <n v="25300984"/>
    <x v="0"/>
    <x v="0"/>
    <x v="1"/>
  </r>
  <r>
    <n v="21"/>
    <s v="02.200125"/>
    <s v="Darmika Dewa Gede"/>
    <x v="0"/>
    <n v="50005032.990000002"/>
    <n v="373371"/>
    <n v="305152"/>
    <n v="50683555.990000002"/>
    <n v="709327"/>
    <n v="6000"/>
    <n v="0"/>
    <m/>
    <m/>
    <n v="0"/>
    <n v="50005032.990000002"/>
    <n v="1082698"/>
    <n v="311152"/>
    <n v="51398882.990000002"/>
    <n v="0"/>
    <n v="0"/>
    <n v="0"/>
    <n v="0"/>
    <n v="0"/>
    <n v="0"/>
    <n v="0"/>
    <n v="50005033"/>
    <x v="0"/>
    <x v="0"/>
    <x v="1"/>
  </r>
  <r>
    <n v="22"/>
    <s v="02.200335"/>
    <s v="Aloisius Rendi Holo"/>
    <x v="0"/>
    <n v="23599551"/>
    <n v="73421"/>
    <n v="0"/>
    <n v="23672972"/>
    <n v="1691586"/>
    <n v="0"/>
    <n v="0"/>
    <m/>
    <m/>
    <n v="0"/>
    <n v="23599551"/>
    <n v="1765007"/>
    <n v="0"/>
    <n v="25364558"/>
    <n v="0"/>
    <n v="0"/>
    <n v="0"/>
    <n v="0"/>
    <n v="0"/>
    <n v="0"/>
    <n v="0"/>
    <n v="23599551"/>
    <x v="1"/>
    <x v="1"/>
    <x v="1"/>
  </r>
  <r>
    <n v="23"/>
    <s v="02.200337"/>
    <s v="Anak Agung Istri Vera Raditya"/>
    <x v="0"/>
    <n v="65803637.759999998"/>
    <n v="175476"/>
    <n v="0"/>
    <n v="65979113.759999998"/>
    <n v="2292415"/>
    <n v="0"/>
    <n v="0"/>
    <m/>
    <m/>
    <n v="0"/>
    <n v="65803637.759999998"/>
    <n v="2467891"/>
    <n v="0"/>
    <n v="68271528.75999999"/>
    <n v="0"/>
    <n v="0"/>
    <n v="0"/>
    <n v="0"/>
    <n v="0"/>
    <n v="0"/>
    <n v="0"/>
    <n v="65803638"/>
    <x v="1"/>
    <x v="1"/>
    <x v="1"/>
  </r>
  <r>
    <n v="24"/>
    <s v="02.200342"/>
    <s v="Aloisius Rendi Holo"/>
    <x v="0"/>
    <n v="483191.4"/>
    <n v="0"/>
    <n v="0"/>
    <n v="483191.4"/>
    <n v="6440"/>
    <n v="0"/>
    <n v="0"/>
    <m/>
    <m/>
    <n v="0"/>
    <n v="483191.4"/>
    <n v="6440"/>
    <n v="0"/>
    <n v="489631.4"/>
    <n v="0"/>
    <n v="0"/>
    <n v="0"/>
    <n v="0"/>
    <n v="0"/>
    <n v="0"/>
    <n v="0"/>
    <n v="483191"/>
    <x v="1"/>
    <x v="1"/>
    <x v="1"/>
  </r>
  <r>
    <n v="25"/>
    <s v="02.200357"/>
    <s v="Dewa Nyoman Widnyana"/>
    <x v="0"/>
    <n v="395736647.33999997"/>
    <n v="1846771.01"/>
    <n v="0"/>
    <n v="397583418.34999996"/>
    <m/>
    <n v="0"/>
    <n v="120862"/>
    <m/>
    <m/>
    <n v="120862"/>
    <n v="147500000"/>
    <n v="0"/>
    <n v="0"/>
    <n v="147500000"/>
    <n v="0"/>
    <n v="0"/>
    <n v="248115785.33999997"/>
    <n v="1846771.01"/>
    <n v="0"/>
    <n v="249962556.34999996"/>
    <n v="351000000"/>
    <n v="358000000"/>
    <x v="0"/>
    <x v="0"/>
    <x v="0"/>
  </r>
  <r>
    <n v="26"/>
    <s v="02.100361"/>
    <s v="I Wayan Mertawa SH "/>
    <x v="0"/>
    <n v="12553932.02"/>
    <n v="224506"/>
    <n v="1259140"/>
    <n v="14037578.02"/>
    <n v="257995"/>
    <n v="98627"/>
    <n v="0"/>
    <m/>
    <m/>
    <n v="0"/>
    <n v="12553932.02"/>
    <n v="482501"/>
    <n v="1357767"/>
    <n v="14394200.02"/>
    <n v="0"/>
    <n v="0"/>
    <n v="0"/>
    <n v="0"/>
    <n v="0"/>
    <n v="0"/>
    <n v="0"/>
    <n v="12553932"/>
    <x v="0"/>
    <x v="2"/>
    <x v="1"/>
  </r>
  <r>
    <n v="27"/>
    <s v="02.100377"/>
    <s v="Ni Pande Putu Andri Liani"/>
    <x v="0"/>
    <n v="10505589.15"/>
    <n v="297003"/>
    <n v="166802"/>
    <n v="10969394.15"/>
    <n v="19553"/>
    <n v="349053"/>
    <n v="0"/>
    <m/>
    <m/>
    <n v="0"/>
    <n v="10505589.15"/>
    <n v="316556"/>
    <n v="515855"/>
    <n v="11338000.15"/>
    <n v="0"/>
    <n v="0"/>
    <n v="0"/>
    <n v="0"/>
    <n v="0"/>
    <n v="0"/>
    <n v="0"/>
    <n v="10505589"/>
    <x v="0"/>
    <x v="0"/>
    <x v="1"/>
  </r>
  <r>
    <n v="28"/>
    <s v="02.100382"/>
    <s v="Made Ayu Ima Pradasari"/>
    <x v="0"/>
    <n v="13716014.869999999"/>
    <n v="276507"/>
    <n v="21808954"/>
    <n v="35801475.869999997"/>
    <n v="234085"/>
    <n v="0"/>
    <n v="0"/>
    <m/>
    <m/>
    <n v="0"/>
    <n v="13716014.869999999"/>
    <n v="510592"/>
    <n v="53392"/>
    <n v="14279998.869999999"/>
    <n v="0"/>
    <n v="21755562"/>
    <n v="0"/>
    <n v="0"/>
    <n v="0"/>
    <n v="0"/>
    <n v="0"/>
    <n v="13716015"/>
    <x v="0"/>
    <x v="0"/>
    <x v="1"/>
  </r>
  <r>
    <n v="29"/>
    <s v="02.100437"/>
    <s v="Ni Made Ayu Sita Setyawati"/>
    <x v="0"/>
    <n v="92500000"/>
    <n v="388500"/>
    <n v="0"/>
    <n v="92888500"/>
    <n v="777000"/>
    <n v="2791000"/>
    <n v="0"/>
    <m/>
    <m/>
    <n v="0"/>
    <n v="92500000"/>
    <n v="1165500"/>
    <n v="2791000"/>
    <n v="96456500"/>
    <n v="0"/>
    <n v="0"/>
    <n v="0"/>
    <n v="0"/>
    <n v="0"/>
    <n v="0"/>
    <n v="0"/>
    <n v="92500000"/>
    <x v="0"/>
    <x v="0"/>
    <x v="1"/>
  </r>
  <r>
    <n v="30"/>
    <s v="02.100449"/>
    <s v="Ni Wayan Astini"/>
    <x v="0"/>
    <n v="47516925.420000002"/>
    <n v="211186"/>
    <n v="0"/>
    <n v="47728111.420000002"/>
    <n v="546971"/>
    <n v="0"/>
    <n v="0"/>
    <m/>
    <m/>
    <n v="0"/>
    <n v="47516925.420000002"/>
    <n v="758157"/>
    <n v="0"/>
    <n v="48275082.420000002"/>
    <n v="0"/>
    <n v="0"/>
    <n v="0"/>
    <n v="0"/>
    <n v="0"/>
    <n v="0"/>
    <n v="0"/>
    <n v="47516925"/>
    <x v="1"/>
    <x v="1"/>
    <x v="1"/>
  </r>
  <r>
    <n v="31"/>
    <s v="02.100404"/>
    <s v="I Gede Ketut Dinamika"/>
    <x v="0"/>
    <n v="24875216.16"/>
    <n v="1767712"/>
    <n v="6690777"/>
    <n v="33333705.16"/>
    <n v="340902"/>
    <n v="277480"/>
    <n v="0"/>
    <m/>
    <m/>
    <n v="0"/>
    <n v="24875216"/>
    <n v="2108614"/>
    <n v="6968257"/>
    <n v="33952087"/>
    <n v="0"/>
    <n v="0"/>
    <n v="0"/>
    <n v="0"/>
    <n v="0"/>
    <n v="0"/>
    <n v="0"/>
    <n v="24875217"/>
    <x v="0"/>
    <x v="2"/>
    <x v="1"/>
  </r>
  <r>
    <n v="32"/>
    <s v="02.300667"/>
    <s v="I Ketut Minsana"/>
    <x v="0"/>
    <n v="109374995"/>
    <n v="2233593"/>
    <n v="0"/>
    <n v="111608588"/>
    <n v="5414062"/>
    <n v="167000"/>
    <n v="0"/>
    <m/>
    <m/>
    <n v="0"/>
    <n v="109374995"/>
    <n v="7647655"/>
    <n v="167000"/>
    <n v="117189650"/>
    <n v="0"/>
    <n v="0"/>
    <n v="0"/>
    <n v="0"/>
    <n v="0"/>
    <n v="0"/>
    <n v="0"/>
    <n v="109469861.44751781"/>
    <x v="0"/>
    <x v="0"/>
    <x v="1"/>
  </r>
  <r>
    <n v="33"/>
    <s v="02.300561"/>
    <s v="Pt.Bali Selancar Laut Biru"/>
    <x v="0"/>
    <n v="396794304.25"/>
    <n v="3915037"/>
    <n v="434633"/>
    <n v="401143974.25"/>
    <n v="24476895"/>
    <n v="6000"/>
    <n v="9023"/>
    <m/>
    <m/>
    <n v="9023"/>
    <n v="396785281"/>
    <n v="28391932"/>
    <n v="440633"/>
    <n v="425617846"/>
    <n v="0"/>
    <n v="0"/>
    <n v="0"/>
    <n v="0"/>
    <n v="0"/>
    <n v="0"/>
    <n v="0"/>
    <n v="396785281"/>
    <x v="0"/>
    <x v="0"/>
    <x v="1"/>
  </r>
  <r>
    <n v="34"/>
    <s v="02.300620"/>
    <s v="Ni Putu Novi Wulandari"/>
    <x v="0"/>
    <n v="984975132.88"/>
    <n v="16416252"/>
    <n v="1713215.32"/>
    <n v="1003104600.2"/>
    <m/>
    <n v="0"/>
    <n v="41566056"/>
    <m/>
    <m/>
    <n v="41566056"/>
    <n v="51000000"/>
    <n v="0"/>
    <n v="0"/>
    <n v="51000000"/>
    <n v="0"/>
    <n v="0"/>
    <n v="892409076.88"/>
    <n v="16416252"/>
    <n v="1713215.32"/>
    <n v="910538544.20000005"/>
    <n v="1034000000"/>
    <n v="943409077"/>
    <x v="0"/>
    <x v="0"/>
    <x v="0"/>
  </r>
  <r>
    <n v="35"/>
    <s v="02.300186"/>
    <s v="I Ketut Minsana"/>
    <x v="0"/>
    <n v="52500000"/>
    <n v="844375"/>
    <n v="0"/>
    <n v="53344375"/>
    <n v="2021250"/>
    <n v="366240"/>
    <n v="245322"/>
    <m/>
    <m/>
    <n v="245322"/>
    <n v="52254678"/>
    <n v="2865625"/>
    <n v="366240"/>
    <n v="55486543"/>
    <n v="0"/>
    <n v="0"/>
    <n v="0"/>
    <n v="0"/>
    <n v="0"/>
    <n v="0"/>
    <n v="0"/>
    <n v="52329906"/>
    <x v="0"/>
    <x v="0"/>
    <x v="1"/>
  </r>
  <r>
    <n v="36"/>
    <s v="02.200245"/>
    <s v="Sebe Adi Putra I Made"/>
    <x v="0"/>
    <n v="146066688"/>
    <n v="832580"/>
    <n v="0"/>
    <n v="146899268"/>
    <n v="4810463"/>
    <n v="4697955"/>
    <n v="587161"/>
    <m/>
    <m/>
    <n v="587161"/>
    <n v="145479527"/>
    <n v="5643043"/>
    <n v="4697955"/>
    <n v="155820525"/>
    <n v="0"/>
    <n v="0"/>
    <n v="0"/>
    <n v="0"/>
    <n v="0"/>
    <n v="0"/>
    <n v="0"/>
    <n v="145479527"/>
    <x v="0"/>
    <x v="0"/>
    <x v="1"/>
  </r>
  <r>
    <n v="37"/>
    <s v="02.200345"/>
    <s v="Dwinata Yudistira Putra"/>
    <x v="0"/>
    <n v="325690711.97000003"/>
    <n v="5824435"/>
    <n v="0"/>
    <n v="331515146.97000003"/>
    <n v="7623875"/>
    <n v="450610"/>
    <n v="0"/>
    <m/>
    <m/>
    <n v="0"/>
    <n v="325690711.97000003"/>
    <n v="13448310"/>
    <n v="450610"/>
    <n v="339589631.97000003"/>
    <n v="0"/>
    <n v="0"/>
    <n v="0"/>
    <n v="0"/>
    <n v="0"/>
    <n v="0"/>
    <n v="0"/>
    <n v="325690712"/>
    <x v="0"/>
    <x v="0"/>
    <x v="1"/>
  </r>
  <r>
    <n v="38"/>
    <s v="02.200321"/>
    <s v="I Gede Andriawan Dusak"/>
    <x v="0"/>
    <n v="1261407689.0699999"/>
    <n v="8549477.9700000007"/>
    <n v="159949681.34999999"/>
    <n v="1429906848.3899999"/>
    <m/>
    <n v="0"/>
    <n v="0"/>
    <m/>
    <m/>
    <n v="0"/>
    <n v="62410000"/>
    <n v="0"/>
    <n v="0"/>
    <n v="62410000"/>
    <n v="0"/>
    <n v="0"/>
    <n v="1198997689.0699999"/>
    <n v="8549477.9700000007"/>
    <n v="159949681.34999999"/>
    <n v="1367496848.3899999"/>
    <n v="766000000"/>
    <n v="766000000"/>
    <x v="0"/>
    <x v="0"/>
    <x v="0"/>
  </r>
  <r>
    <n v="39"/>
    <s v="02.100346"/>
    <s v="Made Ayu Ima Pradasari"/>
    <x v="0"/>
    <n v="35129811.18"/>
    <n v="1087092"/>
    <n v="63399095"/>
    <n v="99615998.180000007"/>
    <n v="778858"/>
    <n v="0"/>
    <n v="8055"/>
    <m/>
    <m/>
    <n v="8055"/>
    <n v="35121756"/>
    <n v="2207888"/>
    <n v="19370328"/>
    <n v="56699972"/>
    <n v="0"/>
    <n v="44028767"/>
    <n v="0"/>
    <n v="-341938"/>
    <n v="0"/>
    <n v="-341938"/>
    <n v="0"/>
    <n v="35121756"/>
    <x v="0"/>
    <x v="0"/>
    <x v="1"/>
  </r>
  <r>
    <n v="40"/>
    <s v="02.100429"/>
    <s v="I Gede Ketut Dinamika"/>
    <x v="0"/>
    <n v="16590923.619999999"/>
    <n v="1236268"/>
    <n v="4606140"/>
    <n v="22433331.619999997"/>
    <n v="300782"/>
    <n v="181019"/>
    <n v="0"/>
    <m/>
    <m/>
    <n v="0"/>
    <n v="16590923.619999999"/>
    <n v="1537050"/>
    <n v="4787159"/>
    <n v="22915132.619999997"/>
    <n v="0"/>
    <n v="0"/>
    <n v="0"/>
    <n v="0"/>
    <n v="0"/>
    <n v="0"/>
    <n v="0"/>
    <n v="16590924"/>
    <x v="0"/>
    <x v="0"/>
    <x v="1"/>
  </r>
  <r>
    <n v="41"/>
    <s v="02.300499"/>
    <s v="I Nyoman Surawibawa"/>
    <x v="0"/>
    <n v="195026606.72"/>
    <n v="1186480"/>
    <n v="3522143"/>
    <n v="199735229.72"/>
    <n v="20776866"/>
    <n v="2745190.64"/>
    <n v="9023"/>
    <m/>
    <m/>
    <n v="9023"/>
    <n v="195017584"/>
    <n v="21963346"/>
    <n v="530168"/>
    <n v="217511098"/>
    <n v="0"/>
    <n v="5737165.6399999997"/>
    <n v="0"/>
    <n v="0"/>
    <n v="0"/>
    <n v="0"/>
    <n v="0"/>
    <n v="195026607"/>
    <x v="0"/>
    <x v="0"/>
    <x v="1"/>
  </r>
  <r>
    <n v="42"/>
    <s v="02.300512"/>
    <s v="I Nyoman Surawibawa"/>
    <x v="0"/>
    <n v="67862249.859999999"/>
    <n v="167394"/>
    <n v="738410"/>
    <n v="68768053.859999999"/>
    <n v="8031410"/>
    <n v="92628"/>
    <n v="0"/>
    <m/>
    <m/>
    <n v="0"/>
    <n v="67862249.859999985"/>
    <n v="8198804"/>
    <n v="831038"/>
    <n v="76892091.859999985"/>
    <n v="0"/>
    <n v="0"/>
    <n v="0"/>
    <n v="0"/>
    <n v="0"/>
    <n v="0"/>
    <n v="0"/>
    <n v="67862250"/>
    <x v="0"/>
    <x v="0"/>
    <x v="1"/>
  </r>
  <r>
    <n v="43"/>
    <s v="02.300671"/>
    <s v="Ni Wayan Darmini  "/>
    <x v="0"/>
    <n v="680965850.52999997"/>
    <n v="12768109.5"/>
    <n v="0"/>
    <n v="693733960.02999997"/>
    <m/>
    <n v="0"/>
    <n v="77255625.610000014"/>
    <m/>
    <m/>
    <n v="77255625.610000014"/>
    <n v="18500000"/>
    <n v="0"/>
    <n v="0"/>
    <n v="18500000"/>
    <n v="0"/>
    <n v="0"/>
    <n v="585210224.91999996"/>
    <n v="12768109.5"/>
    <n v="0"/>
    <n v="597978334.41999996"/>
    <n v="1161000000"/>
    <n v="555839350"/>
    <x v="0"/>
    <x v="0"/>
    <x v="0"/>
  </r>
  <r>
    <n v="44"/>
    <s v="02.300682"/>
    <s v="Muhamad Sutioso"/>
    <x v="0"/>
    <n v="146256577.69"/>
    <n v="1535694"/>
    <n v="0"/>
    <n v="147792271.69"/>
    <n v="2958929"/>
    <n v="7385499"/>
    <n v="0"/>
    <m/>
    <m/>
    <n v="0"/>
    <n v="146256577.69"/>
    <n v="4494623"/>
    <n v="7385499"/>
    <n v="158136699.69"/>
    <n v="0"/>
    <n v="0"/>
    <n v="0"/>
    <n v="0"/>
    <n v="0"/>
    <n v="0"/>
    <n v="0"/>
    <n v="146256578"/>
    <x v="0"/>
    <x v="0"/>
    <x v="1"/>
  </r>
  <r>
    <n v="45"/>
    <s v="02.300699"/>
    <s v="Bambang Basuki"/>
    <x v="0"/>
    <n v="148119127.08000001"/>
    <n v="0"/>
    <n v="0"/>
    <n v="148119127.08000001"/>
    <n v="7864653"/>
    <n v="7730019"/>
    <n v="0"/>
    <m/>
    <m/>
    <n v="0"/>
    <n v="148119127.08000001"/>
    <n v="7864653"/>
    <n v="7730019"/>
    <n v="163713799.08000001"/>
    <n v="0"/>
    <n v="0"/>
    <n v="0"/>
    <n v="0"/>
    <n v="0"/>
    <n v="0"/>
    <n v="0"/>
    <n v="148119127"/>
    <x v="2"/>
    <x v="0"/>
    <x v="1"/>
  </r>
  <r>
    <n v="46"/>
    <s v="02.300700"/>
    <s v="Ni Wayan Darmini"/>
    <x v="0"/>
    <n v="295651420.88"/>
    <n v="6208679.6799999997"/>
    <n v="0"/>
    <n v="301860100.56"/>
    <m/>
    <n v="0"/>
    <n v="34221981.599999994"/>
    <m/>
    <m/>
    <n v="34221981.599999994"/>
    <n v="0"/>
    <n v="0"/>
    <n v="0"/>
    <n v="0"/>
    <n v="0"/>
    <n v="0"/>
    <n v="261429439.28"/>
    <n v="6208679.6799999997"/>
    <n v="0"/>
    <n v="267638118.96000001"/>
    <n v="0"/>
    <n v="295651421"/>
    <x v="0"/>
    <x v="0"/>
    <x v="0"/>
  </r>
  <r>
    <n v="47"/>
    <s v="02.300722"/>
    <s v="Anak Agung Sagung Alit Ernawa"/>
    <x v="0"/>
    <n v="284698012.27999997"/>
    <n v="5551611"/>
    <n v="0"/>
    <n v="290249623.27999997"/>
    <n v="14185091"/>
    <n v="1474630"/>
    <n v="79044"/>
    <m/>
    <m/>
    <n v="79044"/>
    <n v="284618968"/>
    <n v="19736702"/>
    <n v="1474630"/>
    <n v="305830300"/>
    <n v="0"/>
    <n v="0"/>
    <n v="0"/>
    <n v="0"/>
    <n v="0"/>
    <n v="0"/>
    <n v="0"/>
    <n v="284618968"/>
    <x v="0"/>
    <x v="0"/>
    <x v="1"/>
  </r>
  <r>
    <n v="48"/>
    <s v="02.300740"/>
    <s v="I Ketut Hary Wiguna"/>
    <x v="0"/>
    <n v="1795676738.21"/>
    <n v="42266563.18"/>
    <n v="399385.82"/>
    <n v="1838342687.21"/>
    <m/>
    <n v="0"/>
    <n v="9023"/>
    <m/>
    <m/>
    <n v="9023"/>
    <n v="1331245746"/>
    <n v="0"/>
    <n v="0"/>
    <n v="1331245746"/>
    <n v="0"/>
    <n v="0"/>
    <n v="464421969.21000004"/>
    <n v="42266563.18"/>
    <n v="399385.82"/>
    <n v="507087918.21000004"/>
    <n v="1352000000"/>
    <n v="1392000000"/>
    <x v="0"/>
    <x v="0"/>
    <x v="0"/>
  </r>
  <r>
    <n v="49"/>
    <s v="02.300752"/>
    <s v="Ni Wayan Darmini"/>
    <x v="0"/>
    <n v="597517706.84000003"/>
    <n v="11153663.640000001"/>
    <n v="0"/>
    <n v="608671370.48000002"/>
    <m/>
    <n v="0"/>
    <n v="13648893.789999999"/>
    <m/>
    <m/>
    <n v="13648893.789999999"/>
    <n v="0"/>
    <n v="0"/>
    <n v="0"/>
    <n v="0"/>
    <n v="0"/>
    <n v="0"/>
    <n v="583868813.05000007"/>
    <n v="11153663.640000001"/>
    <n v="0"/>
    <n v="595022476.69000006"/>
    <n v="0"/>
    <n v="309509230"/>
    <x v="0"/>
    <x v="0"/>
    <x v="0"/>
  </r>
  <r>
    <n v="50"/>
    <s v="02.200323"/>
    <s v="Wawan Setiawan"/>
    <x v="0"/>
    <n v="78567624.189999998"/>
    <n v="1018091"/>
    <n v="31688331"/>
    <n v="111274046.19"/>
    <n v="2278838"/>
    <n v="0"/>
    <n v="2681417"/>
    <m/>
    <m/>
    <n v="2681417"/>
    <n v="75886207"/>
    <n v="3296929"/>
    <n v="15183946"/>
    <n v="94367082"/>
    <n v="0"/>
    <n v="16504385"/>
    <n v="0"/>
    <n v="0"/>
    <n v="0"/>
    <n v="0"/>
    <n v="0"/>
    <n v="75886207"/>
    <x v="0"/>
    <x v="0"/>
    <x v="1"/>
  </r>
  <r>
    <n v="51"/>
    <s v="02.200346"/>
    <s v="Dwinata Yudistira Putra"/>
    <x v="0"/>
    <n v="365168381.25999999"/>
    <n v="6530428"/>
    <n v="0"/>
    <n v="371698809.25999999"/>
    <n v="11229398"/>
    <n v="498503"/>
    <n v="0"/>
    <m/>
    <m/>
    <n v="0"/>
    <n v="365168381.25999999"/>
    <n v="15078409"/>
    <n v="498503"/>
    <n v="380745293.25999999"/>
    <n v="0"/>
    <n v="0"/>
    <n v="0"/>
    <n v="2681417"/>
    <n v="0"/>
    <n v="2681417"/>
    <n v="0"/>
    <n v="365168381"/>
    <x v="0"/>
    <x v="1"/>
    <x v="1"/>
  </r>
  <r>
    <n v="52"/>
    <s v="02.200350"/>
    <s v="Ni Putu Suciati"/>
    <x v="0"/>
    <n v="548446270.75999999"/>
    <n v="12313099.859999999"/>
    <n v="0"/>
    <n v="560759370.62"/>
    <m/>
    <n v="0"/>
    <n v="14535714"/>
    <m/>
    <m/>
    <n v="14535714"/>
    <n v="265000000"/>
    <n v="0"/>
    <n v="0"/>
    <n v="265000000"/>
    <n v="0"/>
    <n v="0"/>
    <n v="268910556.75999999"/>
    <n v="12313099.859999999"/>
    <n v="0"/>
    <n v="281223656.62"/>
    <n v="500000000"/>
    <n v="533910557"/>
    <x v="0"/>
    <x v="0"/>
    <x v="0"/>
  </r>
  <r>
    <n v="53"/>
    <s v="02.200359"/>
    <s v="Masruh"/>
    <x v="0"/>
    <n v="1188620078.72"/>
    <n v="21256489"/>
    <n v="0"/>
    <n v="1209876567.72"/>
    <n v="759679517.63"/>
    <n v="0"/>
    <n v="5188049"/>
    <m/>
    <m/>
    <n v="5188049"/>
    <n v="1183432029.72"/>
    <n v="20417970"/>
    <n v="0"/>
    <n v="1203849999.72"/>
    <n v="760518036.63"/>
    <n v="0"/>
    <n v="0"/>
    <n v="0"/>
    <n v="0"/>
    <n v="0"/>
    <n v="1021000000"/>
    <n v="1054850000"/>
    <x v="0"/>
    <x v="0"/>
    <x v="1"/>
  </r>
  <r>
    <n v="54"/>
    <s v="02.200360"/>
    <s v="Noor Fikriyana Ruhyadi"/>
    <x v="0"/>
    <n v="128902609.51000001"/>
    <n v="1203090.98"/>
    <n v="0"/>
    <n v="130105700.49000001"/>
    <m/>
    <n v="1006000"/>
    <n v="47947"/>
    <m/>
    <m/>
    <n v="47947"/>
    <n v="128854662.51000001"/>
    <n v="1203090.98"/>
    <n v="1006000"/>
    <n v="131063753.49000001"/>
    <n v="0"/>
    <n v="0"/>
    <n v="0"/>
    <n v="0"/>
    <n v="0"/>
    <n v="0"/>
    <n v="0"/>
    <n v="128854663"/>
    <x v="0"/>
    <x v="0"/>
    <x v="1"/>
  </r>
  <r>
    <n v="55"/>
    <s v="02.100419"/>
    <s v="I Gede Arya Wiguna,S.Ag"/>
    <x v="0"/>
    <n v="61936538.659999996"/>
    <n v="763884"/>
    <n v="0"/>
    <n v="62700422.659999996"/>
    <n v="868577"/>
    <n v="6000"/>
    <n v="0"/>
    <m/>
    <m/>
    <n v="0"/>
    <n v="61936539"/>
    <n v="1632461"/>
    <n v="6000"/>
    <n v="63575000"/>
    <n v="0"/>
    <n v="0"/>
    <n v="0"/>
    <n v="0"/>
    <n v="0"/>
    <n v="0"/>
    <n v="0"/>
    <n v="61936539"/>
    <x v="0"/>
    <x v="0"/>
    <x v="1"/>
  </r>
  <r>
    <n v="56"/>
    <s v="02.400099"/>
    <s v="Paulus Tjiptadi"/>
    <x v="0"/>
    <n v="684061106.96000004"/>
    <n v="25111529"/>
    <n v="2677633"/>
    <n v="711850268.96000004"/>
    <n v="215009372"/>
    <n v="99644312"/>
    <n v="9023"/>
    <m/>
    <m/>
    <n v="9023"/>
    <n v="684052084"/>
    <n v="25111529"/>
    <n v="2678387"/>
    <n v="711842000"/>
    <n v="215009372"/>
    <n v="99643558"/>
    <n v="0"/>
    <n v="0"/>
    <n v="0"/>
    <n v="0"/>
    <n v="891000000"/>
    <n v="684061107"/>
    <x v="0"/>
    <x v="0"/>
    <x v="1"/>
  </r>
  <r>
    <n v="57"/>
    <s v="02.100406"/>
    <s v="I Wayan Gede Wahyudarma"/>
    <x v="1"/>
    <n v="301122899.13"/>
    <n v="2785386.75"/>
    <n v="9898.98"/>
    <n v="303918184.86000001"/>
    <n v="0"/>
    <n v="0"/>
    <n v="9023"/>
    <m/>
    <m/>
    <n v="9023"/>
    <n v="144202100"/>
    <n v="0"/>
    <n v="0"/>
    <n v="144202100"/>
    <n v="0"/>
    <n v="0"/>
    <n v="156911776.13"/>
    <n v="2785386.75"/>
    <n v="9898.98"/>
    <n v="159707061.85999998"/>
    <n v="136000000"/>
    <n v="136000000"/>
    <x v="0"/>
    <x v="0"/>
    <x v="0"/>
  </r>
  <r>
    <n v="58"/>
    <s v="02.100446"/>
    <s v="I Putu Januarimbawa "/>
    <x v="1"/>
    <n v="2332569001.5900002"/>
    <n v="31489681.5"/>
    <n v="0"/>
    <n v="2364058683.0900002"/>
    <n v="0"/>
    <n v="0"/>
    <n v="0"/>
    <m/>
    <m/>
    <n v="0"/>
    <n v="0"/>
    <n v="0"/>
    <n v="0"/>
    <n v="0"/>
    <n v="0"/>
    <n v="0"/>
    <n v="2332569001.5900002"/>
    <n v="31489681.5"/>
    <n v="0"/>
    <n v="2364058683.0900002"/>
    <n v="1694000000"/>
    <n v="1674000000"/>
    <x v="0"/>
    <x v="0"/>
    <x v="0"/>
  </r>
  <r>
    <n v="59"/>
    <s v="02.100465"/>
    <s v="I Putu Januarimbawa"/>
    <x v="1"/>
    <n v="188693040.22999999"/>
    <n v="2264316.48"/>
    <n v="0"/>
    <n v="190957356.70999998"/>
    <n v="0"/>
    <n v="0"/>
    <n v="0"/>
    <m/>
    <m/>
    <n v="0"/>
    <n v="0"/>
    <n v="0"/>
    <n v="0"/>
    <n v="0"/>
    <n v="0"/>
    <n v="0"/>
    <n v="188693040.22999999"/>
    <n v="2264316.48"/>
    <n v="0"/>
    <n v="190957356.70999998"/>
    <n v="0"/>
    <n v="1"/>
    <x v="0"/>
    <x v="1"/>
    <x v="0"/>
  </r>
  <r>
    <n v="60"/>
    <s v="02.100467"/>
    <s v="Putu Dika Paradiswara"/>
    <x v="1"/>
    <n v="129000000"/>
    <n v="8219664.7800000003"/>
    <n v="396806.67"/>
    <n v="137616471.44999999"/>
    <n v="0"/>
    <n v="0"/>
    <n v="0"/>
    <m/>
    <m/>
    <n v="0"/>
    <n v="0"/>
    <n v="0"/>
    <n v="0"/>
    <n v="0"/>
    <n v="0"/>
    <n v="0"/>
    <n v="129000000"/>
    <n v="8219664.7800000003"/>
    <n v="396806.67"/>
    <n v="137616471.44999999"/>
    <n v="0"/>
    <n v="1"/>
    <x v="0"/>
    <x v="1"/>
    <x v="0"/>
  </r>
  <r>
    <n v="61"/>
    <s v="02.300540"/>
    <s v="Tjok Dwie Taraputera"/>
    <x v="1"/>
    <n v="29491442"/>
    <n v="1288554"/>
    <n v="190742"/>
    <n v="30970738"/>
    <n v="3106831"/>
    <n v="1610368"/>
    <n v="8060"/>
    <m/>
    <m/>
    <n v="8060"/>
    <n v="29483382"/>
    <n v="4395385"/>
    <n v="1801110"/>
    <n v="35679877"/>
    <n v="0"/>
    <n v="0"/>
    <n v="0"/>
    <n v="0"/>
    <n v="0"/>
    <n v="0"/>
    <n v="0"/>
    <n v="29483382"/>
    <x v="0"/>
    <x v="1"/>
    <x v="1"/>
  </r>
  <r>
    <n v="62"/>
    <s v="02.300618"/>
    <s v="Voyensis Susilo Agum"/>
    <x v="1"/>
    <n v="12703800.76"/>
    <n v="11292.26"/>
    <n v="0"/>
    <n v="12715093.02"/>
    <n v="0"/>
    <n v="0"/>
    <n v="120750"/>
    <m/>
    <m/>
    <n v="120750"/>
    <n v="7110445"/>
    <n v="0"/>
    <n v="0"/>
    <n v="7110445"/>
    <n v="0"/>
    <n v="0"/>
    <n v="5472605.7599999998"/>
    <n v="11292.26"/>
    <n v="0"/>
    <n v="5483898.0199999996"/>
    <n v="0"/>
    <n v="3004445"/>
    <x v="1"/>
    <x v="1"/>
    <x v="0"/>
  </r>
  <r>
    <n v="63"/>
    <s v="02.300636"/>
    <s v="Rosa Olivia "/>
    <x v="1"/>
    <n v="960933446.09000003"/>
    <n v="18736641.039999999"/>
    <n v="6048494.79"/>
    <n v="985718581.91999996"/>
    <n v="371638192.16000003"/>
    <n v="185006616.71000001"/>
    <n v="510174"/>
    <m/>
    <m/>
    <n v="510174"/>
    <n v="960423272.09000003"/>
    <n v="225016728"/>
    <n v="0"/>
    <n v="1185440000.0900002"/>
    <n v="0"/>
    <n v="0"/>
    <n v="0"/>
    <n v="165358105.20000005"/>
    <n v="191055111.5"/>
    <n v="356413216.70000005"/>
    <n v="1234000000"/>
    <n v="960423272"/>
    <x v="0"/>
    <x v="0"/>
    <x v="0"/>
  </r>
  <r>
    <n v="64"/>
    <s v="02.300679"/>
    <s v="Trisaraswati  "/>
    <x v="1"/>
    <n v="2481117742"/>
    <n v="141759024.96000001"/>
    <n v="64780613.399999999"/>
    <n v="2687657380.3600001"/>
    <n v="0"/>
    <n v="0"/>
    <n v="4904983"/>
    <m/>
    <m/>
    <n v="4904983"/>
    <n v="2476212759"/>
    <n v="17739741"/>
    <n v="0"/>
    <n v="2493952500"/>
    <n v="0"/>
    <n v="0"/>
    <n v="0"/>
    <n v="124019283.96000001"/>
    <n v="64780613.399999999"/>
    <n v="188799897.36000001"/>
    <n v="2472000000"/>
    <n v="2472000000"/>
    <x v="2"/>
    <x v="0"/>
    <x v="0"/>
  </r>
  <r>
    <n v="65"/>
    <s v="02.300687"/>
    <s v="I Wayan Rustawan "/>
    <x v="1"/>
    <n v="1172676196.95"/>
    <n v="25505707.059999999"/>
    <n v="0"/>
    <n v="1198181904.01"/>
    <n v="0"/>
    <n v="0"/>
    <n v="0"/>
    <m/>
    <m/>
    <n v="0"/>
    <n v="0"/>
    <n v="0"/>
    <n v="0"/>
    <n v="0"/>
    <n v="0"/>
    <n v="0"/>
    <n v="1172676196.95"/>
    <n v="25505707.059999999"/>
    <n v="0"/>
    <n v="1198181904.01"/>
    <n v="2174000000"/>
    <n v="1172676197"/>
    <x v="0"/>
    <x v="0"/>
    <x v="0"/>
  </r>
  <r>
    <n v="66"/>
    <s v="02.300693"/>
    <s v="I Nyoman Ari Kusuma Artha "/>
    <x v="1"/>
    <n v="71655792"/>
    <n v="732481"/>
    <n v="0"/>
    <n v="72388273"/>
    <n v="7368226"/>
    <n v="0"/>
    <n v="31047"/>
    <m/>
    <m/>
    <n v="31047"/>
    <n v="71624745"/>
    <n v="9599795"/>
    <n v="0"/>
    <n v="81224540"/>
    <n v="1905966"/>
    <n v="0"/>
    <n v="0"/>
    <n v="-3405054"/>
    <n v="0"/>
    <n v="-3405054"/>
    <n v="0"/>
    <n v="71624745"/>
    <x v="1"/>
    <x v="1"/>
    <x v="1"/>
  </r>
  <r>
    <n v="67"/>
    <s v="02.300706"/>
    <s v="I Made Sukasna"/>
    <x v="1"/>
    <n v="1197379009.1900001"/>
    <n v="77717396.680000007"/>
    <n v="10363553.050000001"/>
    <n v="1285459958.9200001"/>
    <n v="0"/>
    <n v="0"/>
    <n v="9023"/>
    <m/>
    <m/>
    <n v="9023"/>
    <n v="119600000"/>
    <n v="0"/>
    <n v="0"/>
    <n v="119600000"/>
    <n v="0"/>
    <n v="0"/>
    <n v="1077769986.1900001"/>
    <n v="77717396.680000007"/>
    <n v="10363553.050000001"/>
    <n v="1165850935.9200001"/>
    <n v="895000000"/>
    <n v="978600000"/>
    <x v="0"/>
    <x v="0"/>
    <x v="0"/>
  </r>
  <r>
    <n v="68"/>
    <s v="02.300713"/>
    <s v="Ida Ayu Made Ari Wahyuni "/>
    <x v="1"/>
    <n v="798252675"/>
    <n v="46084190"/>
    <n v="4536521"/>
    <n v="848873386"/>
    <n v="372805760"/>
    <n v="261899978"/>
    <n v="9023"/>
    <m/>
    <m/>
    <n v="9023"/>
    <n v="798243652"/>
    <n v="51756348"/>
    <n v="0"/>
    <n v="850000000"/>
    <n v="384768222"/>
    <n v="266436499"/>
    <n v="0"/>
    <n v="-17634620"/>
    <n v="0"/>
    <n v="-17634620"/>
    <n v="1165000000"/>
    <n v="798243652"/>
    <x v="0"/>
    <x v="0"/>
    <x v="1"/>
  </r>
  <r>
    <n v="69"/>
    <s v="02.300730"/>
    <s v="Ratna Cynthia Lesmana "/>
    <x v="1"/>
    <n v="12969223.369999999"/>
    <n v="69169.08"/>
    <n v="0"/>
    <n v="13038392.449999999"/>
    <n v="0"/>
    <n v="0"/>
    <n v="41152"/>
    <m/>
    <m/>
    <n v="41152"/>
    <n v="5000000"/>
    <n v="0"/>
    <n v="0"/>
    <n v="5000000"/>
    <n v="0"/>
    <n v="0"/>
    <n v="7928071.3699999992"/>
    <n v="69169.08"/>
    <n v="0"/>
    <n v="7997240.4499999993"/>
    <n v="0"/>
    <n v="5000000"/>
    <x v="1"/>
    <x v="1"/>
    <x v="0"/>
  </r>
  <r>
    <n v="70"/>
    <s v="02.300733"/>
    <s v="I Gede Sutrisna "/>
    <x v="1"/>
    <n v="2341361463.5999999"/>
    <n v="7804538.2000000002"/>
    <n v="0"/>
    <n v="2349166001.7999997"/>
    <n v="0"/>
    <n v="0"/>
    <n v="3292221"/>
    <m/>
    <m/>
    <n v="3292221"/>
    <n v="0"/>
    <n v="0"/>
    <n v="0"/>
    <n v="0"/>
    <n v="0"/>
    <n v="0"/>
    <n v="2338069242.5999999"/>
    <n v="7804538.2000000002"/>
    <n v="0"/>
    <n v="2345873780.7999997"/>
    <n v="1552000000"/>
    <n v="1552000000"/>
    <x v="0"/>
    <x v="0"/>
    <x v="0"/>
  </r>
  <r>
    <n v="71"/>
    <s v="02.300739"/>
    <s v="Komang Robhy Suardika "/>
    <x v="1"/>
    <n v="1978753956.96"/>
    <n v="2532214.2799999998"/>
    <n v="250010.74"/>
    <n v="1981536181.98"/>
    <n v="0"/>
    <n v="0"/>
    <n v="44089112"/>
    <m/>
    <m/>
    <n v="44089112"/>
    <n v="5000000"/>
    <n v="0"/>
    <n v="0"/>
    <n v="5000000"/>
    <n v="0"/>
    <n v="0"/>
    <n v="1929664844.96"/>
    <n v="2532214.2799999998"/>
    <n v="250010.74"/>
    <n v="1932447069.98"/>
    <n v="2411000000"/>
    <n v="1934664845"/>
    <x v="0"/>
    <x v="0"/>
    <x v="0"/>
  </r>
  <r>
    <n v="72"/>
    <s v="02.300747"/>
    <s v="I Ketut Tangkas Budidarma"/>
    <x v="1"/>
    <n v="1498078148.73"/>
    <n v="43604298.109999999"/>
    <n v="551824.65"/>
    <n v="1542234271.49"/>
    <n v="0"/>
    <n v="0"/>
    <n v="9023"/>
    <m/>
    <m/>
    <n v="9023"/>
    <n v="0"/>
    <n v="0"/>
    <n v="0"/>
    <n v="0"/>
    <n v="0"/>
    <n v="0"/>
    <n v="1498069125.73"/>
    <n v="43604298.109999999"/>
    <n v="551824.65"/>
    <n v="1542225248.49"/>
    <n v="1007000000"/>
    <n v="751000000"/>
    <x v="0"/>
    <x v="0"/>
    <x v="0"/>
  </r>
  <r>
    <n v="73"/>
    <s v="02.300749"/>
    <s v="I Wayan Rustawan"/>
    <x v="1"/>
    <n v="596918531.34000003"/>
    <n v="11639911.140000001"/>
    <n v="0"/>
    <n v="608558442.48000002"/>
    <n v="0"/>
    <n v="0"/>
    <n v="0"/>
    <m/>
    <m/>
    <n v="0"/>
    <n v="0"/>
    <n v="0"/>
    <n v="0"/>
    <n v="0"/>
    <n v="0"/>
    <n v="0"/>
    <n v="596918531.34000003"/>
    <n v="11639911.140000001"/>
    <n v="0"/>
    <n v="608558442.48000002"/>
    <n v="0"/>
    <n v="1"/>
    <x v="0"/>
    <x v="1"/>
    <x v="0"/>
  </r>
  <r>
    <n v="74"/>
    <s v="02.400103"/>
    <s v="Ni Putu Adnyani "/>
    <x v="1"/>
    <n v="498307187.73000002"/>
    <n v="26035585.829999998"/>
    <n v="1023110.07"/>
    <n v="525365883.63"/>
    <n v="0"/>
    <n v="0"/>
    <n v="8167"/>
    <m/>
    <m/>
    <n v="8167"/>
    <n v="391547100"/>
    <n v="0"/>
    <n v="0"/>
    <n v="391547100"/>
    <n v="0"/>
    <n v="0"/>
    <n v="106751920.73000002"/>
    <n v="26035585.829999998"/>
    <n v="1023110.07"/>
    <n v="133810616.63000001"/>
    <n v="372000000"/>
    <n v="372000000"/>
    <x v="0"/>
    <x v="0"/>
    <x v="0"/>
  </r>
  <r>
    <n v="75"/>
    <s v="02.400104"/>
    <s v="I Ketut Sudra"/>
    <x v="1"/>
    <n v="516250000"/>
    <n v="36567708.049999997"/>
    <n v="2893274.98"/>
    <n v="555710983.02999997"/>
    <n v="0"/>
    <n v="0"/>
    <n v="0"/>
    <m/>
    <m/>
    <n v="0"/>
    <n v="0"/>
    <n v="0"/>
    <n v="0"/>
    <n v="0"/>
    <n v="0"/>
    <n v="0"/>
    <n v="516250000"/>
    <n v="36567708.049999997"/>
    <n v="2893274.98"/>
    <n v="555710983.02999997"/>
    <n v="0"/>
    <n v="1"/>
    <x v="0"/>
    <x v="1"/>
    <x v="0"/>
  </r>
  <r>
    <n v="76"/>
    <s v="02.200343"/>
    <s v="Ni Nyoman Anggareni"/>
    <x v="1"/>
    <n v="0"/>
    <n v="99601"/>
    <n v="1082656"/>
    <n v="1182257"/>
    <n v="0"/>
    <n v="20961"/>
    <n v="0"/>
    <m/>
    <m/>
    <n v="0"/>
    <n v="0"/>
    <n v="99601"/>
    <n v="1103617"/>
    <n v="1203218"/>
    <n v="0"/>
    <n v="0"/>
    <n v="0"/>
    <n v="0"/>
    <n v="0"/>
    <n v="0"/>
    <n v="0"/>
    <n v="0"/>
    <x v="0"/>
    <x v="1"/>
    <x v="1"/>
  </r>
  <r>
    <n v="77"/>
    <s v="02.100456"/>
    <s v="Anak Agung Gede Wiranatha"/>
    <x v="1"/>
    <n v="737200306.84000003"/>
    <n v="89762677.980000004"/>
    <n v="26612674.460000001"/>
    <n v="853575659.28000009"/>
    <n v="0"/>
    <n v="0"/>
    <n v="0"/>
    <m/>
    <m/>
    <n v="0"/>
    <n v="0"/>
    <n v="0"/>
    <n v="0"/>
    <n v="0"/>
    <n v="0"/>
    <n v="0"/>
    <n v="737200306.84000003"/>
    <n v="89762677.980000004"/>
    <n v="26612674.460000001"/>
    <n v="853575659.28000009"/>
    <n v="1722000000"/>
    <n v="1"/>
    <x v="2"/>
    <x v="0"/>
    <x v="0"/>
  </r>
  <r>
    <n v="78"/>
    <s v="02.300471"/>
    <s v="I Gusti Made Pujayasa"/>
    <x v="1"/>
    <n v="125384008"/>
    <n v="8851068"/>
    <n v="12831669"/>
    <n v="147066745"/>
    <n v="3627481.43"/>
    <n v="1929232"/>
    <n v="8051"/>
    <m/>
    <m/>
    <n v="8051"/>
    <n v="125375957"/>
    <n v="12478549.43"/>
    <n v="14760901"/>
    <n v="152615407.43000001"/>
    <n v="0"/>
    <n v="0"/>
    <n v="0"/>
    <n v="0"/>
    <n v="0"/>
    <n v="0"/>
    <n v="0"/>
    <n v="125375957"/>
    <x v="2"/>
    <x v="0"/>
    <x v="1"/>
  </r>
  <r>
    <n v="79"/>
    <s v="02.300613"/>
    <s v="Ida Ayu Komang Manik Trisnawa"/>
    <x v="1"/>
    <n v="983888891"/>
    <n v="125917164.17"/>
    <n v="23727938.550000001"/>
    <n v="1133533993.72"/>
    <n v="0"/>
    <n v="0"/>
    <n v="0"/>
    <m/>
    <m/>
    <n v="0"/>
    <n v="0"/>
    <n v="0"/>
    <n v="0"/>
    <n v="0"/>
    <n v="0"/>
    <n v="0"/>
    <n v="983888891"/>
    <n v="125917164.17"/>
    <n v="23727938.550000001"/>
    <n v="1133533993.72"/>
    <n v="0"/>
    <n v="983888891.2475332"/>
    <x v="0"/>
    <x v="0"/>
    <x v="0"/>
  </r>
  <r>
    <n v="80"/>
    <s v="02.300634"/>
    <s v="Wayan Arda Chandra"/>
    <x v="1"/>
    <n v="1258640966"/>
    <n v="117488221"/>
    <n v="66529914.780000001"/>
    <n v="1442659101.78"/>
    <n v="0"/>
    <n v="0"/>
    <n v="0"/>
    <m/>
    <m/>
    <n v="0"/>
    <n v="1258640966"/>
    <n v="84018136"/>
    <n v="0"/>
    <n v="1342659102"/>
    <n v="33470085"/>
    <n v="66529914.780000001"/>
    <n v="0"/>
    <n v="0"/>
    <n v="0"/>
    <n v="0"/>
    <n v="0"/>
    <n v="1258640966"/>
    <x v="0"/>
    <x v="0"/>
    <x v="1"/>
  </r>
  <r>
    <n v="81"/>
    <s v="02.300750"/>
    <s v="Raden Ajeng Koesramadhani"/>
    <x v="1"/>
    <n v="450000000"/>
    <n v="38788909.43"/>
    <n v="2858949.04"/>
    <n v="491647858.47000003"/>
    <n v="0"/>
    <n v="0"/>
    <n v="0"/>
    <m/>
    <m/>
    <n v="0"/>
    <n v="0"/>
    <n v="0"/>
    <n v="0"/>
    <n v="0"/>
    <n v="0"/>
    <n v="0"/>
    <n v="450000000"/>
    <n v="38788909.43"/>
    <n v="2858949.04"/>
    <n v="491647858.47000003"/>
    <n v="0"/>
    <n v="1"/>
    <x v="0"/>
    <x v="1"/>
    <x v="0"/>
  </r>
  <r>
    <n v="82"/>
    <s v="02.100457"/>
    <s v="Putu Dika Paradiswara"/>
    <x v="2"/>
    <n v="1145267590.3"/>
    <n v="74610056.579999998"/>
    <n v="12319408"/>
    <n v="1232197054.8799999"/>
    <n v="0"/>
    <n v="0"/>
    <n v="0"/>
    <m/>
    <m/>
    <n v="0"/>
    <n v="0"/>
    <n v="0"/>
    <n v="0"/>
    <n v="0"/>
    <n v="0"/>
    <n v="0"/>
    <n v="1145267590.3"/>
    <n v="74610056.579999998"/>
    <n v="12319408"/>
    <n v="1232197054.8799999"/>
    <n v="852000000"/>
    <n v="852000000"/>
    <x v="0"/>
    <x v="0"/>
    <x v="0"/>
  </r>
  <r>
    <n v="83"/>
    <s v="02.200307"/>
    <s v="I Gst Nyoman Santhi "/>
    <x v="2"/>
    <n v="447058133"/>
    <n v="23340545"/>
    <n v="86725962"/>
    <n v="557124640"/>
    <n v="0"/>
    <n v="0"/>
    <n v="0"/>
    <m/>
    <m/>
    <n v="0"/>
    <n v="447058133"/>
    <n v="10340545"/>
    <n v="36726351"/>
    <n v="494125029"/>
    <n v="13000000"/>
    <n v="49999611"/>
    <n v="0"/>
    <n v="0"/>
    <n v="0"/>
    <n v="0"/>
    <n v="0"/>
    <n v="447058132.58321095"/>
    <x v="0"/>
    <x v="0"/>
    <x v="1"/>
  </r>
  <r>
    <n v="84"/>
    <s v="02.200354"/>
    <s v="I Made Sugita "/>
    <x v="2"/>
    <n v="645498544"/>
    <n v="46625408"/>
    <n v="2938579"/>
    <n v="695062531"/>
    <n v="302535567"/>
    <n v="224658096"/>
    <n v="7444"/>
    <m/>
    <m/>
    <n v="7444"/>
    <n v="645491100"/>
    <n v="54508900"/>
    <n v="0"/>
    <n v="700000000"/>
    <n v="294652075"/>
    <n v="227596675"/>
    <n v="0"/>
    <n v="0"/>
    <n v="0"/>
    <n v="0"/>
    <n v="1399000000"/>
    <n v="645491100"/>
    <x v="0"/>
    <x v="0"/>
    <x v="1"/>
  </r>
  <r>
    <n v="85"/>
    <s v="02.200355"/>
    <s v="I Gusti Nyoman Santhi "/>
    <x v="2"/>
    <n v="99295313.609999999"/>
    <n v="3903413"/>
    <n v="516243.88"/>
    <n v="103714970.48999999"/>
    <n v="0"/>
    <n v="0"/>
    <n v="0"/>
    <m/>
    <m/>
    <n v="0"/>
    <n v="99295313.609999999"/>
    <n v="3903413"/>
    <n v="516243.88"/>
    <n v="103714970.48999999"/>
    <n v="0"/>
    <n v="0"/>
    <n v="0"/>
    <n v="0"/>
    <n v="0"/>
    <n v="0"/>
    <n v="0"/>
    <n v="99295314"/>
    <x v="0"/>
    <x v="1"/>
    <x v="1"/>
  </r>
  <r>
    <n v="86"/>
    <s v="02.300185"/>
    <s v="Lestari Ni Gusti Putu"/>
    <x v="2"/>
    <n v="146935826.66999999"/>
    <n v="9185136"/>
    <n v="38463624"/>
    <n v="194584586.66999999"/>
    <n v="5289055.2699999996"/>
    <n v="1620421"/>
    <n v="48280"/>
    <m/>
    <m/>
    <n v="48280"/>
    <n v="146887546.66999999"/>
    <n v="14474191.27"/>
    <n v="40084045"/>
    <n v="201445782.94"/>
    <n v="0"/>
    <n v="0"/>
    <n v="0"/>
    <n v="0"/>
    <n v="0"/>
    <n v="0"/>
    <n v="0"/>
    <n v="146887547"/>
    <x v="2"/>
    <x v="0"/>
    <x v="1"/>
  </r>
  <r>
    <n v="87"/>
    <s v="02.300658"/>
    <s v="Ni Made Ari Cahyanti"/>
    <x v="2"/>
    <n v="977504605"/>
    <n v="70804629.5"/>
    <n v="27136299.829999998"/>
    <n v="1075445534.3299999"/>
    <n v="349603621.5"/>
    <n v="190169410.55000001"/>
    <n v="0"/>
    <m/>
    <m/>
    <n v="0"/>
    <n v="977504605"/>
    <n v="70804630"/>
    <n v="8312593.0999999996"/>
    <n v="1056621828.1"/>
    <n v="349603621"/>
    <n v="208993117.28"/>
    <n v="0"/>
    <n v="0"/>
    <n v="0"/>
    <n v="0"/>
    <n v="875000000"/>
    <n v="875000000"/>
    <x v="2"/>
    <x v="0"/>
    <x v="1"/>
  </r>
  <r>
    <n v="88"/>
    <s v="02.300684"/>
    <s v="Ni Nyoman Jelih "/>
    <x v="2"/>
    <n v="2438052380.9299998"/>
    <n v="170027458.68000001"/>
    <n v="14793317.949999999"/>
    <n v="2622873157.5599995"/>
    <n v="0"/>
    <n v="0"/>
    <n v="8052"/>
    <m/>
    <m/>
    <n v="8052"/>
    <n v="37000000"/>
    <n v="0"/>
    <n v="0"/>
    <n v="37000000"/>
    <n v="0"/>
    <n v="0"/>
    <n v="2401044328.9299998"/>
    <n v="170027458.68000001"/>
    <n v="14793317.949999999"/>
    <n v="2585865105.5599995"/>
    <n v="3795000000"/>
    <n v="2438044329"/>
    <x v="0"/>
    <x v="0"/>
    <x v="0"/>
  </r>
  <r>
    <n v="89"/>
    <s v="02.300725"/>
    <s v="I Gusti Ayu Arwati"/>
    <x v="2"/>
    <n v="646661742.27999997"/>
    <n v="55124666.549999997"/>
    <n v="4283616.6399999997"/>
    <n v="706070025.46999991"/>
    <n v="0"/>
    <n v="0"/>
    <n v="7082"/>
    <m/>
    <m/>
    <n v="7082"/>
    <n v="0"/>
    <n v="0"/>
    <n v="0"/>
    <n v="0"/>
    <n v="0"/>
    <n v="0"/>
    <n v="646654660.27999997"/>
    <n v="55124666.549999997"/>
    <n v="4283616.6399999997"/>
    <n v="706062943.46999991"/>
    <n v="758000000"/>
    <n v="646654660"/>
    <x v="0"/>
    <x v="0"/>
    <x v="0"/>
  </r>
  <r>
    <n v="90"/>
    <s v="02.300732"/>
    <s v="I Made Astawa"/>
    <x v="2"/>
    <n v="1989728440.8599999"/>
    <n v="140778323.30000001"/>
    <n v="8561570.1899999995"/>
    <n v="2139068334.3499999"/>
    <n v="0"/>
    <n v="0"/>
    <n v="8055"/>
    <m/>
    <m/>
    <n v="8055"/>
    <n v="0"/>
    <n v="0"/>
    <n v="0"/>
    <n v="0"/>
    <n v="0"/>
    <n v="0"/>
    <n v="1989720385.8599999"/>
    <n v="140778323.30000001"/>
    <n v="8561570.1899999995"/>
    <n v="2139060279.3499999"/>
    <n v="1208000000"/>
    <n v="1208000000"/>
    <x v="0"/>
    <x v="0"/>
    <x v="0"/>
  </r>
  <r>
    <n v="91"/>
    <s v="02.300741"/>
    <s v="Poppy Eunike Nany Kustiani "/>
    <x v="2"/>
    <n v="1286022951.21"/>
    <n v="77177785.310000002"/>
    <n v="4793731.1900000004"/>
    <n v="1367994467.71"/>
    <n v="0"/>
    <n v="0"/>
    <n v="8055"/>
    <m/>
    <m/>
    <n v="8055"/>
    <n v="0"/>
    <n v="0"/>
    <n v="0"/>
    <n v="0"/>
    <n v="0"/>
    <n v="0"/>
    <n v="1286014896.21"/>
    <n v="77177785.310000002"/>
    <n v="4793731.1900000004"/>
    <n v="1367986412.71"/>
    <n v="1387000000"/>
    <n v="1286014896"/>
    <x v="0"/>
    <x v="0"/>
    <x v="0"/>
  </r>
  <r>
    <n v="92"/>
    <s v="02.300745"/>
    <s v="Ni Made Ari Cahyanti "/>
    <x v="2"/>
    <n v="224420261"/>
    <n v="17147005.620000001"/>
    <n v="1810904.82"/>
    <n v="243378171.44"/>
    <n v="84997823.379999995"/>
    <n v="51166470.420000002"/>
    <n v="0"/>
    <m/>
    <m/>
    <n v="0"/>
    <n v="224420261"/>
    <n v="17147006"/>
    <n v="1810904.82"/>
    <n v="243378171.81999999"/>
    <n v="84997823"/>
    <n v="51166470.420000002"/>
    <n v="0"/>
    <n v="0"/>
    <n v="0"/>
    <n v="0"/>
    <n v="0"/>
    <n v="1"/>
    <x v="2"/>
    <x v="1"/>
    <x v="1"/>
  </r>
  <r>
    <n v="93"/>
    <s v="02.300748"/>
    <s v="I Gusti Ngurah Adi Putra"/>
    <x v="2"/>
    <n v="2195494187"/>
    <n v="143057549.72999999"/>
    <n v="10777670.699999999"/>
    <n v="2349329407.4299998"/>
    <n v="0"/>
    <n v="0"/>
    <n v="8055"/>
    <m/>
    <m/>
    <n v="8055"/>
    <n v="1313095000"/>
    <n v="0"/>
    <n v="0"/>
    <n v="1313095000"/>
    <n v="0"/>
    <n v="0"/>
    <n v="882391132"/>
    <n v="143057549.72999999"/>
    <n v="10777670.699999999"/>
    <n v="1036226352.4300001"/>
    <n v="1262000000"/>
    <n v="1262000000"/>
    <x v="0"/>
    <x v="0"/>
    <x v="0"/>
  </r>
  <r>
    <n v="94"/>
    <s v="02.400089"/>
    <s v="I Ketut Sudra"/>
    <x v="2"/>
    <n v="972222232"/>
    <n v="74506713.180000007"/>
    <n v="305502206.30000001"/>
    <n v="1352231151.48"/>
    <n v="0"/>
    <n v="0"/>
    <n v="0"/>
    <m/>
    <m/>
    <n v="0"/>
    <n v="0"/>
    <n v="0"/>
    <n v="0"/>
    <n v="0"/>
    <n v="0"/>
    <n v="0"/>
    <n v="972222232"/>
    <n v="74506713.180000007"/>
    <n v="305502206.30000001"/>
    <n v="1352231151.48"/>
    <n v="0"/>
    <n v="972222231.63280439"/>
    <x v="0"/>
    <x v="0"/>
    <x v="0"/>
  </r>
  <r>
    <n v="95"/>
    <s v="02.400101"/>
    <s v="Ida Ayu Putu Yustini"/>
    <x v="2"/>
    <n v="1191689625"/>
    <n v="65804684"/>
    <n v="3163176"/>
    <n v="1260657485"/>
    <n v="8055"/>
    <n v="0"/>
    <n v="8055"/>
    <m/>
    <m/>
    <n v="8055"/>
    <n v="1191681570"/>
    <n v="15155255"/>
    <n v="3163176"/>
    <n v="1210000001"/>
    <n v="50657484"/>
    <n v="0"/>
    <n v="0"/>
    <n v="0"/>
    <n v="0"/>
    <n v="0"/>
    <n v="0"/>
    <n v="1191681570"/>
    <x v="0"/>
    <x v="0"/>
    <x v="1"/>
  </r>
  <r>
    <n v="96"/>
    <s v="02.200329"/>
    <s v="I Agus Nuaba Putra"/>
    <x v="2"/>
    <n v="434840611.32999998"/>
    <n v="22818852.210000001"/>
    <n v="2900236.48"/>
    <n v="460559700.01999998"/>
    <n v="0"/>
    <n v="0"/>
    <n v="0"/>
    <m/>
    <m/>
    <n v="0"/>
    <n v="0"/>
    <n v="0"/>
    <n v="0"/>
    <n v="0"/>
    <n v="0"/>
    <n v="0"/>
    <n v="434840611.32999998"/>
    <n v="22818852.210000001"/>
    <n v="2900236.48"/>
    <n v="460559700.01999998"/>
    <n v="987000000"/>
    <n v="434840611.28532386"/>
    <x v="0"/>
    <x v="0"/>
    <x v="0"/>
  </r>
  <r>
    <n v="97"/>
    <s v="02.200358"/>
    <s v="I Agus Nuaba Putra"/>
    <x v="2"/>
    <n v="89392952"/>
    <n v="5106060.4800000004"/>
    <n v="763108.81"/>
    <n v="95262121.290000007"/>
    <n v="0"/>
    <n v="0"/>
    <n v="0"/>
    <m/>
    <m/>
    <n v="0"/>
    <n v="0"/>
    <n v="0"/>
    <n v="0"/>
    <n v="0"/>
    <n v="0"/>
    <n v="0"/>
    <n v="89392952"/>
    <n v="5106060.4800000004"/>
    <n v="763108.81"/>
    <n v="95262121.290000007"/>
    <n v="0"/>
    <n v="89392952"/>
    <x v="0"/>
    <x v="1"/>
    <x v="0"/>
  </r>
  <r>
    <n v="98"/>
    <s v="02.200316"/>
    <s v="Ni Nyoman Anggareni"/>
    <x v="2"/>
    <n v="483595610.48000002"/>
    <n v="57239724.200000003"/>
    <n v="47864227.710000001"/>
    <n v="588699562.3900001"/>
    <n v="0"/>
    <n v="0"/>
    <n v="0"/>
    <m/>
    <m/>
    <n v="0"/>
    <n v="2796782.46"/>
    <n v="0"/>
    <n v="0"/>
    <n v="2796782.46"/>
    <n v="0"/>
    <n v="0"/>
    <n v="480798828.02000004"/>
    <n v="57239724.200000003"/>
    <n v="47864227.710000001"/>
    <n v="585902779.93000007"/>
    <n v="886000000"/>
    <n v="483595610.91397041"/>
    <x v="0"/>
    <x v="0"/>
    <x v="0"/>
  </r>
  <r>
    <n v="99"/>
    <s v="02.200356"/>
    <s v="Ni Wayan Londri"/>
    <x v="2"/>
    <n v="125000000"/>
    <n v="10937500"/>
    <n v="1946883.98"/>
    <n v="137884383.97999999"/>
    <n v="0"/>
    <n v="0"/>
    <n v="0"/>
    <m/>
    <m/>
    <n v="0"/>
    <n v="0"/>
    <n v="0"/>
    <n v="0"/>
    <n v="0"/>
    <n v="0"/>
    <n v="0"/>
    <n v="125000000"/>
    <n v="10937500"/>
    <n v="1946883.98"/>
    <n v="137884383.97999999"/>
    <n v="0"/>
    <n v="125000000"/>
    <x v="0"/>
    <x v="1"/>
    <x v="0"/>
  </r>
  <r>
    <n v="100"/>
    <s v="02.300619"/>
    <s v="I Made Merdana"/>
    <x v="2"/>
    <n v="2075162520.8299999"/>
    <n v="197655269.97"/>
    <n v="115180138.79000001"/>
    <n v="2387997929.5899997"/>
    <n v="0"/>
    <n v="0"/>
    <n v="0"/>
    <m/>
    <m/>
    <n v="0"/>
    <n v="0"/>
    <n v="0"/>
    <n v="0"/>
    <n v="0"/>
    <n v="0"/>
    <n v="0"/>
    <n v="2075162520.8299999"/>
    <n v="197655269.97"/>
    <n v="115180138.79000001"/>
    <n v="2387997929.5899997"/>
    <n v="2227000000"/>
    <n v="2075162521.0501919"/>
    <x v="0"/>
    <x v="0"/>
    <x v="0"/>
  </r>
  <r>
    <n v="101"/>
    <s v="02.300712"/>
    <s v="I Made Merdana"/>
    <x v="2"/>
    <n v="299316116.89999998"/>
    <n v="28292085.829999998"/>
    <n v="5576844.6200000001"/>
    <n v="333185047.34999996"/>
    <n v="0"/>
    <n v="0"/>
    <n v="0"/>
    <m/>
    <m/>
    <n v="0"/>
    <n v="0"/>
    <n v="0"/>
    <n v="0"/>
    <n v="0"/>
    <n v="0"/>
    <n v="0"/>
    <n v="299316116.89999998"/>
    <n v="28292085.829999998"/>
    <n v="5576844.6200000001"/>
    <n v="333185047.34999996"/>
    <n v="0"/>
    <n v="151844558"/>
    <x v="0"/>
    <x v="1"/>
    <x v="0"/>
  </r>
  <r>
    <n v="102"/>
    <s v="02.300746"/>
    <s v="I Nyoman Sukanata"/>
    <x v="2"/>
    <n v="525000000"/>
    <n v="55834703.619999997"/>
    <n v="5537842.3899999997"/>
    <n v="586372546.00999999"/>
    <n v="270965079.38"/>
    <n v="225422762.49000001"/>
    <n v="0"/>
    <m/>
    <m/>
    <n v="0"/>
    <n v="525000000"/>
    <n v="326799783"/>
    <n v="0"/>
    <n v="851799783"/>
    <n v="0"/>
    <n v="230960604.88"/>
    <n v="0"/>
    <n v="0"/>
    <n v="0"/>
    <n v="0"/>
    <n v="0"/>
    <n v="1"/>
    <x v="0"/>
    <x v="1"/>
    <x v="1"/>
  </r>
  <r>
    <n v="103"/>
    <s v="02.100401"/>
    <s v="I Gede Rudi"/>
    <x v="3"/>
    <n v="456269597.26999998"/>
    <n v="107399978.06"/>
    <n v="114943005.53"/>
    <n v="678612580.8599999"/>
    <n v="0"/>
    <n v="0"/>
    <n v="9023"/>
    <m/>
    <m/>
    <n v="9023"/>
    <n v="36900000"/>
    <n v="0"/>
    <n v="0"/>
    <n v="36900000"/>
    <n v="0"/>
    <n v="0"/>
    <n v="419360574.26999998"/>
    <n v="107399978.06"/>
    <n v="114943005.53"/>
    <n v="641703557.86000001"/>
    <n v="621000000"/>
    <n v="456260574"/>
    <x v="0"/>
    <x v="0"/>
    <x v="0"/>
  </r>
  <r>
    <n v="104"/>
    <s v="02.100405"/>
    <s v="Ida Bagus Gede Sutisna Adi"/>
    <x v="3"/>
    <n v="475636546.01999998"/>
    <n v="200036299.66999999"/>
    <n v="160635453.87"/>
    <n v="836308299.55999994"/>
    <n v="0"/>
    <n v="0"/>
    <n v="0"/>
    <m/>
    <m/>
    <n v="0"/>
    <n v="0"/>
    <n v="0"/>
    <n v="0"/>
    <n v="0"/>
    <n v="0"/>
    <n v="0"/>
    <n v="475636546.01999998"/>
    <n v="200036299.66999999"/>
    <n v="160635453.87"/>
    <n v="836308299.55999994"/>
    <n v="186000000"/>
    <n v="186000000"/>
    <x v="0"/>
    <x v="0"/>
    <x v="0"/>
  </r>
  <r>
    <n v="105"/>
    <s v="02.200351"/>
    <s v="Haji Suhendry Hafni "/>
    <x v="3"/>
    <n v="925882990.33000004"/>
    <n v="8950202.1400000006"/>
    <n v="0"/>
    <n v="934833192.47000003"/>
    <n v="0"/>
    <n v="0"/>
    <n v="0"/>
    <m/>
    <m/>
    <n v="0"/>
    <n v="0"/>
    <n v="0"/>
    <n v="0"/>
    <n v="0"/>
    <n v="0"/>
    <n v="0"/>
    <n v="925882990.33000004"/>
    <n v="8950202.1400000006"/>
    <n v="0"/>
    <n v="934833192.47000003"/>
    <n v="757000000"/>
    <n v="757000000"/>
    <x v="0"/>
    <x v="1"/>
    <x v="0"/>
  </r>
  <r>
    <n v="106"/>
    <s v="02.300417"/>
    <s v="I Ketut Ardika"/>
    <x v="3"/>
    <n v="66098978"/>
    <n v="0"/>
    <n v="0"/>
    <n v="66098978"/>
    <n v="1143333.28"/>
    <n v="1999688.34"/>
    <n v="0"/>
    <m/>
    <m/>
    <n v="0"/>
    <n v="66098978"/>
    <n v="1143333.28"/>
    <n v="1999688.34"/>
    <n v="69241999.620000005"/>
    <n v="0"/>
    <n v="0"/>
    <n v="0"/>
    <n v="0"/>
    <n v="0"/>
    <n v="0"/>
    <n v="0"/>
    <n v="66098978"/>
    <x v="0"/>
    <x v="0"/>
    <x v="1"/>
  </r>
  <r>
    <n v="107"/>
    <s v="02.300566"/>
    <s v="Ni Wayan Widiantari"/>
    <x v="3"/>
    <n v="70471818.049999997"/>
    <n v="0"/>
    <n v="0"/>
    <n v="70471818.049999997"/>
    <n v="1260270.98"/>
    <n v="61061"/>
    <n v="0"/>
    <m/>
    <m/>
    <n v="0"/>
    <n v="70471818.049999997"/>
    <n v="1260270.98"/>
    <n v="61061"/>
    <n v="71793150.030000001"/>
    <n v="0"/>
    <n v="0"/>
    <n v="0"/>
    <n v="0"/>
    <n v="0"/>
    <n v="0"/>
    <n v="0"/>
    <n v="70471818"/>
    <x v="0"/>
    <x v="0"/>
    <x v="1"/>
  </r>
  <r>
    <n v="108"/>
    <s v="02.300605"/>
    <s v="I Putu Widiasa"/>
    <x v="3"/>
    <n v="110000009"/>
    <n v="0"/>
    <n v="0"/>
    <n v="110000009"/>
    <n v="1760000"/>
    <n v="3324491.43"/>
    <n v="0"/>
    <m/>
    <m/>
    <n v="0"/>
    <n v="110000009"/>
    <n v="1760000"/>
    <n v="3324491.43"/>
    <n v="115084500.43000001"/>
    <n v="0"/>
    <n v="0"/>
    <n v="0"/>
    <n v="0"/>
    <n v="0"/>
    <n v="0"/>
    <n v="0"/>
    <n v="110000009"/>
    <x v="0"/>
    <x v="0"/>
    <x v="1"/>
  </r>
  <r>
    <n v="109"/>
    <s v="02.300641"/>
    <s v="Ni Ketut Alit Yulisari Yudha"/>
    <x v="3"/>
    <n v="391610493.31999999"/>
    <n v="29079688.27"/>
    <n v="10671633.15"/>
    <n v="431361814.73999995"/>
    <n v="0"/>
    <n v="0"/>
    <n v="6105"/>
    <m/>
    <m/>
    <n v="6105"/>
    <n v="0"/>
    <n v="0"/>
    <n v="0"/>
    <n v="0"/>
    <n v="0"/>
    <n v="0"/>
    <n v="391604388.31999999"/>
    <n v="29079688.27"/>
    <n v="10671633.15"/>
    <n v="431355709.73999995"/>
    <n v="286000000"/>
    <n v="286000000"/>
    <x v="0"/>
    <x v="0"/>
    <x v="0"/>
  </r>
  <r>
    <n v="110"/>
    <s v="02.300751"/>
    <s v="Siti Ristati Isja Sadar "/>
    <x v="3"/>
    <n v="598929955.62"/>
    <n v="2795006.41"/>
    <n v="0"/>
    <n v="601724962.02999997"/>
    <n v="0"/>
    <n v="0"/>
    <n v="104230918"/>
    <m/>
    <m/>
    <n v="104230918"/>
    <n v="0"/>
    <n v="0"/>
    <n v="0"/>
    <n v="0"/>
    <n v="0"/>
    <n v="0"/>
    <n v="494699037.62"/>
    <n v="2795006.41"/>
    <n v="0"/>
    <n v="497494044.03000003"/>
    <s v="-"/>
    <n v="1"/>
    <x v="3"/>
    <x v="1"/>
    <x v="0"/>
  </r>
  <r>
    <n v="111"/>
    <s v="02.100348"/>
    <s v="Wawan Riyanto"/>
    <x v="3"/>
    <n v="104933119.59"/>
    <n v="7728245.4099999992"/>
    <n v="16274638.859999999"/>
    <n v="128936003.86"/>
    <n v="22876130.59"/>
    <n v="5794329.3200000003"/>
    <n v="8052"/>
    <m/>
    <m/>
    <n v="8052"/>
    <n v="104925067.59"/>
    <n v="30604376"/>
    <n v="5000056.78"/>
    <n v="140529500.37"/>
    <n v="0"/>
    <n v="17068911.399999999"/>
    <n v="0"/>
    <n v="0"/>
    <n v="0"/>
    <n v="0"/>
    <n v="0"/>
    <n v="104925068"/>
    <x v="0"/>
    <x v="0"/>
    <x v="1"/>
  </r>
  <r>
    <n v="112"/>
    <s v="02.100351"/>
    <s v="Agus Permana Putra"/>
    <x v="3"/>
    <n v="205946228.22999999"/>
    <n v="26269766.030000001"/>
    <n v="56906975.869999997"/>
    <n v="289122970.13"/>
    <n v="0"/>
    <n v="0"/>
    <n v="0"/>
    <m/>
    <m/>
    <n v="0"/>
    <n v="26700000"/>
    <n v="0"/>
    <n v="0"/>
    <n v="26700000"/>
    <n v="0"/>
    <n v="0"/>
    <n v="179246228.22999999"/>
    <n v="26269766.030000001"/>
    <n v="56906975.869999997"/>
    <n v="262422970.13"/>
    <n v="231000000"/>
    <n v="205946228"/>
    <x v="0"/>
    <x v="0"/>
    <x v="0"/>
  </r>
  <r>
    <n v="113"/>
    <s v="02.100391"/>
    <s v="Abdul Latif"/>
    <x v="3"/>
    <n v="83767665.560000002"/>
    <n v="5502112.75"/>
    <n v="25866462.91"/>
    <n v="115136241.22"/>
    <n v="9154199.25"/>
    <n v="9101665.9000000004"/>
    <n v="8052"/>
    <m/>
    <m/>
    <n v="8052"/>
    <n v="83759613.560000002"/>
    <n v="14656312"/>
    <n v="8742032.1999999993"/>
    <n v="107157957.76000001"/>
    <n v="0"/>
    <n v="26226096.609999999"/>
    <n v="0"/>
    <n v="0"/>
    <n v="0"/>
    <n v="0"/>
    <n v="0"/>
    <n v="83759614"/>
    <x v="0"/>
    <x v="0"/>
    <x v="1"/>
  </r>
  <r>
    <n v="114"/>
    <s v="02.100420"/>
    <s v="I Made Sari Adnyana"/>
    <x v="3"/>
    <n v="202742131.40000001"/>
    <n v="24033189.899999999"/>
    <n v="15456497.07"/>
    <n v="242231818.37"/>
    <n v="0"/>
    <n v="81.630000000819507"/>
    <n v="0"/>
    <m/>
    <m/>
    <n v="0"/>
    <n v="202742131.40000001"/>
    <n v="24033189.899999999"/>
    <n v="15456578.700000001"/>
    <n v="242231900"/>
    <n v="0"/>
    <n v="0"/>
    <n v="0"/>
    <n v="0"/>
    <n v="0"/>
    <n v="0"/>
    <n v="0"/>
    <n v="202742131"/>
    <x v="0"/>
    <x v="0"/>
    <x v="1"/>
  </r>
  <r>
    <n v="115"/>
    <s v="02.100421"/>
    <s v="I Putu Budhi Widyana"/>
    <x v="3"/>
    <n v="2507662332.0700002"/>
    <n v="200881715.97"/>
    <n v="83136917.290000007"/>
    <n v="2791680965.3299999"/>
    <n v="0"/>
    <n v="0"/>
    <n v="8052"/>
    <m/>
    <m/>
    <n v="8052"/>
    <n v="133490000.00000001"/>
    <n v="0"/>
    <n v="0"/>
    <n v="133490000.00000001"/>
    <n v="0"/>
    <n v="0"/>
    <n v="2374164280.0700002"/>
    <n v="200881715.97"/>
    <n v="83136917.290000007"/>
    <n v="2658182913.3299999"/>
    <n v="3154000000"/>
    <n v="2507654280"/>
    <x v="0"/>
    <x v="0"/>
    <x v="0"/>
  </r>
  <r>
    <n v="116"/>
    <s v="02.100430"/>
    <s v="Anak Agung Gede Wiranatha"/>
    <x v="3"/>
    <n v="1675959696.26"/>
    <n v="193280884.93000001"/>
    <n v="58178865.689999998"/>
    <n v="1927419446.8800001"/>
    <n v="0"/>
    <n v="0"/>
    <n v="0"/>
    <m/>
    <m/>
    <n v="0"/>
    <n v="0"/>
    <n v="0"/>
    <n v="0"/>
    <n v="0"/>
    <n v="0"/>
    <n v="0"/>
    <n v="1675959696.26"/>
    <n v="193280884.93000001"/>
    <n v="58178865.689999998"/>
    <n v="1927419446.8800001"/>
    <n v="1722000000"/>
    <n v="1722000000"/>
    <x v="2"/>
    <x v="0"/>
    <x v="0"/>
  </r>
  <r>
    <n v="117"/>
    <s v="02.100436"/>
    <s v="Putu Ayu Astitiningsih"/>
    <x v="3"/>
    <n v="341584872.85000002"/>
    <n v="28184994.800000001"/>
    <n v="10506842.41"/>
    <n v="380276710.06000006"/>
    <n v="0"/>
    <n v="0"/>
    <n v="0"/>
    <m/>
    <m/>
    <n v="0"/>
    <n v="0"/>
    <n v="0"/>
    <n v="0"/>
    <n v="0"/>
    <n v="0"/>
    <n v="0"/>
    <n v="341584872.85000002"/>
    <n v="28184994.800000001"/>
    <n v="10506842.41"/>
    <n v="380276710.06000006"/>
    <n v="0"/>
    <n v="341584873"/>
    <x v="0"/>
    <x v="0"/>
    <x v="0"/>
  </r>
  <r>
    <n v="118"/>
    <s v="02.100447"/>
    <s v="I Putu Prendi Wirajaya"/>
    <x v="3"/>
    <n v="745739661.72000003"/>
    <n v="91545808.819999993"/>
    <n v="24281073.270000003"/>
    <n v="861566543.80999994"/>
    <n v="0"/>
    <n v="0"/>
    <n v="7082"/>
    <m/>
    <m/>
    <n v="7082"/>
    <n v="562385988"/>
    <n v="0"/>
    <n v="0"/>
    <n v="562385988"/>
    <n v="0"/>
    <n v="0"/>
    <n v="183346591.72000003"/>
    <n v="91545808.819999993"/>
    <n v="24281073.270000003"/>
    <n v="299173473.81"/>
    <n v="396000000"/>
    <n v="396000000"/>
    <x v="0"/>
    <x v="0"/>
    <x v="0"/>
  </r>
  <r>
    <n v="119"/>
    <s v="02.100450"/>
    <s v="I Ketut Temaja"/>
    <x v="3"/>
    <n v="1074953168.0699999"/>
    <n v="108607175.68000001"/>
    <n v="36449304.82"/>
    <n v="1220009648.5699999"/>
    <n v="0"/>
    <n v="0"/>
    <n v="0"/>
    <m/>
    <m/>
    <n v="0"/>
    <n v="5000000"/>
    <n v="0"/>
    <n v="0"/>
    <n v="5000000"/>
    <n v="0"/>
    <n v="0"/>
    <n v="1069953168.0699999"/>
    <n v="108607175.68000001"/>
    <n v="36449304.82"/>
    <n v="1215009648.5699999"/>
    <n v="834000000"/>
    <n v="839000000"/>
    <x v="0"/>
    <x v="0"/>
    <x v="0"/>
  </r>
  <r>
    <n v="120"/>
    <s v="02.100453"/>
    <s v="Ni Putu Susy Firmayanti"/>
    <x v="3"/>
    <n v="448372727"/>
    <n v="59142236"/>
    <n v="11821159"/>
    <n v="519336122"/>
    <n v="38137440"/>
    <n v="9120227"/>
    <n v="6101"/>
    <m/>
    <m/>
    <n v="6101"/>
    <n v="448366626"/>
    <n v="85604253"/>
    <n v="20941386"/>
    <n v="554912265"/>
    <n v="0"/>
    <n v="0"/>
    <n v="0"/>
    <n v="11675423"/>
    <n v="0"/>
    <n v="11675423"/>
    <n v="0"/>
    <n v="448366626"/>
    <x v="0"/>
    <x v="0"/>
    <x v="1"/>
  </r>
  <r>
    <n v="121"/>
    <s v="02.100462"/>
    <s v="Mariyono"/>
    <x v="3"/>
    <n v="1997437530.6099999"/>
    <n v="258040752.62"/>
    <n v="36914370.170000002"/>
    <n v="2292392653.4000001"/>
    <n v="0"/>
    <n v="0"/>
    <n v="9023"/>
    <m/>
    <m/>
    <n v="9023"/>
    <n v="0"/>
    <n v="0"/>
    <n v="0"/>
    <n v="0"/>
    <n v="0"/>
    <n v="0"/>
    <n v="1997428507.6099999"/>
    <n v="258040752.62"/>
    <n v="36914370.170000002"/>
    <n v="2292383630.4000001"/>
    <n v="1206000000"/>
    <n v="1206000000"/>
    <x v="0"/>
    <x v="0"/>
    <x v="0"/>
  </r>
  <r>
    <n v="122"/>
    <s v="02.100463"/>
    <s v="I Ketut Temaja"/>
    <x v="3"/>
    <n v="124358028.89"/>
    <n v="11902164.34"/>
    <n v="2507935.19"/>
    <n v="138768128.41999999"/>
    <n v="0"/>
    <n v="0"/>
    <n v="0"/>
    <m/>
    <m/>
    <n v="0"/>
    <n v="0"/>
    <n v="0"/>
    <n v="0"/>
    <n v="0"/>
    <n v="0"/>
    <n v="0"/>
    <n v="124358028.89"/>
    <n v="11902164.34"/>
    <n v="2507935.19"/>
    <n v="138768128.41999999"/>
    <n v="0"/>
    <n v="1"/>
    <x v="0"/>
    <x v="1"/>
    <x v="0"/>
  </r>
  <r>
    <n v="123"/>
    <s v="02.300416"/>
    <s v="Iksan Arbi Purnawan"/>
    <x v="3"/>
    <n v="140839282.12"/>
    <n v="16917898.149999999"/>
    <n v="20655934.109999999"/>
    <n v="178413114.38"/>
    <n v="0"/>
    <n v="0"/>
    <n v="0"/>
    <m/>
    <m/>
    <n v="0"/>
    <n v="1500000"/>
    <n v="0"/>
    <n v="0"/>
    <n v="1500000"/>
    <n v="0"/>
    <n v="0"/>
    <n v="139339282.12"/>
    <n v="16917898.149999999"/>
    <n v="20655934.109999999"/>
    <n v="176913114.38"/>
    <n v="149000000"/>
    <n v="140839282"/>
    <x v="0"/>
    <x v="0"/>
    <x v="0"/>
  </r>
  <r>
    <n v="124"/>
    <s v="02.300462"/>
    <s v="Ida Bagus Putu Widi Adnyana"/>
    <x v="3"/>
    <n v="148001636.47999999"/>
    <n v="11798245"/>
    <n v="74294143.600000009"/>
    <n v="234094025.07999998"/>
    <n v="6467875"/>
    <n v="143023211.97999999"/>
    <n v="720522"/>
    <m/>
    <m/>
    <n v="720522"/>
    <n v="147281114.47999999"/>
    <n v="18266120"/>
    <n v="452765.79"/>
    <n v="166000000.26999998"/>
    <n v="0"/>
    <n v="216864589.78999999"/>
    <n v="0"/>
    <n v="0"/>
    <n v="0"/>
    <n v="0"/>
    <n v="392000000"/>
    <n v="147281114"/>
    <x v="0"/>
    <x v="0"/>
    <x v="1"/>
  </r>
  <r>
    <n v="125"/>
    <s v="02.300601"/>
    <s v="Eka Sugiartha"/>
    <x v="3"/>
    <n v="278400994.68000001"/>
    <n v="16868962.799999997"/>
    <n v="17545358.829999998"/>
    <n v="312815316.31"/>
    <n v="7247326.2000000002"/>
    <n v="6000"/>
    <n v="0"/>
    <m/>
    <m/>
    <n v="0"/>
    <n v="278400994.68000001"/>
    <n v="16868963"/>
    <n v="17551358.829999998"/>
    <n v="312821316.50999999"/>
    <n v="7247326"/>
    <n v="0"/>
    <n v="0"/>
    <n v="0"/>
    <n v="0"/>
    <n v="0"/>
    <n v="0"/>
    <n v="278400995"/>
    <x v="0"/>
    <x v="0"/>
    <x v="1"/>
  </r>
  <r>
    <n v="126"/>
    <s v="02.300630"/>
    <s v="Erma Septiovita"/>
    <x v="3"/>
    <n v="252713501.71000001"/>
    <n v="108565531.72"/>
    <n v="48590470.109999999"/>
    <n v="409869503.54000002"/>
    <n v="0"/>
    <n v="6000"/>
    <n v="0"/>
    <m/>
    <m/>
    <n v="0"/>
    <n v="252713501.71000001"/>
    <n v="108565531.72"/>
    <n v="48596470.109999999"/>
    <n v="409875503.54000002"/>
    <n v="0"/>
    <n v="0"/>
    <n v="0"/>
    <n v="0"/>
    <n v="0"/>
    <n v="0"/>
    <n v="0"/>
    <n v="409875504"/>
    <x v="0"/>
    <x v="0"/>
    <x v="1"/>
  </r>
  <r>
    <n v="127"/>
    <s v="02.300647"/>
    <s v="I Putu Suardana"/>
    <x v="3"/>
    <n v="1275577304.9100001"/>
    <n v="38194080.170000002"/>
    <n v="5271897.0199999996"/>
    <n v="1319043282.1000001"/>
    <n v="0"/>
    <n v="0"/>
    <n v="0"/>
    <m/>
    <m/>
    <n v="0"/>
    <n v="0"/>
    <n v="0"/>
    <n v="0"/>
    <n v="0"/>
    <n v="0"/>
    <n v="0"/>
    <n v="1275577304.9100001"/>
    <n v="38194080.170000002"/>
    <n v="5271897.0199999996"/>
    <n v="1319043282.1000001"/>
    <n v="842000000"/>
    <n v="842000000"/>
    <x v="0"/>
    <x v="0"/>
    <x v="0"/>
  </r>
  <r>
    <n v="128"/>
    <s v="02.300648"/>
    <s v="I Ketut Wiyasa"/>
    <x v="3"/>
    <n v="1267551909.5599999"/>
    <n v="22921629.280000001"/>
    <n v="2941761.66"/>
    <n v="1293415300.5"/>
    <n v="0"/>
    <n v="0"/>
    <n v="0"/>
    <m/>
    <m/>
    <n v="0"/>
    <n v="0"/>
    <n v="0"/>
    <n v="0"/>
    <n v="0"/>
    <n v="0"/>
    <n v="0"/>
    <n v="1267551909.5599999"/>
    <n v="22921629.280000001"/>
    <n v="2941761.66"/>
    <n v="1293415300.5"/>
    <n v="791000000"/>
    <n v="791000000"/>
    <x v="0"/>
    <x v="0"/>
    <x v="0"/>
  </r>
  <r>
    <n v="129"/>
    <s v="02.300652"/>
    <s v="Helida"/>
    <x v="3"/>
    <n v="2432020910.96"/>
    <n v="219778852.50999999"/>
    <n v="41837751.590000004"/>
    <n v="2693637515.0600004"/>
    <n v="0"/>
    <n v="0"/>
    <n v="8055"/>
    <m/>
    <m/>
    <n v="8055"/>
    <n v="0"/>
    <n v="0"/>
    <n v="0"/>
    <n v="0"/>
    <n v="0"/>
    <n v="0"/>
    <n v="2432012855.96"/>
    <n v="219778852.50999999"/>
    <n v="41837751.590000004"/>
    <n v="2693629460.0600004"/>
    <n v="2509000000"/>
    <n v="2432012856"/>
    <x v="0"/>
    <x v="0"/>
    <x v="0"/>
  </r>
  <r>
    <n v="130"/>
    <s v="02.300659"/>
    <s v="Tikno Widodo Alias Sutikno"/>
    <x v="3"/>
    <n v="2252547205.9200001"/>
    <n v="344033393.25999999"/>
    <n v="95725352.159999996"/>
    <n v="2692305951.3400002"/>
    <n v="0"/>
    <n v="0"/>
    <n v="0"/>
    <m/>
    <m/>
    <n v="0"/>
    <n v="0"/>
    <n v="0"/>
    <n v="0"/>
    <n v="0"/>
    <n v="0"/>
    <n v="0"/>
    <n v="2252547205.9200001"/>
    <n v="344033393.25999999"/>
    <n v="95725352.159999996"/>
    <n v="2692305951.3400002"/>
    <n v="1270000000"/>
    <n v="1270000000"/>
    <x v="0"/>
    <x v="0"/>
    <x v="0"/>
  </r>
  <r>
    <n v="131"/>
    <s v="02.300662"/>
    <s v="Anik Nerti"/>
    <x v="3"/>
    <n v="491500045.23000002"/>
    <n v="67493878.180000007"/>
    <n v="22714876.640000001"/>
    <n v="581708800.05000007"/>
    <n v="0"/>
    <n v="0"/>
    <n v="0"/>
    <m/>
    <m/>
    <n v="0"/>
    <n v="0"/>
    <n v="0"/>
    <n v="0"/>
    <n v="0"/>
    <n v="0"/>
    <n v="0"/>
    <n v="491500045.23000002"/>
    <n v="67493878.180000007"/>
    <n v="22714876.640000001"/>
    <n v="581708800.05000007"/>
    <n v="405000000"/>
    <n v="405000000"/>
    <x v="0"/>
    <x v="0"/>
    <x v="0"/>
  </r>
  <r>
    <n v="132"/>
    <s v="02.300663"/>
    <s v="Raden Ajeng Koesramadhani"/>
    <x v="3"/>
    <n v="1988639111.52"/>
    <n v="202413541.11000001"/>
    <n v="84407258.349999994"/>
    <n v="2275459910.98"/>
    <n v="0"/>
    <n v="0"/>
    <n v="0"/>
    <m/>
    <m/>
    <n v="0"/>
    <n v="4150000"/>
    <n v="0"/>
    <n v="0"/>
    <n v="4150000"/>
    <n v="0"/>
    <n v="0"/>
    <n v="1984489111.52"/>
    <n v="202413541.11000001"/>
    <n v="84407258.349999994"/>
    <n v="2271309910.98"/>
    <n v="1929000000"/>
    <n v="1932900000"/>
    <x v="0"/>
    <x v="0"/>
    <x v="0"/>
  </r>
  <r>
    <n v="133"/>
    <s v="02.300668"/>
    <s v="Diraji Dwiya Suhita"/>
    <x v="3"/>
    <n v="994852981.46000004"/>
    <n v="97574523.260000005"/>
    <n v="36385091.219999999"/>
    <n v="1128812595.9400001"/>
    <n v="0"/>
    <n v="0"/>
    <n v="0"/>
    <m/>
    <m/>
    <n v="0"/>
    <n v="0"/>
    <n v="0"/>
    <n v="0"/>
    <n v="0"/>
    <n v="0"/>
    <n v="0"/>
    <n v="994852981.46000004"/>
    <n v="97574523.260000005"/>
    <n v="36385091.219999999"/>
    <n v="1128812595.9400001"/>
    <n v="1180000000"/>
    <n v="994852981"/>
    <x v="0"/>
    <x v="0"/>
    <x v="0"/>
  </r>
  <r>
    <n v="134"/>
    <s v="02.300674"/>
    <s v="Desak Ketut Sri Juniarti"/>
    <x v="3"/>
    <n v="376878622.83999997"/>
    <n v="25250811.25"/>
    <n v="0"/>
    <n v="402129434.08999997"/>
    <n v="0"/>
    <n v="0"/>
    <n v="0"/>
    <m/>
    <m/>
    <n v="0"/>
    <n v="36000000"/>
    <n v="0"/>
    <n v="0"/>
    <n v="36000000"/>
    <n v="0"/>
    <n v="0"/>
    <n v="340878622.83999997"/>
    <n v="25250811.25"/>
    <n v="0"/>
    <n v="366129434.08999997"/>
    <n v="194000000"/>
    <n v="194000000"/>
    <x v="0"/>
    <x v="1"/>
    <x v="0"/>
  </r>
  <r>
    <n v="135"/>
    <s v="02.300677"/>
    <s v="Ni Luh Wayan Asri Sutini"/>
    <x v="3"/>
    <n v="985488250.79999995"/>
    <n v="114551282.65000001"/>
    <n v="18946266.77"/>
    <n v="1118985800.22"/>
    <n v="0"/>
    <n v="0"/>
    <n v="0"/>
    <m/>
    <m/>
    <n v="0"/>
    <n v="744897100"/>
    <n v="0"/>
    <n v="0"/>
    <n v="744897100"/>
    <n v="0"/>
    <n v="0"/>
    <n v="240591150.79999995"/>
    <n v="114551282.65000001"/>
    <n v="18946266.77"/>
    <n v="374088700.21999991"/>
    <n v="738000000"/>
    <n v="985488251"/>
    <x v="0"/>
    <x v="0"/>
    <x v="0"/>
  </r>
  <r>
    <n v="136"/>
    <s v="02.300678"/>
    <s v="I Made Suryawan"/>
    <x v="3"/>
    <n v="1478257113.01"/>
    <n v="183689188.44999999"/>
    <n v="41596702.850000001"/>
    <n v="1703543004.3099999"/>
    <n v="0"/>
    <n v="0"/>
    <n v="0"/>
    <m/>
    <m/>
    <n v="0"/>
    <n v="0"/>
    <n v="0"/>
    <n v="0"/>
    <n v="0"/>
    <n v="0"/>
    <n v="0"/>
    <n v="1478257113.01"/>
    <n v="183689188.44999999"/>
    <n v="41596702.850000001"/>
    <n v="1703543004.3099999"/>
    <n v="3101000000"/>
    <n v="1478257113"/>
    <x v="0"/>
    <x v="0"/>
    <x v="0"/>
  </r>
  <r>
    <n v="137"/>
    <s v="02.300683"/>
    <s v="Rima Julita Kauno"/>
    <x v="3"/>
    <n v="197492169.44"/>
    <n v="27402916.23"/>
    <n v="4358071.8099999996"/>
    <n v="229253157.47999999"/>
    <n v="0"/>
    <n v="0"/>
    <n v="4142"/>
    <m/>
    <m/>
    <n v="4142"/>
    <n v="197488027.44"/>
    <n v="27402916.23"/>
    <n v="4358071.8099999996"/>
    <n v="229249015.47999999"/>
    <n v="0"/>
    <n v="0"/>
    <n v="0"/>
    <n v="0"/>
    <n v="0"/>
    <n v="0"/>
    <n v="0"/>
    <n v="229249015"/>
    <x v="0"/>
    <x v="0"/>
    <x v="1"/>
  </r>
  <r>
    <n v="138"/>
    <s v="02.300685"/>
    <s v="Anak Agung Ngurah Victory"/>
    <x v="3"/>
    <n v="1728036037.77"/>
    <n v="232066425.34999999"/>
    <n v="46659048.770000003"/>
    <n v="2006761511.8899999"/>
    <n v="0"/>
    <n v="0"/>
    <n v="0"/>
    <m/>
    <m/>
    <n v="0"/>
    <n v="0"/>
    <n v="0"/>
    <n v="0"/>
    <n v="0"/>
    <n v="0"/>
    <n v="0"/>
    <n v="1728036037.77"/>
    <n v="232066425.34999999"/>
    <n v="46659048.770000003"/>
    <n v="2006761511.8899999"/>
    <n v="1016000000"/>
    <n v="1016000000"/>
    <x v="0"/>
    <x v="0"/>
    <x v="0"/>
  </r>
  <r>
    <n v="139"/>
    <s v="02.300686"/>
    <s v="Ni Made Sitiani"/>
    <x v="3"/>
    <n v="890420820.29999995"/>
    <n v="132716779.98999999"/>
    <n v="27830383.48"/>
    <n v="1050967983.77"/>
    <n v="0"/>
    <n v="0"/>
    <n v="0"/>
    <m/>
    <m/>
    <n v="0"/>
    <n v="10000000"/>
    <n v="0"/>
    <n v="0"/>
    <n v="10000000"/>
    <n v="0"/>
    <n v="0"/>
    <n v="880420820.29999995"/>
    <n v="132716779.98999999"/>
    <n v="27830383.48"/>
    <n v="1040967983.77"/>
    <n v="762000000"/>
    <n v="772000000"/>
    <x v="0"/>
    <x v="0"/>
    <x v="0"/>
  </r>
  <r>
    <n v="140"/>
    <s v="02.300708"/>
    <s v="Manche Leony Lontoh"/>
    <x v="3"/>
    <n v="595844810.29999995"/>
    <n v="55114836.880000003"/>
    <n v="10501251.560000001"/>
    <n v="661460898.73999989"/>
    <n v="0"/>
    <n v="0"/>
    <n v="9023"/>
    <m/>
    <m/>
    <n v="9023"/>
    <n v="3000000"/>
    <n v="0"/>
    <n v="0"/>
    <n v="3000000"/>
    <n v="0"/>
    <n v="0"/>
    <n v="592835787.29999995"/>
    <n v="55114836.880000003"/>
    <n v="10501251.560000001"/>
    <n v="658451875.73999989"/>
    <n v="563000000"/>
    <n v="565000000"/>
    <x v="0"/>
    <x v="0"/>
    <x v="0"/>
  </r>
  <r>
    <n v="141"/>
    <s v="02.300710"/>
    <s v="Tikno Widodo Alias Sutikno"/>
    <x v="3"/>
    <n v="299497806"/>
    <n v="45363722.030000001"/>
    <n v="8247702.6100000003"/>
    <n v="353109230.63999999"/>
    <n v="0"/>
    <n v="0"/>
    <n v="0"/>
    <m/>
    <m/>
    <n v="0"/>
    <n v="0"/>
    <n v="0"/>
    <n v="0"/>
    <n v="0"/>
    <n v="0"/>
    <n v="0"/>
    <n v="299497806"/>
    <n v="45363722.030000001"/>
    <n v="8247702.6100000003"/>
    <n v="353109230.63999999"/>
    <n v="0"/>
    <n v="1"/>
    <x v="0"/>
    <x v="1"/>
    <x v="0"/>
  </r>
  <r>
    <n v="142"/>
    <s v="02.300716"/>
    <s v="Ni Made Sitiani"/>
    <x v="3"/>
    <n v="99832602"/>
    <n v="14084406.76"/>
    <n v="2054860.76"/>
    <n v="115971869.52000001"/>
    <n v="0"/>
    <n v="0"/>
    <n v="0"/>
    <m/>
    <m/>
    <n v="0"/>
    <n v="0"/>
    <n v="0"/>
    <n v="0"/>
    <n v="0"/>
    <n v="0"/>
    <n v="0"/>
    <n v="99832602"/>
    <n v="14084406.76"/>
    <n v="2054860.76"/>
    <n v="115971869.52000001"/>
    <n v="0"/>
    <n v="1"/>
    <x v="0"/>
    <x v="1"/>
    <x v="0"/>
  </r>
  <r>
    <n v="143"/>
    <s v="02.300718"/>
    <s v="I Putu Oka Mahendra"/>
    <x v="3"/>
    <n v="248716054.72"/>
    <n v="23878671.099999998"/>
    <n v="2201690.42"/>
    <n v="274796416.24000001"/>
    <n v="125801012.78"/>
    <n v="108598812.75"/>
    <n v="6255"/>
    <m/>
    <m/>
    <n v="6255"/>
    <n v="248709799.72"/>
    <n v="51290200.280000001"/>
    <n v="0"/>
    <n v="300000000"/>
    <n v="98389483.879999995"/>
    <n v="110800503.17"/>
    <n v="0"/>
    <n v="0"/>
    <n v="0"/>
    <n v="0"/>
    <n v="585000000"/>
    <n v="248709800"/>
    <x v="0"/>
    <x v="0"/>
    <x v="1"/>
  </r>
  <r>
    <n v="144"/>
    <s v="02.300726"/>
    <s v="Ida Ayu Komang Manik Trisnawa"/>
    <x v="3"/>
    <n v="229873836"/>
    <n v="29956704.890000001"/>
    <n v="4532956.46"/>
    <n v="264363497.34999999"/>
    <n v="0"/>
    <n v="0"/>
    <n v="0"/>
    <m/>
    <m/>
    <n v="0"/>
    <n v="0"/>
    <n v="0"/>
    <n v="0"/>
    <n v="0"/>
    <n v="0"/>
    <n v="0"/>
    <n v="229873836"/>
    <n v="29956704.890000001"/>
    <n v="4532956.46"/>
    <n v="264363497.34999999"/>
    <n v="0"/>
    <n v="1"/>
    <x v="0"/>
    <x v="1"/>
    <x v="0"/>
  </r>
  <r>
    <n v="145"/>
    <s v="02.300728"/>
    <s v="Anik Nerti"/>
    <x v="3"/>
    <n v="64820753.079999998"/>
    <n v="7702887.6699999999"/>
    <n v="1239061.22"/>
    <n v="73762701.969999999"/>
    <n v="0"/>
    <n v="0"/>
    <n v="0"/>
    <m/>
    <m/>
    <n v="0"/>
    <n v="0"/>
    <n v="0"/>
    <n v="0"/>
    <n v="0"/>
    <n v="0"/>
    <n v="0"/>
    <n v="64820753.079999998"/>
    <n v="7702887.6699999999"/>
    <n v="1239061.22"/>
    <n v="73762701.969999999"/>
    <n v="0"/>
    <n v="1"/>
    <x v="0"/>
    <x v="1"/>
    <x v="0"/>
  </r>
  <r>
    <n v="146"/>
    <s v="02.300734"/>
    <s v="I Putu Suardana"/>
    <x v="3"/>
    <n v="250000000"/>
    <n v="38194080.170000002"/>
    <n v="5271897.0199999996"/>
    <n v="293465977.19"/>
    <n v="0"/>
    <n v="0"/>
    <n v="0"/>
    <m/>
    <m/>
    <n v="0"/>
    <n v="0"/>
    <n v="0"/>
    <n v="0"/>
    <n v="0"/>
    <n v="0"/>
    <n v="0"/>
    <n v="250000000"/>
    <n v="38194080.170000002"/>
    <n v="5271897.0199999996"/>
    <n v="293465977.19"/>
    <n v="0"/>
    <n v="1"/>
    <x v="0"/>
    <x v="1"/>
    <x v="0"/>
  </r>
  <r>
    <n v="147"/>
    <s v="02.300735"/>
    <s v="I Ketut Wiyasa"/>
    <x v="3"/>
    <n v="199665204"/>
    <n v="22921629.280000001"/>
    <n v="2941761.66"/>
    <n v="225528594.94"/>
    <n v="0"/>
    <n v="0"/>
    <n v="0"/>
    <m/>
    <m/>
    <n v="0"/>
    <n v="0"/>
    <n v="0"/>
    <n v="0"/>
    <n v="0"/>
    <n v="0"/>
    <n v="0"/>
    <n v="199665204"/>
    <n v="22921629.280000001"/>
    <n v="2941761.66"/>
    <n v="225528594.94"/>
    <n v="0"/>
    <n v="1"/>
    <x v="0"/>
    <x v="1"/>
    <x v="0"/>
  </r>
  <r>
    <n v="148"/>
    <s v="02.300738"/>
    <s v="Ni Luh Wayan Asri Sutini"/>
    <x v="3"/>
    <n v="150000000"/>
    <n v="20385278.239999998"/>
    <n v="2827956.72"/>
    <n v="173213234.96000001"/>
    <n v="0"/>
    <n v="0"/>
    <n v="0"/>
    <m/>
    <m/>
    <n v="0"/>
    <n v="5000000"/>
    <n v="0"/>
    <n v="0"/>
    <n v="5000000"/>
    <n v="0"/>
    <n v="0"/>
    <n v="145000000"/>
    <n v="20385278.239999998"/>
    <n v="2827956.72"/>
    <n v="168213234.96000001"/>
    <n v="0"/>
    <n v="5000000"/>
    <x v="0"/>
    <x v="1"/>
    <x v="0"/>
  </r>
  <r>
    <n v="149"/>
    <s v="02.300742"/>
    <s v="Anak Agung Ngurah Victory"/>
    <x v="3"/>
    <n v="195000000"/>
    <n v="25466977.210000001"/>
    <n v="3388193.85"/>
    <n v="223855171.06"/>
    <n v="0"/>
    <n v="0"/>
    <n v="0"/>
    <m/>
    <m/>
    <n v="0"/>
    <n v="0"/>
    <n v="0"/>
    <n v="0"/>
    <n v="0"/>
    <n v="0"/>
    <n v="0"/>
    <n v="195000000"/>
    <n v="25466977.210000001"/>
    <n v="3388193.85"/>
    <n v="223855171.06"/>
    <n v="0"/>
    <n v="1"/>
    <x v="0"/>
    <x v="1"/>
    <x v="0"/>
  </r>
  <r>
    <n v="150"/>
    <s v="02.300744"/>
    <s v="Ni Ketut Sri Padma Ayuning"/>
    <x v="3"/>
    <n v="1996652041"/>
    <n v="189186682.68000001"/>
    <n v="17042554.59"/>
    <n v="2202881278.27"/>
    <n v="0"/>
    <n v="0"/>
    <n v="10911"/>
    <m/>
    <m/>
    <n v="10911"/>
    <n v="0"/>
    <n v="0"/>
    <n v="0"/>
    <n v="0"/>
    <n v="0"/>
    <n v="0"/>
    <n v="1996641130"/>
    <n v="189186682.68000001"/>
    <n v="17042554.59"/>
    <n v="2202870367.27"/>
    <n v="1233000000"/>
    <n v="1233000000"/>
    <x v="0"/>
    <x v="0"/>
    <x v="0"/>
  </r>
  <r>
    <n v="151"/>
    <s v="02.400083"/>
    <s v="Meliana Ida Mareta Hutapea"/>
    <x v="3"/>
    <n v="888347430.74000001"/>
    <n v="86333068.780000001"/>
    <n v="46513658.659999996"/>
    <n v="1021194158.1799999"/>
    <n v="0"/>
    <n v="0"/>
    <n v="0"/>
    <m/>
    <m/>
    <n v="0"/>
    <n v="0"/>
    <n v="0"/>
    <n v="0"/>
    <n v="0"/>
    <n v="0"/>
    <n v="0"/>
    <n v="888347430.74000001"/>
    <n v="86333068.780000001"/>
    <n v="46513658.659999996"/>
    <n v="1021194158.1799999"/>
    <n v="1510000000"/>
    <n v="888347431"/>
    <x v="0"/>
    <x v="0"/>
    <x v="0"/>
  </r>
  <r>
    <n v="152"/>
    <s v="02.400085"/>
    <s v="I Made Rujana"/>
    <x v="3"/>
    <n v="808333341"/>
    <n v="74479166.439999998"/>
    <n v="29161962.899999999"/>
    <n v="911974470.34000003"/>
    <n v="0"/>
    <n v="0"/>
    <n v="0"/>
    <m/>
    <m/>
    <n v="0"/>
    <n v="0"/>
    <n v="0"/>
    <n v="0"/>
    <n v="0"/>
    <n v="0"/>
    <n v="0"/>
    <n v="808333341"/>
    <n v="74479166.439999998"/>
    <n v="29161962.899999999"/>
    <n v="911974470.34000003"/>
    <n v="1081000000"/>
    <n v="808333341"/>
    <x v="0"/>
    <x v="0"/>
    <x v="0"/>
  </r>
  <r>
    <n v="153"/>
    <s v="02.400086"/>
    <s v="I Kadek Budiartawan"/>
    <x v="3"/>
    <n v="924999994"/>
    <n v="57069720"/>
    <n v="57957223.840000004"/>
    <n v="1040026937.84"/>
    <n v="239574994.41"/>
    <n v="191604777.08000001"/>
    <n v="0"/>
    <m/>
    <m/>
    <n v="0"/>
    <n v="924999994"/>
    <n v="116000006"/>
    <n v="0"/>
    <n v="1041000000"/>
    <n v="180644708.41000003"/>
    <n v="249562000.91999999"/>
    <n v="0"/>
    <n v="0"/>
    <n v="0"/>
    <n v="0"/>
    <n v="2555000000"/>
    <n v="924999994"/>
    <x v="0"/>
    <x v="0"/>
    <x v="1"/>
  </r>
  <r>
    <n v="154"/>
    <s v="02.400087"/>
    <s v="I Wayan Suparta"/>
    <x v="3"/>
    <n v="412499993"/>
    <n v="36372885.609999999"/>
    <n v="12932650.34"/>
    <n v="461805528.94999999"/>
    <n v="0"/>
    <n v="0"/>
    <n v="7080"/>
    <m/>
    <m/>
    <n v="7080"/>
    <n v="0"/>
    <n v="0"/>
    <n v="0"/>
    <n v="0"/>
    <n v="0"/>
    <n v="0"/>
    <n v="412492913"/>
    <n v="36372885.609999999"/>
    <n v="12932650.34"/>
    <n v="461798448.94999999"/>
    <n v="1226000000"/>
    <n v="412492913"/>
    <x v="0"/>
    <x v="0"/>
    <x v="0"/>
  </r>
  <r>
    <n v="155"/>
    <s v="02.400091"/>
    <s v="I Gusti Made Widya Pramana"/>
    <x v="3"/>
    <n v="1116786253.3499999"/>
    <n v="116086396.79000001"/>
    <n v="40266003.109999999"/>
    <n v="1273138653.2499998"/>
    <n v="0"/>
    <n v="0"/>
    <n v="7082"/>
    <m/>
    <m/>
    <n v="7082"/>
    <n v="0"/>
    <n v="0"/>
    <n v="0"/>
    <n v="0"/>
    <n v="0"/>
    <n v="0"/>
    <n v="1116779171.3499999"/>
    <n v="116086396.79000001"/>
    <n v="40266003.109999999"/>
    <n v="1273131571.2499998"/>
    <n v="1155000000"/>
    <n v="1116779171"/>
    <x v="0"/>
    <x v="0"/>
    <x v="0"/>
  </r>
  <r>
    <n v="156"/>
    <s v="02.400093"/>
    <s v="Putu Gede Darmawan"/>
    <x v="3"/>
    <n v="783494676.02999997"/>
    <n v="122561174.70999999"/>
    <n v="30180178.460000001"/>
    <n v="936236029.20000005"/>
    <n v="0"/>
    <n v="0"/>
    <n v="0"/>
    <m/>
    <m/>
    <n v="0"/>
    <n v="0"/>
    <n v="0"/>
    <n v="0"/>
    <n v="0"/>
    <n v="0"/>
    <n v="0"/>
    <n v="783494676.02999997"/>
    <n v="122561174.70999999"/>
    <n v="30180178.460000001"/>
    <n v="936236029.20000005"/>
    <n v="802000000"/>
    <n v="783494676"/>
    <x v="0"/>
    <x v="0"/>
    <x v="0"/>
  </r>
  <r>
    <n v="157"/>
    <s v="02.400095"/>
    <s v="I Ketut Mahardika"/>
    <x v="3"/>
    <n v="1989705950.6300001"/>
    <n v="275675261.45999998"/>
    <n v="77728780.769999996"/>
    <n v="2343109992.8600001"/>
    <n v="0"/>
    <n v="0"/>
    <n v="0"/>
    <m/>
    <m/>
    <n v="0"/>
    <n v="0"/>
    <n v="0"/>
    <n v="0"/>
    <n v="0"/>
    <n v="0"/>
    <n v="0"/>
    <n v="1989705950.6300001"/>
    <n v="275675261.45999998"/>
    <n v="77728780.769999996"/>
    <n v="2343109992.8600001"/>
    <n v="1945000000"/>
    <n v="1945000000"/>
    <x v="0"/>
    <x v="0"/>
    <x v="0"/>
  </r>
  <r>
    <n v="158"/>
    <s v="02.400097"/>
    <s v="Mohammad Rafli Al Gifari"/>
    <x v="3"/>
    <n v="688453229"/>
    <n v="79141307"/>
    <n v="19254722"/>
    <n v="786849258"/>
    <n v="153175369.90000001"/>
    <n v="0"/>
    <n v="7080"/>
    <m/>
    <m/>
    <n v="7080"/>
    <n v="688446149"/>
    <n v="153175370"/>
    <n v="0"/>
    <n v="841621519"/>
    <n v="79141306.900000006"/>
    <n v="19254722"/>
    <n v="0"/>
    <n v="0"/>
    <n v="0"/>
    <n v="0"/>
    <n v="0"/>
    <n v="688446149"/>
    <x v="0"/>
    <x v="1"/>
    <x v="1"/>
  </r>
  <r>
    <n v="159"/>
    <s v="02.400102"/>
    <s v="I Ketut Mahardika"/>
    <x v="3"/>
    <n v="249895597"/>
    <n v="32950765.609999999"/>
    <n v="4994549.71"/>
    <n v="287840912.31999999"/>
    <n v="0"/>
    <n v="0"/>
    <n v="0"/>
    <m/>
    <m/>
    <n v="0"/>
    <n v="0"/>
    <n v="0"/>
    <n v="0"/>
    <n v="0"/>
    <n v="0"/>
    <n v="0"/>
    <n v="249895597"/>
    <n v="32950765.609999999"/>
    <n v="4994549.71"/>
    <n v="287840912.31999999"/>
    <n v="0"/>
    <n v="1"/>
    <x v="0"/>
    <x v="1"/>
    <x v="0"/>
  </r>
  <r>
    <n v="160"/>
    <s v="02.100438"/>
    <s v="I Gusti Putu Arsana"/>
    <x v="3"/>
    <n v="1341666673"/>
    <n v="158074583.38999999"/>
    <n v="95937365.079999998"/>
    <n v="1595678621.4699998"/>
    <n v="0"/>
    <n v="0"/>
    <n v="0"/>
    <m/>
    <m/>
    <n v="0"/>
    <n v="0"/>
    <n v="0"/>
    <n v="0"/>
    <n v="0"/>
    <n v="0"/>
    <n v="0"/>
    <n v="1341666673"/>
    <n v="158074583.38999999"/>
    <n v="95937365.079999998"/>
    <n v="1595678621.4699998"/>
    <n v="3127000000"/>
    <n v="1341661550"/>
    <x v="0"/>
    <x v="0"/>
    <x v="0"/>
  </r>
  <r>
    <n v="161"/>
    <s v="02.100451"/>
    <s v="I Nyoman Suardhika"/>
    <x v="3"/>
    <n v="1475256929.05"/>
    <n v="266783704.19999999"/>
    <n v="61771211.5"/>
    <n v="1803811844.75"/>
    <n v="0"/>
    <n v="0"/>
    <n v="0"/>
    <m/>
    <m/>
    <n v="0"/>
    <n v="1161823000"/>
    <n v="0"/>
    <n v="0"/>
    <n v="1161823000"/>
    <n v="0"/>
    <n v="0"/>
    <n v="313433929.04999995"/>
    <n v="266783704.19999999"/>
    <n v="61771211.5"/>
    <n v="641988844.75"/>
    <n v="1106000000"/>
    <n v="1106000000"/>
    <x v="0"/>
    <x v="0"/>
    <x v="0"/>
  </r>
  <r>
    <n v="162"/>
    <s v="02.100461"/>
    <s v="I Gusti Putu Arsana"/>
    <x v="3"/>
    <n v="341666668"/>
    <n v="38147082.340000004"/>
    <n v="10973964.460000001"/>
    <n v="390787714.80000001"/>
    <n v="0"/>
    <n v="0"/>
    <n v="0"/>
    <m/>
    <m/>
    <n v="0"/>
    <n v="0"/>
    <n v="0"/>
    <n v="0"/>
    <n v="0"/>
    <n v="0"/>
    <n v="0"/>
    <n v="341666668"/>
    <n v="38147082.340000004"/>
    <n v="10973964.460000001"/>
    <n v="390787714.80000001"/>
    <n v="0"/>
    <n v="341666668"/>
    <x v="0"/>
    <x v="1"/>
    <x v="0"/>
  </r>
  <r>
    <n v="163"/>
    <s v="02.200341"/>
    <s v="Ni Wayan Londri"/>
    <x v="3"/>
    <n v="466661893.06999999"/>
    <n v="43205944.270000003"/>
    <n v="34076694.729999997"/>
    <n v="543944532.06999993"/>
    <n v="0"/>
    <n v="0"/>
    <n v="0"/>
    <m/>
    <m/>
    <n v="0"/>
    <n v="0"/>
    <n v="0"/>
    <n v="0"/>
    <n v="0"/>
    <n v="0"/>
    <n v="0"/>
    <n v="466661893.06999999"/>
    <n v="43205944.270000003"/>
    <n v="34076694.729999997"/>
    <n v="543944532.06999993"/>
    <n v="1745000000"/>
    <n v="465646486"/>
    <x v="0"/>
    <x v="0"/>
    <x v="0"/>
  </r>
  <r>
    <n v="164"/>
    <s v="02.300373"/>
    <s v="Muhammad Ridwan"/>
    <x v="3"/>
    <n v="190869093"/>
    <n v="26370265"/>
    <n v="58957148.950000003"/>
    <n v="276196506.94999999"/>
    <n v="51977678"/>
    <n v="193502490.69999999"/>
    <n v="0"/>
    <m/>
    <m/>
    <n v="0"/>
    <n v="190869093"/>
    <n v="130907"/>
    <n v="0"/>
    <n v="191000000"/>
    <n v="51977678"/>
    <n v="252459639.65000001"/>
    <n v="0"/>
    <n v="26239358"/>
    <n v="0"/>
    <n v="26239358"/>
    <n v="305000000"/>
    <n v="190869093"/>
    <x v="0"/>
    <x v="0"/>
    <x v="1"/>
  </r>
  <r>
    <n v="165"/>
    <s v="02.300612"/>
    <s v="Ni Nengah Sadriyati"/>
    <x v="3"/>
    <n v="1256860200"/>
    <n v="143494025"/>
    <n v="40746739"/>
    <n v="1441100964"/>
    <n v="46250124"/>
    <n v="618032609"/>
    <n v="0"/>
    <m/>
    <m/>
    <n v="0"/>
    <n v="1256860200"/>
    <n v="57139800"/>
    <n v="0"/>
    <n v="1314000000"/>
    <n v="132604349"/>
    <n v="658779348"/>
    <n v="0"/>
    <n v="0"/>
    <n v="0"/>
    <n v="0"/>
    <n v="1297000000"/>
    <n v="1256852151"/>
    <x v="0"/>
    <x v="0"/>
    <x v="1"/>
  </r>
  <r>
    <n v="166"/>
    <s v="02.300624"/>
    <s v="Joko Nuryantoko"/>
    <x v="3"/>
    <n v="1106651144.24"/>
    <n v="163371801.72999999"/>
    <n v="34444664.780000001"/>
    <n v="1304467610.75"/>
    <n v="0"/>
    <n v="0"/>
    <n v="0"/>
    <m/>
    <m/>
    <n v="0"/>
    <n v="0"/>
    <n v="0"/>
    <n v="0"/>
    <n v="0"/>
    <n v="0"/>
    <n v="0"/>
    <n v="1106651144.24"/>
    <n v="163371801.72999999"/>
    <n v="34444664.780000001"/>
    <n v="1304467610.75"/>
    <n v="649000000"/>
    <n v="649000000"/>
    <x v="0"/>
    <x v="0"/>
    <x v="0"/>
  </r>
  <r>
    <n v="167"/>
    <s v="02.300639"/>
    <s v="I Wayan Sudana Eka Putra"/>
    <x v="3"/>
    <n v="1979443924.9100001"/>
    <n v="608980223.88"/>
    <n v="248259656.62"/>
    <n v="2836683805.4099998"/>
    <n v="0"/>
    <n v="0"/>
    <n v="0"/>
    <m/>
    <m/>
    <n v="0"/>
    <n v="0"/>
    <n v="0"/>
    <n v="0"/>
    <n v="0"/>
    <n v="0"/>
    <n v="0"/>
    <n v="1979443924.9100001"/>
    <n v="608980223.88"/>
    <n v="248259656.62"/>
    <n v="2836683805.4099998"/>
    <n v="0"/>
    <n v="1595300000"/>
    <x v="2"/>
    <x v="1"/>
    <x v="0"/>
  </r>
  <r>
    <n v="168"/>
    <s v="02.300640"/>
    <s v="I Nyoman Sukanata"/>
    <x v="3"/>
    <n v="2483022380"/>
    <n v="293814301"/>
    <n v="116406577"/>
    <n v="2893243258"/>
    <n v="1286547861"/>
    <n v="1097951462.77"/>
    <n v="0"/>
    <m/>
    <m/>
    <n v="0"/>
    <n v="2483022380"/>
    <n v="1580362162"/>
    <n v="84815675"/>
    <n v="4148200217"/>
    <n v="0"/>
    <n v="1129542364.77"/>
    <n v="0"/>
    <n v="0"/>
    <n v="0"/>
    <n v="0"/>
    <n v="4988000000"/>
    <n v="2477206107"/>
    <x v="0"/>
    <x v="0"/>
    <x v="1"/>
  </r>
  <r>
    <n v="169"/>
    <s v="02.300643"/>
    <s v="Puthut Gunawan"/>
    <x v="3"/>
    <n v="1962426625.0699999"/>
    <n v="339802804.82999998"/>
    <n v="55030011.909999996"/>
    <n v="2357259441.8099999"/>
    <n v="0"/>
    <n v="0"/>
    <n v="0"/>
    <m/>
    <m/>
    <n v="0"/>
    <n v="1256750000"/>
    <n v="0"/>
    <n v="0"/>
    <n v="1256750000"/>
    <n v="0"/>
    <n v="0"/>
    <n v="705676625.06999993"/>
    <n v="339802804.82999998"/>
    <n v="55030011.909999996"/>
    <n v="1100509441.8099999"/>
    <n v="1316000000"/>
    <n v="1316000000"/>
    <x v="0"/>
    <x v="0"/>
    <x v="0"/>
  </r>
  <r>
    <n v="170"/>
    <s v="02.300644"/>
    <s v="Made Gde Wahyu Sudharmawan"/>
    <x v="3"/>
    <n v="1373686426.27"/>
    <n v="234453370.34"/>
    <n v="84439739.409999996"/>
    <n v="1692579536.02"/>
    <n v="0"/>
    <n v="0"/>
    <n v="0"/>
    <m/>
    <m/>
    <n v="0"/>
    <n v="0"/>
    <n v="0"/>
    <n v="0"/>
    <n v="0"/>
    <n v="0"/>
    <n v="0"/>
    <n v="1373686426.27"/>
    <n v="234453370.34"/>
    <n v="84439739.409999996"/>
    <n v="1692579536.02"/>
    <n v="1027000000"/>
    <n v="1027000000"/>
    <x v="0"/>
    <x v="0"/>
    <x v="0"/>
  </r>
  <r>
    <n v="171"/>
    <s v="02.300650"/>
    <s v="I Nyoman Sutarsa"/>
    <x v="3"/>
    <n v="1560070176.8900001"/>
    <n v="184981676.66"/>
    <n v="74685624.530000001"/>
    <n v="1819737478.0800002"/>
    <n v="0"/>
    <n v="0"/>
    <n v="0"/>
    <m/>
    <m/>
    <n v="0"/>
    <n v="0"/>
    <n v="0"/>
    <n v="0"/>
    <n v="0"/>
    <n v="0"/>
    <n v="0"/>
    <n v="1560070176.8900001"/>
    <n v="184981676.66"/>
    <n v="74685624.530000001"/>
    <n v="1819737478.0800002"/>
    <n v="1121000000"/>
    <n v="1121000000"/>
    <x v="0"/>
    <x v="0"/>
    <x v="0"/>
  </r>
  <r>
    <n v="172"/>
    <s v="02.300651"/>
    <s v="I Nengah Pasek Suryawan"/>
    <x v="3"/>
    <n v="1094338268.55"/>
    <n v="174522770.34999999"/>
    <n v="50004829.269999996"/>
    <n v="1318865868.1699998"/>
    <n v="0"/>
    <n v="0"/>
    <n v="0"/>
    <m/>
    <m/>
    <n v="0"/>
    <n v="0"/>
    <n v="0"/>
    <n v="0"/>
    <n v="0"/>
    <n v="0"/>
    <n v="0"/>
    <n v="1094338268.55"/>
    <n v="174522770.34999999"/>
    <n v="50004829.269999996"/>
    <n v="1318865868.1699998"/>
    <n v="644000000"/>
    <n v="644000000"/>
    <x v="0"/>
    <x v="0"/>
    <x v="0"/>
  </r>
  <r>
    <n v="173"/>
    <s v="02.300656"/>
    <s v="Andy Martinus"/>
    <x v="3"/>
    <n v="781764426.37"/>
    <n v="104903082.41"/>
    <n v="37946981.310000002"/>
    <n v="924614490.08999991"/>
    <n v="0"/>
    <n v="0"/>
    <n v="0"/>
    <m/>
    <m/>
    <n v="0"/>
    <n v="0"/>
    <n v="0"/>
    <n v="0"/>
    <n v="0"/>
    <n v="0"/>
    <n v="0"/>
    <n v="781764426.37"/>
    <n v="104903082.41"/>
    <n v="37946981.310000002"/>
    <n v="924614490.08999991"/>
    <n v="0"/>
    <n v="778512509"/>
    <x v="0"/>
    <x v="1"/>
    <x v="0"/>
  </r>
  <r>
    <n v="174"/>
    <s v="02.300660"/>
    <s v="Putu Sualaksana Abdiyasa"/>
    <x v="3"/>
    <n v="1479666004.01"/>
    <n v="311058104.29000002"/>
    <n v="84973434.700000003"/>
    <n v="1875697543"/>
    <n v="0"/>
    <n v="0"/>
    <n v="0"/>
    <m/>
    <m/>
    <n v="0"/>
    <n v="1479666004.01"/>
    <n v="7238995.9900000002"/>
    <n v="0"/>
    <n v="1486905000"/>
    <n v="0"/>
    <n v="0"/>
    <n v="0"/>
    <n v="303819108.30000001"/>
    <n v="84973434.700000003"/>
    <n v="388792543"/>
    <n v="1557000000"/>
    <n v="1479666004"/>
    <x v="0"/>
    <x v="0"/>
    <x v="0"/>
  </r>
  <r>
    <n v="175"/>
    <s v="02.300675"/>
    <s v="Gaguk Agus Prianto"/>
    <x v="3"/>
    <n v="613411664.42999995"/>
    <n v="118679414.89"/>
    <n v="34826119.520000003"/>
    <n v="766917198.83999991"/>
    <n v="0"/>
    <n v="0"/>
    <n v="0"/>
    <m/>
    <m/>
    <n v="0"/>
    <n v="526679600"/>
    <n v="0"/>
    <n v="0"/>
    <n v="526679600"/>
    <n v="0"/>
    <n v="0"/>
    <n v="86732064.429999948"/>
    <n v="118679414.89"/>
    <n v="34826119.520000003"/>
    <n v="240237598.83999994"/>
    <n v="518000000"/>
    <n v="518000000"/>
    <x v="2"/>
    <x v="0"/>
    <x v="0"/>
  </r>
  <r>
    <n v="176"/>
    <s v="02.300691"/>
    <s v="I Gusti Ngurah Agung Krisna"/>
    <x v="3"/>
    <n v="2495680814.04"/>
    <n v="413028666.72000003"/>
    <n v="79687167.650000006"/>
    <n v="2988396648.4100003"/>
    <n v="0"/>
    <n v="0"/>
    <n v="0"/>
    <m/>
    <m/>
    <n v="0"/>
    <n v="0"/>
    <n v="0"/>
    <n v="0"/>
    <n v="0"/>
    <n v="0"/>
    <n v="0"/>
    <n v="2495680814.04"/>
    <n v="413028666.72000003"/>
    <n v="79687167.650000006"/>
    <n v="2988396648.4100003"/>
    <n v="0"/>
    <n v="1183950000"/>
    <x v="0"/>
    <x v="1"/>
    <x v="0"/>
  </r>
  <r>
    <n v="177"/>
    <s v="02.300717"/>
    <s v="I Nengah Pasek Suryawan"/>
    <x v="3"/>
    <n v="150000000"/>
    <n v="47949176.319999993"/>
    <n v="4005130.99"/>
    <n v="201954307.31"/>
    <n v="0"/>
    <n v="0"/>
    <n v="0"/>
    <m/>
    <m/>
    <n v="0"/>
    <n v="0"/>
    <n v="0"/>
    <n v="0"/>
    <n v="0"/>
    <n v="0"/>
    <n v="0"/>
    <n v="150000000"/>
    <n v="47949176.319999993"/>
    <n v="4005130.99"/>
    <n v="201954307.31"/>
    <n v="0"/>
    <n v="1"/>
    <x v="0"/>
    <x v="1"/>
    <x v="0"/>
  </r>
  <r>
    <n v="178"/>
    <s v="02.300719"/>
    <s v="Puthut Gunawan"/>
    <x v="3"/>
    <n v="365000000"/>
    <n v="62994411.710000001"/>
    <n v="10299675.220000001"/>
    <n v="438294086.93000001"/>
    <n v="0"/>
    <n v="0"/>
    <n v="0"/>
    <m/>
    <m/>
    <n v="0"/>
    <n v="0"/>
    <n v="0"/>
    <n v="0"/>
    <n v="0"/>
    <n v="0"/>
    <n v="0"/>
    <n v="365000000"/>
    <n v="62994411.710000001"/>
    <n v="10299675.220000001"/>
    <n v="438294086.93000001"/>
    <n v="0"/>
    <n v="1"/>
    <x v="0"/>
    <x v="1"/>
    <x v="0"/>
  </r>
  <r>
    <n v="179"/>
    <s v="02.300724"/>
    <s v="I Nyoman Sutarsa"/>
    <x v="3"/>
    <n v="374161034"/>
    <n v="44769058.469999999"/>
    <n v="7328601.9500000002"/>
    <n v="426258694.42000002"/>
    <n v="0"/>
    <n v="0"/>
    <n v="0"/>
    <m/>
    <m/>
    <n v="0"/>
    <n v="0"/>
    <n v="0"/>
    <n v="0"/>
    <n v="0"/>
    <n v="0"/>
    <n v="0"/>
    <n v="374161034"/>
    <n v="44769058.469999999"/>
    <n v="7328601.9500000002"/>
    <n v="426258694.42000002"/>
    <n v="0"/>
    <n v="1"/>
    <x v="0"/>
    <x v="1"/>
    <x v="0"/>
  </r>
  <r>
    <n v="180"/>
    <s v="02.300727"/>
    <s v="Made Gde Wahyu Sudharmawan"/>
    <x v="3"/>
    <n v="350000000"/>
    <n v="58965172.789999999"/>
    <n v="9106404.9900000002"/>
    <n v="418071577.78000003"/>
    <n v="0"/>
    <n v="0"/>
    <n v="0"/>
    <m/>
    <m/>
    <n v="0"/>
    <n v="0"/>
    <n v="0"/>
    <n v="0"/>
    <n v="0"/>
    <n v="0"/>
    <n v="0"/>
    <n v="350000000"/>
    <n v="58965172.789999999"/>
    <n v="9106404.9900000002"/>
    <n v="418071577.78000003"/>
    <n v="0"/>
    <n v="1"/>
    <x v="0"/>
    <x v="1"/>
    <x v="0"/>
  </r>
  <r>
    <n v="181"/>
    <s v="02.300729"/>
    <s v="Joko Nuryantoko"/>
    <x v="3"/>
    <n v="375000000"/>
    <n v="50750000"/>
    <n v="9631875.7400000002"/>
    <n v="435381875.74000001"/>
    <n v="0"/>
    <n v="0"/>
    <n v="0"/>
    <m/>
    <m/>
    <n v="0"/>
    <n v="0"/>
    <n v="0"/>
    <n v="0"/>
    <n v="0"/>
    <n v="0"/>
    <n v="0"/>
    <n v="375000000"/>
    <n v="50750000"/>
    <n v="9631875.7400000002"/>
    <n v="435381875.74000001"/>
    <n v="0"/>
    <n v="1"/>
    <x v="0"/>
    <x v="1"/>
    <x v="0"/>
  </r>
  <r>
    <n v="182"/>
    <s v="02.300736"/>
    <s v="Ni Nengah Sadriyati"/>
    <x v="3"/>
    <n v="297921367"/>
    <n v="33887472.760000005"/>
    <n v="6693692.9100000001"/>
    <n v="338502532.67000002"/>
    <n v="158711809.24000001"/>
    <n v="160312970.22"/>
    <n v="0"/>
    <m/>
    <m/>
    <n v="0"/>
    <n v="297921367"/>
    <n v="12078633"/>
    <n v="12078633"/>
    <n v="322078633"/>
    <n v="180520649"/>
    <n v="154928030.13"/>
    <n v="0"/>
    <n v="0"/>
    <n v="0"/>
    <n v="0"/>
    <n v="0"/>
    <n v="1"/>
    <x v="0"/>
    <x v="1"/>
    <x v="1"/>
  </r>
  <r>
    <n v="183"/>
    <s v="02.300743"/>
    <s v="Andy Martinus"/>
    <x v="3"/>
    <n v="185000000"/>
    <n v="24145417.52"/>
    <n v="3248092.75"/>
    <n v="212393510.27000001"/>
    <n v="0"/>
    <n v="0"/>
    <n v="0"/>
    <m/>
    <m/>
    <n v="0"/>
    <n v="0"/>
    <n v="0"/>
    <n v="0"/>
    <n v="0"/>
    <n v="0"/>
    <n v="0"/>
    <n v="185000000"/>
    <n v="24145417.52"/>
    <n v="3248092.75"/>
    <n v="212393510.27000001"/>
    <n v="0"/>
    <n v="185000000"/>
    <x v="0"/>
    <x v="1"/>
    <x v="0"/>
  </r>
  <r>
    <n v="184"/>
    <s v="02.400094"/>
    <s v="Putu Seniasih"/>
    <x v="3"/>
    <n v="881431510.53999996"/>
    <n v="134621761.49000001"/>
    <n v="42752098.520000003"/>
    <n v="1058805370.55"/>
    <n v="0"/>
    <n v="0"/>
    <n v="0"/>
    <m/>
    <m/>
    <n v="0"/>
    <n v="645702491"/>
    <n v="0"/>
    <n v="0"/>
    <n v="645702491"/>
    <n v="0"/>
    <n v="0"/>
    <n v="235729019.53999996"/>
    <n v="134621761.49000001"/>
    <n v="42752098.520000003"/>
    <n v="413102879.54999995"/>
    <n v="632000000"/>
    <n v="632000000"/>
    <x v="0"/>
    <x v="0"/>
    <x v="0"/>
  </r>
  <r>
    <n v="185"/>
    <s v="02.400096"/>
    <s v="I Wayan Darmaya"/>
    <x v="3"/>
    <n v="1281156165.76"/>
    <n v="207130215.13999999"/>
    <n v="58646987.259999998"/>
    <n v="1546933368.1600001"/>
    <n v="0"/>
    <n v="0"/>
    <n v="0"/>
    <m/>
    <m/>
    <n v="0"/>
    <n v="0"/>
    <n v="0"/>
    <n v="0"/>
    <n v="0"/>
    <n v="0"/>
    <n v="0"/>
    <n v="1281156165.76"/>
    <n v="207130215.13999999"/>
    <n v="58646987.259999998"/>
    <n v="1546933368.1600001"/>
    <n v="1024000000"/>
    <n v="1024000000"/>
    <x v="0"/>
    <x v="0"/>
    <x v="0"/>
  </r>
  <r>
    <n v="186"/>
    <s v="02.400100"/>
    <s v="Putu Seniasih"/>
    <x v="3"/>
    <n v="140000000"/>
    <n v="22682355.449999999"/>
    <n v="3897044.12"/>
    <n v="166579399.56999999"/>
    <n v="0"/>
    <n v="0"/>
    <n v="0"/>
    <m/>
    <m/>
    <n v="0"/>
    <n v="0"/>
    <n v="0"/>
    <n v="0"/>
    <n v="0"/>
    <n v="0"/>
    <n v="0"/>
    <n v="140000000"/>
    <n v="22682355.449999999"/>
    <n v="3897044.12"/>
    <n v="166579399.56999999"/>
    <n v="0"/>
    <n v="1"/>
    <x v="0"/>
    <x v="1"/>
    <x v="0"/>
  </r>
  <r>
    <n v="187"/>
    <s v="02.100283"/>
    <s v="I Gusti Lanang Ngurah Pande SH"/>
    <x v="3"/>
    <n v="223188685.88999999"/>
    <n v="98130911.879999995"/>
    <n v="599364898.77999997"/>
    <n v="920684496.54999995"/>
    <n v="0"/>
    <n v="0"/>
    <n v="803695"/>
    <m/>
    <m/>
    <n v="803695"/>
    <n v="0"/>
    <n v="0"/>
    <n v="0"/>
    <n v="0"/>
    <n v="0"/>
    <n v="0"/>
    <n v="222384990.88999999"/>
    <n v="98130911.879999995"/>
    <n v="599364898.77999997"/>
    <n v="919880801.54999995"/>
    <n v="243000000"/>
    <n v="222384991"/>
    <x v="0"/>
    <x v="0"/>
    <x v="0"/>
  </r>
  <r>
    <n v="188"/>
    <s v="02.100355"/>
    <s v="Ni Luh Gede Suryani"/>
    <x v="3"/>
    <n v="77898878.489999995"/>
    <n v="31305422.100000001"/>
    <n v="73249692.030000001"/>
    <n v="182453992.62"/>
    <n v="0"/>
    <n v="0"/>
    <n v="0"/>
    <m/>
    <m/>
    <n v="0"/>
    <n v="49126544"/>
    <n v="0"/>
    <n v="0"/>
    <n v="49126544"/>
    <n v="0"/>
    <n v="0"/>
    <n v="28772334.489999995"/>
    <n v="31305422.100000001"/>
    <n v="73249692.030000001"/>
    <n v="133327448.62"/>
    <n v="36000000"/>
    <n v="36000000"/>
    <x v="0"/>
    <x v="0"/>
    <x v="0"/>
  </r>
  <r>
    <n v="189"/>
    <s v="02.100431"/>
    <s v="Joko Pratomo"/>
    <x v="3"/>
    <n v="673845250.67999995"/>
    <n v="246430165.22999999"/>
    <n v="174256550.34"/>
    <n v="1094531966.25"/>
    <n v="0"/>
    <n v="0"/>
    <n v="0"/>
    <m/>
    <m/>
    <n v="0"/>
    <n v="0"/>
    <n v="0"/>
    <n v="0"/>
    <n v="0"/>
    <n v="0"/>
    <n v="0"/>
    <n v="673845250.67999995"/>
    <n v="246430165.22999999"/>
    <n v="174256550.34"/>
    <n v="1094531966.25"/>
    <n v="719000000"/>
    <n v="673845251"/>
    <x v="0"/>
    <x v="0"/>
    <x v="0"/>
  </r>
  <r>
    <n v="190"/>
    <s v="02.100444"/>
    <s v="I Gusti Agung Jaya Wiratma"/>
    <x v="3"/>
    <n v="941666669"/>
    <n v="266799997.31"/>
    <n v="155749326.66999999"/>
    <n v="1364215992.98"/>
    <n v="0"/>
    <n v="0"/>
    <n v="0"/>
    <m/>
    <m/>
    <n v="0"/>
    <n v="0"/>
    <n v="0"/>
    <n v="0"/>
    <n v="0"/>
    <n v="0"/>
    <n v="0"/>
    <n v="941666669"/>
    <n v="266799997.31"/>
    <n v="155749326.66999999"/>
    <n v="1364215992.98"/>
    <n v="648000000"/>
    <n v="648000000"/>
    <x v="0"/>
    <x v="0"/>
    <x v="0"/>
  </r>
  <r>
    <n v="191"/>
    <s v="02.200340"/>
    <s v="Leni Fitriya Agustiningsih"/>
    <x v="3"/>
    <n v="1140000000"/>
    <n v="137882500"/>
    <n v="190455481.69999999"/>
    <n v="1468337981.7"/>
    <n v="0"/>
    <n v="0"/>
    <n v="0"/>
    <m/>
    <m/>
    <n v="0"/>
    <n v="0"/>
    <n v="0"/>
    <n v="0"/>
    <n v="0"/>
    <n v="0"/>
    <n v="0"/>
    <n v="1140000000"/>
    <n v="137882500"/>
    <n v="190455481.69999999"/>
    <n v="1468337981.7"/>
    <n v="2344000000"/>
    <n v="1140000000"/>
    <x v="0"/>
    <x v="0"/>
    <x v="0"/>
  </r>
  <r>
    <n v="192"/>
    <s v="02.300396"/>
    <s v="Made Sudana"/>
    <x v="3"/>
    <n v="290021334"/>
    <n v="256295821"/>
    <n v="423011664.56999999"/>
    <n v="969328819.56999993"/>
    <n v="114840000"/>
    <n v="465117316.80000001"/>
    <n v="15026616"/>
    <m/>
    <m/>
    <n v="15026616"/>
    <n v="274994718"/>
    <n v="200005282"/>
    <n v="0"/>
    <n v="475000000"/>
    <n v="171130539"/>
    <n v="888128981.37"/>
    <n v="0"/>
    <n v="0"/>
    <n v="0"/>
    <n v="0"/>
    <n v="543000000"/>
    <n v="274994718"/>
    <x v="2"/>
    <x v="0"/>
    <x v="1"/>
  </r>
  <r>
    <n v="193"/>
    <s v="02.300621"/>
    <s v="I Ketut Sudana"/>
    <x v="3"/>
    <n v="977562978.34000003"/>
    <n v="226672053.06"/>
    <n v="93835770.310000002"/>
    <n v="1298070801.71"/>
    <n v="0"/>
    <n v="0"/>
    <n v="0"/>
    <m/>
    <m/>
    <n v="0"/>
    <n v="0"/>
    <n v="0"/>
    <n v="0"/>
    <n v="0"/>
    <n v="0"/>
    <n v="0"/>
    <n v="977562978.34000003"/>
    <n v="226672053.06"/>
    <n v="93835770.310000002"/>
    <n v="1298070801.71"/>
    <n v="1128000000"/>
    <n v="977562978"/>
    <x v="0"/>
    <x v="0"/>
    <x v="0"/>
  </r>
  <r>
    <n v="194"/>
    <s v="02.400060"/>
    <s v="I Ketut Sudarsana"/>
    <x v="3"/>
    <n v="186730216.50999999"/>
    <n v="73985662.760000005"/>
    <n v="228922958.63999999"/>
    <n v="489638837.90999997"/>
    <n v="0"/>
    <n v="0"/>
    <n v="4194163"/>
    <m/>
    <m/>
    <n v="4194163"/>
    <n v="72000000"/>
    <n v="0"/>
    <n v="0"/>
    <n v="72000000"/>
    <n v="0"/>
    <n v="0"/>
    <n v="110536053.50999999"/>
    <n v="73985662.760000005"/>
    <n v="228922958.63999999"/>
    <n v="413444674.90999997"/>
    <n v="644000000"/>
    <n v="182536054"/>
    <x v="0"/>
    <x v="0"/>
    <x v="0"/>
  </r>
  <r>
    <n v="195"/>
    <s v="02.400068"/>
    <s v="I Komang Putra"/>
    <x v="3"/>
    <n v="174382739.47999999"/>
    <n v="38088186.259999998"/>
    <n v="57018974.399999999"/>
    <n v="269489900.13999999"/>
    <n v="0"/>
    <n v="0"/>
    <n v="1179"/>
    <m/>
    <m/>
    <n v="1179"/>
    <n v="0"/>
    <n v="0"/>
    <n v="0"/>
    <n v="0"/>
    <n v="0"/>
    <n v="0"/>
    <n v="174381560.47999999"/>
    <n v="38088186.259999998"/>
    <n v="57018974.399999999"/>
    <n v="269488721.13999999"/>
    <n v="242000000"/>
    <n v="174381560"/>
    <x v="0"/>
    <x v="0"/>
    <x v="0"/>
  </r>
  <r>
    <n v="196"/>
    <s v="02.400072"/>
    <s v="I Made Putra Adnyana"/>
    <x v="3"/>
    <n v="39474393.590000004"/>
    <n v="17577107.789999999"/>
    <n v="32706493.370000001"/>
    <n v="89757994.75"/>
    <n v="0"/>
    <n v="0"/>
    <n v="0"/>
    <m/>
    <m/>
    <n v="0"/>
    <n v="0"/>
    <n v="0"/>
    <n v="0"/>
    <n v="0"/>
    <n v="0"/>
    <n v="0"/>
    <n v="39474393.590000004"/>
    <n v="17577107.789999999"/>
    <n v="32706493.370000001"/>
    <n v="89757994.75"/>
    <n v="45000000"/>
    <n v="39474394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7059D-0B82-4F80-8EF1-4DFE1615F1C4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1:F91" firstHeaderRow="0" firstDataRow="1" firstDataCol="1"/>
  <pivotFields count="29"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6" showAll="0"/>
    <pivotField numFmtId="41" showAll="0"/>
    <pivotField numFmtId="166" showAll="0"/>
    <pivotField numFmtId="166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4">
    <field x="28"/>
    <field x="3"/>
    <field x="26"/>
    <field x="27"/>
  </rowFields>
  <rowItems count="60">
    <i>
      <x/>
    </i>
    <i r="1">
      <x/>
    </i>
    <i r="2">
      <x/>
    </i>
    <i r="3">
      <x v="2"/>
    </i>
    <i r="2">
      <x v="3"/>
    </i>
    <i r="3">
      <x/>
    </i>
    <i r="1">
      <x v="1"/>
    </i>
    <i r="2">
      <x/>
    </i>
    <i r="3">
      <x v="2"/>
    </i>
    <i r="2">
      <x v="2"/>
    </i>
    <i r="3">
      <x/>
    </i>
    <i r="2">
      <x v="3"/>
    </i>
    <i r="3">
      <x/>
    </i>
    <i r="3">
      <x v="2"/>
    </i>
    <i r="1">
      <x v="2"/>
    </i>
    <i r="2">
      <x v="3"/>
    </i>
    <i r="3">
      <x/>
    </i>
    <i r="3">
      <x v="2"/>
    </i>
    <i r="1">
      <x v="3"/>
    </i>
    <i r="2">
      <x v="1"/>
    </i>
    <i r="3">
      <x v="2"/>
    </i>
    <i r="2">
      <x v="2"/>
    </i>
    <i r="3">
      <x/>
    </i>
    <i r="3">
      <x v="2"/>
    </i>
    <i r="2">
      <x v="3"/>
    </i>
    <i r="3">
      <x/>
    </i>
    <i r="3">
      <x v="1"/>
    </i>
    <i r="3">
      <x v="2"/>
    </i>
    <i>
      <x v="1"/>
    </i>
    <i r="1">
      <x/>
    </i>
    <i r="2">
      <x/>
    </i>
    <i r="3">
      <x v="2"/>
    </i>
    <i r="2">
      <x v="2"/>
    </i>
    <i r="3">
      <x/>
    </i>
    <i r="2">
      <x v="3"/>
    </i>
    <i r="3">
      <x/>
    </i>
    <i r="3">
      <x v="1"/>
    </i>
    <i r="3">
      <x v="2"/>
    </i>
    <i r="1">
      <x v="1"/>
    </i>
    <i r="2">
      <x/>
    </i>
    <i r="3">
      <x v="2"/>
    </i>
    <i r="2">
      <x v="2"/>
    </i>
    <i r="3">
      <x/>
    </i>
    <i r="2">
      <x v="3"/>
    </i>
    <i r="3">
      <x/>
    </i>
    <i r="3">
      <x v="2"/>
    </i>
    <i r="1">
      <x v="2"/>
    </i>
    <i r="2">
      <x v="2"/>
    </i>
    <i r="3">
      <x/>
    </i>
    <i r="3">
      <x v="2"/>
    </i>
    <i r="2">
      <x v="3"/>
    </i>
    <i r="3">
      <x/>
    </i>
    <i r="3">
      <x v="2"/>
    </i>
    <i r="1">
      <x v="3"/>
    </i>
    <i r="2">
      <x v="2"/>
    </i>
    <i r="3">
      <x/>
    </i>
    <i r="2">
      <x v="3"/>
    </i>
    <i r="3">
      <x/>
    </i>
    <i r="3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Nama Debitur" fld="2" subtotal="count" baseField="0" baseItem="0"/>
    <dataField name="Sum of Baki Debet _x000a_(NP Audited)" fld="4" baseField="0" baseItem="0"/>
    <dataField name="Sum of Setoff Pokok" fld="10" baseField="0" baseItem="0"/>
    <dataField name="Sum of Pencairan Pokok_x000a_ s.d Mei 2021" fld="14" baseField="0" baseItem="0"/>
    <dataField name="Sum of Sisa Kewajiban Pokok Mei 2021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F29B3-29A1-4946-9EA5-BBA16F058E9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4" firstHeaderRow="0" firstDataRow="1" firstDataCol="1"/>
  <pivotFields count="29"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6" showAll="0"/>
    <pivotField numFmtId="41" showAll="0"/>
    <pivotField numFmtId="166" showAll="0"/>
    <pivotField numFmtId="166"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28"/>
    <field x="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Nama Debitur" fld="2" subtotal="count" baseField="0" baseItem="0"/>
    <dataField name="Sum of Baki Debet _x000a_(NP Audited)" fld="4" baseField="0" baseItem="0"/>
    <dataField name="Sum of Setoff Pokok" fld="10" baseField="0" baseItem="0"/>
    <dataField name="Sum of Pencairan Pokok_x000a_ s.d Mei 2021" fld="14" baseField="0" baseItem="0"/>
    <dataField name="Sum of Sisa Kewajiban Pokok Mei 2021" fld="20" baseField="0" baseItem="0"/>
    <dataField name="Sum of LANAP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zoomScale="115" zoomScaleNormal="115" workbookViewId="0">
      <selection activeCell="B3" sqref="B3:I19"/>
    </sheetView>
  </sheetViews>
  <sheetFormatPr defaultColWidth="8.77734375" defaultRowHeight="12" x14ac:dyDescent="0.25"/>
  <cols>
    <col min="1" max="1" width="3.88671875" style="1" customWidth="1"/>
    <col min="2" max="2" width="35" style="1" bestFit="1" customWidth="1"/>
    <col min="3" max="3" width="13.6640625" style="1" bestFit="1" customWidth="1"/>
    <col min="4" max="4" width="11" style="1" bestFit="1" customWidth="1"/>
    <col min="5" max="5" width="13.109375" style="1" bestFit="1" customWidth="1"/>
    <col min="6" max="6" width="19.33203125" style="1" bestFit="1" customWidth="1"/>
    <col min="7" max="7" width="14.33203125" style="1" bestFit="1" customWidth="1"/>
    <col min="8" max="8" width="11.109375" style="1" bestFit="1" customWidth="1"/>
    <col min="9" max="9" width="10.33203125" style="1" bestFit="1" customWidth="1"/>
    <col min="10" max="16384" width="8.77734375" style="1"/>
  </cols>
  <sheetData>
    <row r="1" spans="1:9" x14ac:dyDescent="0.25">
      <c r="A1" s="60" t="s">
        <v>37</v>
      </c>
    </row>
    <row r="2" spans="1:9" ht="12.6" thickBot="1" x14ac:dyDescent="0.3"/>
    <row r="3" spans="1:9" ht="24" x14ac:dyDescent="0.25">
      <c r="B3" s="291" t="s">
        <v>0</v>
      </c>
      <c r="C3" s="292" t="s">
        <v>16</v>
      </c>
      <c r="D3" s="292" t="s">
        <v>1</v>
      </c>
      <c r="E3" s="293" t="s">
        <v>418</v>
      </c>
      <c r="F3" s="293" t="s">
        <v>1335</v>
      </c>
      <c r="G3" s="293" t="s">
        <v>2</v>
      </c>
      <c r="H3" s="294" t="s">
        <v>3</v>
      </c>
      <c r="I3" s="295" t="s">
        <v>1336</v>
      </c>
    </row>
    <row r="4" spans="1:9" ht="13.2" x14ac:dyDescent="0.25">
      <c r="B4" s="296" t="s">
        <v>9</v>
      </c>
      <c r="C4" s="297" t="s">
        <v>10</v>
      </c>
      <c r="D4" s="297" t="s">
        <v>11</v>
      </c>
      <c r="E4" s="297" t="s">
        <v>12</v>
      </c>
      <c r="F4" s="297" t="s">
        <v>17</v>
      </c>
      <c r="G4" s="297" t="s">
        <v>18</v>
      </c>
      <c r="H4" s="298" t="s">
        <v>19</v>
      </c>
      <c r="I4" s="299" t="s">
        <v>20</v>
      </c>
    </row>
    <row r="5" spans="1:9" ht="13.2" x14ac:dyDescent="0.25">
      <c r="B5" s="15" t="s">
        <v>4</v>
      </c>
      <c r="C5" s="11">
        <v>41285600</v>
      </c>
      <c r="D5" s="12"/>
      <c r="E5" s="12">
        <v>41285600</v>
      </c>
      <c r="F5" s="11">
        <v>41285600</v>
      </c>
      <c r="G5" s="13">
        <f>C5-D5-F5</f>
        <v>0</v>
      </c>
      <c r="H5" s="24">
        <f>F5/(C5-D5)</f>
        <v>1</v>
      </c>
      <c r="I5" s="9">
        <f>F5/E5</f>
        <v>1</v>
      </c>
    </row>
    <row r="6" spans="1:9" ht="13.8" thickBot="1" x14ac:dyDescent="0.3">
      <c r="B6" s="62" t="s">
        <v>21</v>
      </c>
      <c r="C6" s="33">
        <v>6662405457.96</v>
      </c>
      <c r="D6" s="66"/>
      <c r="E6" s="66">
        <f>ABA!F19</f>
        <v>6662405456.4700003</v>
      </c>
      <c r="F6" s="33">
        <f>ABA!G19</f>
        <v>710029200.08000004</v>
      </c>
      <c r="G6" s="72">
        <f>ABA!H19</f>
        <v>6001320940</v>
      </c>
      <c r="H6" s="73">
        <f>F6/(C6-D6)</f>
        <v>0.10657249916119754</v>
      </c>
      <c r="I6" s="43">
        <f>F6/E6</f>
        <v>0.10657249918503173</v>
      </c>
    </row>
    <row r="7" spans="1:9" ht="13.2" x14ac:dyDescent="0.25">
      <c r="B7" s="67" t="s">
        <v>5</v>
      </c>
      <c r="C7" s="68">
        <v>126953947656.10001</v>
      </c>
      <c r="D7" s="69">
        <f>Kredit!N200</f>
        <v>424158712.35219067</v>
      </c>
      <c r="E7" s="69">
        <f>Kredit!Z200</f>
        <v>101330578974.12103</v>
      </c>
      <c r="F7" s="68">
        <f>Kredit!O200</f>
        <v>36047969208.949997</v>
      </c>
      <c r="G7" s="37">
        <f>C7-D7-F7</f>
        <v>90481819734.797821</v>
      </c>
      <c r="H7" s="70">
        <f>F7/(C7-D7)</f>
        <v>0.28489709427221188</v>
      </c>
      <c r="I7" s="71">
        <f>F7/E7</f>
        <v>0.35574620784665939</v>
      </c>
    </row>
    <row r="8" spans="1:9" ht="13.2" x14ac:dyDescent="0.25">
      <c r="B8" s="32" t="s">
        <v>6</v>
      </c>
      <c r="C8" s="11">
        <v>-19448944940</v>
      </c>
      <c r="D8" s="17"/>
      <c r="E8" s="17"/>
      <c r="F8" s="18"/>
      <c r="G8" s="19"/>
      <c r="H8" s="25"/>
      <c r="I8" s="20"/>
    </row>
    <row r="9" spans="1:9" ht="13.8" thickBot="1" x14ac:dyDescent="0.3">
      <c r="B9" s="74" t="s">
        <v>28</v>
      </c>
      <c r="C9" s="75">
        <f>SUM(C7:C8)</f>
        <v>107505002716.10001</v>
      </c>
      <c r="D9" s="46"/>
      <c r="E9" s="46"/>
      <c r="F9" s="76"/>
      <c r="G9" s="47"/>
      <c r="H9" s="77"/>
      <c r="I9" s="78"/>
    </row>
    <row r="10" spans="1:9" ht="13.2" x14ac:dyDescent="0.25">
      <c r="B10" s="26" t="s">
        <v>13</v>
      </c>
      <c r="C10" s="27">
        <v>18360695711</v>
      </c>
      <c r="D10" s="80"/>
      <c r="E10" s="80"/>
      <c r="F10" s="81"/>
      <c r="G10" s="82"/>
      <c r="H10" s="83"/>
      <c r="I10" s="84"/>
    </row>
    <row r="11" spans="1:9" ht="13.2" x14ac:dyDescent="0.25">
      <c r="B11" s="10" t="s">
        <v>14</v>
      </c>
      <c r="C11" s="11">
        <v>-5565273533</v>
      </c>
      <c r="D11" s="79"/>
      <c r="E11" s="79"/>
      <c r="F11" s="79"/>
      <c r="G11" s="79"/>
      <c r="H11" s="79"/>
      <c r="I11" s="85"/>
    </row>
    <row r="12" spans="1:9" s="21" customFormat="1" ht="15" customHeight="1" thickBot="1" x14ac:dyDescent="0.3">
      <c r="B12" s="62" t="s">
        <v>15</v>
      </c>
      <c r="C12" s="61">
        <f>SUM(C10:C11)</f>
        <v>12795422178</v>
      </c>
      <c r="D12" s="33"/>
      <c r="E12" s="33">
        <f>'Tanah dan Bangunan'!E4+Kendaraan!E16+Inventaris!E970</f>
        <v>14491562166.666666</v>
      </c>
      <c r="F12" s="72">
        <f>'Tanah dan Bangunan'!F4+Kendaraan!F16+Inventaris!F970</f>
        <v>2674470000</v>
      </c>
      <c r="G12" s="72">
        <f>'Tanah dan Bangunan'!G4+Kendaraan!G16+Inventaris!G970</f>
        <v>13941214229</v>
      </c>
      <c r="H12" s="42">
        <f>F12/C12</f>
        <v>0.20901772233810229</v>
      </c>
      <c r="I12" s="86">
        <f>F12/E12</f>
        <v>0.18455360224391729</v>
      </c>
    </row>
    <row r="13" spans="1:9" ht="13.2" x14ac:dyDescent="0.25">
      <c r="B13" s="44" t="s">
        <v>7</v>
      </c>
      <c r="C13" s="45"/>
      <c r="D13" s="46"/>
      <c r="E13" s="46"/>
      <c r="F13" s="47"/>
      <c r="G13" s="47"/>
      <c r="H13" s="48"/>
      <c r="I13" s="49"/>
    </row>
    <row r="14" spans="1:9" ht="13.2" x14ac:dyDescent="0.25">
      <c r="B14" s="63" t="s">
        <v>26</v>
      </c>
      <c r="C14" s="11">
        <v>20098758090.989998</v>
      </c>
      <c r="D14" s="11"/>
      <c r="E14" s="11">
        <v>13319078143.040001</v>
      </c>
      <c r="F14" s="64">
        <f>AYDA!G25</f>
        <v>2058504678.4200001</v>
      </c>
      <c r="G14" s="64">
        <f>Net!C14-Net!F14</f>
        <v>18040253412.57</v>
      </c>
      <c r="H14" s="65">
        <f>F14/C14</f>
        <v>0.10241949622463489</v>
      </c>
      <c r="I14" s="9">
        <f>F14/E14</f>
        <v>0.15455308965926365</v>
      </c>
    </row>
    <row r="15" spans="1:9" ht="13.2" x14ac:dyDescent="0.25">
      <c r="B15" s="87" t="s">
        <v>38</v>
      </c>
      <c r="C15" s="11">
        <v>239139829</v>
      </c>
      <c r="D15" s="16"/>
      <c r="E15" s="16">
        <v>3910870709</v>
      </c>
      <c r="F15" s="88">
        <f>Kredit!P200</f>
        <v>3968029458.4899998</v>
      </c>
      <c r="G15" s="88">
        <v>0</v>
      </c>
      <c r="H15" s="65">
        <f>F15/C15</f>
        <v>16.592925883918735</v>
      </c>
      <c r="I15" s="9">
        <f>F15/E15</f>
        <v>1.0146153513483485</v>
      </c>
    </row>
    <row r="16" spans="1:9" ht="13.2" x14ac:dyDescent="0.25">
      <c r="B16" s="87" t="s">
        <v>39</v>
      </c>
      <c r="C16" s="327">
        <v>0</v>
      </c>
      <c r="D16" s="16"/>
      <c r="E16" s="16">
        <v>1998404527</v>
      </c>
      <c r="F16" s="88">
        <f>Kredit!Q200</f>
        <v>511520479.84999996</v>
      </c>
      <c r="G16" s="88">
        <v>0</v>
      </c>
      <c r="H16" s="65"/>
      <c r="I16" s="31"/>
    </row>
    <row r="17" spans="2:9" ht="13.8" thickBot="1" x14ac:dyDescent="0.3">
      <c r="B17" s="50" t="s">
        <v>27</v>
      </c>
      <c r="C17" s="328">
        <v>0</v>
      </c>
      <c r="D17" s="33"/>
      <c r="E17" s="33">
        <v>571652278</v>
      </c>
      <c r="F17" s="56">
        <v>1449268128.01</v>
      </c>
      <c r="G17" s="56">
        <v>0</v>
      </c>
      <c r="H17" s="42"/>
      <c r="I17" s="43"/>
    </row>
    <row r="18" spans="2:9" ht="13.8" thickBot="1" x14ac:dyDescent="0.3">
      <c r="B18" s="334" t="s">
        <v>1424</v>
      </c>
      <c r="C18" s="331">
        <f>SUM(C14:C17)</f>
        <v>20337897919.989998</v>
      </c>
      <c r="D18" s="331">
        <f t="shared" ref="D18:G18" si="0">SUM(D14:D17)</f>
        <v>0</v>
      </c>
      <c r="E18" s="331">
        <f t="shared" si="0"/>
        <v>19800005657.040001</v>
      </c>
      <c r="F18" s="331">
        <f t="shared" si="0"/>
        <v>7987322744.7700005</v>
      </c>
      <c r="G18" s="331">
        <f t="shared" si="0"/>
        <v>18040253412.57</v>
      </c>
      <c r="H18" s="332">
        <f>F18/C18</f>
        <v>0.39273098803978701</v>
      </c>
      <c r="I18" s="333">
        <f>F18/E18</f>
        <v>0.40340002336969355</v>
      </c>
    </row>
    <row r="19" spans="2:9" ht="18.45" customHeight="1" thickBot="1" x14ac:dyDescent="0.3">
      <c r="B19" s="300" t="s">
        <v>8</v>
      </c>
      <c r="C19" s="301">
        <f>C5+C6+C9+C12+C18</f>
        <v>147342013872.05002</v>
      </c>
      <c r="D19" s="335">
        <v>0</v>
      </c>
      <c r="E19" s="301">
        <f>E5+E6+E7+E12+E18</f>
        <v>142325837854.2977</v>
      </c>
      <c r="F19" s="301">
        <f t="shared" ref="F19:G19" si="1">F5+F6+F7+F12+F18</f>
        <v>47461076753.800003</v>
      </c>
      <c r="G19" s="301">
        <f t="shared" si="1"/>
        <v>128464608316.36783</v>
      </c>
      <c r="H19" s="302">
        <f>F19/C19</f>
        <v>0.322115026845056</v>
      </c>
      <c r="I19" s="303">
        <f>F19/E19</f>
        <v>0.33346774885939556</v>
      </c>
    </row>
    <row r="20" spans="2:9" x14ac:dyDescent="0.25">
      <c r="D20" s="34"/>
    </row>
    <row r="21" spans="2:9" x14ac:dyDescent="0.25">
      <c r="C21" s="14">
        <f>SUM(C14:C17)</f>
        <v>20337897919.989998</v>
      </c>
      <c r="D21" s="14"/>
      <c r="E21" s="14">
        <f>SUM(E14:E17)</f>
        <v>19800005657.040001</v>
      </c>
      <c r="F21" s="14">
        <f>SUM(F14:F17)</f>
        <v>7987322744.7700005</v>
      </c>
      <c r="G21" s="14"/>
      <c r="H21" s="317">
        <f>F21/C21</f>
        <v>0.39273098803978701</v>
      </c>
      <c r="I21" s="317">
        <f>F21/E21</f>
        <v>0.40340002336969355</v>
      </c>
    </row>
    <row r="22" spans="2:9" x14ac:dyDescent="0.25">
      <c r="F22" s="34"/>
      <c r="G22" s="14"/>
    </row>
    <row r="23" spans="2:9" x14ac:dyDescent="0.25">
      <c r="F23" s="34"/>
    </row>
    <row r="24" spans="2:9" x14ac:dyDescent="0.25">
      <c r="E24" s="34">
        <v>97243104404</v>
      </c>
      <c r="F24" s="34"/>
    </row>
    <row r="25" spans="2:9" x14ac:dyDescent="0.25">
      <c r="E25" s="35">
        <f>E7-E24</f>
        <v>4087474570.1210327</v>
      </c>
      <c r="F25" s="35"/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C9" formulaRange="1"/>
    <ignoredError sqref="G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5990-34AD-40EB-8F87-954CB4BFDB47}">
  <dimension ref="A1:I22"/>
  <sheetViews>
    <sheetView zoomScale="80" zoomScaleNormal="80" workbookViewId="0">
      <selection activeCell="E10" sqref="E10"/>
    </sheetView>
  </sheetViews>
  <sheetFormatPr defaultColWidth="8.77734375" defaultRowHeight="12" x14ac:dyDescent="0.25"/>
  <cols>
    <col min="1" max="1" width="4.88671875" style="1" customWidth="1"/>
    <col min="2" max="2" width="35" style="1" bestFit="1" customWidth="1"/>
    <col min="3" max="3" width="12.88671875" style="1" bestFit="1" customWidth="1"/>
    <col min="4" max="4" width="11" style="1" bestFit="1" customWidth="1"/>
    <col min="5" max="5" width="12.88671875" style="1" bestFit="1" customWidth="1"/>
    <col min="6" max="6" width="23.44140625" style="1" bestFit="1" customWidth="1"/>
    <col min="7" max="7" width="25.33203125" style="1" bestFit="1" customWidth="1"/>
    <col min="8" max="8" width="14.44140625" style="1" bestFit="1" customWidth="1"/>
    <col min="9" max="9" width="18.21875" style="1" bestFit="1" customWidth="1"/>
    <col min="10" max="16384" width="8.77734375" style="1"/>
  </cols>
  <sheetData>
    <row r="1" spans="1:9" x14ac:dyDescent="0.25">
      <c r="A1" s="60" t="s">
        <v>1423</v>
      </c>
    </row>
    <row r="2" spans="1:9" ht="12.6" thickBot="1" x14ac:dyDescent="0.3"/>
    <row r="3" spans="1:9" x14ac:dyDescent="0.25">
      <c r="B3" s="2" t="s">
        <v>0</v>
      </c>
      <c r="C3" s="3" t="s">
        <v>16</v>
      </c>
      <c r="D3" s="3" t="s">
        <v>1</v>
      </c>
      <c r="E3" s="4" t="s">
        <v>418</v>
      </c>
      <c r="F3" s="4" t="s">
        <v>1335</v>
      </c>
      <c r="G3" s="4" t="s">
        <v>2</v>
      </c>
      <c r="H3" s="22" t="s">
        <v>3</v>
      </c>
      <c r="I3" s="5" t="s">
        <v>1336</v>
      </c>
    </row>
    <row r="4" spans="1:9" ht="13.2" x14ac:dyDescent="0.25">
      <c r="B4" s="6" t="s">
        <v>9</v>
      </c>
      <c r="C4" s="7" t="s">
        <v>10</v>
      </c>
      <c r="D4" s="7" t="s">
        <v>11</v>
      </c>
      <c r="E4" s="7" t="s">
        <v>12</v>
      </c>
      <c r="F4" s="7" t="s">
        <v>17</v>
      </c>
      <c r="G4" s="7" t="s">
        <v>18</v>
      </c>
      <c r="H4" s="23" t="s">
        <v>19</v>
      </c>
      <c r="I4" s="8" t="s">
        <v>20</v>
      </c>
    </row>
    <row r="5" spans="1:9" ht="13.2" x14ac:dyDescent="0.25">
      <c r="B5" s="15" t="s">
        <v>4</v>
      </c>
      <c r="C5" s="11">
        <v>41285600</v>
      </c>
      <c r="D5" s="12"/>
      <c r="E5" s="12">
        <v>41285600</v>
      </c>
      <c r="F5" s="11">
        <v>41285600</v>
      </c>
      <c r="G5" s="13">
        <f>C5-D5-F5</f>
        <v>0</v>
      </c>
      <c r="H5" s="24">
        <f>F5/(C5-D5)</f>
        <v>1</v>
      </c>
      <c r="I5" s="9">
        <f>F5/E5</f>
        <v>1</v>
      </c>
    </row>
    <row r="6" spans="1:9" ht="13.8" thickBot="1" x14ac:dyDescent="0.3">
      <c r="B6" s="62" t="s">
        <v>21</v>
      </c>
      <c r="C6" s="33">
        <v>6662405457.96</v>
      </c>
      <c r="D6" s="66"/>
      <c r="E6" s="66">
        <f>ABA!F19</f>
        <v>6662405456.4700003</v>
      </c>
      <c r="F6" s="33">
        <f>ABA!G19</f>
        <v>710029200.08000004</v>
      </c>
      <c r="G6" s="72">
        <f>Net!G6</f>
        <v>6001320940</v>
      </c>
      <c r="H6" s="73">
        <f>F6/(C6-D6)</f>
        <v>0.10657249916119754</v>
      </c>
      <c r="I6" s="43">
        <f>F6/E6</f>
        <v>0.10657249918503173</v>
      </c>
    </row>
    <row r="7" spans="1:9" ht="13.8" thickBot="1" x14ac:dyDescent="0.3">
      <c r="B7" s="67" t="s">
        <v>5</v>
      </c>
      <c r="C7" s="68">
        <v>126953947656.10001</v>
      </c>
      <c r="D7" s="69">
        <f>Kredit!N200</f>
        <v>424158712.35219067</v>
      </c>
      <c r="E7" s="69">
        <f>Kredit!Z200</f>
        <v>101330578974.12103</v>
      </c>
      <c r="F7" s="68">
        <f>Kredit!O200</f>
        <v>36047969208.949997</v>
      </c>
      <c r="G7" s="37">
        <f>C7-D7-F7</f>
        <v>90481819734.797821</v>
      </c>
      <c r="H7" s="70">
        <f>F7/(C7-D7)</f>
        <v>0.28489709427221188</v>
      </c>
      <c r="I7" s="71">
        <f>F7/E7</f>
        <v>0.35574620784665939</v>
      </c>
    </row>
    <row r="8" spans="1:9" ht="13.2" x14ac:dyDescent="0.25">
      <c r="B8" s="26" t="s">
        <v>13</v>
      </c>
      <c r="C8" s="27">
        <v>18360695711</v>
      </c>
      <c r="D8" s="80"/>
      <c r="E8" s="80"/>
      <c r="F8" s="81"/>
      <c r="G8" s="82"/>
      <c r="H8" s="83"/>
      <c r="I8" s="84"/>
    </row>
    <row r="9" spans="1:9" ht="13.2" x14ac:dyDescent="0.25">
      <c r="B9" s="10" t="s">
        <v>14</v>
      </c>
      <c r="C9" s="11">
        <v>-5565273533</v>
      </c>
      <c r="D9" s="79"/>
      <c r="E9" s="79"/>
      <c r="F9" s="79"/>
      <c r="G9" s="79"/>
      <c r="H9" s="79"/>
      <c r="I9" s="85"/>
    </row>
    <row r="10" spans="1:9" s="21" customFormat="1" ht="15" customHeight="1" thickBot="1" x14ac:dyDescent="0.3">
      <c r="B10" s="62" t="s">
        <v>15</v>
      </c>
      <c r="C10" s="61">
        <f>SUM(C8:C9)</f>
        <v>12795422178</v>
      </c>
      <c r="D10" s="33"/>
      <c r="E10" s="33">
        <f>'Tanah dan Bangunan'!E4+Kendaraan!E16+Inventaris!E970</f>
        <v>14491562166.666666</v>
      </c>
      <c r="F10" s="72">
        <f>'Tanah dan Bangunan'!F4+Kendaraan!F16+Inventaris!F970</f>
        <v>2674470000</v>
      </c>
      <c r="G10" s="56">
        <f>Net!G12</f>
        <v>13941214229</v>
      </c>
      <c r="H10" s="42">
        <f>F10/C10</f>
        <v>0.20901772233810229</v>
      </c>
      <c r="I10" s="86">
        <f>F10/E10</f>
        <v>0.18455360224391729</v>
      </c>
    </row>
    <row r="11" spans="1:9" ht="13.2" x14ac:dyDescent="0.25">
      <c r="B11" s="44" t="s">
        <v>7</v>
      </c>
      <c r="C11" s="45"/>
      <c r="D11" s="46"/>
      <c r="E11" s="46"/>
      <c r="F11" s="47"/>
      <c r="G11" s="47"/>
      <c r="H11" s="48"/>
      <c r="I11" s="49"/>
    </row>
    <row r="12" spans="1:9" ht="13.2" x14ac:dyDescent="0.25">
      <c r="B12" s="63" t="s">
        <v>26</v>
      </c>
      <c r="C12" s="11">
        <v>20098758090.989998</v>
      </c>
      <c r="D12" s="11"/>
      <c r="E12" s="11">
        <v>13319078143.040001</v>
      </c>
      <c r="F12" s="64">
        <f>AYDA!G25</f>
        <v>2058504678.4200001</v>
      </c>
      <c r="G12" s="11">
        <f>Net!G14</f>
        <v>18040253412.57</v>
      </c>
      <c r="H12" s="65">
        <f>F12/C12</f>
        <v>0.10241949622463489</v>
      </c>
      <c r="I12" s="9">
        <f>F12/E12</f>
        <v>0.15455308965926365</v>
      </c>
    </row>
    <row r="13" spans="1:9" ht="13.2" x14ac:dyDescent="0.25">
      <c r="B13" s="87" t="s">
        <v>38</v>
      </c>
      <c r="C13" s="11">
        <v>239139829</v>
      </c>
      <c r="D13" s="16"/>
      <c r="E13" s="16">
        <v>3910870709</v>
      </c>
      <c r="F13" s="88">
        <f>Kredit!P200</f>
        <v>3968029458.4899998</v>
      </c>
      <c r="G13" s="16">
        <f>Net!G15</f>
        <v>0</v>
      </c>
      <c r="H13" s="65">
        <f>F13/C13</f>
        <v>16.592925883918735</v>
      </c>
      <c r="I13" s="9">
        <f>F13/E13</f>
        <v>1.0146153513483485</v>
      </c>
    </row>
    <row r="14" spans="1:9" ht="13.2" x14ac:dyDescent="0.25">
      <c r="B14" s="87" t="s">
        <v>39</v>
      </c>
      <c r="C14" s="89">
        <v>0</v>
      </c>
      <c r="D14" s="16"/>
      <c r="E14" s="16">
        <v>1998404527</v>
      </c>
      <c r="F14" s="88">
        <f>Kredit!Q200</f>
        <v>511520479.84999996</v>
      </c>
      <c r="G14" s="16">
        <v>0</v>
      </c>
      <c r="H14" s="65"/>
      <c r="I14" s="31"/>
    </row>
    <row r="15" spans="1:9" ht="13.8" thickBot="1" x14ac:dyDescent="0.3">
      <c r="B15" s="50" t="s">
        <v>27</v>
      </c>
      <c r="C15" s="66">
        <v>0</v>
      </c>
      <c r="D15" s="33"/>
      <c r="E15" s="33">
        <v>571652278</v>
      </c>
      <c r="F15" s="56">
        <v>1449268128.01</v>
      </c>
      <c r="G15" s="33">
        <v>0</v>
      </c>
      <c r="H15" s="42"/>
      <c r="I15" s="43"/>
    </row>
    <row r="16" spans="1:9" ht="18.45" customHeight="1" thickBot="1" x14ac:dyDescent="0.3">
      <c r="B16" s="38" t="s">
        <v>8</v>
      </c>
      <c r="C16" s="39">
        <f>C5+C6+C7+C10+C12+C13+C14+C15</f>
        <v>166790958812.04999</v>
      </c>
      <c r="D16" s="39">
        <f>D5+D6+D7+D10+D12+D13+D14+D15</f>
        <v>424158712.35219067</v>
      </c>
      <c r="E16" s="39">
        <f>E5+E6+E7+E10+E12+E13+E14+E15</f>
        <v>142325837854.2977</v>
      </c>
      <c r="F16" s="39">
        <f>F5+F6+F7+F10+F12+F13+F14+F15</f>
        <v>47461076753.799995</v>
      </c>
      <c r="G16" s="39">
        <f>G5+G6+G7+G10+G12+G13+G14+G15</f>
        <v>128464608316.36783</v>
      </c>
      <c r="H16" s="40">
        <f>F16/C16</f>
        <v>0.28455425337102336</v>
      </c>
      <c r="I16" s="41">
        <f>F16/E16</f>
        <v>0.33346774885939556</v>
      </c>
    </row>
    <row r="17" spans="3:7" x14ac:dyDescent="0.25">
      <c r="D17" s="34"/>
    </row>
    <row r="18" spans="3:7" x14ac:dyDescent="0.25">
      <c r="C18" s="14"/>
      <c r="D18" s="14"/>
      <c r="E18" s="14"/>
      <c r="F18" s="14"/>
      <c r="G18" s="14"/>
    </row>
    <row r="19" spans="3:7" x14ac:dyDescent="0.25">
      <c r="F19" s="34"/>
      <c r="G19" s="14"/>
    </row>
    <row r="20" spans="3:7" x14ac:dyDescent="0.25">
      <c r="F20" s="34"/>
    </row>
    <row r="21" spans="3:7" x14ac:dyDescent="0.25">
      <c r="F21" s="34"/>
    </row>
    <row r="22" spans="3:7" x14ac:dyDescent="0.25">
      <c r="F22" s="35"/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C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6C32-EB74-4D08-A5DD-F8FCE5521A23}">
  <dimension ref="A1:J57"/>
  <sheetViews>
    <sheetView zoomScale="80" zoomScaleNormal="80" workbookViewId="0">
      <selection activeCell="J2" sqref="J2"/>
    </sheetView>
  </sheetViews>
  <sheetFormatPr defaultRowHeight="14.4" x14ac:dyDescent="0.3"/>
  <cols>
    <col min="1" max="1" width="9.5546875" bestFit="1" customWidth="1"/>
    <col min="2" max="2" width="21.109375" bestFit="1" customWidth="1"/>
    <col min="3" max="3" width="37.33203125" bestFit="1" customWidth="1"/>
    <col min="4" max="4" width="27.33203125" bestFit="1" customWidth="1"/>
    <col min="5" max="5" width="17.77734375" bestFit="1" customWidth="1"/>
    <col min="6" max="6" width="13.88671875" bestFit="1" customWidth="1"/>
    <col min="7" max="7" width="35.21875" bestFit="1" customWidth="1"/>
    <col min="8" max="8" width="34.109375" bestFit="1" customWidth="1"/>
    <col min="9" max="9" width="26.33203125" bestFit="1" customWidth="1"/>
    <col min="10" max="10" width="26.6640625" bestFit="1" customWidth="1"/>
  </cols>
  <sheetData>
    <row r="1" spans="1:10" ht="15" thickBot="1" x14ac:dyDescent="0.35"/>
    <row r="2" spans="1:10" ht="28.8" x14ac:dyDescent="0.3">
      <c r="A2" s="93" t="s">
        <v>32</v>
      </c>
      <c r="B2" s="94" t="s">
        <v>42</v>
      </c>
      <c r="C2" s="95" t="s">
        <v>44</v>
      </c>
      <c r="D2" s="95" t="s">
        <v>45</v>
      </c>
      <c r="E2" s="95" t="s">
        <v>46</v>
      </c>
      <c r="F2" s="95" t="s">
        <v>449</v>
      </c>
      <c r="G2" s="95" t="s">
        <v>451</v>
      </c>
      <c r="H2" s="95" t="s">
        <v>1422</v>
      </c>
      <c r="I2" s="95" t="s">
        <v>47</v>
      </c>
      <c r="J2" s="154" t="s">
        <v>36</v>
      </c>
    </row>
    <row r="3" spans="1:10" x14ac:dyDescent="0.3">
      <c r="A3" s="155">
        <v>1</v>
      </c>
      <c r="B3" s="28"/>
      <c r="C3" s="28" t="s">
        <v>438</v>
      </c>
      <c r="D3" s="30" t="s">
        <v>450</v>
      </c>
      <c r="E3" s="30">
        <v>1700828.77</v>
      </c>
      <c r="F3" s="30">
        <v>1700828.77</v>
      </c>
      <c r="G3" s="30">
        <v>1700828.77</v>
      </c>
      <c r="H3" s="30"/>
      <c r="I3" s="29" t="s">
        <v>452</v>
      </c>
      <c r="J3" s="156"/>
    </row>
    <row r="4" spans="1:10" x14ac:dyDescent="0.3">
      <c r="A4" s="155">
        <v>2</v>
      </c>
      <c r="B4" s="28"/>
      <c r="C4" s="28" t="s">
        <v>439</v>
      </c>
      <c r="D4" s="30" t="s">
        <v>450</v>
      </c>
      <c r="E4" s="30">
        <v>76168683</v>
      </c>
      <c r="F4" s="30">
        <v>76168683</v>
      </c>
      <c r="G4" s="30">
        <v>76168683</v>
      </c>
      <c r="H4" s="30"/>
      <c r="I4" s="29" t="s">
        <v>452</v>
      </c>
      <c r="J4" s="156"/>
    </row>
    <row r="5" spans="1:10" x14ac:dyDescent="0.3">
      <c r="A5" s="155">
        <v>3</v>
      </c>
      <c r="B5" s="28"/>
      <c r="C5" s="28" t="s">
        <v>440</v>
      </c>
      <c r="D5" s="30" t="s">
        <v>450</v>
      </c>
      <c r="E5" s="30">
        <v>1083390.94</v>
      </c>
      <c r="F5" s="30">
        <v>1083390.94</v>
      </c>
      <c r="G5" s="30">
        <v>1083390.94</v>
      </c>
      <c r="H5" s="30"/>
      <c r="I5" s="29" t="s">
        <v>452</v>
      </c>
      <c r="J5" s="156"/>
    </row>
    <row r="6" spans="1:10" x14ac:dyDescent="0.3">
      <c r="A6" s="155">
        <v>4</v>
      </c>
      <c r="B6" s="28"/>
      <c r="C6" s="28" t="s">
        <v>441</v>
      </c>
      <c r="D6" s="30" t="s">
        <v>450</v>
      </c>
      <c r="E6" s="30">
        <v>10874624</v>
      </c>
      <c r="F6" s="30">
        <v>10874624</v>
      </c>
      <c r="G6" s="30">
        <v>10874624</v>
      </c>
      <c r="H6" s="30"/>
      <c r="I6" s="29" t="s">
        <v>452</v>
      </c>
      <c r="J6" s="156"/>
    </row>
    <row r="7" spans="1:10" x14ac:dyDescent="0.3">
      <c r="A7" s="155">
        <v>5</v>
      </c>
      <c r="B7" s="28"/>
      <c r="C7" s="28" t="s">
        <v>442</v>
      </c>
      <c r="D7" s="30" t="s">
        <v>450</v>
      </c>
      <c r="E7" s="30">
        <v>376954845</v>
      </c>
      <c r="F7" s="30">
        <v>376954845</v>
      </c>
      <c r="G7" s="30">
        <v>377987364.86000001</v>
      </c>
      <c r="H7" s="30"/>
      <c r="I7" s="29" t="s">
        <v>452</v>
      </c>
      <c r="J7" s="156"/>
    </row>
    <row r="8" spans="1:10" x14ac:dyDescent="0.3">
      <c r="A8" s="157">
        <v>6</v>
      </c>
      <c r="B8" s="150"/>
      <c r="C8" s="150" t="s">
        <v>443</v>
      </c>
      <c r="D8" s="151" t="s">
        <v>450</v>
      </c>
      <c r="E8" s="151">
        <v>5001320940</v>
      </c>
      <c r="F8" s="151">
        <v>5001320940</v>
      </c>
      <c r="G8" s="151">
        <v>0</v>
      </c>
      <c r="H8" s="151">
        <f>E8</f>
        <v>5001320940</v>
      </c>
      <c r="I8" s="149" t="s">
        <v>453</v>
      </c>
      <c r="J8" s="158" t="s">
        <v>455</v>
      </c>
    </row>
    <row r="9" spans="1:10" x14ac:dyDescent="0.3">
      <c r="A9" s="155">
        <v>7</v>
      </c>
      <c r="B9" s="28"/>
      <c r="C9" s="28" t="s">
        <v>444</v>
      </c>
      <c r="D9" s="30" t="s">
        <v>450</v>
      </c>
      <c r="E9" s="30">
        <v>1973136</v>
      </c>
      <c r="F9" s="30">
        <v>1973136</v>
      </c>
      <c r="G9" s="30">
        <v>1973136</v>
      </c>
      <c r="H9" s="30"/>
      <c r="I9" s="29" t="s">
        <v>452</v>
      </c>
      <c r="J9" s="156"/>
    </row>
    <row r="10" spans="1:10" x14ac:dyDescent="0.3">
      <c r="A10" s="155">
        <v>8</v>
      </c>
      <c r="B10" s="28"/>
      <c r="C10" s="28" t="s">
        <v>441</v>
      </c>
      <c r="D10" s="30" t="s">
        <v>450</v>
      </c>
      <c r="E10" s="30">
        <v>1541708.35</v>
      </c>
      <c r="F10" s="30">
        <v>1541708.35</v>
      </c>
      <c r="G10" s="30">
        <v>1541708.35</v>
      </c>
      <c r="H10" s="30"/>
      <c r="I10" s="29" t="s">
        <v>452</v>
      </c>
      <c r="J10" s="156"/>
    </row>
    <row r="11" spans="1:10" x14ac:dyDescent="0.3">
      <c r="A11" s="155">
        <v>9</v>
      </c>
      <c r="B11" s="28"/>
      <c r="C11" s="28" t="s">
        <v>445</v>
      </c>
      <c r="D11" s="30" t="s">
        <v>450</v>
      </c>
      <c r="E11" s="30">
        <v>47333657</v>
      </c>
      <c r="F11" s="30">
        <v>47333657</v>
      </c>
      <c r="G11" s="30">
        <v>52617188.099999994</v>
      </c>
      <c r="H11" s="30"/>
      <c r="I11" s="29" t="s">
        <v>452</v>
      </c>
      <c r="J11" s="156"/>
    </row>
    <row r="12" spans="1:10" x14ac:dyDescent="0.3">
      <c r="A12" s="155">
        <v>10</v>
      </c>
      <c r="B12" s="28"/>
      <c r="C12" s="28" t="s">
        <v>439</v>
      </c>
      <c r="D12" s="30" t="s">
        <v>450</v>
      </c>
      <c r="E12" s="30">
        <v>1343862</v>
      </c>
      <c r="F12" s="30">
        <v>1343862</v>
      </c>
      <c r="G12" s="30">
        <v>1343862</v>
      </c>
      <c r="H12" s="30"/>
      <c r="I12" s="29" t="s">
        <v>452</v>
      </c>
      <c r="J12" s="156"/>
    </row>
    <row r="13" spans="1:10" x14ac:dyDescent="0.3">
      <c r="A13" s="155">
        <v>11</v>
      </c>
      <c r="B13" s="28"/>
      <c r="C13" s="28" t="s">
        <v>446</v>
      </c>
      <c r="D13" s="30" t="s">
        <v>450</v>
      </c>
      <c r="E13" s="30">
        <v>819490.43</v>
      </c>
      <c r="F13" s="30">
        <v>819490.43</v>
      </c>
      <c r="G13" s="30">
        <v>819490</v>
      </c>
      <c r="H13" s="30"/>
      <c r="I13" s="29" t="s">
        <v>452</v>
      </c>
      <c r="J13" s="156"/>
    </row>
    <row r="14" spans="1:10" x14ac:dyDescent="0.3">
      <c r="A14" s="155">
        <v>12</v>
      </c>
      <c r="B14" s="28"/>
      <c r="C14" s="28" t="s">
        <v>447</v>
      </c>
      <c r="D14" s="30" t="s">
        <v>450</v>
      </c>
      <c r="E14" s="30">
        <v>1461132.98</v>
      </c>
      <c r="F14" s="30">
        <v>1461132.98</v>
      </c>
      <c r="G14" s="30">
        <v>1461132.98</v>
      </c>
      <c r="H14" s="30"/>
      <c r="I14" s="29" t="s">
        <v>452</v>
      </c>
      <c r="J14" s="156"/>
    </row>
    <row r="15" spans="1:10" x14ac:dyDescent="0.3">
      <c r="A15" s="155">
        <v>13</v>
      </c>
      <c r="B15" s="28"/>
      <c r="C15" s="28" t="s">
        <v>448</v>
      </c>
      <c r="D15" s="30" t="s">
        <v>450</v>
      </c>
      <c r="E15" s="30">
        <v>39829158</v>
      </c>
      <c r="F15" s="30">
        <v>39829158</v>
      </c>
      <c r="G15" s="30">
        <v>39829158</v>
      </c>
      <c r="H15" s="30"/>
      <c r="I15" s="29" t="s">
        <v>452</v>
      </c>
      <c r="J15" s="156"/>
    </row>
    <row r="16" spans="1:10" x14ac:dyDescent="0.3">
      <c r="A16" s="155">
        <v>14</v>
      </c>
      <c r="B16" s="28"/>
      <c r="C16" s="28" t="s">
        <v>446</v>
      </c>
      <c r="D16" s="152" t="s">
        <v>454</v>
      </c>
      <c r="E16" s="30">
        <v>100000000</v>
      </c>
      <c r="F16" s="30">
        <v>100000000</v>
      </c>
      <c r="G16" s="30">
        <v>100000000</v>
      </c>
      <c r="H16" s="30"/>
      <c r="I16" s="29" t="s">
        <v>452</v>
      </c>
      <c r="J16" s="156"/>
    </row>
    <row r="17" spans="1:10" x14ac:dyDescent="0.3">
      <c r="A17" s="157">
        <v>15</v>
      </c>
      <c r="B17" s="150"/>
      <c r="C17" s="150" t="s">
        <v>445</v>
      </c>
      <c r="D17" s="153" t="s">
        <v>454</v>
      </c>
      <c r="E17" s="151">
        <v>500000000</v>
      </c>
      <c r="F17" s="151">
        <v>500000000</v>
      </c>
      <c r="G17" s="151">
        <v>35759621.460000001</v>
      </c>
      <c r="H17" s="151">
        <f>E17</f>
        <v>500000000</v>
      </c>
      <c r="I17" s="149" t="s">
        <v>453</v>
      </c>
      <c r="J17" s="158" t="s">
        <v>455</v>
      </c>
    </row>
    <row r="18" spans="1:10" ht="15" thickBot="1" x14ac:dyDescent="0.35">
      <c r="A18" s="161">
        <v>16</v>
      </c>
      <c r="B18" s="162"/>
      <c r="C18" s="162" t="s">
        <v>448</v>
      </c>
      <c r="D18" s="163" t="s">
        <v>454</v>
      </c>
      <c r="E18" s="164">
        <v>500000000</v>
      </c>
      <c r="F18" s="164">
        <v>500000000</v>
      </c>
      <c r="G18" s="164">
        <v>6869011.6200000001</v>
      </c>
      <c r="H18" s="164">
        <f>E18</f>
        <v>500000000</v>
      </c>
      <c r="I18" s="165" t="s">
        <v>453</v>
      </c>
      <c r="J18" s="166" t="s">
        <v>455</v>
      </c>
    </row>
    <row r="19" spans="1:10" ht="15" thickBot="1" x14ac:dyDescent="0.35">
      <c r="A19" s="167"/>
      <c r="B19" s="168"/>
      <c r="C19" s="168"/>
      <c r="D19" s="169"/>
      <c r="E19" s="169">
        <f>SUM(E3:E18)</f>
        <v>6662405456.4700003</v>
      </c>
      <c r="F19" s="169">
        <f>SUM(F3:F18)</f>
        <v>6662405456.4700003</v>
      </c>
      <c r="G19" s="169">
        <f>SUM(G3:G18)</f>
        <v>710029200.08000004</v>
      </c>
      <c r="H19" s="169">
        <f>SUM(H3:H18)</f>
        <v>6001320940</v>
      </c>
      <c r="I19" s="170"/>
      <c r="J19" s="171"/>
    </row>
    <row r="20" spans="1:10" x14ac:dyDescent="0.3">
      <c r="A20" s="36"/>
      <c r="D20" s="52"/>
      <c r="E20" s="52"/>
      <c r="F20" s="52"/>
      <c r="G20" s="52"/>
      <c r="H20" s="52"/>
      <c r="I20" s="36"/>
      <c r="J20" s="36"/>
    </row>
    <row r="21" spans="1:10" x14ac:dyDescent="0.3">
      <c r="A21" s="36"/>
      <c r="D21" s="52"/>
      <c r="E21" s="52"/>
      <c r="F21" s="52"/>
      <c r="G21" s="52"/>
      <c r="H21" s="52"/>
      <c r="I21" s="36"/>
      <c r="J21" s="36"/>
    </row>
    <row r="22" spans="1:10" x14ac:dyDescent="0.3">
      <c r="A22" s="36"/>
      <c r="D22" s="52"/>
      <c r="E22" s="52"/>
      <c r="F22" s="52"/>
      <c r="G22" s="52"/>
      <c r="H22" s="52"/>
      <c r="I22" s="36"/>
      <c r="J22" s="36"/>
    </row>
    <row r="23" spans="1:10" x14ac:dyDescent="0.3">
      <c r="A23" s="36"/>
      <c r="D23" s="52"/>
      <c r="E23" s="52"/>
      <c r="F23" s="52"/>
      <c r="G23" s="52"/>
      <c r="H23" s="52"/>
      <c r="I23" s="36"/>
      <c r="J23" s="36"/>
    </row>
    <row r="24" spans="1:10" x14ac:dyDescent="0.3">
      <c r="A24" s="36"/>
      <c r="D24" s="52"/>
      <c r="E24" s="52"/>
      <c r="F24" s="52"/>
      <c r="G24" s="52"/>
      <c r="H24" s="52"/>
      <c r="I24" s="36"/>
      <c r="J24" s="36"/>
    </row>
    <row r="25" spans="1:10" x14ac:dyDescent="0.3">
      <c r="A25" s="36"/>
      <c r="D25" s="52"/>
      <c r="E25" s="52"/>
      <c r="F25" s="52"/>
      <c r="G25" s="52"/>
      <c r="H25" s="52"/>
      <c r="I25" s="36"/>
      <c r="J25" s="36"/>
    </row>
    <row r="26" spans="1:10" x14ac:dyDescent="0.3">
      <c r="A26" s="36"/>
      <c r="D26" s="52"/>
      <c r="E26" s="52"/>
      <c r="F26" s="52"/>
      <c r="G26" s="52"/>
      <c r="H26" s="52"/>
      <c r="I26" s="36"/>
      <c r="J26" s="36"/>
    </row>
    <row r="27" spans="1:10" x14ac:dyDescent="0.3">
      <c r="A27" s="36"/>
      <c r="D27" s="52"/>
      <c r="E27" s="52"/>
      <c r="F27" s="52"/>
      <c r="G27" s="52"/>
      <c r="H27" s="52"/>
      <c r="I27" s="36"/>
      <c r="J27" s="36"/>
    </row>
    <row r="28" spans="1:10" x14ac:dyDescent="0.3">
      <c r="A28" s="36"/>
      <c r="D28" s="52"/>
      <c r="E28" s="52"/>
      <c r="F28" s="52"/>
      <c r="G28" s="52"/>
      <c r="H28" s="52"/>
      <c r="I28" s="36"/>
      <c r="J28" s="36"/>
    </row>
    <row r="29" spans="1:10" x14ac:dyDescent="0.3">
      <c r="A29" s="36"/>
      <c r="D29" s="52"/>
      <c r="E29" s="52"/>
      <c r="F29" s="52"/>
      <c r="G29" s="52"/>
      <c r="H29" s="52"/>
      <c r="I29" s="36"/>
      <c r="J29" s="36"/>
    </row>
    <row r="30" spans="1:10" x14ac:dyDescent="0.3">
      <c r="A30" s="36"/>
      <c r="D30" s="52"/>
      <c r="E30" s="52"/>
      <c r="F30" s="52"/>
      <c r="G30" s="52"/>
      <c r="H30" s="52"/>
      <c r="I30" s="36"/>
      <c r="J30" s="36"/>
    </row>
    <row r="31" spans="1:10" x14ac:dyDescent="0.3">
      <c r="A31" s="36"/>
      <c r="D31" s="52"/>
      <c r="E31" s="52"/>
      <c r="F31" s="52"/>
      <c r="G31" s="52"/>
      <c r="H31" s="52"/>
      <c r="I31" s="36"/>
      <c r="J31" s="36"/>
    </row>
    <row r="32" spans="1:10" x14ac:dyDescent="0.3">
      <c r="A32" s="36"/>
      <c r="D32" s="52"/>
      <c r="E32" s="52"/>
      <c r="F32" s="52"/>
      <c r="G32" s="52"/>
      <c r="H32" s="52"/>
      <c r="I32" s="36"/>
      <c r="J32" s="36"/>
    </row>
    <row r="33" spans="1:10" x14ac:dyDescent="0.3">
      <c r="A33" s="36"/>
      <c r="D33" s="52"/>
      <c r="E33" s="52"/>
      <c r="F33" s="52"/>
      <c r="G33" s="52"/>
      <c r="H33" s="52"/>
      <c r="I33" s="36"/>
      <c r="J33" s="36"/>
    </row>
    <row r="34" spans="1:10" x14ac:dyDescent="0.3">
      <c r="A34" s="36"/>
      <c r="D34" s="52"/>
      <c r="E34" s="52"/>
      <c r="F34" s="52"/>
      <c r="G34" s="52"/>
      <c r="H34" s="52"/>
      <c r="I34" s="36"/>
      <c r="J34" s="36"/>
    </row>
    <row r="35" spans="1:10" x14ac:dyDescent="0.3">
      <c r="A35" s="36"/>
      <c r="D35" s="52"/>
      <c r="E35" s="52"/>
      <c r="F35" s="52"/>
      <c r="G35" s="52"/>
      <c r="H35" s="52"/>
      <c r="I35" s="36"/>
      <c r="J35" s="36"/>
    </row>
    <row r="36" spans="1:10" x14ac:dyDescent="0.3">
      <c r="A36" s="36"/>
      <c r="D36" s="52"/>
      <c r="E36" s="52"/>
      <c r="F36" s="52"/>
      <c r="G36" s="52"/>
      <c r="H36" s="52"/>
      <c r="I36" s="36"/>
      <c r="J36" s="36"/>
    </row>
    <row r="37" spans="1:10" x14ac:dyDescent="0.3">
      <c r="A37" s="36"/>
      <c r="D37" s="52"/>
      <c r="E37" s="52"/>
      <c r="F37" s="52"/>
      <c r="G37" s="52"/>
      <c r="H37" s="52"/>
      <c r="I37" s="36"/>
      <c r="J37" s="36"/>
    </row>
    <row r="38" spans="1:10" x14ac:dyDescent="0.3">
      <c r="A38" s="36"/>
      <c r="D38" s="52"/>
      <c r="E38" s="52"/>
      <c r="F38" s="52"/>
      <c r="G38" s="52"/>
      <c r="H38" s="52"/>
      <c r="I38" s="36"/>
      <c r="J38" s="36"/>
    </row>
    <row r="39" spans="1:10" x14ac:dyDescent="0.3">
      <c r="A39" s="36"/>
      <c r="D39" s="52"/>
      <c r="E39" s="52"/>
      <c r="F39" s="52"/>
      <c r="G39" s="52"/>
      <c r="H39" s="52"/>
      <c r="I39" s="36"/>
      <c r="J39" s="36"/>
    </row>
    <row r="40" spans="1:10" x14ac:dyDescent="0.3">
      <c r="A40" s="36"/>
      <c r="D40" s="52"/>
      <c r="E40" s="52"/>
      <c r="F40" s="52"/>
      <c r="G40" s="52"/>
      <c r="H40" s="52"/>
      <c r="I40" s="36"/>
      <c r="J40" s="36"/>
    </row>
    <row r="41" spans="1:10" x14ac:dyDescent="0.3">
      <c r="A41" s="36"/>
      <c r="D41" s="52"/>
      <c r="E41" s="52"/>
      <c r="F41" s="52"/>
      <c r="G41" s="52"/>
      <c r="H41" s="52"/>
      <c r="I41" s="36"/>
      <c r="J41" s="36"/>
    </row>
    <row r="42" spans="1:10" x14ac:dyDescent="0.3">
      <c r="A42" s="36"/>
      <c r="D42" s="52"/>
      <c r="E42" s="52"/>
      <c r="F42" s="52"/>
      <c r="G42" s="52"/>
      <c r="H42" s="52"/>
      <c r="I42" s="36"/>
      <c r="J42" s="36"/>
    </row>
    <row r="43" spans="1:10" x14ac:dyDescent="0.3">
      <c r="A43" s="36"/>
      <c r="D43" s="52"/>
      <c r="E43" s="52"/>
      <c r="F43" s="52"/>
      <c r="G43" s="52"/>
      <c r="H43" s="52"/>
      <c r="I43" s="36"/>
      <c r="J43" s="36"/>
    </row>
    <row r="44" spans="1:10" x14ac:dyDescent="0.3">
      <c r="A44" s="36"/>
      <c r="D44" s="52"/>
      <c r="E44" s="52"/>
      <c r="F44" s="52"/>
      <c r="G44" s="52"/>
      <c r="H44" s="52"/>
      <c r="I44" s="36"/>
      <c r="J44" s="36"/>
    </row>
    <row r="45" spans="1:10" x14ac:dyDescent="0.3">
      <c r="A45" s="36"/>
      <c r="D45" s="52"/>
      <c r="E45" s="52"/>
      <c r="F45" s="52"/>
      <c r="G45" s="52"/>
      <c r="H45" s="52"/>
      <c r="I45" s="36"/>
      <c r="J45" s="36"/>
    </row>
    <row r="46" spans="1:10" x14ac:dyDescent="0.3">
      <c r="A46" s="36"/>
      <c r="D46" s="52"/>
      <c r="E46" s="52"/>
      <c r="F46" s="52"/>
      <c r="G46" s="52"/>
      <c r="H46" s="52"/>
      <c r="I46" s="36"/>
      <c r="J46" s="36"/>
    </row>
    <row r="47" spans="1:10" x14ac:dyDescent="0.3">
      <c r="A47" s="36"/>
      <c r="D47" s="52"/>
      <c r="E47" s="52"/>
      <c r="F47" s="52"/>
      <c r="G47" s="52"/>
      <c r="H47" s="52"/>
      <c r="I47" s="36"/>
      <c r="J47" s="36"/>
    </row>
    <row r="48" spans="1:10" x14ac:dyDescent="0.3">
      <c r="A48" s="36"/>
      <c r="D48" s="52"/>
      <c r="E48" s="52"/>
      <c r="F48" s="52"/>
      <c r="G48" s="52"/>
      <c r="H48" s="52"/>
      <c r="I48" s="36"/>
      <c r="J48" s="36"/>
    </row>
    <row r="49" spans="1:10" x14ac:dyDescent="0.3">
      <c r="A49" s="36"/>
      <c r="D49" s="52"/>
      <c r="E49" s="52"/>
      <c r="F49" s="52"/>
      <c r="G49" s="52"/>
      <c r="H49" s="52"/>
      <c r="I49" s="36"/>
      <c r="J49" s="36"/>
    </row>
    <row r="50" spans="1:10" x14ac:dyDescent="0.3">
      <c r="A50" s="36"/>
      <c r="D50" s="52"/>
      <c r="E50" s="52"/>
      <c r="F50" s="52"/>
      <c r="G50" s="52"/>
      <c r="H50" s="52"/>
      <c r="I50" s="36"/>
      <c r="J50" s="36"/>
    </row>
    <row r="51" spans="1:10" x14ac:dyDescent="0.3">
      <c r="A51" s="36"/>
      <c r="D51" s="52"/>
      <c r="E51" s="52"/>
      <c r="F51" s="52"/>
      <c r="G51" s="52"/>
      <c r="H51" s="52"/>
      <c r="I51" s="36"/>
      <c r="J51" s="36"/>
    </row>
    <row r="52" spans="1:10" x14ac:dyDescent="0.3">
      <c r="A52" s="36"/>
      <c r="D52" s="52"/>
      <c r="E52" s="52"/>
      <c r="F52" s="52"/>
      <c r="G52" s="52"/>
      <c r="H52" s="52"/>
      <c r="I52" s="36"/>
      <c r="J52" s="36"/>
    </row>
    <row r="53" spans="1:10" x14ac:dyDescent="0.3">
      <c r="A53" s="36"/>
      <c r="D53" s="52"/>
      <c r="E53" s="52"/>
      <c r="F53" s="52"/>
      <c r="G53" s="52"/>
      <c r="H53" s="52"/>
      <c r="I53" s="36"/>
      <c r="J53" s="36"/>
    </row>
    <row r="54" spans="1:10" x14ac:dyDescent="0.3">
      <c r="A54" s="36"/>
      <c r="D54" s="52"/>
      <c r="E54" s="52"/>
      <c r="F54" s="52"/>
      <c r="G54" s="52"/>
      <c r="H54" s="52"/>
      <c r="I54" s="36"/>
      <c r="J54" s="36"/>
    </row>
    <row r="55" spans="1:10" x14ac:dyDescent="0.3">
      <c r="A55" s="36"/>
      <c r="D55" s="52"/>
      <c r="E55" s="52"/>
      <c r="F55" s="52"/>
      <c r="G55" s="52"/>
      <c r="H55" s="52"/>
      <c r="I55" s="36"/>
      <c r="J55" s="36"/>
    </row>
    <row r="56" spans="1:10" x14ac:dyDescent="0.3">
      <c r="A56" s="36"/>
      <c r="D56" s="52"/>
      <c r="E56" s="52"/>
      <c r="F56" s="52"/>
      <c r="G56" s="52"/>
      <c r="H56" s="52"/>
      <c r="I56" s="36"/>
      <c r="J56" s="36"/>
    </row>
    <row r="57" spans="1:10" x14ac:dyDescent="0.3">
      <c r="A57" s="51"/>
      <c r="B57" s="51" t="s">
        <v>34</v>
      </c>
      <c r="C57" s="51"/>
      <c r="D57" s="53">
        <f>SUM(D3:D56)</f>
        <v>0</v>
      </c>
      <c r="E57" s="53"/>
      <c r="F57" s="53"/>
      <c r="G57" s="53"/>
      <c r="H57" s="53"/>
      <c r="I57" s="51"/>
      <c r="J57" s="51"/>
    </row>
  </sheetData>
  <autoFilter ref="A2:J57" xr:uid="{6CFBC524-4DFC-416B-9428-CCA0CF8EDCE4}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1FBB-B3EB-43F9-AD69-924954C40398}">
  <dimension ref="A1:AT212"/>
  <sheetViews>
    <sheetView topLeftCell="AA1" zoomScale="80" zoomScaleNormal="80" workbookViewId="0">
      <selection activeCell="AD10" sqref="AD10"/>
    </sheetView>
  </sheetViews>
  <sheetFormatPr defaultRowHeight="14.4" x14ac:dyDescent="0.3"/>
  <cols>
    <col min="1" max="1" width="13.6640625" bestFit="1" customWidth="1"/>
    <col min="2" max="2" width="28.21875" bestFit="1" customWidth="1"/>
    <col min="3" max="3" width="32.6640625" bestFit="1" customWidth="1"/>
    <col min="4" max="4" width="14.88671875" bestFit="1" customWidth="1"/>
    <col min="5" max="7" width="24" bestFit="1" customWidth="1"/>
    <col min="8" max="8" width="27.77734375" bestFit="1" customWidth="1"/>
    <col min="9" max="10" width="27.21875" bestFit="1" customWidth="1"/>
    <col min="11" max="11" width="24.33203125" bestFit="1" customWidth="1"/>
    <col min="12" max="13" width="24.77734375" bestFit="1" customWidth="1"/>
    <col min="14" max="14" width="22.88671875" bestFit="1" customWidth="1"/>
    <col min="15" max="15" width="29" bestFit="1" customWidth="1"/>
    <col min="16" max="17" width="29.5546875" bestFit="1" customWidth="1"/>
    <col min="18" max="18" width="27.77734375" bestFit="1" customWidth="1"/>
    <col min="19" max="20" width="26" bestFit="1" customWidth="1"/>
    <col min="21" max="21" width="27.21875" bestFit="1" customWidth="1"/>
    <col min="22" max="23" width="32.6640625" bestFit="1" customWidth="1"/>
    <col min="24" max="24" width="33.44140625" bestFit="1" customWidth="1"/>
    <col min="25" max="25" width="25.33203125" bestFit="1" customWidth="1"/>
    <col min="26" max="26" width="23.109375" bestFit="1" customWidth="1"/>
    <col min="27" max="27" width="25.109375" bestFit="1" customWidth="1"/>
    <col min="28" max="28" width="29.44140625" bestFit="1" customWidth="1"/>
    <col min="29" max="29" width="22.88671875" bestFit="1" customWidth="1"/>
    <col min="30" max="30" width="31.21875" bestFit="1" customWidth="1"/>
    <col min="31" max="31" width="20.5546875" bestFit="1" customWidth="1"/>
    <col min="32" max="32" width="20.109375" bestFit="1" customWidth="1"/>
    <col min="33" max="34" width="20.5546875" bestFit="1" customWidth="1"/>
    <col min="35" max="36" width="20.88671875" bestFit="1" customWidth="1"/>
    <col min="37" max="37" width="20.109375" bestFit="1" customWidth="1"/>
    <col min="38" max="39" width="20.88671875" bestFit="1" customWidth="1"/>
    <col min="40" max="40" width="20.5546875" bestFit="1" customWidth="1"/>
    <col min="41" max="41" width="19.6640625" bestFit="1" customWidth="1"/>
    <col min="42" max="42" width="20.88671875" bestFit="1" customWidth="1"/>
    <col min="43" max="44" width="22.109375" bestFit="1" customWidth="1"/>
    <col min="45" max="45" width="79.6640625" bestFit="1" customWidth="1"/>
    <col min="46" max="46" width="5.5546875" bestFit="1" customWidth="1"/>
  </cols>
  <sheetData>
    <row r="1" spans="1:44" x14ac:dyDescent="0.3">
      <c r="I1" t="s">
        <v>29</v>
      </c>
      <c r="K1" t="s">
        <v>29</v>
      </c>
      <c r="Q1" t="s">
        <v>29</v>
      </c>
      <c r="R1" t="s">
        <v>29</v>
      </c>
    </row>
    <row r="2" spans="1:44" ht="15" thickBot="1" x14ac:dyDescent="0.35">
      <c r="K2" s="374" t="s">
        <v>1427</v>
      </c>
    </row>
    <row r="3" spans="1:44" ht="28.8" x14ac:dyDescent="0.3">
      <c r="A3" s="93" t="s">
        <v>32</v>
      </c>
      <c r="B3" s="94" t="s">
        <v>42</v>
      </c>
      <c r="C3" s="94" t="s">
        <v>25</v>
      </c>
      <c r="D3" s="94" t="s">
        <v>31</v>
      </c>
      <c r="E3" s="95" t="s">
        <v>33</v>
      </c>
      <c r="F3" s="95" t="s">
        <v>40</v>
      </c>
      <c r="G3" s="213" t="s">
        <v>41</v>
      </c>
      <c r="H3" s="95" t="s">
        <v>430</v>
      </c>
      <c r="I3" s="95" t="s">
        <v>431</v>
      </c>
      <c r="J3" s="95" t="s">
        <v>432</v>
      </c>
      <c r="K3" s="95" t="s">
        <v>24</v>
      </c>
      <c r="L3" s="95" t="s">
        <v>153</v>
      </c>
      <c r="M3" s="95" t="s">
        <v>154</v>
      </c>
      <c r="N3" s="95" t="s">
        <v>155</v>
      </c>
      <c r="O3" s="107" t="s">
        <v>419</v>
      </c>
      <c r="P3" s="107" t="s">
        <v>420</v>
      </c>
      <c r="Q3" s="107" t="s">
        <v>421</v>
      </c>
      <c r="R3" s="107" t="s">
        <v>422</v>
      </c>
      <c r="S3" s="95" t="s">
        <v>423</v>
      </c>
      <c r="T3" s="95" t="s">
        <v>424</v>
      </c>
      <c r="U3" s="107" t="s">
        <v>425</v>
      </c>
      <c r="V3" s="107" t="s">
        <v>426</v>
      </c>
      <c r="W3" s="107" t="s">
        <v>427</v>
      </c>
      <c r="X3" s="107" t="s">
        <v>428</v>
      </c>
      <c r="Y3" s="107" t="s">
        <v>437</v>
      </c>
      <c r="Z3" s="95" t="s">
        <v>418</v>
      </c>
      <c r="AA3" s="94" t="s">
        <v>22</v>
      </c>
      <c r="AB3" s="94" t="s">
        <v>23</v>
      </c>
      <c r="AC3" s="94" t="s">
        <v>35</v>
      </c>
      <c r="AD3" s="112" t="s">
        <v>36</v>
      </c>
      <c r="AE3" s="120">
        <v>44348</v>
      </c>
      <c r="AF3" s="121">
        <v>44378</v>
      </c>
      <c r="AG3" s="121">
        <v>44409</v>
      </c>
      <c r="AH3" s="121">
        <v>44440</v>
      </c>
      <c r="AI3" s="121">
        <v>44470</v>
      </c>
      <c r="AJ3" s="121">
        <v>44501</v>
      </c>
      <c r="AK3" s="121">
        <v>44531</v>
      </c>
      <c r="AL3" s="121">
        <v>44562</v>
      </c>
      <c r="AM3" s="121">
        <v>44593</v>
      </c>
      <c r="AN3" s="121">
        <v>44621</v>
      </c>
      <c r="AO3" s="121">
        <v>44652</v>
      </c>
      <c r="AP3" s="121">
        <v>44682</v>
      </c>
      <c r="AQ3" s="137">
        <v>44713</v>
      </c>
      <c r="AR3" s="141" t="s">
        <v>34</v>
      </c>
    </row>
    <row r="4" spans="1:44" x14ac:dyDescent="0.3">
      <c r="A4" s="96">
        <v>1</v>
      </c>
      <c r="B4" s="54" t="s">
        <v>50</v>
      </c>
      <c r="C4" s="90" t="s">
        <v>51</v>
      </c>
      <c r="D4" s="54">
        <v>1</v>
      </c>
      <c r="E4" s="91">
        <v>762514930.88999999</v>
      </c>
      <c r="F4" s="91">
        <v>11231782.74</v>
      </c>
      <c r="G4" s="91">
        <v>10972501.6</v>
      </c>
      <c r="H4" s="91">
        <f>SUM(E4:G4)</f>
        <v>784719215.23000002</v>
      </c>
      <c r="I4" s="91">
        <v>0</v>
      </c>
      <c r="J4" s="91">
        <v>0</v>
      </c>
      <c r="K4" s="30">
        <v>0</v>
      </c>
      <c r="L4" s="30"/>
      <c r="M4" s="30"/>
      <c r="N4" s="30">
        <f>SUM(K4:M4)</f>
        <v>0</v>
      </c>
      <c r="O4" s="30">
        <v>396000000</v>
      </c>
      <c r="P4" s="30">
        <v>0</v>
      </c>
      <c r="Q4" s="30">
        <v>0</v>
      </c>
      <c r="R4" s="30">
        <f t="shared" ref="R4:R35" si="0">SUM(O4:Q4)</f>
        <v>396000000</v>
      </c>
      <c r="S4" s="30">
        <v>0</v>
      </c>
      <c r="T4" s="30">
        <v>0</v>
      </c>
      <c r="U4" s="106">
        <f t="shared" ref="U4:U9" si="1">E4-K4-O4</f>
        <v>366514930.88999999</v>
      </c>
      <c r="V4" s="105">
        <f>F4+I4-P4-S4</f>
        <v>11231782.74</v>
      </c>
      <c r="W4" s="106">
        <f>G4+J4-M4-Q4-T4</f>
        <v>10972501.6</v>
      </c>
      <c r="X4" s="106">
        <f>SUM(U4:W4)</f>
        <v>388719215.23000002</v>
      </c>
      <c r="Y4" s="106">
        <v>1131000000</v>
      </c>
      <c r="Z4" s="30">
        <v>762514931</v>
      </c>
      <c r="AA4" s="29" t="s">
        <v>408</v>
      </c>
      <c r="AB4" s="54" t="s">
        <v>412</v>
      </c>
      <c r="AC4" s="29" t="s">
        <v>416</v>
      </c>
      <c r="AD4" s="113" t="s">
        <v>433</v>
      </c>
      <c r="AE4" s="132">
        <v>17052632</v>
      </c>
      <c r="AF4" s="30">
        <v>17052632</v>
      </c>
      <c r="AG4" s="30">
        <v>17052632</v>
      </c>
      <c r="AH4" s="30">
        <v>17052632</v>
      </c>
      <c r="AI4" s="30">
        <v>17052632</v>
      </c>
      <c r="AJ4" s="30">
        <v>17052632</v>
      </c>
      <c r="AK4" s="30">
        <v>17052632</v>
      </c>
      <c r="AL4" s="30">
        <v>17052632</v>
      </c>
      <c r="AM4" s="30">
        <v>17052632</v>
      </c>
      <c r="AN4" s="30">
        <v>17052632</v>
      </c>
      <c r="AO4" s="30">
        <v>17052632</v>
      </c>
      <c r="AP4" s="30">
        <f>U4-(SUM(AE4:AO4))</f>
        <v>178935978.88999999</v>
      </c>
      <c r="AQ4" s="138">
        <v>0</v>
      </c>
      <c r="AR4" s="142">
        <f>SUM(AE4:AQ4)</f>
        <v>366514930.88999999</v>
      </c>
    </row>
    <row r="5" spans="1:44" x14ac:dyDescent="0.3">
      <c r="A5" s="96">
        <v>2</v>
      </c>
      <c r="B5" s="54" t="s">
        <v>52</v>
      </c>
      <c r="C5" s="90" t="s">
        <v>53</v>
      </c>
      <c r="D5" s="54">
        <v>1</v>
      </c>
      <c r="E5" s="91">
        <v>75054323.900000006</v>
      </c>
      <c r="F5" s="91">
        <v>598573</v>
      </c>
      <c r="G5" s="91">
        <v>2966605.06</v>
      </c>
      <c r="H5" s="91">
        <f t="shared" ref="H5:H68" si="2">SUM(E5:G5)</f>
        <v>78619501.960000008</v>
      </c>
      <c r="I5" s="91">
        <v>28545351</v>
      </c>
      <c r="J5" s="91">
        <v>0</v>
      </c>
      <c r="K5" s="30">
        <v>9023</v>
      </c>
      <c r="L5" s="30"/>
      <c r="M5" s="30"/>
      <c r="N5" s="30">
        <f t="shared" ref="N5:N68" si="3">SUM(K5:M5)</f>
        <v>9023</v>
      </c>
      <c r="O5" s="30">
        <v>75045300.900000006</v>
      </c>
      <c r="P5" s="30">
        <v>29143924</v>
      </c>
      <c r="Q5" s="30">
        <v>2966605.06</v>
      </c>
      <c r="R5" s="30">
        <f t="shared" si="0"/>
        <v>107155829.96000001</v>
      </c>
      <c r="S5" s="30">
        <v>0</v>
      </c>
      <c r="T5" s="30">
        <v>0</v>
      </c>
      <c r="U5" s="106">
        <f t="shared" si="1"/>
        <v>0</v>
      </c>
      <c r="V5" s="105">
        <f t="shared" ref="V5:V68" si="4">F5+I5-P5-S5</f>
        <v>0</v>
      </c>
      <c r="W5" s="106">
        <f t="shared" ref="W5:W68" si="5">G5+J5-M5-Q5-T5</f>
        <v>0</v>
      </c>
      <c r="X5" s="106">
        <f t="shared" ref="X5:X68" si="6">SUM(U5:W5)</f>
        <v>0</v>
      </c>
      <c r="Y5" s="106">
        <v>131000000</v>
      </c>
      <c r="Z5" s="30">
        <v>75045301</v>
      </c>
      <c r="AA5" s="29" t="s">
        <v>408</v>
      </c>
      <c r="AB5" s="54" t="s">
        <v>412</v>
      </c>
      <c r="AC5" s="29" t="s">
        <v>417</v>
      </c>
      <c r="AD5" s="113" t="s">
        <v>433</v>
      </c>
      <c r="AE5" s="132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138">
        <v>0</v>
      </c>
      <c r="AR5" s="142">
        <f t="shared" ref="AR5:AR68" si="7">SUM(AE5:AQ5)</f>
        <v>0</v>
      </c>
    </row>
    <row r="6" spans="1:44" s="131" customFormat="1" x14ac:dyDescent="0.3">
      <c r="A6" s="122">
        <v>3</v>
      </c>
      <c r="B6" s="123" t="s">
        <v>54</v>
      </c>
      <c r="C6" s="124" t="s">
        <v>429</v>
      </c>
      <c r="D6" s="123">
        <v>1</v>
      </c>
      <c r="E6" s="125">
        <v>57660605.07</v>
      </c>
      <c r="F6" s="125">
        <v>1365896</v>
      </c>
      <c r="G6" s="125">
        <v>10489875</v>
      </c>
      <c r="H6" s="125">
        <f t="shared" si="2"/>
        <v>69516376.069999993</v>
      </c>
      <c r="I6" s="125">
        <v>11705101</v>
      </c>
      <c r="J6" s="125">
        <v>10215385</v>
      </c>
      <c r="K6" s="126">
        <v>8051</v>
      </c>
      <c r="L6" s="30"/>
      <c r="M6" s="30"/>
      <c r="N6" s="30">
        <f t="shared" si="3"/>
        <v>8051</v>
      </c>
      <c r="O6" s="126">
        <f>57660605.07-8051</f>
        <v>57652554.07</v>
      </c>
      <c r="P6" s="126">
        <v>13070997</v>
      </c>
      <c r="Q6" s="126">
        <v>20705260</v>
      </c>
      <c r="R6" s="126">
        <f t="shared" si="0"/>
        <v>91428811.069999993</v>
      </c>
      <c r="S6" s="126">
        <v>0</v>
      </c>
      <c r="T6" s="126">
        <v>0</v>
      </c>
      <c r="U6" s="127">
        <f t="shared" si="1"/>
        <v>0</v>
      </c>
      <c r="V6" s="128">
        <f t="shared" si="4"/>
        <v>0</v>
      </c>
      <c r="W6" s="127">
        <f t="shared" si="5"/>
        <v>0</v>
      </c>
      <c r="X6" s="127">
        <f t="shared" si="6"/>
        <v>0</v>
      </c>
      <c r="Y6" s="127">
        <v>0</v>
      </c>
      <c r="Z6" s="126">
        <v>57652554</v>
      </c>
      <c r="AA6" s="129" t="s">
        <v>408</v>
      </c>
      <c r="AB6" s="123" t="s">
        <v>412</v>
      </c>
      <c r="AC6" s="129" t="s">
        <v>417</v>
      </c>
      <c r="AD6" s="130" t="s">
        <v>434</v>
      </c>
      <c r="AE6" s="134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39">
        <v>0</v>
      </c>
      <c r="AR6" s="210">
        <f t="shared" si="7"/>
        <v>0</v>
      </c>
    </row>
    <row r="7" spans="1:44" x14ac:dyDescent="0.3">
      <c r="A7" s="96">
        <v>4</v>
      </c>
      <c r="B7" s="54" t="s">
        <v>55</v>
      </c>
      <c r="C7" s="90" t="s">
        <v>56</v>
      </c>
      <c r="D7" s="54">
        <v>1</v>
      </c>
      <c r="E7" s="91">
        <v>47930622.310000002</v>
      </c>
      <c r="F7" s="91">
        <v>263618</v>
      </c>
      <c r="G7" s="91">
        <v>0</v>
      </c>
      <c r="H7" s="91">
        <f t="shared" si="2"/>
        <v>48194240.310000002</v>
      </c>
      <c r="I7" s="91">
        <v>95862</v>
      </c>
      <c r="J7" s="91">
        <v>2412898</v>
      </c>
      <c r="K7" s="30">
        <v>0</v>
      </c>
      <c r="L7" s="30"/>
      <c r="M7" s="30"/>
      <c r="N7" s="30">
        <f t="shared" si="3"/>
        <v>0</v>
      </c>
      <c r="O7" s="30">
        <v>47930622.310000002</v>
      </c>
      <c r="P7" s="30">
        <v>359480</v>
      </c>
      <c r="Q7" s="30">
        <v>2412898</v>
      </c>
      <c r="R7" s="30">
        <f t="shared" si="0"/>
        <v>50703000.310000002</v>
      </c>
      <c r="S7" s="30">
        <v>0</v>
      </c>
      <c r="T7" s="30">
        <v>0</v>
      </c>
      <c r="U7" s="106">
        <f t="shared" si="1"/>
        <v>0</v>
      </c>
      <c r="V7" s="105">
        <f t="shared" si="4"/>
        <v>0</v>
      </c>
      <c r="W7" s="106">
        <f t="shared" si="5"/>
        <v>0</v>
      </c>
      <c r="X7" s="106">
        <f t="shared" si="6"/>
        <v>0</v>
      </c>
      <c r="Y7" s="106">
        <v>0</v>
      </c>
      <c r="Z7" s="30">
        <v>47930622</v>
      </c>
      <c r="AA7" s="29" t="s">
        <v>408</v>
      </c>
      <c r="AB7" s="54" t="s">
        <v>412</v>
      </c>
      <c r="AC7" s="29" t="s">
        <v>417</v>
      </c>
      <c r="AD7" s="113" t="s">
        <v>434</v>
      </c>
      <c r="AE7" s="132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138">
        <v>0</v>
      </c>
      <c r="AR7" s="142">
        <f t="shared" si="7"/>
        <v>0</v>
      </c>
    </row>
    <row r="8" spans="1:44" x14ac:dyDescent="0.3">
      <c r="A8" s="96">
        <v>5</v>
      </c>
      <c r="B8" s="54" t="s">
        <v>57</v>
      </c>
      <c r="C8" s="90" t="s">
        <v>58</v>
      </c>
      <c r="D8" s="54">
        <v>1</v>
      </c>
      <c r="E8" s="91">
        <v>661487869.29999995</v>
      </c>
      <c r="F8" s="91">
        <v>12237526</v>
      </c>
      <c r="G8" s="91">
        <v>82574662</v>
      </c>
      <c r="H8" s="91">
        <f t="shared" si="2"/>
        <v>756300057.29999995</v>
      </c>
      <c r="I8" s="91">
        <v>12035228</v>
      </c>
      <c r="J8" s="91">
        <v>1146508</v>
      </c>
      <c r="K8" s="30">
        <v>0</v>
      </c>
      <c r="L8" s="30"/>
      <c r="M8" s="30"/>
      <c r="N8" s="30">
        <f t="shared" si="3"/>
        <v>0</v>
      </c>
      <c r="O8" s="30">
        <v>661487869.29999995</v>
      </c>
      <c r="P8" s="30">
        <v>24272754</v>
      </c>
      <c r="Q8" s="30">
        <v>83721170</v>
      </c>
      <c r="R8" s="30">
        <f t="shared" si="0"/>
        <v>769481793.29999995</v>
      </c>
      <c r="S8" s="30">
        <v>0</v>
      </c>
      <c r="T8" s="30">
        <v>0</v>
      </c>
      <c r="U8" s="106">
        <f t="shared" si="1"/>
        <v>0</v>
      </c>
      <c r="V8" s="105">
        <f t="shared" si="4"/>
        <v>0</v>
      </c>
      <c r="W8" s="106">
        <f t="shared" si="5"/>
        <v>0</v>
      </c>
      <c r="X8" s="106">
        <f t="shared" si="6"/>
        <v>0</v>
      </c>
      <c r="Y8" s="106">
        <v>0</v>
      </c>
      <c r="Z8" s="30">
        <v>661487869</v>
      </c>
      <c r="AA8" s="29" t="s">
        <v>408</v>
      </c>
      <c r="AB8" s="54" t="s">
        <v>412</v>
      </c>
      <c r="AC8" s="29" t="s">
        <v>417</v>
      </c>
      <c r="AD8" s="113" t="s">
        <v>434</v>
      </c>
      <c r="AE8" s="132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138">
        <v>0</v>
      </c>
      <c r="AR8" s="142">
        <f t="shared" si="7"/>
        <v>0</v>
      </c>
    </row>
    <row r="9" spans="1:44" x14ac:dyDescent="0.3">
      <c r="A9" s="96">
        <v>6</v>
      </c>
      <c r="B9" s="54" t="s">
        <v>59</v>
      </c>
      <c r="C9" s="90" t="s">
        <v>60</v>
      </c>
      <c r="D9" s="54">
        <v>1</v>
      </c>
      <c r="E9" s="91">
        <v>164710439.44999999</v>
      </c>
      <c r="F9" s="91">
        <v>1422000</v>
      </c>
      <c r="G9" s="91">
        <v>0</v>
      </c>
      <c r="H9" s="91">
        <f t="shared" si="2"/>
        <v>166132439.44999999</v>
      </c>
      <c r="I9" s="91">
        <v>6483419</v>
      </c>
      <c r="J9" s="91">
        <v>6000</v>
      </c>
      <c r="K9" s="30">
        <v>20738744</v>
      </c>
      <c r="L9" s="30"/>
      <c r="M9" s="30"/>
      <c r="N9" s="30">
        <f t="shared" si="3"/>
        <v>20738744</v>
      </c>
      <c r="O9" s="30">
        <v>143971695.44999999</v>
      </c>
      <c r="P9" s="30">
        <v>7905419</v>
      </c>
      <c r="Q9" s="30">
        <v>6000</v>
      </c>
      <c r="R9" s="30">
        <f t="shared" si="0"/>
        <v>151883114.44999999</v>
      </c>
      <c r="S9" s="30">
        <v>0</v>
      </c>
      <c r="T9" s="30">
        <v>0</v>
      </c>
      <c r="U9" s="106">
        <f t="shared" si="1"/>
        <v>0</v>
      </c>
      <c r="V9" s="105">
        <f t="shared" si="4"/>
        <v>0</v>
      </c>
      <c r="W9" s="106">
        <f t="shared" si="5"/>
        <v>0</v>
      </c>
      <c r="X9" s="106">
        <f t="shared" si="6"/>
        <v>0</v>
      </c>
      <c r="Y9" s="106">
        <v>0</v>
      </c>
      <c r="Z9" s="30">
        <v>143971695</v>
      </c>
      <c r="AA9" s="29" t="s">
        <v>408</v>
      </c>
      <c r="AB9" s="54" t="s">
        <v>412</v>
      </c>
      <c r="AC9" s="29" t="s">
        <v>417</v>
      </c>
      <c r="AD9" s="113" t="s">
        <v>434</v>
      </c>
      <c r="AE9" s="132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138">
        <v>0</v>
      </c>
      <c r="AR9" s="142">
        <f t="shared" si="7"/>
        <v>0</v>
      </c>
    </row>
    <row r="10" spans="1:44" x14ac:dyDescent="0.3">
      <c r="A10" s="96">
        <v>7</v>
      </c>
      <c r="B10" s="54" t="s">
        <v>61</v>
      </c>
      <c r="C10" s="90" t="s">
        <v>62</v>
      </c>
      <c r="D10" s="54">
        <v>1</v>
      </c>
      <c r="E10" s="91">
        <v>38800844.469999999</v>
      </c>
      <c r="F10" s="91">
        <v>206937.72</v>
      </c>
      <c r="G10" s="91">
        <v>0</v>
      </c>
      <c r="H10" s="91">
        <f t="shared" si="2"/>
        <v>39007782.189999998</v>
      </c>
      <c r="I10" s="91">
        <v>0</v>
      </c>
      <c r="J10" s="91">
        <v>0</v>
      </c>
      <c r="K10" s="30">
        <v>0</v>
      </c>
      <c r="L10" s="30"/>
      <c r="M10" s="30"/>
      <c r="N10" s="30">
        <f t="shared" si="3"/>
        <v>0</v>
      </c>
      <c r="O10" s="30">
        <v>24527180</v>
      </c>
      <c r="P10" s="30">
        <v>0</v>
      </c>
      <c r="Q10" s="30">
        <v>0</v>
      </c>
      <c r="R10" s="30">
        <f t="shared" si="0"/>
        <v>24527180</v>
      </c>
      <c r="S10" s="30">
        <v>0</v>
      </c>
      <c r="T10" s="30">
        <v>0</v>
      </c>
      <c r="U10" s="106">
        <f t="shared" ref="U10:U68" si="8">E10-K10-O10</f>
        <v>14273664.469999999</v>
      </c>
      <c r="V10" s="105">
        <f t="shared" si="4"/>
        <v>206937.72</v>
      </c>
      <c r="W10" s="106">
        <f t="shared" si="5"/>
        <v>0</v>
      </c>
      <c r="X10" s="106">
        <f t="shared" si="6"/>
        <v>14480602.189999999</v>
      </c>
      <c r="Y10" s="106">
        <v>477000000</v>
      </c>
      <c r="Z10" s="30">
        <v>38800844.312677257</v>
      </c>
      <c r="AA10" s="29" t="s">
        <v>408</v>
      </c>
      <c r="AB10" s="54" t="s">
        <v>412</v>
      </c>
      <c r="AC10" s="29" t="s">
        <v>416</v>
      </c>
      <c r="AD10" s="113" t="s">
        <v>435</v>
      </c>
      <c r="AE10" s="132">
        <v>1044302</v>
      </c>
      <c r="AF10" s="30">
        <v>1044302</v>
      </c>
      <c r="AG10" s="30">
        <v>1044302</v>
      </c>
      <c r="AH10" s="30">
        <v>1044302</v>
      </c>
      <c r="AI10" s="30">
        <v>1044302</v>
      </c>
      <c r="AJ10" s="30">
        <v>1044302</v>
      </c>
      <c r="AK10" s="30">
        <v>1044302</v>
      </c>
      <c r="AL10" s="30">
        <v>1044302</v>
      </c>
      <c r="AM10" s="30">
        <v>1044302</v>
      </c>
      <c r="AN10" s="30">
        <v>1044302</v>
      </c>
      <c r="AO10" s="30">
        <v>1044302</v>
      </c>
      <c r="AP10" s="30">
        <f>U10-(SUM(AE10:AO10))</f>
        <v>2786342.4699999988</v>
      </c>
      <c r="AQ10" s="138">
        <v>0</v>
      </c>
      <c r="AR10" s="142">
        <f t="shared" si="7"/>
        <v>14273664.469999999</v>
      </c>
    </row>
    <row r="11" spans="1:44" s="131" customFormat="1" x14ac:dyDescent="0.3">
      <c r="A11" s="122">
        <v>8</v>
      </c>
      <c r="B11" s="123" t="s">
        <v>63</v>
      </c>
      <c r="C11" s="124" t="s">
        <v>64</v>
      </c>
      <c r="D11" s="123">
        <v>1</v>
      </c>
      <c r="E11" s="125">
        <v>35148499.759999998</v>
      </c>
      <c r="F11" s="125">
        <v>171837</v>
      </c>
      <c r="G11" s="125">
        <v>0</v>
      </c>
      <c r="H11" s="125">
        <f t="shared" si="2"/>
        <v>35320336.759999998</v>
      </c>
      <c r="I11" s="91">
        <v>5686809</v>
      </c>
      <c r="J11" s="91">
        <v>0</v>
      </c>
      <c r="K11" s="126">
        <v>84346</v>
      </c>
      <c r="L11" s="126"/>
      <c r="M11" s="126"/>
      <c r="N11" s="126">
        <f t="shared" si="3"/>
        <v>84346</v>
      </c>
      <c r="O11" s="126">
        <f>35061583.76+2570</f>
        <v>35064153.759999998</v>
      </c>
      <c r="P11" s="30">
        <v>5858646</v>
      </c>
      <c r="Q11" s="30">
        <v>0</v>
      </c>
      <c r="R11" s="126">
        <f t="shared" si="0"/>
        <v>40922799.759999998</v>
      </c>
      <c r="S11" s="30">
        <v>0</v>
      </c>
      <c r="T11" s="30">
        <v>0</v>
      </c>
      <c r="U11" s="106">
        <f>E11-K11-O11</f>
        <v>0</v>
      </c>
      <c r="V11" s="105">
        <f t="shared" si="4"/>
        <v>0</v>
      </c>
      <c r="W11" s="127">
        <f t="shared" si="5"/>
        <v>0</v>
      </c>
      <c r="X11" s="127">
        <f t="shared" si="6"/>
        <v>0</v>
      </c>
      <c r="Y11" s="127">
        <v>0</v>
      </c>
      <c r="Z11" s="126">
        <v>13014860</v>
      </c>
      <c r="AA11" s="129" t="s">
        <v>408</v>
      </c>
      <c r="AB11" s="123" t="s">
        <v>414</v>
      </c>
      <c r="AC11" s="129" t="s">
        <v>417</v>
      </c>
      <c r="AD11" s="130" t="s">
        <v>435</v>
      </c>
      <c r="AE11" s="134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39">
        <v>0</v>
      </c>
      <c r="AR11" s="142">
        <f t="shared" si="7"/>
        <v>0</v>
      </c>
    </row>
    <row r="12" spans="1:44" x14ac:dyDescent="0.3">
      <c r="A12" s="96">
        <v>9</v>
      </c>
      <c r="B12" s="54" t="s">
        <v>65</v>
      </c>
      <c r="C12" s="90" t="s">
        <v>62</v>
      </c>
      <c r="D12" s="54">
        <v>1</v>
      </c>
      <c r="E12" s="91">
        <v>25560630.690000001</v>
      </c>
      <c r="F12" s="91">
        <v>11360.28</v>
      </c>
      <c r="G12" s="91">
        <v>0</v>
      </c>
      <c r="H12" s="91">
        <f t="shared" si="2"/>
        <v>25571990.970000003</v>
      </c>
      <c r="I12" s="91">
        <v>0</v>
      </c>
      <c r="J12" s="91">
        <v>0</v>
      </c>
      <c r="K12" s="30">
        <v>0.35219068493006489</v>
      </c>
      <c r="L12" s="30"/>
      <c r="M12" s="30"/>
      <c r="N12" s="30">
        <f t="shared" si="3"/>
        <v>0.35219068493006489</v>
      </c>
      <c r="O12" s="30">
        <v>12442231</v>
      </c>
      <c r="P12" s="30">
        <v>0</v>
      </c>
      <c r="Q12" s="30">
        <v>0</v>
      </c>
      <c r="R12" s="30">
        <f t="shared" si="0"/>
        <v>12442231</v>
      </c>
      <c r="S12" s="30">
        <v>0</v>
      </c>
      <c r="T12" s="30">
        <v>0</v>
      </c>
      <c r="U12" s="106">
        <f t="shared" si="8"/>
        <v>13118399.337809317</v>
      </c>
      <c r="V12" s="105">
        <f t="shared" si="4"/>
        <v>11360.28</v>
      </c>
      <c r="W12" s="106">
        <f t="shared" si="5"/>
        <v>0</v>
      </c>
      <c r="X12" s="106">
        <f t="shared" si="6"/>
        <v>13129759.617809316</v>
      </c>
      <c r="Y12" s="106">
        <v>0</v>
      </c>
      <c r="Z12" s="30">
        <v>6589591.6478093155</v>
      </c>
      <c r="AA12" s="29" t="s">
        <v>408</v>
      </c>
      <c r="AB12" s="54" t="s">
        <v>412</v>
      </c>
      <c r="AC12" s="29" t="s">
        <v>416</v>
      </c>
      <c r="AD12" s="113" t="s">
        <v>435</v>
      </c>
      <c r="AE12" s="132">
        <v>517853.21052631579</v>
      </c>
      <c r="AF12" s="30">
        <v>517853.21052631579</v>
      </c>
      <c r="AG12" s="30">
        <v>517853.21052631579</v>
      </c>
      <c r="AH12" s="30">
        <v>517853.21052631579</v>
      </c>
      <c r="AI12" s="30">
        <v>517853.21052631579</v>
      </c>
      <c r="AJ12" s="30">
        <v>517853.21052631579</v>
      </c>
      <c r="AK12" s="30">
        <v>517853.21052631579</v>
      </c>
      <c r="AL12" s="30">
        <v>517853.21052631579</v>
      </c>
      <c r="AM12" s="30">
        <v>517853.21052631579</v>
      </c>
      <c r="AN12" s="30">
        <v>517853.21052631579</v>
      </c>
      <c r="AO12" s="30">
        <v>517853.21052631579</v>
      </c>
      <c r="AP12" s="30">
        <f>U12-(SUM(AE12:AO12))</f>
        <v>7422014.0220198436</v>
      </c>
      <c r="AQ12" s="138">
        <v>0</v>
      </c>
      <c r="AR12" s="142">
        <f t="shared" si="7"/>
        <v>13118399.337809317</v>
      </c>
    </row>
    <row r="13" spans="1:44" x14ac:dyDescent="0.3">
      <c r="A13" s="96">
        <v>10</v>
      </c>
      <c r="B13" s="54" t="s">
        <v>66</v>
      </c>
      <c r="C13" s="90" t="s">
        <v>67</v>
      </c>
      <c r="D13" s="54">
        <v>1</v>
      </c>
      <c r="E13" s="91">
        <v>741259689.72000003</v>
      </c>
      <c r="F13" s="91">
        <v>6486022.2000000002</v>
      </c>
      <c r="G13" s="91">
        <v>221818.86</v>
      </c>
      <c r="H13" s="91">
        <f t="shared" si="2"/>
        <v>747967530.78000009</v>
      </c>
      <c r="I13" s="91">
        <v>0</v>
      </c>
      <c r="J13" s="91">
        <v>0</v>
      </c>
      <c r="K13" s="30">
        <v>9023</v>
      </c>
      <c r="L13" s="30"/>
      <c r="M13" s="30"/>
      <c r="N13" s="30">
        <f t="shared" si="3"/>
        <v>9023</v>
      </c>
      <c r="O13" s="30">
        <v>139109592</v>
      </c>
      <c r="P13" s="30">
        <v>0</v>
      </c>
      <c r="Q13" s="30">
        <v>0</v>
      </c>
      <c r="R13" s="30">
        <f t="shared" si="0"/>
        <v>139109592</v>
      </c>
      <c r="S13" s="30">
        <v>0</v>
      </c>
      <c r="T13" s="30">
        <v>0</v>
      </c>
      <c r="U13" s="106">
        <f t="shared" si="8"/>
        <v>602141074.72000003</v>
      </c>
      <c r="V13" s="105">
        <f t="shared" si="4"/>
        <v>6486022.2000000002</v>
      </c>
      <c r="W13" s="106">
        <f t="shared" si="5"/>
        <v>221818.86</v>
      </c>
      <c r="X13" s="106">
        <f t="shared" si="6"/>
        <v>608848915.78000009</v>
      </c>
      <c r="Y13" s="106">
        <v>1220000000</v>
      </c>
      <c r="Z13" s="30">
        <v>741250667</v>
      </c>
      <c r="AA13" s="29" t="s">
        <v>408</v>
      </c>
      <c r="AB13" s="54" t="s">
        <v>412</v>
      </c>
      <c r="AC13" s="29" t="s">
        <v>416</v>
      </c>
      <c r="AD13" s="113" t="s">
        <v>434</v>
      </c>
      <c r="AE13" s="132"/>
      <c r="AF13" s="30">
        <v>608848915.78000009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138">
        <v>0</v>
      </c>
      <c r="AR13" s="142">
        <f t="shared" si="7"/>
        <v>608848915.78000009</v>
      </c>
    </row>
    <row r="14" spans="1:44" x14ac:dyDescent="0.3">
      <c r="A14" s="96">
        <v>11</v>
      </c>
      <c r="B14" s="54" t="s">
        <v>68</v>
      </c>
      <c r="C14" s="90" t="s">
        <v>69</v>
      </c>
      <c r="D14" s="54">
        <v>1</v>
      </c>
      <c r="E14" s="91">
        <v>3970117.94</v>
      </c>
      <c r="F14" s="91">
        <v>31761</v>
      </c>
      <c r="G14" s="91">
        <v>0</v>
      </c>
      <c r="H14" s="91">
        <f t="shared" si="2"/>
        <v>4001878.94</v>
      </c>
      <c r="I14" s="91">
        <v>404796</v>
      </c>
      <c r="J14" s="91">
        <v>0</v>
      </c>
      <c r="K14" s="30">
        <v>35351</v>
      </c>
      <c r="L14" s="30"/>
      <c r="M14" s="30"/>
      <c r="N14" s="30">
        <f t="shared" si="3"/>
        <v>35351</v>
      </c>
      <c r="O14" s="30">
        <v>3934766.9400000004</v>
      </c>
      <c r="P14" s="30">
        <v>436557</v>
      </c>
      <c r="Q14" s="30">
        <v>0</v>
      </c>
      <c r="R14" s="30">
        <f t="shared" si="0"/>
        <v>4371323.9400000004</v>
      </c>
      <c r="S14" s="30">
        <v>0</v>
      </c>
      <c r="T14" s="30">
        <v>0</v>
      </c>
      <c r="U14" s="106">
        <f t="shared" si="8"/>
        <v>0</v>
      </c>
      <c r="V14" s="105">
        <f t="shared" si="4"/>
        <v>0</v>
      </c>
      <c r="W14" s="106">
        <f t="shared" si="5"/>
        <v>0</v>
      </c>
      <c r="X14" s="106">
        <f t="shared" si="6"/>
        <v>0</v>
      </c>
      <c r="Y14" s="106">
        <v>0</v>
      </c>
      <c r="Z14" s="30">
        <v>1175116</v>
      </c>
      <c r="AA14" s="29" t="s">
        <v>409</v>
      </c>
      <c r="AB14" s="54" t="s">
        <v>414</v>
      </c>
      <c r="AC14" s="29" t="s">
        <v>417</v>
      </c>
      <c r="AD14" s="113" t="s">
        <v>435</v>
      </c>
      <c r="AE14" s="132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138">
        <v>0</v>
      </c>
      <c r="AR14" s="142">
        <f t="shared" si="7"/>
        <v>0</v>
      </c>
    </row>
    <row r="15" spans="1:44" x14ac:dyDescent="0.3">
      <c r="A15" s="96">
        <v>12</v>
      </c>
      <c r="B15" s="54" t="s">
        <v>70</v>
      </c>
      <c r="C15" s="90" t="s">
        <v>71</v>
      </c>
      <c r="D15" s="54">
        <v>1</v>
      </c>
      <c r="E15" s="91">
        <v>8170422.3799999999</v>
      </c>
      <c r="F15" s="91">
        <v>72626</v>
      </c>
      <c r="G15" s="91">
        <v>0</v>
      </c>
      <c r="H15" s="91">
        <f t="shared" si="2"/>
        <v>8243048.3799999999</v>
      </c>
      <c r="I15" s="91">
        <v>1439405</v>
      </c>
      <c r="J15" s="91">
        <v>0</v>
      </c>
      <c r="K15" s="30">
        <v>30699</v>
      </c>
      <c r="L15" s="30"/>
      <c r="M15" s="30"/>
      <c r="N15" s="30">
        <f t="shared" si="3"/>
        <v>30699</v>
      </c>
      <c r="O15" s="30">
        <v>8139723.3799999999</v>
      </c>
      <c r="P15" s="30">
        <v>1512031</v>
      </c>
      <c r="Q15" s="30">
        <v>0</v>
      </c>
      <c r="R15" s="30">
        <f t="shared" si="0"/>
        <v>9651754.379999999</v>
      </c>
      <c r="S15" s="30">
        <v>0</v>
      </c>
      <c r="T15" s="30">
        <v>0</v>
      </c>
      <c r="U15" s="106">
        <f t="shared" si="8"/>
        <v>0</v>
      </c>
      <c r="V15" s="105">
        <f t="shared" si="4"/>
        <v>0</v>
      </c>
      <c r="W15" s="106">
        <f t="shared" si="5"/>
        <v>0</v>
      </c>
      <c r="X15" s="106">
        <f t="shared" si="6"/>
        <v>0</v>
      </c>
      <c r="Y15" s="106">
        <v>0</v>
      </c>
      <c r="Z15" s="30">
        <v>5273550</v>
      </c>
      <c r="AA15" s="29" t="s">
        <v>409</v>
      </c>
      <c r="AB15" s="54" t="s">
        <v>414</v>
      </c>
      <c r="AC15" s="29" t="s">
        <v>417</v>
      </c>
      <c r="AD15" s="113" t="s">
        <v>435</v>
      </c>
      <c r="AE15" s="132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138">
        <v>0</v>
      </c>
      <c r="AR15" s="142">
        <f t="shared" si="7"/>
        <v>0</v>
      </c>
    </row>
    <row r="16" spans="1:44" x14ac:dyDescent="0.3">
      <c r="A16" s="96">
        <v>13</v>
      </c>
      <c r="B16" s="54" t="s">
        <v>72</v>
      </c>
      <c r="C16" s="90" t="s">
        <v>73</v>
      </c>
      <c r="D16" s="54">
        <v>1</v>
      </c>
      <c r="E16" s="91">
        <v>566665227.69000006</v>
      </c>
      <c r="F16" s="91">
        <v>8074979</v>
      </c>
      <c r="G16" s="91">
        <v>0</v>
      </c>
      <c r="H16" s="91">
        <f t="shared" si="2"/>
        <v>574740206.69000006</v>
      </c>
      <c r="I16" s="91">
        <v>41922585</v>
      </c>
      <c r="J16" s="91">
        <v>64294</v>
      </c>
      <c r="K16" s="30">
        <v>34315042</v>
      </c>
      <c r="L16" s="30"/>
      <c r="M16" s="30"/>
      <c r="N16" s="30">
        <f t="shared" si="3"/>
        <v>34315042</v>
      </c>
      <c r="O16" s="30">
        <v>532350185.69000006</v>
      </c>
      <c r="P16" s="30">
        <v>49997564</v>
      </c>
      <c r="Q16" s="30">
        <v>64294</v>
      </c>
      <c r="R16" s="30">
        <f t="shared" si="0"/>
        <v>582412043.69000006</v>
      </c>
      <c r="S16" s="30">
        <v>0</v>
      </c>
      <c r="T16" s="30">
        <v>0</v>
      </c>
      <c r="U16" s="106">
        <f t="shared" si="8"/>
        <v>0</v>
      </c>
      <c r="V16" s="105">
        <f t="shared" si="4"/>
        <v>0</v>
      </c>
      <c r="W16" s="106">
        <f t="shared" si="5"/>
        <v>0</v>
      </c>
      <c r="X16" s="106">
        <f t="shared" si="6"/>
        <v>0</v>
      </c>
      <c r="Y16" s="106">
        <v>0</v>
      </c>
      <c r="Z16" s="30">
        <v>532350186</v>
      </c>
      <c r="AA16" s="29" t="s">
        <v>408</v>
      </c>
      <c r="AB16" s="54" t="s">
        <v>412</v>
      </c>
      <c r="AC16" s="29" t="s">
        <v>417</v>
      </c>
      <c r="AD16" s="113" t="s">
        <v>434</v>
      </c>
      <c r="AE16" s="132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138">
        <v>0</v>
      </c>
      <c r="AR16" s="142">
        <f t="shared" si="7"/>
        <v>0</v>
      </c>
    </row>
    <row r="17" spans="1:46" x14ac:dyDescent="0.3">
      <c r="A17" s="96">
        <v>14</v>
      </c>
      <c r="B17" s="54" t="s">
        <v>74</v>
      </c>
      <c r="C17" s="90" t="s">
        <v>75</v>
      </c>
      <c r="D17" s="54">
        <v>1</v>
      </c>
      <c r="E17" s="91">
        <v>16340836.380000001</v>
      </c>
      <c r="F17" s="91">
        <v>137989</v>
      </c>
      <c r="G17" s="91">
        <v>0</v>
      </c>
      <c r="H17" s="91">
        <f t="shared" si="2"/>
        <v>16478825.380000001</v>
      </c>
      <c r="I17" s="91">
        <v>2772161</v>
      </c>
      <c r="J17" s="91">
        <v>0</v>
      </c>
      <c r="K17" s="30">
        <v>56496</v>
      </c>
      <c r="L17" s="30"/>
      <c r="M17" s="30"/>
      <c r="N17" s="30">
        <f t="shared" si="3"/>
        <v>56496</v>
      </c>
      <c r="O17" s="30">
        <v>16284340.380000001</v>
      </c>
      <c r="P17" s="30">
        <v>2910150</v>
      </c>
      <c r="Q17" s="30">
        <v>0</v>
      </c>
      <c r="R17" s="30">
        <f t="shared" si="0"/>
        <v>19194490.380000003</v>
      </c>
      <c r="S17" s="30">
        <v>0</v>
      </c>
      <c r="T17" s="30">
        <v>0</v>
      </c>
      <c r="U17" s="106">
        <f t="shared" si="8"/>
        <v>0</v>
      </c>
      <c r="V17" s="105">
        <f t="shared" si="4"/>
        <v>0</v>
      </c>
      <c r="W17" s="106">
        <f t="shared" si="5"/>
        <v>0</v>
      </c>
      <c r="X17" s="106">
        <f t="shared" si="6"/>
        <v>0</v>
      </c>
      <c r="Y17" s="106">
        <v>0</v>
      </c>
      <c r="Z17" s="30">
        <v>7670128</v>
      </c>
      <c r="AA17" s="29" t="s">
        <v>409</v>
      </c>
      <c r="AB17" s="54" t="s">
        <v>414</v>
      </c>
      <c r="AC17" s="29" t="s">
        <v>417</v>
      </c>
      <c r="AD17" s="113" t="s">
        <v>435</v>
      </c>
      <c r="AE17" s="132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138">
        <v>0</v>
      </c>
      <c r="AR17" s="142">
        <f t="shared" si="7"/>
        <v>0</v>
      </c>
    </row>
    <row r="18" spans="1:46" x14ac:dyDescent="0.3">
      <c r="A18" s="96">
        <v>15</v>
      </c>
      <c r="B18" s="54" t="s">
        <v>76</v>
      </c>
      <c r="C18" s="90" t="s">
        <v>77</v>
      </c>
      <c r="D18" s="54">
        <v>1</v>
      </c>
      <c r="E18" s="91">
        <v>72632799.989999995</v>
      </c>
      <c r="F18" s="91">
        <v>355093.64</v>
      </c>
      <c r="G18" s="91">
        <v>0</v>
      </c>
      <c r="H18" s="91">
        <f t="shared" si="2"/>
        <v>72987893.629999995</v>
      </c>
      <c r="I18" s="91">
        <v>17661768</v>
      </c>
      <c r="J18" s="91">
        <v>0</v>
      </c>
      <c r="K18" s="30">
        <v>48103</v>
      </c>
      <c r="L18" s="30"/>
      <c r="M18" s="30"/>
      <c r="N18" s="30">
        <f t="shared" si="3"/>
        <v>48103</v>
      </c>
      <c r="O18" s="30">
        <f>72632800-48103</f>
        <v>72584697</v>
      </c>
      <c r="P18" s="30">
        <v>18016861.640000001</v>
      </c>
      <c r="Q18" s="30">
        <v>0</v>
      </c>
      <c r="R18" s="30">
        <f t="shared" si="0"/>
        <v>90601558.640000001</v>
      </c>
      <c r="S18" s="30">
        <v>0</v>
      </c>
      <c r="T18" s="30">
        <v>0</v>
      </c>
      <c r="U18" s="106">
        <v>0</v>
      </c>
      <c r="V18" s="105">
        <f t="shared" si="4"/>
        <v>0</v>
      </c>
      <c r="W18" s="106">
        <f t="shared" si="5"/>
        <v>0</v>
      </c>
      <c r="X18" s="106">
        <f t="shared" si="6"/>
        <v>0</v>
      </c>
      <c r="Y18" s="106">
        <v>0</v>
      </c>
      <c r="Z18" s="30">
        <v>29181685</v>
      </c>
      <c r="AA18" s="29" t="s">
        <v>408</v>
      </c>
      <c r="AB18" s="54" t="s">
        <v>414</v>
      </c>
      <c r="AC18" s="29" t="s">
        <v>417</v>
      </c>
      <c r="AD18" s="113" t="s">
        <v>435</v>
      </c>
      <c r="AE18" s="132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138">
        <v>0</v>
      </c>
      <c r="AR18" s="142">
        <f t="shared" si="7"/>
        <v>0</v>
      </c>
    </row>
    <row r="19" spans="1:46" x14ac:dyDescent="0.3">
      <c r="A19" s="96">
        <v>16</v>
      </c>
      <c r="B19" s="54" t="s">
        <v>78</v>
      </c>
      <c r="C19" s="90" t="s">
        <v>79</v>
      </c>
      <c r="D19" s="54">
        <v>1</v>
      </c>
      <c r="E19" s="91">
        <v>29434505.870000001</v>
      </c>
      <c r="F19" s="91">
        <v>353214</v>
      </c>
      <c r="G19" s="91">
        <v>0</v>
      </c>
      <c r="H19" s="91">
        <f t="shared" si="2"/>
        <v>29787719.870000001</v>
      </c>
      <c r="I19" s="91">
        <v>4399453</v>
      </c>
      <c r="J19" s="91">
        <v>0</v>
      </c>
      <c r="K19" s="30">
        <v>95713</v>
      </c>
      <c r="L19" s="30"/>
      <c r="M19" s="30"/>
      <c r="N19" s="30">
        <f t="shared" si="3"/>
        <v>95713</v>
      </c>
      <c r="O19" s="30">
        <f>29434506-95713</f>
        <v>29338793</v>
      </c>
      <c r="P19" s="30">
        <v>4752667</v>
      </c>
      <c r="Q19" s="30">
        <v>0</v>
      </c>
      <c r="R19" s="30">
        <f t="shared" si="0"/>
        <v>34091460</v>
      </c>
      <c r="S19" s="30">
        <v>0</v>
      </c>
      <c r="T19" s="30">
        <v>0</v>
      </c>
      <c r="U19" s="106">
        <v>0</v>
      </c>
      <c r="V19" s="105">
        <f t="shared" si="4"/>
        <v>0</v>
      </c>
      <c r="W19" s="106">
        <f t="shared" si="5"/>
        <v>0</v>
      </c>
      <c r="X19" s="106">
        <f t="shared" si="6"/>
        <v>0</v>
      </c>
      <c r="Y19" s="106">
        <v>0</v>
      </c>
      <c r="Z19" s="30">
        <v>29338793</v>
      </c>
      <c r="AA19" s="29" t="s">
        <v>409</v>
      </c>
      <c r="AB19" s="54" t="s">
        <v>414</v>
      </c>
      <c r="AC19" s="29" t="s">
        <v>417</v>
      </c>
      <c r="AD19" s="113" t="s">
        <v>435</v>
      </c>
      <c r="AE19" s="132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138">
        <v>0</v>
      </c>
      <c r="AR19" s="142">
        <f t="shared" si="7"/>
        <v>0</v>
      </c>
    </row>
    <row r="20" spans="1:46" x14ac:dyDescent="0.3">
      <c r="A20" s="96">
        <v>17</v>
      </c>
      <c r="B20" s="54" t="s">
        <v>80</v>
      </c>
      <c r="C20" s="90" t="s">
        <v>81</v>
      </c>
      <c r="D20" s="54">
        <v>1</v>
      </c>
      <c r="E20" s="91">
        <v>11105855.699999999</v>
      </c>
      <c r="F20" s="91">
        <v>64167</v>
      </c>
      <c r="G20" s="91">
        <v>0</v>
      </c>
      <c r="H20" s="91">
        <f t="shared" si="2"/>
        <v>11170022.699999999</v>
      </c>
      <c r="I20" s="91">
        <v>767759</v>
      </c>
      <c r="J20" s="91">
        <v>0</v>
      </c>
      <c r="K20" s="30">
        <v>127596</v>
      </c>
      <c r="L20" s="30"/>
      <c r="M20" s="30"/>
      <c r="N20" s="30">
        <f t="shared" si="3"/>
        <v>127596</v>
      </c>
      <c r="O20" s="30">
        <f>11105856-127596</f>
        <v>10978260</v>
      </c>
      <c r="P20" s="30">
        <v>831926</v>
      </c>
      <c r="Q20" s="30">
        <v>0</v>
      </c>
      <c r="R20" s="30">
        <f t="shared" si="0"/>
        <v>11810186</v>
      </c>
      <c r="S20" s="30">
        <v>0</v>
      </c>
      <c r="T20" s="30">
        <v>0</v>
      </c>
      <c r="U20" s="106">
        <v>0</v>
      </c>
      <c r="V20" s="105">
        <f t="shared" si="4"/>
        <v>0</v>
      </c>
      <c r="W20" s="106">
        <f t="shared" si="5"/>
        <v>0</v>
      </c>
      <c r="X20" s="106">
        <f t="shared" si="6"/>
        <v>0</v>
      </c>
      <c r="Y20" s="106">
        <v>0</v>
      </c>
      <c r="Z20" s="30">
        <v>10978260</v>
      </c>
      <c r="AA20" s="29" t="s">
        <v>409</v>
      </c>
      <c r="AB20" s="54" t="s">
        <v>414</v>
      </c>
      <c r="AC20" s="29" t="s">
        <v>417</v>
      </c>
      <c r="AD20" s="113" t="s">
        <v>435</v>
      </c>
      <c r="AE20" s="132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138">
        <v>0</v>
      </c>
      <c r="AR20" s="142">
        <f t="shared" si="7"/>
        <v>0</v>
      </c>
    </row>
    <row r="21" spans="1:46" x14ac:dyDescent="0.3">
      <c r="A21" s="96">
        <v>18</v>
      </c>
      <c r="B21" s="54" t="s">
        <v>82</v>
      </c>
      <c r="C21" s="90" t="s">
        <v>83</v>
      </c>
      <c r="D21" s="54">
        <v>1</v>
      </c>
      <c r="E21" s="91">
        <v>12463477.34</v>
      </c>
      <c r="F21" s="91">
        <v>149562</v>
      </c>
      <c r="G21" s="91">
        <v>0</v>
      </c>
      <c r="H21" s="91">
        <f t="shared" si="2"/>
        <v>12613039.34</v>
      </c>
      <c r="I21" s="91">
        <v>1637896</v>
      </c>
      <c r="J21" s="91">
        <v>0</v>
      </c>
      <c r="K21" s="30">
        <v>63434</v>
      </c>
      <c r="L21" s="30"/>
      <c r="M21" s="30"/>
      <c r="N21" s="30">
        <f t="shared" si="3"/>
        <v>63434</v>
      </c>
      <c r="O21" s="30">
        <v>12400043.339999996</v>
      </c>
      <c r="P21" s="30">
        <v>1787458</v>
      </c>
      <c r="Q21" s="30">
        <v>0</v>
      </c>
      <c r="R21" s="30">
        <f t="shared" si="0"/>
        <v>14187501.339999996</v>
      </c>
      <c r="S21" s="30">
        <v>0</v>
      </c>
      <c r="T21" s="30">
        <v>0</v>
      </c>
      <c r="U21" s="106">
        <f t="shared" si="8"/>
        <v>0</v>
      </c>
      <c r="V21" s="105">
        <f t="shared" si="4"/>
        <v>0</v>
      </c>
      <c r="W21" s="106">
        <f t="shared" si="5"/>
        <v>0</v>
      </c>
      <c r="X21" s="106">
        <f t="shared" si="6"/>
        <v>0</v>
      </c>
      <c r="Y21" s="106">
        <v>0</v>
      </c>
      <c r="Z21" s="30">
        <v>8917510</v>
      </c>
      <c r="AA21" s="29" t="s">
        <v>409</v>
      </c>
      <c r="AB21" s="54" t="s">
        <v>414</v>
      </c>
      <c r="AC21" s="29" t="s">
        <v>417</v>
      </c>
      <c r="AD21" s="113" t="s">
        <v>435</v>
      </c>
      <c r="AE21" s="132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138">
        <v>0</v>
      </c>
      <c r="AR21" s="142">
        <f t="shared" si="7"/>
        <v>0</v>
      </c>
    </row>
    <row r="22" spans="1:46" x14ac:dyDescent="0.3">
      <c r="A22" s="96">
        <v>19</v>
      </c>
      <c r="B22" s="54" t="s">
        <v>84</v>
      </c>
      <c r="C22" s="90" t="s">
        <v>85</v>
      </c>
      <c r="D22" s="54">
        <v>1</v>
      </c>
      <c r="E22" s="91">
        <v>45345151.82</v>
      </c>
      <c r="F22" s="91">
        <v>80613.600000000006</v>
      </c>
      <c r="G22" s="91">
        <v>0</v>
      </c>
      <c r="H22" s="91">
        <f t="shared" si="2"/>
        <v>45425765.420000002</v>
      </c>
      <c r="I22" s="91">
        <v>0</v>
      </c>
      <c r="J22" s="91">
        <v>0</v>
      </c>
      <c r="K22" s="30">
        <v>63773</v>
      </c>
      <c r="L22" s="30"/>
      <c r="M22" s="30"/>
      <c r="N22" s="30">
        <f t="shared" si="3"/>
        <v>63773</v>
      </c>
      <c r="O22" s="30">
        <v>12172098.119999999</v>
      </c>
      <c r="P22" s="30">
        <v>0</v>
      </c>
      <c r="Q22" s="30">
        <v>0</v>
      </c>
      <c r="R22" s="30">
        <f t="shared" si="0"/>
        <v>12172098.119999999</v>
      </c>
      <c r="S22" s="30">
        <v>0</v>
      </c>
      <c r="T22" s="30">
        <v>0</v>
      </c>
      <c r="U22" s="106">
        <f t="shared" si="8"/>
        <v>33109280.700000003</v>
      </c>
      <c r="V22" s="105">
        <f t="shared" si="4"/>
        <v>80613.600000000006</v>
      </c>
      <c r="W22" s="106">
        <f t="shared" si="5"/>
        <v>0</v>
      </c>
      <c r="X22" s="106">
        <f t="shared" si="6"/>
        <v>33189894.300000004</v>
      </c>
      <c r="Y22" s="106">
        <v>0</v>
      </c>
      <c r="Z22" s="30">
        <v>2253000</v>
      </c>
      <c r="AA22" s="29" t="s">
        <v>409</v>
      </c>
      <c r="AB22" s="54" t="s">
        <v>414</v>
      </c>
      <c r="AC22" s="29" t="s">
        <v>416</v>
      </c>
      <c r="AD22" s="113" t="s">
        <v>436</v>
      </c>
      <c r="AE22" s="132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138">
        <v>1655464.0350000001</v>
      </c>
      <c r="AR22" s="142">
        <f t="shared" si="7"/>
        <v>1655464.0350000001</v>
      </c>
      <c r="AT22" s="143">
        <f>AR22/U22</f>
        <v>0.05</v>
      </c>
    </row>
    <row r="23" spans="1:46" x14ac:dyDescent="0.3">
      <c r="A23" s="96">
        <v>20</v>
      </c>
      <c r="B23" s="54" t="s">
        <v>86</v>
      </c>
      <c r="C23" s="90" t="s">
        <v>87</v>
      </c>
      <c r="D23" s="54">
        <v>1</v>
      </c>
      <c r="E23" s="91">
        <v>25300983.52</v>
      </c>
      <c r="F23" s="91">
        <v>215901</v>
      </c>
      <c r="G23" s="91">
        <v>2417073</v>
      </c>
      <c r="H23" s="91">
        <f t="shared" si="2"/>
        <v>27933957.52</v>
      </c>
      <c r="I23" s="91">
        <v>312978</v>
      </c>
      <c r="J23" s="91">
        <v>47064</v>
      </c>
      <c r="K23" s="30">
        <v>0</v>
      </c>
      <c r="L23" s="30"/>
      <c r="M23" s="30"/>
      <c r="N23" s="30">
        <f t="shared" si="3"/>
        <v>0</v>
      </c>
      <c r="O23" s="30">
        <v>25300983.52</v>
      </c>
      <c r="P23" s="30">
        <v>528879</v>
      </c>
      <c r="Q23" s="30">
        <v>2464137</v>
      </c>
      <c r="R23" s="30">
        <f t="shared" si="0"/>
        <v>28293999.52</v>
      </c>
      <c r="S23" s="30">
        <v>0</v>
      </c>
      <c r="T23" s="30">
        <v>0</v>
      </c>
      <c r="U23" s="106">
        <f t="shared" si="8"/>
        <v>0</v>
      </c>
      <c r="V23" s="105">
        <f t="shared" si="4"/>
        <v>0</v>
      </c>
      <c r="W23" s="106">
        <f t="shared" si="5"/>
        <v>0</v>
      </c>
      <c r="X23" s="106">
        <f t="shared" si="6"/>
        <v>0</v>
      </c>
      <c r="Y23" s="106">
        <v>0</v>
      </c>
      <c r="Z23" s="30">
        <v>25300984</v>
      </c>
      <c r="AA23" s="29" t="s">
        <v>408</v>
      </c>
      <c r="AB23" s="54" t="s">
        <v>412</v>
      </c>
      <c r="AC23" s="29" t="s">
        <v>417</v>
      </c>
      <c r="AD23" s="113" t="s">
        <v>434</v>
      </c>
      <c r="AE23" s="132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138">
        <v>0</v>
      </c>
      <c r="AR23" s="142">
        <f t="shared" si="7"/>
        <v>0</v>
      </c>
    </row>
    <row r="24" spans="1:46" x14ac:dyDescent="0.3">
      <c r="A24" s="96">
        <v>21</v>
      </c>
      <c r="B24" s="54" t="s">
        <v>88</v>
      </c>
      <c r="C24" s="90" t="s">
        <v>89</v>
      </c>
      <c r="D24" s="54">
        <v>1</v>
      </c>
      <c r="E24" s="91">
        <v>50005032.990000002</v>
      </c>
      <c r="F24" s="91">
        <v>373371</v>
      </c>
      <c r="G24" s="91">
        <v>305152</v>
      </c>
      <c r="H24" s="91">
        <f t="shared" si="2"/>
        <v>50683555.990000002</v>
      </c>
      <c r="I24" s="91">
        <v>709327</v>
      </c>
      <c r="J24" s="91">
        <v>6000</v>
      </c>
      <c r="K24" s="30">
        <v>0</v>
      </c>
      <c r="L24" s="30"/>
      <c r="M24" s="30"/>
      <c r="N24" s="30">
        <f t="shared" si="3"/>
        <v>0</v>
      </c>
      <c r="O24" s="30">
        <v>50005032.990000002</v>
      </c>
      <c r="P24" s="30">
        <v>1082698</v>
      </c>
      <c r="Q24" s="30">
        <v>311152</v>
      </c>
      <c r="R24" s="30">
        <f t="shared" si="0"/>
        <v>51398882.990000002</v>
      </c>
      <c r="S24" s="30">
        <v>0</v>
      </c>
      <c r="T24" s="30">
        <v>0</v>
      </c>
      <c r="U24" s="106">
        <f t="shared" si="8"/>
        <v>0</v>
      </c>
      <c r="V24" s="105">
        <f t="shared" si="4"/>
        <v>0</v>
      </c>
      <c r="W24" s="106">
        <f t="shared" si="5"/>
        <v>0</v>
      </c>
      <c r="X24" s="106">
        <f t="shared" si="6"/>
        <v>0</v>
      </c>
      <c r="Y24" s="106">
        <v>0</v>
      </c>
      <c r="Z24" s="30">
        <v>50005033</v>
      </c>
      <c r="AA24" s="29" t="s">
        <v>408</v>
      </c>
      <c r="AB24" s="54" t="s">
        <v>412</v>
      </c>
      <c r="AC24" s="29" t="s">
        <v>417</v>
      </c>
      <c r="AD24" s="113" t="s">
        <v>434</v>
      </c>
      <c r="AE24" s="132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138">
        <v>0</v>
      </c>
      <c r="AR24" s="142">
        <f t="shared" si="7"/>
        <v>0</v>
      </c>
    </row>
    <row r="25" spans="1:46" x14ac:dyDescent="0.3">
      <c r="A25" s="96">
        <v>22</v>
      </c>
      <c r="B25" s="54" t="s">
        <v>90</v>
      </c>
      <c r="C25" s="90" t="s">
        <v>91</v>
      </c>
      <c r="D25" s="54">
        <v>1</v>
      </c>
      <c r="E25" s="91">
        <v>23599551</v>
      </c>
      <c r="F25" s="91">
        <v>73421</v>
      </c>
      <c r="G25" s="91">
        <v>0</v>
      </c>
      <c r="H25" s="91">
        <f t="shared" si="2"/>
        <v>23672972</v>
      </c>
      <c r="I25" s="91">
        <v>1691586</v>
      </c>
      <c r="J25" s="91">
        <v>0</v>
      </c>
      <c r="K25" s="30">
        <v>0</v>
      </c>
      <c r="L25" s="30"/>
      <c r="M25" s="30"/>
      <c r="N25" s="30">
        <f t="shared" si="3"/>
        <v>0</v>
      </c>
      <c r="O25" s="30">
        <v>23599551</v>
      </c>
      <c r="P25" s="30">
        <v>1765007</v>
      </c>
      <c r="Q25" s="30">
        <v>0</v>
      </c>
      <c r="R25" s="30">
        <f t="shared" si="0"/>
        <v>25364558</v>
      </c>
      <c r="S25" s="30">
        <v>0</v>
      </c>
      <c r="T25" s="30">
        <v>0</v>
      </c>
      <c r="U25" s="106">
        <f t="shared" si="8"/>
        <v>0</v>
      </c>
      <c r="V25" s="105">
        <f t="shared" si="4"/>
        <v>0</v>
      </c>
      <c r="W25" s="106">
        <f t="shared" si="5"/>
        <v>0</v>
      </c>
      <c r="X25" s="106">
        <f t="shared" si="6"/>
        <v>0</v>
      </c>
      <c r="Y25" s="106">
        <v>0</v>
      </c>
      <c r="Z25" s="30">
        <v>23599551</v>
      </c>
      <c r="AA25" s="29" t="s">
        <v>409</v>
      </c>
      <c r="AB25" s="54" t="s">
        <v>414</v>
      </c>
      <c r="AC25" s="29" t="s">
        <v>417</v>
      </c>
      <c r="AD25" s="113" t="s">
        <v>435</v>
      </c>
      <c r="AE25" s="132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138">
        <v>0</v>
      </c>
      <c r="AR25" s="142">
        <f t="shared" si="7"/>
        <v>0</v>
      </c>
    </row>
    <row r="26" spans="1:46" x14ac:dyDescent="0.3">
      <c r="A26" s="96">
        <v>23</v>
      </c>
      <c r="B26" s="54" t="s">
        <v>92</v>
      </c>
      <c r="C26" s="90" t="s">
        <v>93</v>
      </c>
      <c r="D26" s="54">
        <v>1</v>
      </c>
      <c r="E26" s="91">
        <v>65803637.759999998</v>
      </c>
      <c r="F26" s="91">
        <v>175476</v>
      </c>
      <c r="G26" s="91">
        <v>0</v>
      </c>
      <c r="H26" s="91">
        <f t="shared" si="2"/>
        <v>65979113.759999998</v>
      </c>
      <c r="I26" s="91">
        <v>2292415</v>
      </c>
      <c r="J26" s="91">
        <v>0</v>
      </c>
      <c r="K26" s="30">
        <v>0</v>
      </c>
      <c r="L26" s="30"/>
      <c r="M26" s="30"/>
      <c r="N26" s="30">
        <f t="shared" si="3"/>
        <v>0</v>
      </c>
      <c r="O26" s="30">
        <v>65803637.759999998</v>
      </c>
      <c r="P26" s="30">
        <v>2467891</v>
      </c>
      <c r="Q26" s="30">
        <v>0</v>
      </c>
      <c r="R26" s="30">
        <f t="shared" si="0"/>
        <v>68271528.75999999</v>
      </c>
      <c r="S26" s="30">
        <v>0</v>
      </c>
      <c r="T26" s="30">
        <v>0</v>
      </c>
      <c r="U26" s="106">
        <f t="shared" si="8"/>
        <v>0</v>
      </c>
      <c r="V26" s="105">
        <f t="shared" si="4"/>
        <v>0</v>
      </c>
      <c r="W26" s="106">
        <f t="shared" si="5"/>
        <v>0</v>
      </c>
      <c r="X26" s="106">
        <f t="shared" si="6"/>
        <v>0</v>
      </c>
      <c r="Y26" s="106">
        <v>0</v>
      </c>
      <c r="Z26" s="30">
        <v>65803638</v>
      </c>
      <c r="AA26" s="29" t="s">
        <v>409</v>
      </c>
      <c r="AB26" s="54" t="s">
        <v>414</v>
      </c>
      <c r="AC26" s="29" t="s">
        <v>417</v>
      </c>
      <c r="AD26" s="113" t="s">
        <v>435</v>
      </c>
      <c r="AE26" s="132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138">
        <v>0</v>
      </c>
      <c r="AR26" s="142">
        <f t="shared" si="7"/>
        <v>0</v>
      </c>
    </row>
    <row r="27" spans="1:46" x14ac:dyDescent="0.3">
      <c r="A27" s="96">
        <v>24</v>
      </c>
      <c r="B27" s="54" t="s">
        <v>94</v>
      </c>
      <c r="C27" s="90" t="s">
        <v>91</v>
      </c>
      <c r="D27" s="54">
        <v>1</v>
      </c>
      <c r="E27" s="91">
        <v>483191.4</v>
      </c>
      <c r="F27" s="91">
        <v>0</v>
      </c>
      <c r="G27" s="91">
        <v>0</v>
      </c>
      <c r="H27" s="91">
        <f t="shared" si="2"/>
        <v>483191.4</v>
      </c>
      <c r="I27" s="91">
        <v>6440</v>
      </c>
      <c r="J27" s="91">
        <v>0</v>
      </c>
      <c r="K27" s="30">
        <v>0</v>
      </c>
      <c r="L27" s="30"/>
      <c r="M27" s="30"/>
      <c r="N27" s="30">
        <f t="shared" si="3"/>
        <v>0</v>
      </c>
      <c r="O27" s="30">
        <v>483191.4</v>
      </c>
      <c r="P27" s="30">
        <v>6440</v>
      </c>
      <c r="Q27" s="30">
        <v>0</v>
      </c>
      <c r="R27" s="30">
        <f t="shared" si="0"/>
        <v>489631.4</v>
      </c>
      <c r="S27" s="30">
        <v>0</v>
      </c>
      <c r="T27" s="30">
        <v>0</v>
      </c>
      <c r="U27" s="106">
        <f t="shared" si="8"/>
        <v>0</v>
      </c>
      <c r="V27" s="105">
        <f t="shared" si="4"/>
        <v>0</v>
      </c>
      <c r="W27" s="106">
        <f t="shared" si="5"/>
        <v>0</v>
      </c>
      <c r="X27" s="106">
        <f t="shared" si="6"/>
        <v>0</v>
      </c>
      <c r="Y27" s="106">
        <v>0</v>
      </c>
      <c r="Z27" s="30">
        <v>483191</v>
      </c>
      <c r="AA27" s="29" t="s">
        <v>409</v>
      </c>
      <c r="AB27" s="54" t="s">
        <v>414</v>
      </c>
      <c r="AC27" s="29" t="s">
        <v>417</v>
      </c>
      <c r="AD27" s="113" t="s">
        <v>435</v>
      </c>
      <c r="AE27" s="132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138">
        <v>0</v>
      </c>
      <c r="AR27" s="142">
        <f t="shared" si="7"/>
        <v>0</v>
      </c>
    </row>
    <row r="28" spans="1:46" x14ac:dyDescent="0.3">
      <c r="A28" s="96">
        <v>25</v>
      </c>
      <c r="B28" s="54" t="s">
        <v>95</v>
      </c>
      <c r="C28" s="90" t="s">
        <v>96</v>
      </c>
      <c r="D28" s="54">
        <v>1</v>
      </c>
      <c r="E28" s="91">
        <v>395736647.33999997</v>
      </c>
      <c r="F28" s="91">
        <v>1846771.01</v>
      </c>
      <c r="G28" s="91">
        <v>0</v>
      </c>
      <c r="H28" s="91">
        <f t="shared" si="2"/>
        <v>397583418.34999996</v>
      </c>
      <c r="I28" s="91">
        <v>0</v>
      </c>
      <c r="J28" s="91">
        <v>0</v>
      </c>
      <c r="K28" s="30">
        <v>120862</v>
      </c>
      <c r="L28" s="30"/>
      <c r="M28" s="30"/>
      <c r="N28" s="30">
        <f t="shared" si="3"/>
        <v>120862</v>
      </c>
      <c r="O28" s="30">
        <v>147500000</v>
      </c>
      <c r="P28" s="30">
        <v>0</v>
      </c>
      <c r="Q28" s="30">
        <v>0</v>
      </c>
      <c r="R28" s="30">
        <f t="shared" si="0"/>
        <v>147500000</v>
      </c>
      <c r="S28" s="30">
        <v>0</v>
      </c>
      <c r="T28" s="30">
        <v>0</v>
      </c>
      <c r="U28" s="106">
        <f t="shared" si="8"/>
        <v>248115785.33999997</v>
      </c>
      <c r="V28" s="105">
        <f t="shared" si="4"/>
        <v>1846771.01</v>
      </c>
      <c r="W28" s="106">
        <f t="shared" si="5"/>
        <v>0</v>
      </c>
      <c r="X28" s="106">
        <f t="shared" si="6"/>
        <v>249962556.34999996</v>
      </c>
      <c r="Y28" s="106">
        <v>351000000</v>
      </c>
      <c r="Z28" s="30">
        <v>358000000</v>
      </c>
      <c r="AA28" s="29" t="s">
        <v>408</v>
      </c>
      <c r="AB28" s="54" t="s">
        <v>412</v>
      </c>
      <c r="AC28" s="29" t="s">
        <v>416</v>
      </c>
      <c r="AD28" s="113" t="s">
        <v>434</v>
      </c>
      <c r="AE28" s="132"/>
      <c r="AF28" s="30"/>
      <c r="AG28" s="30">
        <v>249962556.34999996</v>
      </c>
      <c r="AH28" s="30"/>
      <c r="AI28" s="30"/>
      <c r="AJ28" s="30"/>
      <c r="AK28" s="30"/>
      <c r="AL28" s="30"/>
      <c r="AM28" s="30"/>
      <c r="AN28" s="30"/>
      <c r="AO28" s="30"/>
      <c r="AP28" s="30"/>
      <c r="AQ28" s="138">
        <v>0</v>
      </c>
      <c r="AR28" s="142">
        <f t="shared" si="7"/>
        <v>249962556.34999996</v>
      </c>
    </row>
    <row r="29" spans="1:46" x14ac:dyDescent="0.3">
      <c r="A29" s="96">
        <v>26</v>
      </c>
      <c r="B29" s="54" t="s">
        <v>97</v>
      </c>
      <c r="C29" s="90" t="s">
        <v>98</v>
      </c>
      <c r="D29" s="54">
        <v>1</v>
      </c>
      <c r="E29" s="91">
        <v>12553932.02</v>
      </c>
      <c r="F29" s="91">
        <v>224506</v>
      </c>
      <c r="G29" s="91">
        <v>1259140</v>
      </c>
      <c r="H29" s="91">
        <f t="shared" si="2"/>
        <v>14037578.02</v>
      </c>
      <c r="I29" s="91">
        <v>257995</v>
      </c>
      <c r="J29" s="91">
        <v>98627</v>
      </c>
      <c r="K29" s="30">
        <v>0</v>
      </c>
      <c r="L29" s="30"/>
      <c r="M29" s="30"/>
      <c r="N29" s="30">
        <f t="shared" si="3"/>
        <v>0</v>
      </c>
      <c r="O29" s="30">
        <v>12553932.02</v>
      </c>
      <c r="P29" s="30">
        <v>482501</v>
      </c>
      <c r="Q29" s="30">
        <v>1357767</v>
      </c>
      <c r="R29" s="30">
        <f t="shared" si="0"/>
        <v>14394200.02</v>
      </c>
      <c r="S29" s="30">
        <v>0</v>
      </c>
      <c r="T29" s="30">
        <v>0</v>
      </c>
      <c r="U29" s="106">
        <f t="shared" si="8"/>
        <v>0</v>
      </c>
      <c r="V29" s="105">
        <f t="shared" si="4"/>
        <v>0</v>
      </c>
      <c r="W29" s="106">
        <f t="shared" si="5"/>
        <v>0</v>
      </c>
      <c r="X29" s="106">
        <f t="shared" si="6"/>
        <v>0</v>
      </c>
      <c r="Y29" s="106">
        <v>0</v>
      </c>
      <c r="Z29" s="30">
        <v>12553932</v>
      </c>
      <c r="AA29" s="29" t="s">
        <v>408</v>
      </c>
      <c r="AB29" s="54" t="s">
        <v>413</v>
      </c>
      <c r="AC29" s="29" t="s">
        <v>417</v>
      </c>
      <c r="AD29" s="113" t="s">
        <v>435</v>
      </c>
      <c r="AE29" s="132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138">
        <v>0</v>
      </c>
      <c r="AR29" s="142">
        <f t="shared" si="7"/>
        <v>0</v>
      </c>
    </row>
    <row r="30" spans="1:46" x14ac:dyDescent="0.3">
      <c r="A30" s="96">
        <v>27</v>
      </c>
      <c r="B30" s="54" t="s">
        <v>99</v>
      </c>
      <c r="C30" s="90" t="s">
        <v>100</v>
      </c>
      <c r="D30" s="54">
        <v>1</v>
      </c>
      <c r="E30" s="91">
        <v>10505589.15</v>
      </c>
      <c r="F30" s="91">
        <v>297003</v>
      </c>
      <c r="G30" s="91">
        <v>166802</v>
      </c>
      <c r="H30" s="91">
        <f t="shared" si="2"/>
        <v>10969394.15</v>
      </c>
      <c r="I30" s="91">
        <v>19553</v>
      </c>
      <c r="J30" s="91">
        <v>349053</v>
      </c>
      <c r="K30" s="30">
        <v>0</v>
      </c>
      <c r="L30" s="30"/>
      <c r="M30" s="30"/>
      <c r="N30" s="30">
        <f t="shared" si="3"/>
        <v>0</v>
      </c>
      <c r="O30" s="30">
        <v>10505589.15</v>
      </c>
      <c r="P30" s="30">
        <v>316556</v>
      </c>
      <c r="Q30" s="30">
        <v>515855</v>
      </c>
      <c r="R30" s="30">
        <f t="shared" si="0"/>
        <v>11338000.15</v>
      </c>
      <c r="S30" s="30">
        <v>0</v>
      </c>
      <c r="T30" s="30">
        <v>0</v>
      </c>
      <c r="U30" s="106">
        <f t="shared" si="8"/>
        <v>0</v>
      </c>
      <c r="V30" s="105">
        <f t="shared" si="4"/>
        <v>0</v>
      </c>
      <c r="W30" s="106">
        <f t="shared" si="5"/>
        <v>0</v>
      </c>
      <c r="X30" s="106">
        <f t="shared" si="6"/>
        <v>0</v>
      </c>
      <c r="Y30" s="106">
        <v>0</v>
      </c>
      <c r="Z30" s="30">
        <v>10505589</v>
      </c>
      <c r="AA30" s="29" t="s">
        <v>408</v>
      </c>
      <c r="AB30" s="54" t="s">
        <v>412</v>
      </c>
      <c r="AC30" s="29" t="s">
        <v>417</v>
      </c>
      <c r="AD30" s="113" t="s">
        <v>434</v>
      </c>
      <c r="AE30" s="132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138">
        <v>0</v>
      </c>
      <c r="AR30" s="142">
        <f t="shared" si="7"/>
        <v>0</v>
      </c>
    </row>
    <row r="31" spans="1:46" x14ac:dyDescent="0.3">
      <c r="A31" s="96">
        <v>28</v>
      </c>
      <c r="B31" s="54" t="s">
        <v>101</v>
      </c>
      <c r="C31" s="90" t="s">
        <v>102</v>
      </c>
      <c r="D31" s="54">
        <v>1</v>
      </c>
      <c r="E31" s="91">
        <v>13716014.869999999</v>
      </c>
      <c r="F31" s="91">
        <v>276507</v>
      </c>
      <c r="G31" s="91">
        <v>21808954</v>
      </c>
      <c r="H31" s="91">
        <f t="shared" si="2"/>
        <v>35801475.869999997</v>
      </c>
      <c r="I31" s="91">
        <v>234085</v>
      </c>
      <c r="J31" s="91">
        <v>0</v>
      </c>
      <c r="K31" s="30">
        <v>0</v>
      </c>
      <c r="L31" s="30"/>
      <c r="M31" s="30"/>
      <c r="N31" s="30">
        <f t="shared" si="3"/>
        <v>0</v>
      </c>
      <c r="O31" s="30">
        <v>13716014.869999999</v>
      </c>
      <c r="P31" s="30">
        <v>510592</v>
      </c>
      <c r="Q31" s="30">
        <v>53392</v>
      </c>
      <c r="R31" s="30">
        <f t="shared" si="0"/>
        <v>14279998.869999999</v>
      </c>
      <c r="S31" s="30">
        <v>0</v>
      </c>
      <c r="T31" s="30">
        <v>21755562</v>
      </c>
      <c r="U31" s="106">
        <f t="shared" si="8"/>
        <v>0</v>
      </c>
      <c r="V31" s="105">
        <f t="shared" si="4"/>
        <v>0</v>
      </c>
      <c r="W31" s="106">
        <f t="shared" si="5"/>
        <v>0</v>
      </c>
      <c r="X31" s="106">
        <f t="shared" si="6"/>
        <v>0</v>
      </c>
      <c r="Y31" s="106">
        <v>0</v>
      </c>
      <c r="Z31" s="30">
        <v>13716015</v>
      </c>
      <c r="AA31" s="29" t="s">
        <v>408</v>
      </c>
      <c r="AB31" s="54" t="s">
        <v>412</v>
      </c>
      <c r="AC31" s="29" t="s">
        <v>417</v>
      </c>
      <c r="AD31" s="113" t="s">
        <v>434</v>
      </c>
      <c r="AE31" s="132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138">
        <v>0</v>
      </c>
      <c r="AR31" s="142">
        <f t="shared" si="7"/>
        <v>0</v>
      </c>
    </row>
    <row r="32" spans="1:46" x14ac:dyDescent="0.3">
      <c r="A32" s="96">
        <v>29</v>
      </c>
      <c r="B32" s="54" t="s">
        <v>103</v>
      </c>
      <c r="C32" s="90" t="s">
        <v>104</v>
      </c>
      <c r="D32" s="54">
        <v>1</v>
      </c>
      <c r="E32" s="91">
        <v>92500000</v>
      </c>
      <c r="F32" s="91">
        <v>388500</v>
      </c>
      <c r="G32" s="91">
        <v>0</v>
      </c>
      <c r="H32" s="91">
        <f t="shared" si="2"/>
        <v>92888500</v>
      </c>
      <c r="I32" s="91">
        <v>777000</v>
      </c>
      <c r="J32" s="91">
        <v>2791000</v>
      </c>
      <c r="K32" s="30">
        <v>0</v>
      </c>
      <c r="L32" s="30"/>
      <c r="M32" s="30"/>
      <c r="N32" s="30">
        <f t="shared" si="3"/>
        <v>0</v>
      </c>
      <c r="O32" s="30">
        <v>92500000</v>
      </c>
      <c r="P32" s="30">
        <v>1165500</v>
      </c>
      <c r="Q32" s="30">
        <v>2791000</v>
      </c>
      <c r="R32" s="30">
        <f t="shared" si="0"/>
        <v>96456500</v>
      </c>
      <c r="S32" s="30">
        <v>0</v>
      </c>
      <c r="T32" s="30">
        <v>0</v>
      </c>
      <c r="U32" s="106">
        <f t="shared" si="8"/>
        <v>0</v>
      </c>
      <c r="V32" s="105">
        <f t="shared" si="4"/>
        <v>0</v>
      </c>
      <c r="W32" s="106">
        <f t="shared" si="5"/>
        <v>0</v>
      </c>
      <c r="X32" s="106">
        <f t="shared" si="6"/>
        <v>0</v>
      </c>
      <c r="Y32" s="106">
        <v>0</v>
      </c>
      <c r="Z32" s="30">
        <v>92500000</v>
      </c>
      <c r="AA32" s="29" t="s">
        <v>408</v>
      </c>
      <c r="AB32" s="54" t="s">
        <v>412</v>
      </c>
      <c r="AC32" s="29" t="s">
        <v>417</v>
      </c>
      <c r="AD32" s="113" t="s">
        <v>434</v>
      </c>
      <c r="AE32" s="132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138">
        <v>0</v>
      </c>
      <c r="AR32" s="142">
        <f t="shared" si="7"/>
        <v>0</v>
      </c>
    </row>
    <row r="33" spans="1:46" x14ac:dyDescent="0.3">
      <c r="A33" s="96">
        <v>30</v>
      </c>
      <c r="B33" s="54" t="s">
        <v>105</v>
      </c>
      <c r="C33" s="90" t="s">
        <v>106</v>
      </c>
      <c r="D33" s="54">
        <v>1</v>
      </c>
      <c r="E33" s="91">
        <v>47516925.420000002</v>
      </c>
      <c r="F33" s="91">
        <v>211186</v>
      </c>
      <c r="G33" s="91">
        <v>0</v>
      </c>
      <c r="H33" s="91">
        <f t="shared" si="2"/>
        <v>47728111.420000002</v>
      </c>
      <c r="I33" s="91">
        <v>546971</v>
      </c>
      <c r="J33" s="91">
        <v>0</v>
      </c>
      <c r="K33" s="30">
        <v>0</v>
      </c>
      <c r="L33" s="30"/>
      <c r="M33" s="30"/>
      <c r="N33" s="30">
        <f t="shared" si="3"/>
        <v>0</v>
      </c>
      <c r="O33" s="30">
        <v>47516925.420000002</v>
      </c>
      <c r="P33" s="30">
        <v>758157</v>
      </c>
      <c r="Q33" s="30">
        <v>0</v>
      </c>
      <c r="R33" s="30">
        <f t="shared" si="0"/>
        <v>48275082.420000002</v>
      </c>
      <c r="S33" s="30">
        <v>0</v>
      </c>
      <c r="T33" s="30">
        <v>0</v>
      </c>
      <c r="U33" s="106">
        <f t="shared" si="8"/>
        <v>0</v>
      </c>
      <c r="V33" s="105">
        <f t="shared" si="4"/>
        <v>0</v>
      </c>
      <c r="W33" s="106">
        <f t="shared" si="5"/>
        <v>0</v>
      </c>
      <c r="X33" s="106">
        <f t="shared" si="6"/>
        <v>0</v>
      </c>
      <c r="Y33" s="106">
        <v>0</v>
      </c>
      <c r="Z33" s="30">
        <v>47516925</v>
      </c>
      <c r="AA33" s="29" t="s">
        <v>409</v>
      </c>
      <c r="AB33" s="54" t="s">
        <v>414</v>
      </c>
      <c r="AC33" s="29" t="s">
        <v>417</v>
      </c>
      <c r="AD33" s="113" t="s">
        <v>435</v>
      </c>
      <c r="AE33" s="132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138">
        <v>0</v>
      </c>
      <c r="AR33" s="142">
        <f t="shared" si="7"/>
        <v>0</v>
      </c>
    </row>
    <row r="34" spans="1:46" x14ac:dyDescent="0.3">
      <c r="A34" s="96">
        <v>31</v>
      </c>
      <c r="B34" s="54" t="s">
        <v>107</v>
      </c>
      <c r="C34" s="90" t="s">
        <v>108</v>
      </c>
      <c r="D34" s="54">
        <v>1</v>
      </c>
      <c r="E34" s="91">
        <v>24875216.16</v>
      </c>
      <c r="F34" s="91">
        <v>1767712</v>
      </c>
      <c r="G34" s="91">
        <v>6690777</v>
      </c>
      <c r="H34" s="91">
        <f t="shared" si="2"/>
        <v>33333705.16</v>
      </c>
      <c r="I34" s="91">
        <v>340902</v>
      </c>
      <c r="J34" s="91">
        <v>277480</v>
      </c>
      <c r="K34" s="30">
        <v>0</v>
      </c>
      <c r="L34" s="30"/>
      <c r="M34" s="30"/>
      <c r="N34" s="30">
        <f t="shared" si="3"/>
        <v>0</v>
      </c>
      <c r="O34" s="30">
        <v>24875216</v>
      </c>
      <c r="P34" s="30">
        <v>2108614</v>
      </c>
      <c r="Q34" s="30">
        <v>6968257</v>
      </c>
      <c r="R34" s="30">
        <f t="shared" si="0"/>
        <v>33952087</v>
      </c>
      <c r="S34" s="30">
        <v>0</v>
      </c>
      <c r="T34" s="30">
        <v>0</v>
      </c>
      <c r="U34" s="106">
        <v>0</v>
      </c>
      <c r="V34" s="105">
        <f t="shared" si="4"/>
        <v>0</v>
      </c>
      <c r="W34" s="106">
        <f t="shared" si="5"/>
        <v>0</v>
      </c>
      <c r="X34" s="106">
        <f t="shared" si="6"/>
        <v>0</v>
      </c>
      <c r="Y34" s="106">
        <v>0</v>
      </c>
      <c r="Z34" s="30">
        <v>24875217</v>
      </c>
      <c r="AA34" s="29" t="s">
        <v>408</v>
      </c>
      <c r="AB34" s="54" t="s">
        <v>413</v>
      </c>
      <c r="AC34" s="29" t="s">
        <v>417</v>
      </c>
      <c r="AD34" s="113" t="s">
        <v>435</v>
      </c>
      <c r="AE34" s="132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138">
        <v>0</v>
      </c>
      <c r="AR34" s="142">
        <f t="shared" si="7"/>
        <v>0</v>
      </c>
    </row>
    <row r="35" spans="1:46" x14ac:dyDescent="0.3">
      <c r="A35" s="96">
        <v>32</v>
      </c>
      <c r="B35" s="54" t="s">
        <v>109</v>
      </c>
      <c r="C35" s="90" t="s">
        <v>110</v>
      </c>
      <c r="D35" s="54">
        <v>1</v>
      </c>
      <c r="E35" s="91">
        <v>109374995</v>
      </c>
      <c r="F35" s="91">
        <v>2233593</v>
      </c>
      <c r="G35" s="91">
        <v>0</v>
      </c>
      <c r="H35" s="91">
        <f t="shared" si="2"/>
        <v>111608588</v>
      </c>
      <c r="I35" s="91">
        <v>5414062</v>
      </c>
      <c r="J35" s="91">
        <v>167000</v>
      </c>
      <c r="K35" s="30">
        <v>0</v>
      </c>
      <c r="L35" s="30"/>
      <c r="M35" s="30"/>
      <c r="N35" s="30">
        <f t="shared" si="3"/>
        <v>0</v>
      </c>
      <c r="O35" s="30">
        <v>109374995</v>
      </c>
      <c r="P35" s="30">
        <v>7647655</v>
      </c>
      <c r="Q35" s="30">
        <v>167000</v>
      </c>
      <c r="R35" s="30">
        <f t="shared" si="0"/>
        <v>117189650</v>
      </c>
      <c r="S35" s="30">
        <v>0</v>
      </c>
      <c r="T35" s="30">
        <v>0</v>
      </c>
      <c r="U35" s="106">
        <f t="shared" si="8"/>
        <v>0</v>
      </c>
      <c r="V35" s="105">
        <f t="shared" si="4"/>
        <v>0</v>
      </c>
      <c r="W35" s="106">
        <f t="shared" si="5"/>
        <v>0</v>
      </c>
      <c r="X35" s="106">
        <f t="shared" si="6"/>
        <v>0</v>
      </c>
      <c r="Y35" s="106">
        <v>0</v>
      </c>
      <c r="Z35" s="30">
        <v>109469861.44751781</v>
      </c>
      <c r="AA35" s="29" t="s">
        <v>408</v>
      </c>
      <c r="AB35" s="54" t="s">
        <v>412</v>
      </c>
      <c r="AC35" s="29" t="s">
        <v>417</v>
      </c>
      <c r="AD35" s="113" t="s">
        <v>434</v>
      </c>
      <c r="AE35" s="132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138">
        <v>0</v>
      </c>
      <c r="AR35" s="142">
        <f t="shared" si="7"/>
        <v>0</v>
      </c>
    </row>
    <row r="36" spans="1:46" x14ac:dyDescent="0.3">
      <c r="A36" s="96">
        <v>33</v>
      </c>
      <c r="B36" s="54" t="s">
        <v>111</v>
      </c>
      <c r="C36" s="90" t="s">
        <v>112</v>
      </c>
      <c r="D36" s="54">
        <v>1</v>
      </c>
      <c r="E36" s="91">
        <v>396794304.25</v>
      </c>
      <c r="F36" s="91">
        <v>3915037</v>
      </c>
      <c r="G36" s="91">
        <v>434633</v>
      </c>
      <c r="H36" s="91">
        <f t="shared" si="2"/>
        <v>401143974.25</v>
      </c>
      <c r="I36" s="91">
        <v>24476895</v>
      </c>
      <c r="J36" s="91">
        <v>6000</v>
      </c>
      <c r="K36" s="30">
        <v>9023</v>
      </c>
      <c r="L36" s="30"/>
      <c r="M36" s="30"/>
      <c r="N36" s="30">
        <f t="shared" si="3"/>
        <v>9023</v>
      </c>
      <c r="O36" s="30">
        <f>396794304-9023</f>
        <v>396785281</v>
      </c>
      <c r="P36" s="30">
        <v>28391932</v>
      </c>
      <c r="Q36" s="30">
        <v>440633</v>
      </c>
      <c r="R36" s="30">
        <f t="shared" ref="R36:R66" si="9">SUM(O36:Q36)</f>
        <v>425617846</v>
      </c>
      <c r="S36" s="30">
        <v>0</v>
      </c>
      <c r="T36" s="30">
        <v>0</v>
      </c>
      <c r="U36" s="106">
        <v>0</v>
      </c>
      <c r="V36" s="105">
        <f t="shared" si="4"/>
        <v>0</v>
      </c>
      <c r="W36" s="106">
        <f t="shared" si="5"/>
        <v>0</v>
      </c>
      <c r="X36" s="106">
        <f t="shared" si="6"/>
        <v>0</v>
      </c>
      <c r="Y36" s="106">
        <v>0</v>
      </c>
      <c r="Z36" s="30">
        <v>396785281</v>
      </c>
      <c r="AA36" s="29" t="s">
        <v>408</v>
      </c>
      <c r="AB36" s="54" t="s">
        <v>412</v>
      </c>
      <c r="AC36" s="29" t="s">
        <v>417</v>
      </c>
      <c r="AD36" s="113" t="s">
        <v>434</v>
      </c>
      <c r="AE36" s="132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138">
        <v>0</v>
      </c>
      <c r="AR36" s="142">
        <f t="shared" si="7"/>
        <v>0</v>
      </c>
    </row>
    <row r="37" spans="1:46" x14ac:dyDescent="0.3">
      <c r="A37" s="96">
        <v>34</v>
      </c>
      <c r="B37" s="54" t="s">
        <v>113</v>
      </c>
      <c r="C37" s="90" t="s">
        <v>114</v>
      </c>
      <c r="D37" s="54">
        <v>1</v>
      </c>
      <c r="E37" s="91">
        <v>984975132.88</v>
      </c>
      <c r="F37" s="91">
        <v>16416252</v>
      </c>
      <c r="G37" s="91">
        <v>1713215.32</v>
      </c>
      <c r="H37" s="91">
        <f t="shared" si="2"/>
        <v>1003104600.2</v>
      </c>
      <c r="I37" s="91">
        <v>0</v>
      </c>
      <c r="J37" s="91">
        <v>0</v>
      </c>
      <c r="K37" s="30">
        <v>41566056</v>
      </c>
      <c r="L37" s="30"/>
      <c r="M37" s="30"/>
      <c r="N37" s="30">
        <f t="shared" si="3"/>
        <v>41566056</v>
      </c>
      <c r="O37" s="30">
        <v>51000000</v>
      </c>
      <c r="P37" s="30">
        <v>0</v>
      </c>
      <c r="Q37" s="30">
        <v>0</v>
      </c>
      <c r="R37" s="30">
        <f t="shared" si="9"/>
        <v>51000000</v>
      </c>
      <c r="S37" s="30">
        <v>0</v>
      </c>
      <c r="T37" s="30">
        <v>0</v>
      </c>
      <c r="U37" s="106">
        <f t="shared" si="8"/>
        <v>892409076.88</v>
      </c>
      <c r="V37" s="105">
        <f t="shared" si="4"/>
        <v>16416252</v>
      </c>
      <c r="W37" s="106">
        <f t="shared" si="5"/>
        <v>1713215.32</v>
      </c>
      <c r="X37" s="106">
        <f t="shared" si="6"/>
        <v>910538544.20000005</v>
      </c>
      <c r="Y37" s="106">
        <v>1034000000</v>
      </c>
      <c r="Z37" s="30">
        <v>943409077</v>
      </c>
      <c r="AA37" s="29" t="s">
        <v>408</v>
      </c>
      <c r="AB37" s="54" t="s">
        <v>412</v>
      </c>
      <c r="AC37" s="29" t="s">
        <v>416</v>
      </c>
      <c r="AD37" s="113" t="s">
        <v>436</v>
      </c>
      <c r="AE37" s="132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138">
        <v>178481815.37600002</v>
      </c>
      <c r="AR37" s="142">
        <f t="shared" si="7"/>
        <v>178481815.37600002</v>
      </c>
      <c r="AT37" s="143">
        <f>AR37/U37</f>
        <v>0.2</v>
      </c>
    </row>
    <row r="38" spans="1:46" s="131" customFormat="1" x14ac:dyDescent="0.3">
      <c r="A38" s="122">
        <v>35</v>
      </c>
      <c r="B38" s="123" t="s">
        <v>115</v>
      </c>
      <c r="C38" s="124" t="s">
        <v>110</v>
      </c>
      <c r="D38" s="123">
        <v>1</v>
      </c>
      <c r="E38" s="125">
        <v>52500000</v>
      </c>
      <c r="F38" s="125">
        <v>844375</v>
      </c>
      <c r="G38" s="125">
        <v>0</v>
      </c>
      <c r="H38" s="125">
        <f t="shared" si="2"/>
        <v>53344375</v>
      </c>
      <c r="I38" s="91">
        <v>2266572</v>
      </c>
      <c r="J38" s="91">
        <v>366240</v>
      </c>
      <c r="K38" s="126">
        <v>245322</v>
      </c>
      <c r="L38" s="30"/>
      <c r="M38" s="30"/>
      <c r="N38" s="30">
        <f t="shared" si="3"/>
        <v>245322</v>
      </c>
      <c r="O38" s="126">
        <f>52500000-245322</f>
        <v>52254678</v>
      </c>
      <c r="P38" s="30">
        <v>3110947</v>
      </c>
      <c r="Q38" s="30">
        <v>366240</v>
      </c>
      <c r="R38" s="126">
        <f t="shared" si="9"/>
        <v>55731865</v>
      </c>
      <c r="S38" s="30">
        <v>0</v>
      </c>
      <c r="T38" s="30">
        <v>0</v>
      </c>
      <c r="U38" s="127">
        <f t="shared" si="8"/>
        <v>0</v>
      </c>
      <c r="V38" s="105">
        <f t="shared" si="4"/>
        <v>0</v>
      </c>
      <c r="W38" s="127">
        <f t="shared" si="5"/>
        <v>0</v>
      </c>
      <c r="X38" s="127">
        <f t="shared" si="6"/>
        <v>0</v>
      </c>
      <c r="Y38" s="127">
        <v>0</v>
      </c>
      <c r="Z38" s="126">
        <v>52329906</v>
      </c>
      <c r="AA38" s="129" t="s">
        <v>408</v>
      </c>
      <c r="AB38" s="123" t="s">
        <v>412</v>
      </c>
      <c r="AC38" s="129" t="s">
        <v>417</v>
      </c>
      <c r="AD38" s="130" t="s">
        <v>434</v>
      </c>
      <c r="AE38" s="134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39">
        <v>0</v>
      </c>
      <c r="AR38" s="210">
        <f t="shared" si="7"/>
        <v>0</v>
      </c>
    </row>
    <row r="39" spans="1:46" x14ac:dyDescent="0.3">
      <c r="A39" s="96">
        <v>36</v>
      </c>
      <c r="B39" s="54" t="s">
        <v>116</v>
      </c>
      <c r="C39" s="90" t="s">
        <v>117</v>
      </c>
      <c r="D39" s="54">
        <v>1</v>
      </c>
      <c r="E39" s="91">
        <v>146066688</v>
      </c>
      <c r="F39" s="91">
        <v>832580</v>
      </c>
      <c r="G39" s="91">
        <v>0</v>
      </c>
      <c r="H39" s="91">
        <f t="shared" si="2"/>
        <v>146899268</v>
      </c>
      <c r="I39" s="91">
        <v>4810463</v>
      </c>
      <c r="J39" s="91">
        <v>4697955</v>
      </c>
      <c r="K39" s="30">
        <v>587161</v>
      </c>
      <c r="L39" s="30"/>
      <c r="M39" s="30"/>
      <c r="N39" s="30">
        <f t="shared" si="3"/>
        <v>587161</v>
      </c>
      <c r="O39" s="30">
        <v>145479527</v>
      </c>
      <c r="P39" s="30">
        <v>5643043</v>
      </c>
      <c r="Q39" s="30">
        <v>4697955</v>
      </c>
      <c r="R39" s="30">
        <f t="shared" si="9"/>
        <v>155820525</v>
      </c>
      <c r="S39" s="30">
        <v>0</v>
      </c>
      <c r="T39" s="30">
        <v>0</v>
      </c>
      <c r="U39" s="106">
        <f t="shared" si="8"/>
        <v>0</v>
      </c>
      <c r="V39" s="105">
        <f t="shared" si="4"/>
        <v>0</v>
      </c>
      <c r="W39" s="106">
        <f t="shared" si="5"/>
        <v>0</v>
      </c>
      <c r="X39" s="106">
        <f t="shared" si="6"/>
        <v>0</v>
      </c>
      <c r="Y39" s="106">
        <v>0</v>
      </c>
      <c r="Z39" s="30">
        <v>145479527</v>
      </c>
      <c r="AA39" s="29" t="s">
        <v>408</v>
      </c>
      <c r="AB39" s="54" t="s">
        <v>412</v>
      </c>
      <c r="AC39" s="29" t="s">
        <v>417</v>
      </c>
      <c r="AD39" s="113" t="s">
        <v>434</v>
      </c>
      <c r="AE39" s="132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138">
        <v>0</v>
      </c>
      <c r="AR39" s="142">
        <f t="shared" si="7"/>
        <v>0</v>
      </c>
    </row>
    <row r="40" spans="1:46" x14ac:dyDescent="0.3">
      <c r="A40" s="96">
        <v>37</v>
      </c>
      <c r="B40" s="54" t="s">
        <v>118</v>
      </c>
      <c r="C40" s="90" t="s">
        <v>119</v>
      </c>
      <c r="D40" s="54">
        <v>1</v>
      </c>
      <c r="E40" s="91">
        <v>325690711.97000003</v>
      </c>
      <c r="F40" s="91">
        <v>5824435</v>
      </c>
      <c r="G40" s="91">
        <v>0</v>
      </c>
      <c r="H40" s="91">
        <f t="shared" si="2"/>
        <v>331515146.97000003</v>
      </c>
      <c r="I40" s="91">
        <v>7623875</v>
      </c>
      <c r="J40" s="91">
        <v>450610</v>
      </c>
      <c r="K40" s="30">
        <v>0</v>
      </c>
      <c r="L40" s="30"/>
      <c r="M40" s="30"/>
      <c r="N40" s="30">
        <f t="shared" si="3"/>
        <v>0</v>
      </c>
      <c r="O40" s="30">
        <v>325690711.97000003</v>
      </c>
      <c r="P40" s="30">
        <v>13448310</v>
      </c>
      <c r="Q40" s="30">
        <v>450610</v>
      </c>
      <c r="R40" s="30">
        <f t="shared" si="9"/>
        <v>339589631.97000003</v>
      </c>
      <c r="S40" s="30">
        <v>0</v>
      </c>
      <c r="T40" s="30">
        <v>0</v>
      </c>
      <c r="U40" s="106">
        <f t="shared" si="8"/>
        <v>0</v>
      </c>
      <c r="V40" s="105">
        <f t="shared" si="4"/>
        <v>0</v>
      </c>
      <c r="W40" s="106">
        <f t="shared" si="5"/>
        <v>0</v>
      </c>
      <c r="X40" s="106">
        <f t="shared" si="6"/>
        <v>0</v>
      </c>
      <c r="Y40" s="106">
        <v>0</v>
      </c>
      <c r="Z40" s="30">
        <v>325690712</v>
      </c>
      <c r="AA40" s="29" t="s">
        <v>408</v>
      </c>
      <c r="AB40" s="54" t="s">
        <v>412</v>
      </c>
      <c r="AC40" s="29" t="s">
        <v>417</v>
      </c>
      <c r="AD40" s="113" t="s">
        <v>434</v>
      </c>
      <c r="AE40" s="132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138">
        <v>0</v>
      </c>
      <c r="AR40" s="142">
        <f t="shared" si="7"/>
        <v>0</v>
      </c>
    </row>
    <row r="41" spans="1:46" x14ac:dyDescent="0.3">
      <c r="A41" s="96">
        <v>38</v>
      </c>
      <c r="B41" s="54" t="s">
        <v>120</v>
      </c>
      <c r="C41" s="90" t="s">
        <v>121</v>
      </c>
      <c r="D41" s="54">
        <v>1</v>
      </c>
      <c r="E41" s="91">
        <v>1261407689.0699999</v>
      </c>
      <c r="F41" s="91">
        <v>8549477.9700000007</v>
      </c>
      <c r="G41" s="91">
        <v>159949681.34999999</v>
      </c>
      <c r="H41" s="91">
        <f t="shared" si="2"/>
        <v>1429906848.3899999</v>
      </c>
      <c r="I41" s="91">
        <v>0</v>
      </c>
      <c r="J41" s="91">
        <v>0</v>
      </c>
      <c r="K41" s="30">
        <v>0</v>
      </c>
      <c r="L41" s="30"/>
      <c r="M41" s="30"/>
      <c r="N41" s="30">
        <f t="shared" si="3"/>
        <v>0</v>
      </c>
      <c r="O41" s="30">
        <v>62410000</v>
      </c>
      <c r="P41" s="30">
        <v>0</v>
      </c>
      <c r="Q41" s="30">
        <v>0</v>
      </c>
      <c r="R41" s="30">
        <f t="shared" si="9"/>
        <v>62410000</v>
      </c>
      <c r="S41" s="30">
        <v>0</v>
      </c>
      <c r="T41" s="30">
        <v>0</v>
      </c>
      <c r="U41" s="106">
        <f t="shared" si="8"/>
        <v>1198997689.0699999</v>
      </c>
      <c r="V41" s="105">
        <f t="shared" si="4"/>
        <v>8549477.9700000007</v>
      </c>
      <c r="W41" s="106">
        <f t="shared" si="5"/>
        <v>159949681.34999999</v>
      </c>
      <c r="X41" s="106">
        <f t="shared" si="6"/>
        <v>1367496848.3899999</v>
      </c>
      <c r="Y41" s="106">
        <v>766000000</v>
      </c>
      <c r="Z41" s="30">
        <v>766000000</v>
      </c>
      <c r="AA41" s="29" t="s">
        <v>408</v>
      </c>
      <c r="AB41" s="54" t="s">
        <v>412</v>
      </c>
      <c r="AC41" s="29" t="s">
        <v>416</v>
      </c>
      <c r="AD41" s="113" t="s">
        <v>434</v>
      </c>
      <c r="AE41" s="132"/>
      <c r="AF41" s="30"/>
      <c r="AG41" s="30">
        <v>766000000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138">
        <v>0</v>
      </c>
      <c r="AR41" s="142">
        <f t="shared" si="7"/>
        <v>766000000</v>
      </c>
    </row>
    <row r="42" spans="1:46" s="131" customFormat="1" x14ac:dyDescent="0.3">
      <c r="A42" s="122">
        <v>39</v>
      </c>
      <c r="B42" s="123" t="s">
        <v>122</v>
      </c>
      <c r="C42" s="124" t="s">
        <v>102</v>
      </c>
      <c r="D42" s="123">
        <v>1</v>
      </c>
      <c r="E42" s="125">
        <v>35129811.18</v>
      </c>
      <c r="F42" s="125">
        <v>1087092</v>
      </c>
      <c r="G42" s="125">
        <v>63399095</v>
      </c>
      <c r="H42" s="125">
        <f t="shared" si="2"/>
        <v>99615998.180000007</v>
      </c>
      <c r="I42" s="125">
        <v>1120796</v>
      </c>
      <c r="J42" s="125">
        <v>0</v>
      </c>
      <c r="K42" s="126">
        <v>8055</v>
      </c>
      <c r="L42" s="30"/>
      <c r="M42" s="30"/>
      <c r="N42" s="30">
        <f t="shared" si="3"/>
        <v>8055</v>
      </c>
      <c r="O42" s="126">
        <f>35129811-8055</f>
        <v>35121756</v>
      </c>
      <c r="P42" s="126">
        <v>2207888</v>
      </c>
      <c r="Q42" s="126">
        <v>19370328</v>
      </c>
      <c r="R42" s="126">
        <f t="shared" si="9"/>
        <v>56699972</v>
      </c>
      <c r="S42" s="126">
        <v>0</v>
      </c>
      <c r="T42" s="126">
        <v>44028767</v>
      </c>
      <c r="U42" s="127">
        <v>0</v>
      </c>
      <c r="V42" s="128">
        <f t="shared" si="4"/>
        <v>0</v>
      </c>
      <c r="W42" s="127">
        <f t="shared" si="5"/>
        <v>0</v>
      </c>
      <c r="X42" s="127">
        <f t="shared" si="6"/>
        <v>0</v>
      </c>
      <c r="Y42" s="127">
        <v>0</v>
      </c>
      <c r="Z42" s="126">
        <v>35121756</v>
      </c>
      <c r="AA42" s="129" t="s">
        <v>408</v>
      </c>
      <c r="AB42" s="123" t="s">
        <v>412</v>
      </c>
      <c r="AC42" s="129" t="s">
        <v>417</v>
      </c>
      <c r="AD42" s="130" t="s">
        <v>434</v>
      </c>
      <c r="AE42" s="134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39">
        <v>0</v>
      </c>
      <c r="AR42" s="210">
        <f t="shared" si="7"/>
        <v>0</v>
      </c>
    </row>
    <row r="43" spans="1:46" x14ac:dyDescent="0.3">
      <c r="A43" s="96">
        <v>40</v>
      </c>
      <c r="B43" s="54" t="s">
        <v>123</v>
      </c>
      <c r="C43" s="90" t="s">
        <v>108</v>
      </c>
      <c r="D43" s="54">
        <v>1</v>
      </c>
      <c r="E43" s="91">
        <v>16590923.619999999</v>
      </c>
      <c r="F43" s="91">
        <v>1236268</v>
      </c>
      <c r="G43" s="91">
        <v>4606140</v>
      </c>
      <c r="H43" s="91">
        <f t="shared" si="2"/>
        <v>22433331.619999997</v>
      </c>
      <c r="I43" s="91">
        <v>300782</v>
      </c>
      <c r="J43" s="91">
        <v>181019</v>
      </c>
      <c r="K43" s="30">
        <v>0</v>
      </c>
      <c r="L43" s="30"/>
      <c r="M43" s="30"/>
      <c r="N43" s="30">
        <f t="shared" si="3"/>
        <v>0</v>
      </c>
      <c r="O43" s="30">
        <v>16590923.619999999</v>
      </c>
      <c r="P43" s="30">
        <v>1537050</v>
      </c>
      <c r="Q43" s="30">
        <v>4787159</v>
      </c>
      <c r="R43" s="30">
        <f t="shared" si="9"/>
        <v>22915132.619999997</v>
      </c>
      <c r="S43" s="30">
        <v>0</v>
      </c>
      <c r="T43" s="30">
        <v>0</v>
      </c>
      <c r="U43" s="106">
        <f t="shared" si="8"/>
        <v>0</v>
      </c>
      <c r="V43" s="105">
        <f t="shared" si="4"/>
        <v>0</v>
      </c>
      <c r="W43" s="106">
        <f t="shared" si="5"/>
        <v>0</v>
      </c>
      <c r="X43" s="106">
        <f t="shared" si="6"/>
        <v>0</v>
      </c>
      <c r="Y43" s="106">
        <v>0</v>
      </c>
      <c r="Z43" s="30">
        <v>16590924</v>
      </c>
      <c r="AA43" s="29" t="s">
        <v>408</v>
      </c>
      <c r="AB43" s="54" t="s">
        <v>412</v>
      </c>
      <c r="AC43" s="29" t="s">
        <v>417</v>
      </c>
      <c r="AD43" s="113" t="s">
        <v>434</v>
      </c>
      <c r="AE43" s="132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138">
        <v>0</v>
      </c>
      <c r="AR43" s="142">
        <f t="shared" si="7"/>
        <v>0</v>
      </c>
    </row>
    <row r="44" spans="1:46" s="131" customFormat="1" x14ac:dyDescent="0.3">
      <c r="A44" s="122">
        <v>41</v>
      </c>
      <c r="B44" s="123" t="s">
        <v>124</v>
      </c>
      <c r="C44" s="124" t="s">
        <v>125</v>
      </c>
      <c r="D44" s="123">
        <v>1</v>
      </c>
      <c r="E44" s="125">
        <v>195026606.72</v>
      </c>
      <c r="F44" s="125">
        <v>1186480</v>
      </c>
      <c r="G44" s="125">
        <v>3522143</v>
      </c>
      <c r="H44" s="125">
        <f t="shared" si="2"/>
        <v>199735229.72</v>
      </c>
      <c r="I44" s="91">
        <v>20785889</v>
      </c>
      <c r="J44" s="91">
        <v>2745190.64</v>
      </c>
      <c r="K44" s="126">
        <v>9023</v>
      </c>
      <c r="L44" s="30"/>
      <c r="M44" s="30"/>
      <c r="N44" s="30">
        <f t="shared" si="3"/>
        <v>9023</v>
      </c>
      <c r="O44" s="126">
        <f>195026607-9023</f>
        <v>195017584</v>
      </c>
      <c r="P44" s="30">
        <v>21972369</v>
      </c>
      <c r="Q44" s="30">
        <v>530168</v>
      </c>
      <c r="R44" s="126">
        <f t="shared" si="9"/>
        <v>217520121</v>
      </c>
      <c r="S44" s="30">
        <v>0</v>
      </c>
      <c r="T44" s="30">
        <v>5737165.6399999997</v>
      </c>
      <c r="U44" s="127">
        <v>0</v>
      </c>
      <c r="V44" s="105">
        <f t="shared" si="4"/>
        <v>0</v>
      </c>
      <c r="W44" s="127">
        <f t="shared" si="5"/>
        <v>0</v>
      </c>
      <c r="X44" s="127">
        <f t="shared" si="6"/>
        <v>0</v>
      </c>
      <c r="Y44" s="127">
        <v>0</v>
      </c>
      <c r="Z44" s="126">
        <v>195026607</v>
      </c>
      <c r="AA44" s="129" t="s">
        <v>408</v>
      </c>
      <c r="AB44" s="123" t="s">
        <v>412</v>
      </c>
      <c r="AC44" s="129" t="s">
        <v>417</v>
      </c>
      <c r="AD44" s="130" t="s">
        <v>434</v>
      </c>
      <c r="AE44" s="134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39">
        <v>0</v>
      </c>
      <c r="AR44" s="210">
        <f t="shared" si="7"/>
        <v>0</v>
      </c>
    </row>
    <row r="45" spans="1:46" x14ac:dyDescent="0.3">
      <c r="A45" s="96">
        <v>42</v>
      </c>
      <c r="B45" s="54" t="s">
        <v>126</v>
      </c>
      <c r="C45" s="90" t="s">
        <v>125</v>
      </c>
      <c r="D45" s="54">
        <v>1</v>
      </c>
      <c r="E45" s="91">
        <v>67862249.859999999</v>
      </c>
      <c r="F45" s="91">
        <v>167394</v>
      </c>
      <c r="G45" s="91">
        <v>738410</v>
      </c>
      <c r="H45" s="91">
        <f t="shared" si="2"/>
        <v>68768053.859999999</v>
      </c>
      <c r="I45" s="91">
        <v>8031410</v>
      </c>
      <c r="J45" s="91">
        <v>92628</v>
      </c>
      <c r="K45" s="30">
        <v>0</v>
      </c>
      <c r="L45" s="30"/>
      <c r="M45" s="30"/>
      <c r="N45" s="30">
        <f t="shared" si="3"/>
        <v>0</v>
      </c>
      <c r="O45" s="30">
        <v>67862249.859999985</v>
      </c>
      <c r="P45" s="30">
        <v>8198804</v>
      </c>
      <c r="Q45" s="30">
        <v>831038</v>
      </c>
      <c r="R45" s="30">
        <f t="shared" si="9"/>
        <v>76892091.859999985</v>
      </c>
      <c r="S45" s="30">
        <v>0</v>
      </c>
      <c r="T45" s="30">
        <v>0</v>
      </c>
      <c r="U45" s="106">
        <f t="shared" si="8"/>
        <v>0</v>
      </c>
      <c r="V45" s="105">
        <f t="shared" si="4"/>
        <v>0</v>
      </c>
      <c r="W45" s="106">
        <f t="shared" si="5"/>
        <v>0</v>
      </c>
      <c r="X45" s="106">
        <f t="shared" si="6"/>
        <v>0</v>
      </c>
      <c r="Y45" s="106">
        <v>0</v>
      </c>
      <c r="Z45" s="30">
        <v>67862250</v>
      </c>
      <c r="AA45" s="29" t="s">
        <v>408</v>
      </c>
      <c r="AB45" s="54" t="s">
        <v>412</v>
      </c>
      <c r="AC45" s="29" t="s">
        <v>417</v>
      </c>
      <c r="AD45" s="113" t="s">
        <v>434</v>
      </c>
      <c r="AE45" s="132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138">
        <v>0</v>
      </c>
      <c r="AR45" s="142">
        <f t="shared" si="7"/>
        <v>0</v>
      </c>
    </row>
    <row r="46" spans="1:46" x14ac:dyDescent="0.3">
      <c r="A46" s="96">
        <v>43</v>
      </c>
      <c r="B46" s="54" t="s">
        <v>127</v>
      </c>
      <c r="C46" s="90" t="s">
        <v>128</v>
      </c>
      <c r="D46" s="54">
        <v>1</v>
      </c>
      <c r="E46" s="91">
        <v>680965850.52999997</v>
      </c>
      <c r="F46" s="91">
        <v>12768109.5</v>
      </c>
      <c r="G46" s="91">
        <v>0</v>
      </c>
      <c r="H46" s="91">
        <f t="shared" si="2"/>
        <v>693733960.02999997</v>
      </c>
      <c r="I46" s="91">
        <v>0</v>
      </c>
      <c r="J46" s="91">
        <v>0</v>
      </c>
      <c r="K46" s="30">
        <v>77255625.610000014</v>
      </c>
      <c r="L46" s="30"/>
      <c r="M46" s="30"/>
      <c r="N46" s="30">
        <f t="shared" si="3"/>
        <v>77255625.610000014</v>
      </c>
      <c r="O46" s="30">
        <v>18500000</v>
      </c>
      <c r="P46" s="30">
        <v>0</v>
      </c>
      <c r="Q46" s="30">
        <v>0</v>
      </c>
      <c r="R46" s="30">
        <f t="shared" si="9"/>
        <v>18500000</v>
      </c>
      <c r="S46" s="30">
        <v>0</v>
      </c>
      <c r="T46" s="30">
        <v>0</v>
      </c>
      <c r="U46" s="106">
        <f t="shared" si="8"/>
        <v>585210224.91999996</v>
      </c>
      <c r="V46" s="105">
        <f t="shared" si="4"/>
        <v>12768109.5</v>
      </c>
      <c r="W46" s="106">
        <f t="shared" si="5"/>
        <v>0</v>
      </c>
      <c r="X46" s="106">
        <f t="shared" si="6"/>
        <v>597978334.41999996</v>
      </c>
      <c r="Y46" s="106">
        <v>1161000000</v>
      </c>
      <c r="Z46" s="30">
        <v>555839350</v>
      </c>
      <c r="AA46" s="29" t="s">
        <v>408</v>
      </c>
      <c r="AB46" s="54" t="s">
        <v>412</v>
      </c>
      <c r="AC46" s="29" t="s">
        <v>416</v>
      </c>
      <c r="AD46" s="113" t="s">
        <v>436</v>
      </c>
      <c r="AE46" s="132"/>
      <c r="AF46" s="30"/>
      <c r="AG46" s="30"/>
      <c r="AH46" s="30"/>
      <c r="AI46" s="30"/>
      <c r="AJ46" s="30"/>
      <c r="AK46" s="30"/>
      <c r="AL46" s="30"/>
      <c r="AM46" s="30"/>
      <c r="AN46" s="30" t="s">
        <v>29</v>
      </c>
      <c r="AO46" s="30"/>
      <c r="AP46" s="30"/>
      <c r="AQ46" s="138">
        <v>117042044.984</v>
      </c>
      <c r="AR46" s="142">
        <f t="shared" si="7"/>
        <v>117042044.984</v>
      </c>
      <c r="AT46" s="143">
        <f>AR46/U46</f>
        <v>0.2</v>
      </c>
    </row>
    <row r="47" spans="1:46" x14ac:dyDescent="0.3">
      <c r="A47" s="96">
        <v>44</v>
      </c>
      <c r="B47" s="54" t="s">
        <v>129</v>
      </c>
      <c r="C47" s="90" t="s">
        <v>130</v>
      </c>
      <c r="D47" s="54">
        <v>1</v>
      </c>
      <c r="E47" s="91">
        <v>146256577.69</v>
      </c>
      <c r="F47" s="91">
        <v>1535694</v>
      </c>
      <c r="G47" s="91">
        <v>0</v>
      </c>
      <c r="H47" s="91">
        <f t="shared" si="2"/>
        <v>147792271.69</v>
      </c>
      <c r="I47" s="91">
        <v>2958929</v>
      </c>
      <c r="J47" s="91">
        <v>7385499</v>
      </c>
      <c r="K47" s="30">
        <v>0</v>
      </c>
      <c r="L47" s="30"/>
      <c r="M47" s="30"/>
      <c r="N47" s="30">
        <f t="shared" si="3"/>
        <v>0</v>
      </c>
      <c r="O47" s="30">
        <v>146256577.69</v>
      </c>
      <c r="P47" s="30">
        <v>4494623</v>
      </c>
      <c r="Q47" s="30">
        <v>7385499</v>
      </c>
      <c r="R47" s="30">
        <f t="shared" si="9"/>
        <v>158136699.69</v>
      </c>
      <c r="S47" s="30">
        <v>0</v>
      </c>
      <c r="T47" s="30">
        <v>0</v>
      </c>
      <c r="U47" s="106">
        <f t="shared" si="8"/>
        <v>0</v>
      </c>
      <c r="V47" s="105">
        <f t="shared" si="4"/>
        <v>0</v>
      </c>
      <c r="W47" s="106">
        <f t="shared" si="5"/>
        <v>0</v>
      </c>
      <c r="X47" s="106">
        <f t="shared" si="6"/>
        <v>0</v>
      </c>
      <c r="Y47" s="106">
        <v>0</v>
      </c>
      <c r="Z47" s="30">
        <v>146256578</v>
      </c>
      <c r="AA47" s="29" t="s">
        <v>408</v>
      </c>
      <c r="AB47" s="54" t="s">
        <v>412</v>
      </c>
      <c r="AC47" s="29" t="s">
        <v>417</v>
      </c>
      <c r="AD47" s="113" t="s">
        <v>434</v>
      </c>
      <c r="AE47" s="132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138">
        <v>0</v>
      </c>
      <c r="AR47" s="142">
        <f t="shared" si="7"/>
        <v>0</v>
      </c>
    </row>
    <row r="48" spans="1:46" x14ac:dyDescent="0.3">
      <c r="A48" s="96">
        <v>45</v>
      </c>
      <c r="B48" s="54" t="s">
        <v>131</v>
      </c>
      <c r="C48" s="90" t="s">
        <v>132</v>
      </c>
      <c r="D48" s="54">
        <v>1</v>
      </c>
      <c r="E48" s="91">
        <v>148119127.08000001</v>
      </c>
      <c r="F48" s="91">
        <v>0</v>
      </c>
      <c r="G48" s="91">
        <v>0</v>
      </c>
      <c r="H48" s="91">
        <f t="shared" si="2"/>
        <v>148119127.08000001</v>
      </c>
      <c r="I48" s="91">
        <v>7864653</v>
      </c>
      <c r="J48" s="91">
        <v>7730019</v>
      </c>
      <c r="K48" s="30">
        <v>0</v>
      </c>
      <c r="L48" s="30"/>
      <c r="M48" s="30"/>
      <c r="N48" s="30">
        <f t="shared" si="3"/>
        <v>0</v>
      </c>
      <c r="O48" s="30">
        <v>148119127.08000001</v>
      </c>
      <c r="P48" s="30">
        <v>7864653</v>
      </c>
      <c r="Q48" s="30">
        <v>7730019</v>
      </c>
      <c r="R48" s="30">
        <f t="shared" si="9"/>
        <v>163713799.08000001</v>
      </c>
      <c r="S48" s="30">
        <v>0</v>
      </c>
      <c r="T48" s="30">
        <v>0</v>
      </c>
      <c r="U48" s="106">
        <f t="shared" si="8"/>
        <v>0</v>
      </c>
      <c r="V48" s="105">
        <f t="shared" si="4"/>
        <v>0</v>
      </c>
      <c r="W48" s="106">
        <f t="shared" si="5"/>
        <v>0</v>
      </c>
      <c r="X48" s="106">
        <f t="shared" si="6"/>
        <v>0</v>
      </c>
      <c r="Y48" s="106">
        <v>0</v>
      </c>
      <c r="Z48" s="30">
        <v>148119127</v>
      </c>
      <c r="AA48" s="29" t="s">
        <v>410</v>
      </c>
      <c r="AB48" s="54" t="s">
        <v>412</v>
      </c>
      <c r="AC48" s="29" t="s">
        <v>417</v>
      </c>
      <c r="AD48" s="113" t="s">
        <v>434</v>
      </c>
      <c r="AE48" s="132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138">
        <v>0</v>
      </c>
      <c r="AR48" s="142">
        <f t="shared" si="7"/>
        <v>0</v>
      </c>
    </row>
    <row r="49" spans="1:46" x14ac:dyDescent="0.3">
      <c r="A49" s="96">
        <v>46</v>
      </c>
      <c r="B49" s="54" t="s">
        <v>133</v>
      </c>
      <c r="C49" s="90" t="s">
        <v>134</v>
      </c>
      <c r="D49" s="54">
        <v>1</v>
      </c>
      <c r="E49" s="91">
        <v>295651420.88</v>
      </c>
      <c r="F49" s="91">
        <v>6208679.6799999997</v>
      </c>
      <c r="G49" s="91">
        <v>0</v>
      </c>
      <c r="H49" s="91">
        <f t="shared" si="2"/>
        <v>301860100.56</v>
      </c>
      <c r="I49" s="91">
        <v>0</v>
      </c>
      <c r="J49" s="91">
        <v>0</v>
      </c>
      <c r="K49" s="30">
        <v>34221981.599999994</v>
      </c>
      <c r="L49" s="30"/>
      <c r="M49" s="30"/>
      <c r="N49" s="30">
        <f t="shared" si="3"/>
        <v>34221981.599999994</v>
      </c>
      <c r="O49" s="30">
        <v>0</v>
      </c>
      <c r="P49" s="30">
        <v>0</v>
      </c>
      <c r="Q49" s="30">
        <v>0</v>
      </c>
      <c r="R49" s="30">
        <f t="shared" si="9"/>
        <v>0</v>
      </c>
      <c r="S49" s="30">
        <v>0</v>
      </c>
      <c r="T49" s="30">
        <v>0</v>
      </c>
      <c r="U49" s="106">
        <f t="shared" si="8"/>
        <v>261429439.28</v>
      </c>
      <c r="V49" s="105">
        <f t="shared" si="4"/>
        <v>6208679.6799999997</v>
      </c>
      <c r="W49" s="106">
        <f t="shared" si="5"/>
        <v>0</v>
      </c>
      <c r="X49" s="106">
        <f t="shared" si="6"/>
        <v>267638118.96000001</v>
      </c>
      <c r="Y49" s="106">
        <v>0</v>
      </c>
      <c r="Z49" s="30">
        <v>295651421</v>
      </c>
      <c r="AA49" s="29" t="s">
        <v>408</v>
      </c>
      <c r="AB49" s="54" t="s">
        <v>412</v>
      </c>
      <c r="AC49" s="29" t="s">
        <v>416</v>
      </c>
      <c r="AD49" s="113" t="s">
        <v>436</v>
      </c>
      <c r="AE49" s="132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138">
        <v>52285887.856000006</v>
      </c>
      <c r="AR49" s="142">
        <f t="shared" si="7"/>
        <v>52285887.856000006</v>
      </c>
      <c r="AT49" s="143">
        <f>AR49/U49</f>
        <v>0.2</v>
      </c>
    </row>
    <row r="50" spans="1:46" x14ac:dyDescent="0.3">
      <c r="A50" s="96">
        <v>47</v>
      </c>
      <c r="B50" s="54" t="s">
        <v>135</v>
      </c>
      <c r="C50" s="90" t="s">
        <v>136</v>
      </c>
      <c r="D50" s="54">
        <v>1</v>
      </c>
      <c r="E50" s="91">
        <v>284698012.27999997</v>
      </c>
      <c r="F50" s="91">
        <v>5551611</v>
      </c>
      <c r="G50" s="91">
        <v>0</v>
      </c>
      <c r="H50" s="91">
        <f t="shared" si="2"/>
        <v>290249623.27999997</v>
      </c>
      <c r="I50" s="91">
        <v>14185091</v>
      </c>
      <c r="J50" s="91">
        <v>1474630</v>
      </c>
      <c r="K50" s="30">
        <v>79044</v>
      </c>
      <c r="L50" s="30"/>
      <c r="M50" s="30"/>
      <c r="N50" s="30">
        <f t="shared" si="3"/>
        <v>79044</v>
      </c>
      <c r="O50" s="30">
        <f>284698012-79044</f>
        <v>284618968</v>
      </c>
      <c r="P50" s="30">
        <v>19736702</v>
      </c>
      <c r="Q50" s="30">
        <v>1474630</v>
      </c>
      <c r="R50" s="30">
        <f t="shared" si="9"/>
        <v>305830300</v>
      </c>
      <c r="S50" s="30">
        <v>0</v>
      </c>
      <c r="T50" s="30">
        <v>0</v>
      </c>
      <c r="U50" s="106">
        <v>0</v>
      </c>
      <c r="V50" s="105">
        <f t="shared" si="4"/>
        <v>0</v>
      </c>
      <c r="W50" s="106">
        <f t="shared" si="5"/>
        <v>0</v>
      </c>
      <c r="X50" s="106">
        <f t="shared" si="6"/>
        <v>0</v>
      </c>
      <c r="Y50" s="106">
        <v>0</v>
      </c>
      <c r="Z50" s="30">
        <v>284618968</v>
      </c>
      <c r="AA50" s="29" t="s">
        <v>408</v>
      </c>
      <c r="AB50" s="54" t="s">
        <v>412</v>
      </c>
      <c r="AC50" s="29" t="s">
        <v>417</v>
      </c>
      <c r="AD50" s="113" t="s">
        <v>434</v>
      </c>
      <c r="AE50" s="132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138">
        <v>0</v>
      </c>
      <c r="AR50" s="142">
        <f t="shared" si="7"/>
        <v>0</v>
      </c>
    </row>
    <row r="51" spans="1:46" x14ac:dyDescent="0.3">
      <c r="A51" s="96">
        <v>48</v>
      </c>
      <c r="B51" s="54" t="s">
        <v>137</v>
      </c>
      <c r="C51" s="90" t="s">
        <v>138</v>
      </c>
      <c r="D51" s="54">
        <v>1</v>
      </c>
      <c r="E51" s="91">
        <v>1795676738.21</v>
      </c>
      <c r="F51" s="91">
        <v>42266563.18</v>
      </c>
      <c r="G51" s="91">
        <v>399385.82</v>
      </c>
      <c r="H51" s="91">
        <f t="shared" si="2"/>
        <v>1838342687.21</v>
      </c>
      <c r="I51" s="91">
        <v>0</v>
      </c>
      <c r="J51" s="91">
        <v>0</v>
      </c>
      <c r="K51" s="30">
        <v>9023</v>
      </c>
      <c r="L51" s="30"/>
      <c r="M51" s="30"/>
      <c r="N51" s="30">
        <f t="shared" si="3"/>
        <v>9023</v>
      </c>
      <c r="O51" s="30">
        <v>1331245746</v>
      </c>
      <c r="P51" s="30">
        <v>0</v>
      </c>
      <c r="Q51" s="30">
        <v>0</v>
      </c>
      <c r="R51" s="30">
        <f t="shared" si="9"/>
        <v>1331245746</v>
      </c>
      <c r="S51" s="30">
        <v>0</v>
      </c>
      <c r="T51" s="30">
        <v>0</v>
      </c>
      <c r="U51" s="106">
        <f t="shared" si="8"/>
        <v>464421969.21000004</v>
      </c>
      <c r="V51" s="105">
        <f t="shared" si="4"/>
        <v>42266563.18</v>
      </c>
      <c r="W51" s="106">
        <f t="shared" si="5"/>
        <v>399385.82</v>
      </c>
      <c r="X51" s="106">
        <f t="shared" si="6"/>
        <v>507087918.21000004</v>
      </c>
      <c r="Y51" s="106">
        <v>1352000000</v>
      </c>
      <c r="Z51" s="30">
        <v>1392000000</v>
      </c>
      <c r="AA51" s="29" t="s">
        <v>408</v>
      </c>
      <c r="AB51" s="54" t="s">
        <v>412</v>
      </c>
      <c r="AC51" s="29" t="s">
        <v>416</v>
      </c>
      <c r="AD51" s="113" t="s">
        <v>436</v>
      </c>
      <c r="AE51" s="132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138">
        <v>0</v>
      </c>
      <c r="AR51" s="142">
        <f t="shared" si="7"/>
        <v>0</v>
      </c>
      <c r="AS51" t="s">
        <v>1426</v>
      </c>
    </row>
    <row r="52" spans="1:46" x14ac:dyDescent="0.3">
      <c r="A52" s="96">
        <v>49</v>
      </c>
      <c r="B52" s="54" t="s">
        <v>139</v>
      </c>
      <c r="C52" s="90" t="s">
        <v>134</v>
      </c>
      <c r="D52" s="54">
        <v>1</v>
      </c>
      <c r="E52" s="91">
        <v>597517706.84000003</v>
      </c>
      <c r="F52" s="91">
        <v>11153663.640000001</v>
      </c>
      <c r="G52" s="91">
        <v>0</v>
      </c>
      <c r="H52" s="91">
        <f t="shared" si="2"/>
        <v>608671370.48000002</v>
      </c>
      <c r="I52" s="91">
        <v>0</v>
      </c>
      <c r="J52" s="91">
        <v>0</v>
      </c>
      <c r="K52" s="30">
        <v>13648893.789999999</v>
      </c>
      <c r="L52" s="30"/>
      <c r="M52" s="30"/>
      <c r="N52" s="30">
        <f t="shared" si="3"/>
        <v>13648893.789999999</v>
      </c>
      <c r="O52" s="30">
        <v>0</v>
      </c>
      <c r="P52" s="30">
        <v>0</v>
      </c>
      <c r="Q52" s="30">
        <v>0</v>
      </c>
      <c r="R52" s="30">
        <f t="shared" si="9"/>
        <v>0</v>
      </c>
      <c r="S52" s="30">
        <v>0</v>
      </c>
      <c r="T52" s="30">
        <v>0</v>
      </c>
      <c r="U52" s="106">
        <f t="shared" si="8"/>
        <v>583868813.05000007</v>
      </c>
      <c r="V52" s="105">
        <f t="shared" si="4"/>
        <v>11153663.640000001</v>
      </c>
      <c r="W52" s="106">
        <f t="shared" si="5"/>
        <v>0</v>
      </c>
      <c r="X52" s="106">
        <f t="shared" si="6"/>
        <v>595022476.69000006</v>
      </c>
      <c r="Y52" s="106">
        <v>0</v>
      </c>
      <c r="Z52" s="30">
        <v>309509230</v>
      </c>
      <c r="AA52" s="29" t="s">
        <v>408</v>
      </c>
      <c r="AB52" s="54" t="s">
        <v>412</v>
      </c>
      <c r="AC52" s="29" t="s">
        <v>416</v>
      </c>
      <c r="AD52" s="113" t="s">
        <v>436</v>
      </c>
      <c r="AE52" s="132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138">
        <v>116773762.61000001</v>
      </c>
      <c r="AR52" s="142">
        <f t="shared" si="7"/>
        <v>116773762.61000001</v>
      </c>
      <c r="AT52" s="143">
        <f>AR52/U52</f>
        <v>0.2</v>
      </c>
    </row>
    <row r="53" spans="1:46" s="131" customFormat="1" x14ac:dyDescent="0.3">
      <c r="A53" s="122">
        <v>50</v>
      </c>
      <c r="B53" s="123" t="s">
        <v>140</v>
      </c>
      <c r="C53" s="124" t="s">
        <v>141</v>
      </c>
      <c r="D53" s="123">
        <v>1</v>
      </c>
      <c r="E53" s="125">
        <v>78567624.189999998</v>
      </c>
      <c r="F53" s="125">
        <v>1018091</v>
      </c>
      <c r="G53" s="125">
        <v>31688331</v>
      </c>
      <c r="H53" s="125">
        <f t="shared" si="2"/>
        <v>111274046.19</v>
      </c>
      <c r="I53" s="91">
        <v>4960255</v>
      </c>
      <c r="J53" s="91">
        <v>0</v>
      </c>
      <c r="K53" s="126">
        <v>2681417</v>
      </c>
      <c r="L53" s="30"/>
      <c r="M53" s="30"/>
      <c r="N53" s="30">
        <f t="shared" si="3"/>
        <v>2681417</v>
      </c>
      <c r="O53" s="126">
        <f>78567624-2681417</f>
        <v>75886207</v>
      </c>
      <c r="P53" s="30">
        <v>5978346</v>
      </c>
      <c r="Q53" s="30">
        <v>15183946</v>
      </c>
      <c r="R53" s="126">
        <f t="shared" si="9"/>
        <v>97048499</v>
      </c>
      <c r="S53" s="30">
        <v>0</v>
      </c>
      <c r="T53" s="30">
        <v>16504385</v>
      </c>
      <c r="U53" s="127">
        <v>0</v>
      </c>
      <c r="V53" s="105">
        <f t="shared" si="4"/>
        <v>0</v>
      </c>
      <c r="W53" s="127">
        <f t="shared" si="5"/>
        <v>0</v>
      </c>
      <c r="X53" s="127">
        <f t="shared" si="6"/>
        <v>0</v>
      </c>
      <c r="Y53" s="127">
        <v>0</v>
      </c>
      <c r="Z53" s="126">
        <v>75886207</v>
      </c>
      <c r="AA53" s="129" t="s">
        <v>408</v>
      </c>
      <c r="AB53" s="123" t="s">
        <v>412</v>
      </c>
      <c r="AC53" s="129" t="s">
        <v>417</v>
      </c>
      <c r="AD53" s="130" t="s">
        <v>434</v>
      </c>
      <c r="AE53" s="134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39">
        <v>0</v>
      </c>
      <c r="AR53" s="210">
        <f t="shared" si="7"/>
        <v>0</v>
      </c>
    </row>
    <row r="54" spans="1:46" s="131" customFormat="1" x14ac:dyDescent="0.3">
      <c r="A54" s="122">
        <v>51</v>
      </c>
      <c r="B54" s="123" t="s">
        <v>142</v>
      </c>
      <c r="C54" s="124" t="s">
        <v>119</v>
      </c>
      <c r="D54" s="123">
        <v>1</v>
      </c>
      <c r="E54" s="125">
        <v>365168381.25999999</v>
      </c>
      <c r="F54" s="125">
        <v>6530428</v>
      </c>
      <c r="G54" s="125">
        <v>0</v>
      </c>
      <c r="H54" s="125">
        <f t="shared" si="2"/>
        <v>371698809.25999999</v>
      </c>
      <c r="I54" s="125">
        <v>8547981</v>
      </c>
      <c r="J54" s="125">
        <v>498503</v>
      </c>
      <c r="K54" s="126">
        <v>0</v>
      </c>
      <c r="L54" s="30"/>
      <c r="M54" s="30"/>
      <c r="N54" s="30">
        <f t="shared" si="3"/>
        <v>0</v>
      </c>
      <c r="O54" s="126">
        <v>365168381.25999999</v>
      </c>
      <c r="P54" s="126">
        <v>15078409</v>
      </c>
      <c r="Q54" s="126">
        <v>498503</v>
      </c>
      <c r="R54" s="126">
        <f t="shared" si="9"/>
        <v>380745293.25999999</v>
      </c>
      <c r="S54" s="126">
        <v>0</v>
      </c>
      <c r="T54" s="126">
        <v>0</v>
      </c>
      <c r="U54" s="127">
        <f t="shared" si="8"/>
        <v>0</v>
      </c>
      <c r="V54" s="128">
        <f t="shared" si="4"/>
        <v>0</v>
      </c>
      <c r="W54" s="127">
        <f t="shared" si="5"/>
        <v>0</v>
      </c>
      <c r="X54" s="127">
        <f t="shared" si="6"/>
        <v>0</v>
      </c>
      <c r="Y54" s="127">
        <v>0</v>
      </c>
      <c r="Z54" s="126">
        <v>365168381</v>
      </c>
      <c r="AA54" s="129" t="s">
        <v>408</v>
      </c>
      <c r="AB54" s="123" t="s">
        <v>414</v>
      </c>
      <c r="AC54" s="129" t="s">
        <v>417</v>
      </c>
      <c r="AD54" s="130" t="s">
        <v>435</v>
      </c>
      <c r="AE54" s="134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39">
        <v>0</v>
      </c>
      <c r="AR54" s="210">
        <f t="shared" si="7"/>
        <v>0</v>
      </c>
    </row>
    <row r="55" spans="1:46" x14ac:dyDescent="0.3">
      <c r="A55" s="96">
        <v>52</v>
      </c>
      <c r="B55" s="54" t="s">
        <v>143</v>
      </c>
      <c r="C55" s="90" t="s">
        <v>144</v>
      </c>
      <c r="D55" s="54">
        <v>1</v>
      </c>
      <c r="E55" s="91">
        <v>548446270.75999999</v>
      </c>
      <c r="F55" s="91">
        <v>12313099.859999999</v>
      </c>
      <c r="G55" s="91">
        <v>0</v>
      </c>
      <c r="H55" s="91">
        <f t="shared" si="2"/>
        <v>560759370.62</v>
      </c>
      <c r="I55" s="91">
        <v>0</v>
      </c>
      <c r="J55" s="91">
        <v>0</v>
      </c>
      <c r="K55" s="30">
        <v>14535714</v>
      </c>
      <c r="L55" s="30"/>
      <c r="M55" s="30"/>
      <c r="N55" s="30">
        <f t="shared" si="3"/>
        <v>14535714</v>
      </c>
      <c r="O55" s="30">
        <v>265000000</v>
      </c>
      <c r="P55" s="30">
        <v>0</v>
      </c>
      <c r="Q55" s="30">
        <v>0</v>
      </c>
      <c r="R55" s="30">
        <f t="shared" si="9"/>
        <v>265000000</v>
      </c>
      <c r="S55" s="30">
        <v>0</v>
      </c>
      <c r="T55" s="30">
        <v>0</v>
      </c>
      <c r="U55" s="106">
        <f t="shared" si="8"/>
        <v>268910556.75999999</v>
      </c>
      <c r="V55" s="105">
        <f t="shared" si="4"/>
        <v>12313099.859999999</v>
      </c>
      <c r="W55" s="106">
        <f t="shared" si="5"/>
        <v>0</v>
      </c>
      <c r="X55" s="106">
        <f t="shared" si="6"/>
        <v>281223656.62</v>
      </c>
      <c r="Y55" s="106">
        <v>500000000</v>
      </c>
      <c r="Z55" s="30">
        <v>533910557</v>
      </c>
      <c r="AA55" s="29" t="s">
        <v>408</v>
      </c>
      <c r="AB55" s="54" t="s">
        <v>412</v>
      </c>
      <c r="AC55" s="29" t="s">
        <v>416</v>
      </c>
      <c r="AD55" s="113" t="s">
        <v>433</v>
      </c>
      <c r="AE55" s="132">
        <v>12894736</v>
      </c>
      <c r="AF55" s="30">
        <v>12894736</v>
      </c>
      <c r="AG55" s="30">
        <v>12894736</v>
      </c>
      <c r="AH55" s="30">
        <v>12894736</v>
      </c>
      <c r="AI55" s="30">
        <v>12894736</v>
      </c>
      <c r="AJ55" s="30">
        <v>12894736</v>
      </c>
      <c r="AK55" s="30">
        <v>12894736</v>
      </c>
      <c r="AL55" s="30">
        <v>12894736</v>
      </c>
      <c r="AM55" s="30">
        <v>12894736</v>
      </c>
      <c r="AN55" s="30">
        <v>12894736</v>
      </c>
      <c r="AO55" s="30">
        <v>12894736</v>
      </c>
      <c r="AP55" s="30">
        <f>U55-(SUM(AE55:AO55))</f>
        <v>127068460.75999999</v>
      </c>
      <c r="AQ55" s="138">
        <v>0</v>
      </c>
      <c r="AR55" s="142">
        <f t="shared" si="7"/>
        <v>268910556.75999999</v>
      </c>
    </row>
    <row r="56" spans="1:46" x14ac:dyDescent="0.3">
      <c r="A56" s="96">
        <v>53</v>
      </c>
      <c r="B56" s="54" t="s">
        <v>145</v>
      </c>
      <c r="C56" s="90" t="s">
        <v>146</v>
      </c>
      <c r="D56" s="54">
        <v>1</v>
      </c>
      <c r="E56" s="91">
        <v>1188620078.72</v>
      </c>
      <c r="F56" s="91">
        <v>21256489</v>
      </c>
      <c r="G56" s="91">
        <v>0</v>
      </c>
      <c r="H56" s="91">
        <f t="shared" si="2"/>
        <v>1209876567.72</v>
      </c>
      <c r="I56" s="91">
        <v>759679517.63</v>
      </c>
      <c r="J56" s="91">
        <v>298571020.63</v>
      </c>
      <c r="K56" s="30">
        <v>5188049</v>
      </c>
      <c r="L56" s="30"/>
      <c r="M56" s="30"/>
      <c r="N56" s="30">
        <f t="shared" si="3"/>
        <v>5188049</v>
      </c>
      <c r="O56" s="30">
        <v>1183432029.72</v>
      </c>
      <c r="P56" s="30">
        <f>20417970+298571020</f>
        <v>318988990</v>
      </c>
      <c r="Q56" s="30">
        <v>0</v>
      </c>
      <c r="R56" s="30">
        <f t="shared" si="9"/>
        <v>1502421019.72</v>
      </c>
      <c r="S56" s="30">
        <v>461947016.41000003</v>
      </c>
      <c r="T56" s="30">
        <v>298571020.63</v>
      </c>
      <c r="U56" s="106">
        <f t="shared" si="8"/>
        <v>0</v>
      </c>
      <c r="V56" s="105">
        <v>0</v>
      </c>
      <c r="W56" s="106">
        <f t="shared" si="5"/>
        <v>0</v>
      </c>
      <c r="X56" s="106">
        <f t="shared" si="6"/>
        <v>0</v>
      </c>
      <c r="Y56" s="106">
        <v>1021000000</v>
      </c>
      <c r="Z56" s="30">
        <v>1054850000</v>
      </c>
      <c r="AA56" s="29" t="s">
        <v>408</v>
      </c>
      <c r="AB56" s="54" t="s">
        <v>412</v>
      </c>
      <c r="AC56" s="29" t="s">
        <v>417</v>
      </c>
      <c r="AD56" s="113" t="s">
        <v>433</v>
      </c>
      <c r="AE56" s="132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138">
        <v>0</v>
      </c>
      <c r="AR56" s="142">
        <f t="shared" si="7"/>
        <v>0</v>
      </c>
    </row>
    <row r="57" spans="1:46" s="131" customFormat="1" x14ac:dyDescent="0.3">
      <c r="A57" s="122">
        <v>54</v>
      </c>
      <c r="B57" s="123" t="s">
        <v>147</v>
      </c>
      <c r="C57" s="124" t="s">
        <v>148</v>
      </c>
      <c r="D57" s="123">
        <v>1</v>
      </c>
      <c r="E57" s="125">
        <v>128902609.51000001</v>
      </c>
      <c r="F57" s="125">
        <v>1203090.98</v>
      </c>
      <c r="G57" s="125">
        <v>0</v>
      </c>
      <c r="H57" s="125">
        <f t="shared" si="2"/>
        <v>130105700.49000001</v>
      </c>
      <c r="I57" s="91">
        <v>47947</v>
      </c>
      <c r="J57" s="91">
        <v>1006000</v>
      </c>
      <c r="K57" s="126">
        <v>47947</v>
      </c>
      <c r="L57" s="30"/>
      <c r="M57" s="30"/>
      <c r="N57" s="30">
        <f t="shared" si="3"/>
        <v>47947</v>
      </c>
      <c r="O57" s="126">
        <f>128902609.51-47947</f>
        <v>128854662.51000001</v>
      </c>
      <c r="P57" s="30">
        <v>1251037.98</v>
      </c>
      <c r="Q57" s="30">
        <v>1006000</v>
      </c>
      <c r="R57" s="126">
        <f t="shared" si="9"/>
        <v>131111700.49000001</v>
      </c>
      <c r="S57" s="30">
        <v>0</v>
      </c>
      <c r="T57" s="30">
        <v>0</v>
      </c>
      <c r="U57" s="127">
        <f t="shared" si="8"/>
        <v>0</v>
      </c>
      <c r="V57" s="105">
        <f t="shared" si="4"/>
        <v>0</v>
      </c>
      <c r="W57" s="127">
        <f t="shared" si="5"/>
        <v>0</v>
      </c>
      <c r="X57" s="127">
        <f t="shared" si="6"/>
        <v>0</v>
      </c>
      <c r="Y57" s="127">
        <v>0</v>
      </c>
      <c r="Z57" s="126">
        <v>128854663</v>
      </c>
      <c r="AA57" s="129" t="s">
        <v>408</v>
      </c>
      <c r="AB57" s="123" t="s">
        <v>412</v>
      </c>
      <c r="AC57" s="129" t="s">
        <v>417</v>
      </c>
      <c r="AD57" s="130" t="s">
        <v>434</v>
      </c>
      <c r="AE57" s="134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39">
        <v>0</v>
      </c>
      <c r="AR57" s="210">
        <f t="shared" si="7"/>
        <v>0</v>
      </c>
    </row>
    <row r="58" spans="1:46" s="109" customFormat="1" x14ac:dyDescent="0.3">
      <c r="A58" s="96">
        <v>55</v>
      </c>
      <c r="B58" s="54" t="s">
        <v>149</v>
      </c>
      <c r="C58" s="55" t="s">
        <v>150</v>
      </c>
      <c r="D58" s="54">
        <v>1</v>
      </c>
      <c r="E58" s="92">
        <v>61936538.659999996</v>
      </c>
      <c r="F58" s="92">
        <v>763884</v>
      </c>
      <c r="G58" s="92">
        <v>0</v>
      </c>
      <c r="H58" s="91">
        <f t="shared" si="2"/>
        <v>62700422.659999996</v>
      </c>
      <c r="I58" s="91">
        <v>868577</v>
      </c>
      <c r="J58" s="91">
        <v>6000</v>
      </c>
      <c r="K58" s="30">
        <v>0</v>
      </c>
      <c r="L58" s="92"/>
      <c r="M58" s="92"/>
      <c r="N58" s="30">
        <f t="shared" si="3"/>
        <v>0</v>
      </c>
      <c r="O58" s="92">
        <v>61936539</v>
      </c>
      <c r="P58" s="30">
        <v>1632461</v>
      </c>
      <c r="Q58" s="30">
        <v>6000</v>
      </c>
      <c r="R58" s="91">
        <f t="shared" si="9"/>
        <v>63575000</v>
      </c>
      <c r="S58" s="30">
        <v>0</v>
      </c>
      <c r="T58" s="30">
        <v>0</v>
      </c>
      <c r="U58" s="106">
        <v>0</v>
      </c>
      <c r="V58" s="105">
        <f t="shared" si="4"/>
        <v>0</v>
      </c>
      <c r="W58" s="106">
        <f t="shared" si="5"/>
        <v>0</v>
      </c>
      <c r="X58" s="106">
        <f t="shared" si="6"/>
        <v>0</v>
      </c>
      <c r="Y58" s="106">
        <v>0</v>
      </c>
      <c r="Z58" s="92">
        <v>61936539</v>
      </c>
      <c r="AA58" s="54" t="s">
        <v>408</v>
      </c>
      <c r="AB58" s="54" t="s">
        <v>412</v>
      </c>
      <c r="AC58" s="29" t="s">
        <v>417</v>
      </c>
      <c r="AD58" s="114" t="s">
        <v>434</v>
      </c>
      <c r="AE58" s="132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138">
        <v>0</v>
      </c>
      <c r="AR58" s="142">
        <f t="shared" si="7"/>
        <v>0</v>
      </c>
    </row>
    <row r="59" spans="1:46" x14ac:dyDescent="0.3">
      <c r="A59" s="96">
        <v>56</v>
      </c>
      <c r="B59" s="54" t="s">
        <v>151</v>
      </c>
      <c r="C59" s="90" t="s">
        <v>152</v>
      </c>
      <c r="D59" s="54">
        <v>1</v>
      </c>
      <c r="E59" s="30">
        <v>684061106.96000004</v>
      </c>
      <c r="F59" s="30">
        <v>25111529</v>
      </c>
      <c r="G59" s="30">
        <v>2677633</v>
      </c>
      <c r="H59" s="91">
        <f t="shared" si="2"/>
        <v>711850268.96000004</v>
      </c>
      <c r="I59" s="91">
        <v>215009372</v>
      </c>
      <c r="J59" s="91">
        <v>99644312</v>
      </c>
      <c r="K59" s="30">
        <v>9023</v>
      </c>
      <c r="L59" s="28"/>
      <c r="M59" s="28"/>
      <c r="N59" s="30">
        <f t="shared" si="3"/>
        <v>9023</v>
      </c>
      <c r="O59" s="30">
        <f>684061107-9023</f>
        <v>684052084</v>
      </c>
      <c r="P59" s="30">
        <v>25111529</v>
      </c>
      <c r="Q59" s="30">
        <v>2678387</v>
      </c>
      <c r="R59" s="30">
        <f t="shared" si="9"/>
        <v>711842000</v>
      </c>
      <c r="S59" s="30">
        <v>215009372</v>
      </c>
      <c r="T59" s="30">
        <v>99643558</v>
      </c>
      <c r="U59" s="106">
        <v>0</v>
      </c>
      <c r="V59" s="105">
        <f t="shared" si="4"/>
        <v>0</v>
      </c>
      <c r="W59" s="106">
        <f t="shared" si="5"/>
        <v>0</v>
      </c>
      <c r="X59" s="106">
        <f t="shared" si="6"/>
        <v>0</v>
      </c>
      <c r="Y59" s="106">
        <v>891000000</v>
      </c>
      <c r="Z59" s="30">
        <v>684061107</v>
      </c>
      <c r="AA59" s="29" t="s">
        <v>408</v>
      </c>
      <c r="AB59" s="54" t="s">
        <v>412</v>
      </c>
      <c r="AC59" s="29" t="s">
        <v>417</v>
      </c>
      <c r="AD59" s="113" t="s">
        <v>434</v>
      </c>
      <c r="AE59" s="132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138">
        <v>0</v>
      </c>
      <c r="AR59" s="142">
        <f t="shared" si="7"/>
        <v>0</v>
      </c>
    </row>
    <row r="60" spans="1:46" x14ac:dyDescent="0.3">
      <c r="A60" s="96">
        <v>57</v>
      </c>
      <c r="B60" s="111" t="s">
        <v>156</v>
      </c>
      <c r="C60" s="28" t="s">
        <v>157</v>
      </c>
      <c r="D60" s="54">
        <v>2</v>
      </c>
      <c r="E60" s="30">
        <v>301122899.13</v>
      </c>
      <c r="F60" s="30">
        <v>2785386.75</v>
      </c>
      <c r="G60" s="30">
        <v>9898.98</v>
      </c>
      <c r="H60" s="91">
        <f t="shared" si="2"/>
        <v>303918184.86000001</v>
      </c>
      <c r="I60" s="91">
        <v>0</v>
      </c>
      <c r="J60" s="91">
        <v>0</v>
      </c>
      <c r="K60" s="30">
        <v>9023</v>
      </c>
      <c r="L60" s="28"/>
      <c r="M60" s="28"/>
      <c r="N60" s="30">
        <f t="shared" si="3"/>
        <v>9023</v>
      </c>
      <c r="O60" s="30">
        <v>144202100</v>
      </c>
      <c r="P60" s="30">
        <v>0</v>
      </c>
      <c r="Q60" s="30">
        <v>0</v>
      </c>
      <c r="R60" s="30">
        <f t="shared" si="9"/>
        <v>144202100</v>
      </c>
      <c r="S60" s="30">
        <v>0</v>
      </c>
      <c r="T60" s="30">
        <v>0</v>
      </c>
      <c r="U60" s="106">
        <f t="shared" si="8"/>
        <v>156911776.13</v>
      </c>
      <c r="V60" s="105">
        <f t="shared" si="4"/>
        <v>2785386.75</v>
      </c>
      <c r="W60" s="106">
        <f t="shared" si="5"/>
        <v>9898.98</v>
      </c>
      <c r="X60" s="106">
        <f t="shared" si="6"/>
        <v>159707061.85999998</v>
      </c>
      <c r="Y60" s="106">
        <v>136000000</v>
      </c>
      <c r="Z60" s="146">
        <v>136000000</v>
      </c>
      <c r="AA60" s="29" t="s">
        <v>408</v>
      </c>
      <c r="AB60" s="29" t="s">
        <v>412</v>
      </c>
      <c r="AC60" s="29" t="s">
        <v>416</v>
      </c>
      <c r="AD60" s="113" t="s">
        <v>436</v>
      </c>
      <c r="AE60" s="132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138">
        <v>0</v>
      </c>
      <c r="AR60" s="142">
        <f t="shared" si="7"/>
        <v>0</v>
      </c>
      <c r="AS60" t="s">
        <v>1426</v>
      </c>
    </row>
    <row r="61" spans="1:46" x14ac:dyDescent="0.3">
      <c r="A61" s="96">
        <v>58</v>
      </c>
      <c r="B61" s="29" t="s">
        <v>158</v>
      </c>
      <c r="C61" s="28" t="s">
        <v>159</v>
      </c>
      <c r="D61" s="54">
        <v>2</v>
      </c>
      <c r="E61" s="30">
        <v>2332569001.5900002</v>
      </c>
      <c r="F61" s="30">
        <v>31489681.5</v>
      </c>
      <c r="G61" s="30">
        <v>0</v>
      </c>
      <c r="H61" s="91">
        <f t="shared" si="2"/>
        <v>2364058683.0900002</v>
      </c>
      <c r="I61" s="91">
        <v>0</v>
      </c>
      <c r="J61" s="91">
        <v>0</v>
      </c>
      <c r="K61" s="30">
        <v>0</v>
      </c>
      <c r="L61" s="28"/>
      <c r="M61" s="28"/>
      <c r="N61" s="30">
        <f t="shared" si="3"/>
        <v>0</v>
      </c>
      <c r="O61" s="30">
        <v>0</v>
      </c>
      <c r="P61" s="30">
        <v>0</v>
      </c>
      <c r="Q61" s="30">
        <v>0</v>
      </c>
      <c r="R61" s="30">
        <f t="shared" si="9"/>
        <v>0</v>
      </c>
      <c r="S61" s="30">
        <v>0</v>
      </c>
      <c r="T61" s="30">
        <v>0</v>
      </c>
      <c r="U61" s="106">
        <f t="shared" si="8"/>
        <v>2332569001.5900002</v>
      </c>
      <c r="V61" s="105">
        <f t="shared" si="4"/>
        <v>31489681.5</v>
      </c>
      <c r="W61" s="106">
        <f t="shared" si="5"/>
        <v>0</v>
      </c>
      <c r="X61" s="106">
        <f t="shared" si="6"/>
        <v>2364058683.0900002</v>
      </c>
      <c r="Y61" s="106">
        <v>1694000000</v>
      </c>
      <c r="Z61" s="146">
        <v>1674000000</v>
      </c>
      <c r="AA61" s="29" t="s">
        <v>408</v>
      </c>
      <c r="AB61" s="29" t="s">
        <v>412</v>
      </c>
      <c r="AC61" s="29" t="s">
        <v>416</v>
      </c>
      <c r="AD61" s="113" t="s">
        <v>436</v>
      </c>
      <c r="AE61" s="132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138">
        <v>466513800.31800008</v>
      </c>
      <c r="AR61" s="142">
        <f t="shared" si="7"/>
        <v>466513800.31800008</v>
      </c>
      <c r="AT61" s="143">
        <f t="shared" ref="AT61:AT63" si="10">AR61/U61</f>
        <v>0.2</v>
      </c>
    </row>
    <row r="62" spans="1:46" x14ac:dyDescent="0.3">
      <c r="A62" s="96">
        <v>59</v>
      </c>
      <c r="B62" s="29" t="s">
        <v>160</v>
      </c>
      <c r="C62" s="28" t="s">
        <v>161</v>
      </c>
      <c r="D62" s="54">
        <v>2</v>
      </c>
      <c r="E62" s="30">
        <v>188693040.22999999</v>
      </c>
      <c r="F62" s="30">
        <v>2264316.48</v>
      </c>
      <c r="G62" s="30">
        <v>0</v>
      </c>
      <c r="H62" s="91">
        <f t="shared" si="2"/>
        <v>190957356.70999998</v>
      </c>
      <c r="I62" s="91">
        <v>0</v>
      </c>
      <c r="J62" s="91">
        <v>0</v>
      </c>
      <c r="K62" s="30">
        <v>0</v>
      </c>
      <c r="L62" s="28"/>
      <c r="M62" s="28"/>
      <c r="N62" s="30">
        <f t="shared" si="3"/>
        <v>0</v>
      </c>
      <c r="O62" s="30">
        <v>0</v>
      </c>
      <c r="P62" s="30">
        <v>0</v>
      </c>
      <c r="Q62" s="30">
        <v>0</v>
      </c>
      <c r="R62" s="30">
        <f t="shared" si="9"/>
        <v>0</v>
      </c>
      <c r="S62" s="30">
        <v>0</v>
      </c>
      <c r="T62" s="30">
        <v>0</v>
      </c>
      <c r="U62" s="106">
        <f t="shared" si="8"/>
        <v>188693040.22999999</v>
      </c>
      <c r="V62" s="105">
        <f t="shared" si="4"/>
        <v>2264316.48</v>
      </c>
      <c r="W62" s="106">
        <f t="shared" si="5"/>
        <v>0</v>
      </c>
      <c r="X62" s="106">
        <f t="shared" si="6"/>
        <v>190957356.70999998</v>
      </c>
      <c r="Y62" s="106">
        <v>0</v>
      </c>
      <c r="Z62" s="28">
        <v>1</v>
      </c>
      <c r="AA62" s="29" t="s">
        <v>408</v>
      </c>
      <c r="AB62" s="29" t="s">
        <v>414</v>
      </c>
      <c r="AC62" s="29" t="s">
        <v>416</v>
      </c>
      <c r="AD62" s="113" t="s">
        <v>436</v>
      </c>
      <c r="AE62" s="132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138">
        <v>9434652.0114999991</v>
      </c>
      <c r="AR62" s="142">
        <f t="shared" si="7"/>
        <v>9434652.0114999991</v>
      </c>
      <c r="AT62" s="143">
        <f t="shared" si="10"/>
        <v>4.9999999999999996E-2</v>
      </c>
    </row>
    <row r="63" spans="1:46" x14ac:dyDescent="0.3">
      <c r="A63" s="96">
        <v>60</v>
      </c>
      <c r="B63" s="29" t="s">
        <v>162</v>
      </c>
      <c r="C63" s="28" t="s">
        <v>163</v>
      </c>
      <c r="D63" s="54">
        <v>2</v>
      </c>
      <c r="E63" s="30">
        <v>129000000</v>
      </c>
      <c r="F63" s="30">
        <v>8219664.7800000003</v>
      </c>
      <c r="G63" s="30">
        <v>396806.67</v>
      </c>
      <c r="H63" s="91">
        <f t="shared" si="2"/>
        <v>137616471.44999999</v>
      </c>
      <c r="I63" s="91">
        <v>0</v>
      </c>
      <c r="J63" s="91">
        <v>0</v>
      </c>
      <c r="K63" s="30">
        <v>0</v>
      </c>
      <c r="L63" s="28"/>
      <c r="M63" s="28"/>
      <c r="N63" s="30">
        <f t="shared" si="3"/>
        <v>0</v>
      </c>
      <c r="O63" s="30">
        <v>0</v>
      </c>
      <c r="P63" s="30">
        <v>0</v>
      </c>
      <c r="Q63" s="30">
        <v>0</v>
      </c>
      <c r="R63" s="30">
        <f t="shared" si="9"/>
        <v>0</v>
      </c>
      <c r="S63" s="30">
        <v>0</v>
      </c>
      <c r="T63" s="30">
        <v>0</v>
      </c>
      <c r="U63" s="106">
        <f t="shared" si="8"/>
        <v>129000000</v>
      </c>
      <c r="V63" s="105">
        <f t="shared" si="4"/>
        <v>8219664.7800000003</v>
      </c>
      <c r="W63" s="106">
        <f t="shared" si="5"/>
        <v>396806.67</v>
      </c>
      <c r="X63" s="106">
        <f t="shared" si="6"/>
        <v>137616471.44999999</v>
      </c>
      <c r="Y63" s="106">
        <v>0</v>
      </c>
      <c r="Z63" s="28">
        <v>1</v>
      </c>
      <c r="AA63" s="29" t="s">
        <v>408</v>
      </c>
      <c r="AB63" s="29" t="s">
        <v>414</v>
      </c>
      <c r="AC63" s="29" t="s">
        <v>416</v>
      </c>
      <c r="AD63" s="113" t="s">
        <v>436</v>
      </c>
      <c r="AE63" s="132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138">
        <v>6450000</v>
      </c>
      <c r="AR63" s="142">
        <f t="shared" si="7"/>
        <v>6450000</v>
      </c>
      <c r="AT63" s="143">
        <f t="shared" si="10"/>
        <v>0.05</v>
      </c>
    </row>
    <row r="64" spans="1:46" x14ac:dyDescent="0.3">
      <c r="A64" s="96">
        <v>61</v>
      </c>
      <c r="B64" s="29" t="s">
        <v>164</v>
      </c>
      <c r="C64" s="28" t="s">
        <v>165</v>
      </c>
      <c r="D64" s="54">
        <v>2</v>
      </c>
      <c r="E64" s="30">
        <v>29491442</v>
      </c>
      <c r="F64" s="30">
        <v>1288554</v>
      </c>
      <c r="G64" s="30">
        <v>190742</v>
      </c>
      <c r="H64" s="91">
        <f t="shared" si="2"/>
        <v>30970738</v>
      </c>
      <c r="I64" s="91">
        <v>3106831</v>
      </c>
      <c r="J64" s="91">
        <v>1610368</v>
      </c>
      <c r="K64" s="30">
        <v>8060</v>
      </c>
      <c r="L64" s="28"/>
      <c r="M64" s="28"/>
      <c r="N64" s="30">
        <f t="shared" si="3"/>
        <v>8060</v>
      </c>
      <c r="O64" s="30">
        <f>29491442-8060</f>
        <v>29483382</v>
      </c>
      <c r="P64" s="30">
        <v>4395385</v>
      </c>
      <c r="Q64" s="30">
        <v>1801110</v>
      </c>
      <c r="R64" s="30">
        <f t="shared" si="9"/>
        <v>35679877</v>
      </c>
      <c r="S64" s="30">
        <v>0</v>
      </c>
      <c r="T64" s="30">
        <v>0</v>
      </c>
      <c r="U64" s="106">
        <f>E64-K64-O64</f>
        <v>0</v>
      </c>
      <c r="V64" s="105">
        <f t="shared" si="4"/>
        <v>0</v>
      </c>
      <c r="W64" s="106">
        <f t="shared" si="5"/>
        <v>0</v>
      </c>
      <c r="X64" s="106">
        <f t="shared" si="6"/>
        <v>0</v>
      </c>
      <c r="Y64" s="106">
        <v>0</v>
      </c>
      <c r="Z64" s="146">
        <v>29483382</v>
      </c>
      <c r="AA64" s="29" t="s">
        <v>408</v>
      </c>
      <c r="AB64" s="29" t="s">
        <v>414</v>
      </c>
      <c r="AC64" s="29" t="s">
        <v>417</v>
      </c>
      <c r="AD64" s="113" t="s">
        <v>435</v>
      </c>
      <c r="AE64" s="132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138">
        <v>0</v>
      </c>
      <c r="AR64" s="142">
        <f t="shared" si="7"/>
        <v>0</v>
      </c>
    </row>
    <row r="65" spans="1:46" x14ac:dyDescent="0.3">
      <c r="A65" s="96">
        <v>62</v>
      </c>
      <c r="B65" s="29" t="s">
        <v>166</v>
      </c>
      <c r="C65" s="28" t="s">
        <v>167</v>
      </c>
      <c r="D65" s="54">
        <v>2</v>
      </c>
      <c r="E65" s="30">
        <v>12703800.76</v>
      </c>
      <c r="F65" s="30">
        <v>11292.26</v>
      </c>
      <c r="G65" s="30">
        <v>0</v>
      </c>
      <c r="H65" s="91">
        <f t="shared" si="2"/>
        <v>12715093.02</v>
      </c>
      <c r="I65" s="91">
        <v>0</v>
      </c>
      <c r="J65" s="91">
        <v>0</v>
      </c>
      <c r="K65" s="30">
        <v>120750</v>
      </c>
      <c r="L65" s="28"/>
      <c r="M65" s="28"/>
      <c r="N65" s="30">
        <f t="shared" si="3"/>
        <v>120750</v>
      </c>
      <c r="O65" s="30">
        <v>7110445</v>
      </c>
      <c r="P65" s="30">
        <v>0</v>
      </c>
      <c r="Q65" s="30">
        <v>0</v>
      </c>
      <c r="R65" s="30">
        <f t="shared" si="9"/>
        <v>7110445</v>
      </c>
      <c r="S65" s="30">
        <v>0</v>
      </c>
      <c r="T65" s="30">
        <v>0</v>
      </c>
      <c r="U65" s="106">
        <f t="shared" si="8"/>
        <v>5472605.7599999998</v>
      </c>
      <c r="V65" s="105">
        <f t="shared" si="4"/>
        <v>11292.26</v>
      </c>
      <c r="W65" s="106">
        <f t="shared" si="5"/>
        <v>0</v>
      </c>
      <c r="X65" s="106">
        <f t="shared" si="6"/>
        <v>5483898.0199999996</v>
      </c>
      <c r="Y65" s="106">
        <v>0</v>
      </c>
      <c r="Z65" s="146">
        <v>3004445</v>
      </c>
      <c r="AA65" s="29" t="s">
        <v>409</v>
      </c>
      <c r="AB65" s="29" t="s">
        <v>414</v>
      </c>
      <c r="AC65" s="29" t="s">
        <v>416</v>
      </c>
      <c r="AD65" s="113" t="s">
        <v>436</v>
      </c>
      <c r="AE65" s="132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138">
        <v>273630.288</v>
      </c>
      <c r="AR65" s="142">
        <f t="shared" si="7"/>
        <v>273630.288</v>
      </c>
      <c r="AT65" s="143">
        <f>AR65/U65</f>
        <v>0.05</v>
      </c>
    </row>
    <row r="66" spans="1:46" x14ac:dyDescent="0.3">
      <c r="A66" s="96">
        <v>63</v>
      </c>
      <c r="B66" s="29" t="s">
        <v>168</v>
      </c>
      <c r="C66" s="28" t="s">
        <v>169</v>
      </c>
      <c r="D66" s="54">
        <v>2</v>
      </c>
      <c r="E66" s="30">
        <v>960933446.09000003</v>
      </c>
      <c r="F66" s="30">
        <v>18736641.039999999</v>
      </c>
      <c r="G66" s="30">
        <v>6048494.79</v>
      </c>
      <c r="H66" s="91">
        <f t="shared" si="2"/>
        <v>985718581.91999996</v>
      </c>
      <c r="I66" s="91">
        <v>371638192.16000003</v>
      </c>
      <c r="J66" s="91">
        <v>185006616.71000001</v>
      </c>
      <c r="K66" s="30">
        <v>510174</v>
      </c>
      <c r="L66" s="28"/>
      <c r="M66" s="28"/>
      <c r="N66" s="30">
        <f t="shared" si="3"/>
        <v>510174</v>
      </c>
      <c r="O66" s="30">
        <v>960423272.09000003</v>
      </c>
      <c r="P66" s="30">
        <v>225016728</v>
      </c>
      <c r="Q66" s="30">
        <v>0</v>
      </c>
      <c r="R66" s="30">
        <f t="shared" si="9"/>
        <v>1185440000.0900002</v>
      </c>
      <c r="S66" s="30">
        <v>0</v>
      </c>
      <c r="T66" s="30">
        <v>0</v>
      </c>
      <c r="U66" s="106">
        <v>0</v>
      </c>
      <c r="V66" s="105">
        <f t="shared" si="4"/>
        <v>165358105.20000005</v>
      </c>
      <c r="W66" s="106">
        <f t="shared" si="5"/>
        <v>191055111.5</v>
      </c>
      <c r="X66" s="106">
        <f t="shared" si="6"/>
        <v>356413216.70000005</v>
      </c>
      <c r="Y66" s="106">
        <v>1234000000</v>
      </c>
      <c r="Z66" s="146">
        <v>960423272</v>
      </c>
      <c r="AA66" s="29" t="s">
        <v>408</v>
      </c>
      <c r="AB66" s="29" t="s">
        <v>412</v>
      </c>
      <c r="AC66" s="29" t="s">
        <v>416</v>
      </c>
      <c r="AD66" s="113" t="s">
        <v>436</v>
      </c>
      <c r="AE66" s="132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138">
        <v>0</v>
      </c>
      <c r="AR66" s="142">
        <f t="shared" si="7"/>
        <v>0</v>
      </c>
      <c r="AS66" t="s">
        <v>1426</v>
      </c>
    </row>
    <row r="67" spans="1:46" x14ac:dyDescent="0.3">
      <c r="A67" s="96">
        <v>64</v>
      </c>
      <c r="B67" s="29" t="s">
        <v>170</v>
      </c>
      <c r="C67" s="28" t="s">
        <v>171</v>
      </c>
      <c r="D67" s="54">
        <v>2</v>
      </c>
      <c r="E67" s="30">
        <v>2481117742</v>
      </c>
      <c r="F67" s="30">
        <v>141759024.96000001</v>
      </c>
      <c r="G67" s="30">
        <v>64780613.399999999</v>
      </c>
      <c r="H67" s="91">
        <f t="shared" si="2"/>
        <v>2687657380.3600001</v>
      </c>
      <c r="I67" s="91">
        <v>0</v>
      </c>
      <c r="J67" s="91">
        <v>0</v>
      </c>
      <c r="K67" s="30">
        <v>4904983</v>
      </c>
      <c r="L67" s="28"/>
      <c r="M67" s="28"/>
      <c r="N67" s="30">
        <f t="shared" si="3"/>
        <v>4904983</v>
      </c>
      <c r="O67" s="30">
        <v>2476212759</v>
      </c>
      <c r="P67" s="30">
        <v>17739741</v>
      </c>
      <c r="Q67" s="30">
        <v>0</v>
      </c>
      <c r="R67" s="30">
        <f>O67+P67+Q67</f>
        <v>2493952500</v>
      </c>
      <c r="S67" s="30">
        <v>0</v>
      </c>
      <c r="T67" s="30">
        <v>0</v>
      </c>
      <c r="U67" s="106">
        <v>0</v>
      </c>
      <c r="V67" s="105">
        <f t="shared" si="4"/>
        <v>124019283.96000001</v>
      </c>
      <c r="W67" s="106">
        <f t="shared" si="5"/>
        <v>64780613.399999999</v>
      </c>
      <c r="X67" s="106">
        <f t="shared" si="6"/>
        <v>188799897.36000001</v>
      </c>
      <c r="Y67" s="106">
        <v>2472000000</v>
      </c>
      <c r="Z67" s="146">
        <v>2472000000</v>
      </c>
      <c r="AA67" s="29" t="s">
        <v>410</v>
      </c>
      <c r="AB67" s="29" t="s">
        <v>412</v>
      </c>
      <c r="AC67" s="29" t="s">
        <v>416</v>
      </c>
      <c r="AD67" s="113" t="s">
        <v>436</v>
      </c>
      <c r="AE67" s="132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138">
        <v>0</v>
      </c>
      <c r="AR67" s="142">
        <f t="shared" si="7"/>
        <v>0</v>
      </c>
      <c r="AS67" t="s">
        <v>1426</v>
      </c>
    </row>
    <row r="68" spans="1:46" x14ac:dyDescent="0.3">
      <c r="A68" s="96">
        <v>65</v>
      </c>
      <c r="B68" s="29" t="s">
        <v>172</v>
      </c>
      <c r="C68" s="28" t="s">
        <v>173</v>
      </c>
      <c r="D68" s="54">
        <v>2</v>
      </c>
      <c r="E68" s="30">
        <v>1172676196.95</v>
      </c>
      <c r="F68" s="30">
        <v>25505707.059999999</v>
      </c>
      <c r="G68" s="30">
        <v>0</v>
      </c>
      <c r="H68" s="91">
        <f t="shared" si="2"/>
        <v>1198181904.01</v>
      </c>
      <c r="I68" s="91">
        <v>0</v>
      </c>
      <c r="J68" s="91">
        <v>0</v>
      </c>
      <c r="K68" s="30">
        <v>0</v>
      </c>
      <c r="L68" s="28"/>
      <c r="M68" s="28"/>
      <c r="N68" s="30">
        <f t="shared" si="3"/>
        <v>0</v>
      </c>
      <c r="O68" s="30">
        <v>0</v>
      </c>
      <c r="P68" s="30">
        <v>0</v>
      </c>
      <c r="Q68" s="30">
        <v>0</v>
      </c>
      <c r="R68" s="30">
        <f t="shared" ref="R68:R99" si="11">SUM(O68:Q68)</f>
        <v>0</v>
      </c>
      <c r="S68" s="30">
        <v>0</v>
      </c>
      <c r="T68" s="30">
        <v>0</v>
      </c>
      <c r="U68" s="106">
        <f t="shared" si="8"/>
        <v>1172676196.95</v>
      </c>
      <c r="V68" s="105">
        <f t="shared" si="4"/>
        <v>25505707.059999999</v>
      </c>
      <c r="W68" s="106">
        <f t="shared" si="5"/>
        <v>0</v>
      </c>
      <c r="X68" s="106">
        <f t="shared" si="6"/>
        <v>1198181904.01</v>
      </c>
      <c r="Y68" s="106">
        <v>2174000000</v>
      </c>
      <c r="Z68" s="146">
        <v>1172676197</v>
      </c>
      <c r="AA68" s="29" t="s">
        <v>408</v>
      </c>
      <c r="AB68" s="29" t="s">
        <v>412</v>
      </c>
      <c r="AC68" s="29" t="s">
        <v>416</v>
      </c>
      <c r="AD68" s="113" t="s">
        <v>436</v>
      </c>
      <c r="AE68" s="132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138"/>
      <c r="AR68" s="142">
        <f t="shared" si="7"/>
        <v>0</v>
      </c>
      <c r="AS68" t="s">
        <v>1425</v>
      </c>
    </row>
    <row r="69" spans="1:46" s="131" customFormat="1" x14ac:dyDescent="0.3">
      <c r="A69" s="122">
        <v>66</v>
      </c>
      <c r="B69" s="129" t="s">
        <v>174</v>
      </c>
      <c r="C69" s="211" t="s">
        <v>175</v>
      </c>
      <c r="D69" s="123">
        <v>2</v>
      </c>
      <c r="E69" s="126">
        <v>71655792</v>
      </c>
      <c r="F69" s="126">
        <v>732481</v>
      </c>
      <c r="G69" s="126">
        <v>0</v>
      </c>
      <c r="H69" s="125">
        <f t="shared" ref="H69:H132" si="12">SUM(E69:G69)</f>
        <v>72388273</v>
      </c>
      <c r="I69" s="125">
        <v>10772920</v>
      </c>
      <c r="J69" s="125">
        <v>0</v>
      </c>
      <c r="K69" s="126">
        <v>31047</v>
      </c>
      <c r="L69" s="28"/>
      <c r="M69" s="28"/>
      <c r="N69" s="30">
        <f t="shared" ref="N69:N132" si="13">SUM(K69:M69)</f>
        <v>31047</v>
      </c>
      <c r="O69" s="126">
        <f>71655792-31047</f>
        <v>71624745</v>
      </c>
      <c r="P69" s="126">
        <v>9599435</v>
      </c>
      <c r="Q69" s="126">
        <v>0</v>
      </c>
      <c r="R69" s="126">
        <f t="shared" si="11"/>
        <v>81224180</v>
      </c>
      <c r="S69" s="126">
        <v>1905966</v>
      </c>
      <c r="T69" s="126">
        <v>0</v>
      </c>
      <c r="U69" s="127">
        <f>E69-K69-O69</f>
        <v>0</v>
      </c>
      <c r="V69" s="128">
        <f t="shared" ref="V69:V132" si="14">F69+I69-P69-S69</f>
        <v>0</v>
      </c>
      <c r="W69" s="127">
        <f t="shared" ref="W69:W132" si="15">G69+J69-M69-Q69-T69</f>
        <v>0</v>
      </c>
      <c r="X69" s="127">
        <f t="shared" ref="X69:X132" si="16">SUM(U69:W69)</f>
        <v>0</v>
      </c>
      <c r="Y69" s="127">
        <v>0</v>
      </c>
      <c r="Z69" s="212">
        <v>71624745</v>
      </c>
      <c r="AA69" s="129" t="s">
        <v>409</v>
      </c>
      <c r="AB69" s="129" t="s">
        <v>414</v>
      </c>
      <c r="AC69" s="129" t="s">
        <v>417</v>
      </c>
      <c r="AD69" s="130" t="s">
        <v>435</v>
      </c>
      <c r="AE69" s="134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39">
        <v>0</v>
      </c>
      <c r="AR69" s="210">
        <f t="shared" ref="AR69:AR132" si="17">SUM(AE69:AQ69)</f>
        <v>0</v>
      </c>
    </row>
    <row r="70" spans="1:46" x14ac:dyDescent="0.3">
      <c r="A70" s="96">
        <v>67</v>
      </c>
      <c r="B70" s="29" t="s">
        <v>176</v>
      </c>
      <c r="C70" s="28" t="s">
        <v>177</v>
      </c>
      <c r="D70" s="54">
        <v>2</v>
      </c>
      <c r="E70" s="30">
        <v>1197379009.1900001</v>
      </c>
      <c r="F70" s="30">
        <v>77717396.680000007</v>
      </c>
      <c r="G70" s="30">
        <v>10363553.050000001</v>
      </c>
      <c r="H70" s="91">
        <f t="shared" si="12"/>
        <v>1285459958.9200001</v>
      </c>
      <c r="I70" s="91">
        <v>0</v>
      </c>
      <c r="J70" s="91">
        <v>0</v>
      </c>
      <c r="K70" s="30">
        <v>9023</v>
      </c>
      <c r="L70" s="28"/>
      <c r="M70" s="28"/>
      <c r="N70" s="30">
        <f t="shared" si="13"/>
        <v>9023</v>
      </c>
      <c r="O70" s="30">
        <v>119600000</v>
      </c>
      <c r="P70" s="30">
        <v>0</v>
      </c>
      <c r="Q70" s="30">
        <v>0</v>
      </c>
      <c r="R70" s="30">
        <f t="shared" si="11"/>
        <v>119600000</v>
      </c>
      <c r="S70" s="30">
        <v>0</v>
      </c>
      <c r="T70" s="30">
        <v>0</v>
      </c>
      <c r="U70" s="106">
        <f t="shared" ref="U70:U132" si="18">E70-K70-O70</f>
        <v>1077769986.1900001</v>
      </c>
      <c r="V70" s="105">
        <f t="shared" si="14"/>
        <v>77717396.680000007</v>
      </c>
      <c r="W70" s="106">
        <f t="shared" si="15"/>
        <v>10363553.050000001</v>
      </c>
      <c r="X70" s="106">
        <f t="shared" si="16"/>
        <v>1165850935.9200001</v>
      </c>
      <c r="Y70" s="106">
        <v>895000000</v>
      </c>
      <c r="Z70" s="146">
        <v>978600000</v>
      </c>
      <c r="AA70" s="29" t="s">
        <v>408</v>
      </c>
      <c r="AB70" s="29" t="s">
        <v>412</v>
      </c>
      <c r="AC70" s="29" t="s">
        <v>416</v>
      </c>
      <c r="AD70" s="113" t="s">
        <v>434</v>
      </c>
      <c r="AE70" s="132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>
        <v>895000000</v>
      </c>
      <c r="AR70" s="142">
        <f t="shared" si="17"/>
        <v>895000000</v>
      </c>
    </row>
    <row r="71" spans="1:46" s="131" customFormat="1" x14ac:dyDescent="0.3">
      <c r="A71" s="122">
        <v>68</v>
      </c>
      <c r="B71" s="129" t="s">
        <v>178</v>
      </c>
      <c r="C71" s="211" t="s">
        <v>179</v>
      </c>
      <c r="D71" s="123">
        <v>2</v>
      </c>
      <c r="E71" s="126">
        <v>798252675</v>
      </c>
      <c r="F71" s="126">
        <v>46084190</v>
      </c>
      <c r="G71" s="126">
        <v>4536521</v>
      </c>
      <c r="H71" s="125">
        <f t="shared" si="12"/>
        <v>848873386</v>
      </c>
      <c r="I71" s="125">
        <v>390440380</v>
      </c>
      <c r="J71" s="125">
        <v>261899978</v>
      </c>
      <c r="K71" s="126">
        <v>9023</v>
      </c>
      <c r="L71" s="28"/>
      <c r="M71" s="28"/>
      <c r="N71" s="30">
        <f t="shared" si="13"/>
        <v>9023</v>
      </c>
      <c r="O71" s="126">
        <v>798243652</v>
      </c>
      <c r="P71" s="126">
        <v>51756348</v>
      </c>
      <c r="Q71" s="126">
        <v>0</v>
      </c>
      <c r="R71" s="126">
        <f t="shared" si="11"/>
        <v>850000000</v>
      </c>
      <c r="S71" s="126">
        <v>384768222</v>
      </c>
      <c r="T71" s="126">
        <v>266436499</v>
      </c>
      <c r="U71" s="127">
        <f>E71-K71-O71</f>
        <v>0</v>
      </c>
      <c r="V71" s="128">
        <f t="shared" si="14"/>
        <v>0</v>
      </c>
      <c r="W71" s="127">
        <f t="shared" si="15"/>
        <v>0</v>
      </c>
      <c r="X71" s="127">
        <f t="shared" si="16"/>
        <v>0</v>
      </c>
      <c r="Y71" s="127">
        <v>1165000000</v>
      </c>
      <c r="Z71" s="212">
        <v>798243652</v>
      </c>
      <c r="AA71" s="129" t="s">
        <v>408</v>
      </c>
      <c r="AB71" s="129" t="s">
        <v>412</v>
      </c>
      <c r="AC71" s="129" t="s">
        <v>417</v>
      </c>
      <c r="AD71" s="130" t="s">
        <v>434</v>
      </c>
      <c r="AE71" s="134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39">
        <v>0</v>
      </c>
      <c r="AR71" s="210">
        <f t="shared" si="17"/>
        <v>0</v>
      </c>
    </row>
    <row r="72" spans="1:46" x14ac:dyDescent="0.3">
      <c r="A72" s="96">
        <v>69</v>
      </c>
      <c r="B72" s="29" t="s">
        <v>180</v>
      </c>
      <c r="C72" s="28" t="s">
        <v>181</v>
      </c>
      <c r="D72" s="54">
        <v>2</v>
      </c>
      <c r="E72" s="30">
        <v>12969223.369999999</v>
      </c>
      <c r="F72" s="30">
        <v>69169.08</v>
      </c>
      <c r="G72" s="30">
        <v>0</v>
      </c>
      <c r="H72" s="91">
        <f t="shared" si="12"/>
        <v>13038392.449999999</v>
      </c>
      <c r="I72" s="91">
        <v>0</v>
      </c>
      <c r="J72" s="91">
        <v>0</v>
      </c>
      <c r="K72" s="30">
        <v>41152</v>
      </c>
      <c r="L72" s="28"/>
      <c r="M72" s="28"/>
      <c r="N72" s="30">
        <f t="shared" si="13"/>
        <v>41152</v>
      </c>
      <c r="O72" s="30">
        <v>5000000</v>
      </c>
      <c r="P72" s="30">
        <v>0</v>
      </c>
      <c r="Q72" s="30">
        <v>0</v>
      </c>
      <c r="R72" s="30">
        <f t="shared" si="11"/>
        <v>5000000</v>
      </c>
      <c r="S72" s="30">
        <v>0</v>
      </c>
      <c r="T72" s="30">
        <v>0</v>
      </c>
      <c r="U72" s="106">
        <f t="shared" si="18"/>
        <v>7928071.3699999992</v>
      </c>
      <c r="V72" s="105">
        <f t="shared" si="14"/>
        <v>69169.08</v>
      </c>
      <c r="W72" s="106">
        <f t="shared" si="15"/>
        <v>0</v>
      </c>
      <c r="X72" s="106">
        <f t="shared" si="16"/>
        <v>7997240.4499999993</v>
      </c>
      <c r="Y72" s="106">
        <v>0</v>
      </c>
      <c r="Z72" s="146">
        <v>5000000</v>
      </c>
      <c r="AA72" s="29" t="s">
        <v>409</v>
      </c>
      <c r="AB72" s="29" t="s">
        <v>414</v>
      </c>
      <c r="AC72" s="29" t="s">
        <v>416</v>
      </c>
      <c r="AD72" s="113" t="s">
        <v>436</v>
      </c>
      <c r="AE72" s="132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138">
        <v>396403.56849999999</v>
      </c>
      <c r="AR72" s="142">
        <f t="shared" si="17"/>
        <v>396403.56849999999</v>
      </c>
      <c r="AT72" s="143">
        <f t="shared" ref="AT72:AT73" si="19">AR72/U72</f>
        <v>0.05</v>
      </c>
    </row>
    <row r="73" spans="1:46" x14ac:dyDescent="0.3">
      <c r="A73" s="96">
        <v>70</v>
      </c>
      <c r="B73" s="29" t="s">
        <v>182</v>
      </c>
      <c r="C73" s="28" t="s">
        <v>183</v>
      </c>
      <c r="D73" s="54">
        <v>2</v>
      </c>
      <c r="E73" s="30">
        <v>2341361463.5999999</v>
      </c>
      <c r="F73" s="30">
        <v>7804538.2000000002</v>
      </c>
      <c r="G73" s="30">
        <v>0</v>
      </c>
      <c r="H73" s="91">
        <f t="shared" si="12"/>
        <v>2349166001.7999997</v>
      </c>
      <c r="I73" s="91">
        <v>0</v>
      </c>
      <c r="J73" s="91">
        <v>0</v>
      </c>
      <c r="K73" s="30">
        <v>3292221</v>
      </c>
      <c r="L73" s="28"/>
      <c r="M73" s="28"/>
      <c r="N73" s="30">
        <f t="shared" si="13"/>
        <v>3292221</v>
      </c>
      <c r="O73" s="30">
        <v>0</v>
      </c>
      <c r="P73" s="30">
        <v>0</v>
      </c>
      <c r="Q73" s="30">
        <v>0</v>
      </c>
      <c r="R73" s="30">
        <f t="shared" si="11"/>
        <v>0</v>
      </c>
      <c r="S73" s="30">
        <v>0</v>
      </c>
      <c r="T73" s="30">
        <v>0</v>
      </c>
      <c r="U73" s="106">
        <f t="shared" si="18"/>
        <v>2338069242.5999999</v>
      </c>
      <c r="V73" s="105">
        <f t="shared" si="14"/>
        <v>7804538.2000000002</v>
      </c>
      <c r="W73" s="106">
        <f t="shared" si="15"/>
        <v>0</v>
      </c>
      <c r="X73" s="106">
        <f t="shared" si="16"/>
        <v>2345873780.7999997</v>
      </c>
      <c r="Y73" s="106">
        <v>1552000000</v>
      </c>
      <c r="Z73" s="146">
        <v>1552000000</v>
      </c>
      <c r="AA73" s="29" t="s">
        <v>408</v>
      </c>
      <c r="AB73" s="29" t="s">
        <v>412</v>
      </c>
      <c r="AC73" s="29" t="s">
        <v>416</v>
      </c>
      <c r="AD73" s="113" t="s">
        <v>436</v>
      </c>
      <c r="AE73" s="132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138">
        <v>467613848.51999998</v>
      </c>
      <c r="AR73" s="142">
        <f t="shared" si="17"/>
        <v>467613848.51999998</v>
      </c>
      <c r="AT73" s="143">
        <f t="shared" si="19"/>
        <v>0.2</v>
      </c>
    </row>
    <row r="74" spans="1:46" x14ac:dyDescent="0.3">
      <c r="A74" s="96">
        <v>71</v>
      </c>
      <c r="B74" s="29" t="s">
        <v>184</v>
      </c>
      <c r="C74" s="28" t="s">
        <v>185</v>
      </c>
      <c r="D74" s="54">
        <v>2</v>
      </c>
      <c r="E74" s="30">
        <v>1978753956.96</v>
      </c>
      <c r="F74" s="30">
        <v>2532214.2799999998</v>
      </c>
      <c r="G74" s="30">
        <v>250010.74</v>
      </c>
      <c r="H74" s="91">
        <f t="shared" si="12"/>
        <v>1981536181.98</v>
      </c>
      <c r="I74" s="91">
        <v>0</v>
      </c>
      <c r="J74" s="91">
        <v>0</v>
      </c>
      <c r="K74" s="30">
        <v>44089112</v>
      </c>
      <c r="L74" s="28"/>
      <c r="M74" s="28"/>
      <c r="N74" s="30">
        <f t="shared" si="13"/>
        <v>44089112</v>
      </c>
      <c r="O74" s="30">
        <v>5000000</v>
      </c>
      <c r="P74" s="30">
        <v>0</v>
      </c>
      <c r="Q74" s="30">
        <v>0</v>
      </c>
      <c r="R74" s="30">
        <f t="shared" si="11"/>
        <v>5000000</v>
      </c>
      <c r="S74" s="30">
        <v>0</v>
      </c>
      <c r="T74" s="30">
        <v>0</v>
      </c>
      <c r="U74" s="106">
        <f t="shared" si="18"/>
        <v>1929664844.96</v>
      </c>
      <c r="V74" s="105">
        <f t="shared" si="14"/>
        <v>2532214.2799999998</v>
      </c>
      <c r="W74" s="106">
        <f t="shared" si="15"/>
        <v>250010.74</v>
      </c>
      <c r="X74" s="106">
        <f t="shared" si="16"/>
        <v>1932447069.98</v>
      </c>
      <c r="Y74" s="106">
        <v>2411000000</v>
      </c>
      <c r="Z74" s="146">
        <v>1934664845</v>
      </c>
      <c r="AA74" s="29" t="s">
        <v>408</v>
      </c>
      <c r="AB74" s="29" t="s">
        <v>412</v>
      </c>
      <c r="AC74" s="29" t="s">
        <v>416</v>
      </c>
      <c r="AD74" s="113" t="s">
        <v>434</v>
      </c>
      <c r="AE74" s="132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>
        <v>1932447069.98</v>
      </c>
      <c r="AQ74" s="138">
        <v>0</v>
      </c>
      <c r="AR74" s="142">
        <f t="shared" si="17"/>
        <v>1932447069.98</v>
      </c>
    </row>
    <row r="75" spans="1:46" x14ac:dyDescent="0.3">
      <c r="A75" s="96">
        <v>72</v>
      </c>
      <c r="B75" s="29" t="s">
        <v>186</v>
      </c>
      <c r="C75" s="28" t="s">
        <v>187</v>
      </c>
      <c r="D75" s="54">
        <v>2</v>
      </c>
      <c r="E75" s="30">
        <v>1498078148.73</v>
      </c>
      <c r="F75" s="30">
        <v>43604298.109999999</v>
      </c>
      <c r="G75" s="30">
        <v>551824.65</v>
      </c>
      <c r="H75" s="91">
        <f t="shared" si="12"/>
        <v>1542234271.49</v>
      </c>
      <c r="I75" s="91">
        <v>0</v>
      </c>
      <c r="J75" s="91">
        <v>0</v>
      </c>
      <c r="K75" s="30">
        <v>9023</v>
      </c>
      <c r="L75" s="28"/>
      <c r="M75" s="28"/>
      <c r="N75" s="30">
        <f t="shared" si="13"/>
        <v>9023</v>
      </c>
      <c r="O75" s="30">
        <v>0</v>
      </c>
      <c r="P75" s="30">
        <v>0</v>
      </c>
      <c r="Q75" s="30">
        <v>0</v>
      </c>
      <c r="R75" s="30">
        <f t="shared" si="11"/>
        <v>0</v>
      </c>
      <c r="S75" s="30">
        <v>0</v>
      </c>
      <c r="T75" s="30">
        <v>0</v>
      </c>
      <c r="U75" s="106">
        <f t="shared" si="18"/>
        <v>1498069125.73</v>
      </c>
      <c r="V75" s="105">
        <f t="shared" si="14"/>
        <v>43604298.109999999</v>
      </c>
      <c r="W75" s="106">
        <f t="shared" si="15"/>
        <v>551824.65</v>
      </c>
      <c r="X75" s="106">
        <f t="shared" si="16"/>
        <v>1542225248.49</v>
      </c>
      <c r="Y75" s="106">
        <v>1007000000</v>
      </c>
      <c r="Z75" s="146">
        <v>751000000</v>
      </c>
      <c r="AA75" s="29" t="s">
        <v>408</v>
      </c>
      <c r="AB75" s="29" t="s">
        <v>412</v>
      </c>
      <c r="AC75" s="29" t="s">
        <v>416</v>
      </c>
      <c r="AD75" s="113" t="s">
        <v>434</v>
      </c>
      <c r="AE75" s="132"/>
      <c r="AF75" s="30"/>
      <c r="AG75" s="30"/>
      <c r="AH75" s="106">
        <v>1007000000</v>
      </c>
      <c r="AI75" s="30"/>
      <c r="AJ75" s="30"/>
      <c r="AK75" s="30"/>
      <c r="AL75" s="30"/>
      <c r="AM75" s="30"/>
      <c r="AN75" s="30"/>
      <c r="AO75" s="30"/>
      <c r="AP75" s="30"/>
      <c r="AQ75" s="138">
        <v>0</v>
      </c>
      <c r="AR75" s="142">
        <f t="shared" si="17"/>
        <v>1007000000</v>
      </c>
    </row>
    <row r="76" spans="1:46" x14ac:dyDescent="0.3">
      <c r="A76" s="96">
        <v>73</v>
      </c>
      <c r="B76" s="29" t="s">
        <v>188</v>
      </c>
      <c r="C76" s="28" t="s">
        <v>189</v>
      </c>
      <c r="D76" s="54">
        <v>2</v>
      </c>
      <c r="E76" s="30">
        <v>596918531.34000003</v>
      </c>
      <c r="F76" s="30">
        <v>11639911.140000001</v>
      </c>
      <c r="G76" s="30">
        <v>0</v>
      </c>
      <c r="H76" s="91">
        <f t="shared" si="12"/>
        <v>608558442.48000002</v>
      </c>
      <c r="I76" s="91">
        <v>0</v>
      </c>
      <c r="J76" s="91">
        <v>0</v>
      </c>
      <c r="K76" s="30">
        <v>0</v>
      </c>
      <c r="L76" s="28"/>
      <c r="M76" s="28"/>
      <c r="N76" s="30">
        <f t="shared" si="13"/>
        <v>0</v>
      </c>
      <c r="O76" s="30">
        <v>0</v>
      </c>
      <c r="P76" s="30">
        <v>0</v>
      </c>
      <c r="Q76" s="30">
        <v>0</v>
      </c>
      <c r="R76" s="30">
        <f t="shared" si="11"/>
        <v>0</v>
      </c>
      <c r="S76" s="30">
        <v>0</v>
      </c>
      <c r="T76" s="30">
        <v>0</v>
      </c>
      <c r="U76" s="106">
        <f t="shared" si="18"/>
        <v>596918531.34000003</v>
      </c>
      <c r="V76" s="105">
        <f t="shared" si="14"/>
        <v>11639911.140000001</v>
      </c>
      <c r="W76" s="106">
        <f t="shared" si="15"/>
        <v>0</v>
      </c>
      <c r="X76" s="106">
        <f t="shared" si="16"/>
        <v>608558442.48000002</v>
      </c>
      <c r="Y76" s="106">
        <v>0</v>
      </c>
      <c r="Z76" s="28">
        <v>1</v>
      </c>
      <c r="AA76" s="29" t="s">
        <v>408</v>
      </c>
      <c r="AB76" s="29" t="s">
        <v>414</v>
      </c>
      <c r="AC76" s="29" t="s">
        <v>416</v>
      </c>
      <c r="AD76" s="113" t="s">
        <v>436</v>
      </c>
      <c r="AE76" s="132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138">
        <v>29845926.567000002</v>
      </c>
      <c r="AR76" s="142">
        <f t="shared" si="17"/>
        <v>29845926.567000002</v>
      </c>
      <c r="AT76" s="143">
        <f t="shared" ref="AT76:AT78" si="20">AR76/U76</f>
        <v>0.05</v>
      </c>
    </row>
    <row r="77" spans="1:46" x14ac:dyDescent="0.3">
      <c r="A77" s="96">
        <v>74</v>
      </c>
      <c r="B77" s="29" t="s">
        <v>190</v>
      </c>
      <c r="C77" s="28" t="s">
        <v>191</v>
      </c>
      <c r="D77" s="54">
        <v>2</v>
      </c>
      <c r="E77" s="30">
        <v>498307187.73000002</v>
      </c>
      <c r="F77" s="30">
        <v>26035585.829999998</v>
      </c>
      <c r="G77" s="30">
        <v>1023110.07</v>
      </c>
      <c r="H77" s="91">
        <f t="shared" si="12"/>
        <v>525365883.63</v>
      </c>
      <c r="I77" s="91">
        <v>0</v>
      </c>
      <c r="J77" s="91">
        <v>0</v>
      </c>
      <c r="K77" s="30">
        <v>8167</v>
      </c>
      <c r="L77" s="28"/>
      <c r="M77" s="28"/>
      <c r="N77" s="30">
        <f t="shared" si="13"/>
        <v>8167</v>
      </c>
      <c r="O77" s="30">
        <v>391547100</v>
      </c>
      <c r="P77" s="30">
        <v>0</v>
      </c>
      <c r="Q77" s="30">
        <v>0</v>
      </c>
      <c r="R77" s="30">
        <f t="shared" si="11"/>
        <v>391547100</v>
      </c>
      <c r="S77" s="30">
        <v>0</v>
      </c>
      <c r="T77" s="30">
        <v>0</v>
      </c>
      <c r="U77" s="106">
        <f t="shared" si="18"/>
        <v>106751920.73000002</v>
      </c>
      <c r="V77" s="105">
        <f t="shared" si="14"/>
        <v>26035585.829999998</v>
      </c>
      <c r="W77" s="106">
        <f t="shared" si="15"/>
        <v>1023110.07</v>
      </c>
      <c r="X77" s="106">
        <f t="shared" si="16"/>
        <v>133810616.63000001</v>
      </c>
      <c r="Y77" s="106">
        <v>372000000</v>
      </c>
      <c r="Z77" s="146">
        <v>372000000</v>
      </c>
      <c r="AA77" s="29" t="s">
        <v>408</v>
      </c>
      <c r="AB77" s="29" t="s">
        <v>412</v>
      </c>
      <c r="AC77" s="29" t="s">
        <v>416</v>
      </c>
      <c r="AD77" s="113" t="s">
        <v>436</v>
      </c>
      <c r="AE77" s="132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138">
        <v>21350384.146000005</v>
      </c>
      <c r="AR77" s="142">
        <f t="shared" si="17"/>
        <v>21350384.146000005</v>
      </c>
      <c r="AT77" s="143">
        <f t="shared" si="20"/>
        <v>0.2</v>
      </c>
    </row>
    <row r="78" spans="1:46" x14ac:dyDescent="0.3">
      <c r="A78" s="96">
        <v>75</v>
      </c>
      <c r="B78" s="29" t="s">
        <v>192</v>
      </c>
      <c r="C78" s="28" t="s">
        <v>193</v>
      </c>
      <c r="D78" s="54">
        <v>2</v>
      </c>
      <c r="E78" s="30">
        <v>516250000</v>
      </c>
      <c r="F78" s="30">
        <v>36567708.049999997</v>
      </c>
      <c r="G78" s="30">
        <v>2893274.98</v>
      </c>
      <c r="H78" s="91">
        <f t="shared" si="12"/>
        <v>555710983.02999997</v>
      </c>
      <c r="I78" s="91">
        <v>0</v>
      </c>
      <c r="J78" s="91">
        <v>0</v>
      </c>
      <c r="K78" s="30">
        <v>0</v>
      </c>
      <c r="L78" s="28"/>
      <c r="M78" s="28"/>
      <c r="N78" s="30">
        <f t="shared" si="13"/>
        <v>0</v>
      </c>
      <c r="O78" s="30">
        <v>0</v>
      </c>
      <c r="P78" s="30">
        <v>0</v>
      </c>
      <c r="Q78" s="30">
        <v>0</v>
      </c>
      <c r="R78" s="30">
        <f t="shared" si="11"/>
        <v>0</v>
      </c>
      <c r="S78" s="30">
        <v>0</v>
      </c>
      <c r="T78" s="30">
        <v>0</v>
      </c>
      <c r="U78" s="106">
        <f t="shared" si="18"/>
        <v>516250000</v>
      </c>
      <c r="V78" s="105">
        <f t="shared" si="14"/>
        <v>36567708.049999997</v>
      </c>
      <c r="W78" s="106">
        <f t="shared" si="15"/>
        <v>2893274.98</v>
      </c>
      <c r="X78" s="106">
        <f t="shared" si="16"/>
        <v>555710983.02999997</v>
      </c>
      <c r="Y78" s="106">
        <v>0</v>
      </c>
      <c r="Z78" s="28">
        <v>1</v>
      </c>
      <c r="AA78" s="29" t="s">
        <v>408</v>
      </c>
      <c r="AB78" s="29" t="s">
        <v>414</v>
      </c>
      <c r="AC78" s="29" t="s">
        <v>416</v>
      </c>
      <c r="AD78" s="113" t="s">
        <v>436</v>
      </c>
      <c r="AE78" s="132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138">
        <v>25812500</v>
      </c>
      <c r="AR78" s="142">
        <f t="shared" si="17"/>
        <v>25812500</v>
      </c>
      <c r="AT78" s="143">
        <f t="shared" si="20"/>
        <v>0.05</v>
      </c>
    </row>
    <row r="79" spans="1:46" x14ac:dyDescent="0.3">
      <c r="A79" s="96">
        <v>76</v>
      </c>
      <c r="B79" s="29" t="s">
        <v>194</v>
      </c>
      <c r="C79" s="28" t="s">
        <v>195</v>
      </c>
      <c r="D79" s="54">
        <v>2</v>
      </c>
      <c r="E79" s="30">
        <v>0</v>
      </c>
      <c r="F79" s="30">
        <v>99601</v>
      </c>
      <c r="G79" s="30">
        <v>1082656</v>
      </c>
      <c r="H79" s="91">
        <f t="shared" si="12"/>
        <v>1182257</v>
      </c>
      <c r="I79" s="91">
        <v>0</v>
      </c>
      <c r="J79" s="91">
        <v>20961</v>
      </c>
      <c r="K79" s="30">
        <v>0</v>
      </c>
      <c r="L79" s="28"/>
      <c r="M79" s="28"/>
      <c r="N79" s="30">
        <f t="shared" si="13"/>
        <v>0</v>
      </c>
      <c r="O79" s="30">
        <v>0</v>
      </c>
      <c r="P79" s="30">
        <v>99601</v>
      </c>
      <c r="Q79" s="30">
        <v>1103617</v>
      </c>
      <c r="R79" s="30">
        <f t="shared" si="11"/>
        <v>1203218</v>
      </c>
      <c r="S79" s="30">
        <v>0</v>
      </c>
      <c r="T79" s="30">
        <v>0</v>
      </c>
      <c r="U79" s="106">
        <f>E79-K79-O79</f>
        <v>0</v>
      </c>
      <c r="V79" s="105">
        <f t="shared" si="14"/>
        <v>0</v>
      </c>
      <c r="W79" s="106">
        <f t="shared" si="15"/>
        <v>0</v>
      </c>
      <c r="X79" s="106">
        <f t="shared" si="16"/>
        <v>0</v>
      </c>
      <c r="Y79" s="106">
        <v>0</v>
      </c>
      <c r="Z79" s="28">
        <v>0</v>
      </c>
      <c r="AA79" s="29" t="s">
        <v>408</v>
      </c>
      <c r="AB79" s="29" t="s">
        <v>414</v>
      </c>
      <c r="AC79" s="29" t="s">
        <v>417</v>
      </c>
      <c r="AD79" s="113" t="s">
        <v>435</v>
      </c>
      <c r="AE79" s="132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138">
        <v>0</v>
      </c>
      <c r="AR79" s="142">
        <f t="shared" si="17"/>
        <v>0</v>
      </c>
    </row>
    <row r="80" spans="1:46" x14ac:dyDescent="0.3">
      <c r="A80" s="96">
        <v>77</v>
      </c>
      <c r="B80" s="29" t="s">
        <v>196</v>
      </c>
      <c r="C80" s="28" t="s">
        <v>197</v>
      </c>
      <c r="D80" s="54">
        <v>2</v>
      </c>
      <c r="E80" s="30">
        <v>737200306.84000003</v>
      </c>
      <c r="F80" s="30">
        <v>89762677.980000004</v>
      </c>
      <c r="G80" s="30">
        <v>26612674.460000001</v>
      </c>
      <c r="H80" s="91">
        <f t="shared" si="12"/>
        <v>853575659.28000009</v>
      </c>
      <c r="I80" s="91">
        <v>0</v>
      </c>
      <c r="J80" s="91">
        <v>0</v>
      </c>
      <c r="K80" s="30">
        <v>0</v>
      </c>
      <c r="L80" s="28"/>
      <c r="M80" s="28"/>
      <c r="N80" s="30">
        <f t="shared" si="13"/>
        <v>0</v>
      </c>
      <c r="O80" s="30">
        <v>0</v>
      </c>
      <c r="P80" s="30">
        <v>0</v>
      </c>
      <c r="Q80" s="30">
        <v>0</v>
      </c>
      <c r="R80" s="30">
        <f t="shared" si="11"/>
        <v>0</v>
      </c>
      <c r="S80" s="30">
        <v>0</v>
      </c>
      <c r="T80" s="30">
        <v>0</v>
      </c>
      <c r="U80" s="106">
        <f t="shared" si="18"/>
        <v>737200306.84000003</v>
      </c>
      <c r="V80" s="105">
        <f t="shared" si="14"/>
        <v>89762677.980000004</v>
      </c>
      <c r="W80" s="106">
        <f t="shared" si="15"/>
        <v>26612674.460000001</v>
      </c>
      <c r="X80" s="106">
        <f t="shared" si="16"/>
        <v>853575659.28000009</v>
      </c>
      <c r="Y80" s="106">
        <v>1722000000</v>
      </c>
      <c r="Z80" s="28">
        <v>1</v>
      </c>
      <c r="AA80" s="29" t="s">
        <v>410</v>
      </c>
      <c r="AB80" s="29" t="s">
        <v>412</v>
      </c>
      <c r="AC80" s="29" t="s">
        <v>416</v>
      </c>
      <c r="AD80" s="113" t="s">
        <v>436</v>
      </c>
      <c r="AE80" s="132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138">
        <v>147440061.368</v>
      </c>
      <c r="AR80" s="142">
        <f t="shared" si="17"/>
        <v>147440061.368</v>
      </c>
      <c r="AT80" s="143">
        <f>AR80/U80</f>
        <v>0.19999999999999998</v>
      </c>
    </row>
    <row r="81" spans="1:46" x14ac:dyDescent="0.3">
      <c r="A81" s="96">
        <v>78</v>
      </c>
      <c r="B81" s="29" t="s">
        <v>198</v>
      </c>
      <c r="C81" s="28" t="s">
        <v>199</v>
      </c>
      <c r="D81" s="54">
        <v>2</v>
      </c>
      <c r="E81" s="30">
        <v>125384008</v>
      </c>
      <c r="F81" s="30">
        <v>8851068</v>
      </c>
      <c r="G81" s="30">
        <v>12831669</v>
      </c>
      <c r="H81" s="91">
        <f t="shared" si="12"/>
        <v>147066745</v>
      </c>
      <c r="I81" s="91">
        <v>3627481.43</v>
      </c>
      <c r="J81" s="91">
        <v>1929232</v>
      </c>
      <c r="K81" s="30">
        <v>8051</v>
      </c>
      <c r="L81" s="28"/>
      <c r="M81" s="28"/>
      <c r="N81" s="30">
        <f t="shared" si="13"/>
        <v>8051</v>
      </c>
      <c r="O81" s="30">
        <f>125384008-8051</f>
        <v>125375957</v>
      </c>
      <c r="P81" s="30">
        <v>12478549.43</v>
      </c>
      <c r="Q81" s="30">
        <v>14760901</v>
      </c>
      <c r="R81" s="30">
        <f t="shared" si="11"/>
        <v>152615407.43000001</v>
      </c>
      <c r="S81" s="30">
        <v>0</v>
      </c>
      <c r="T81" s="30">
        <v>0</v>
      </c>
      <c r="U81" s="106">
        <f>E81-K81-O81</f>
        <v>0</v>
      </c>
      <c r="V81" s="105">
        <f t="shared" si="14"/>
        <v>0</v>
      </c>
      <c r="W81" s="106">
        <f t="shared" si="15"/>
        <v>0</v>
      </c>
      <c r="X81" s="106">
        <f t="shared" si="16"/>
        <v>0</v>
      </c>
      <c r="Y81" s="106">
        <v>0</v>
      </c>
      <c r="Z81" s="146">
        <v>125375957</v>
      </c>
      <c r="AA81" s="29" t="s">
        <v>410</v>
      </c>
      <c r="AB81" s="29" t="s">
        <v>412</v>
      </c>
      <c r="AC81" s="29" t="s">
        <v>417</v>
      </c>
      <c r="AD81" s="113" t="s">
        <v>434</v>
      </c>
      <c r="AE81" s="132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138">
        <v>0</v>
      </c>
      <c r="AR81" s="142">
        <f t="shared" si="17"/>
        <v>0</v>
      </c>
    </row>
    <row r="82" spans="1:46" x14ac:dyDescent="0.3">
      <c r="A82" s="96">
        <v>79</v>
      </c>
      <c r="B82" s="29" t="s">
        <v>200</v>
      </c>
      <c r="C82" s="28" t="s">
        <v>201</v>
      </c>
      <c r="D82" s="54">
        <v>2</v>
      </c>
      <c r="E82" s="30">
        <v>983888891</v>
      </c>
      <c r="F82" s="30">
        <v>125917164.17</v>
      </c>
      <c r="G82" s="30">
        <v>23727938.550000001</v>
      </c>
      <c r="H82" s="91">
        <f t="shared" si="12"/>
        <v>1133533993.72</v>
      </c>
      <c r="I82" s="91">
        <v>0</v>
      </c>
      <c r="J82" s="91">
        <v>0</v>
      </c>
      <c r="K82" s="30">
        <v>0</v>
      </c>
      <c r="L82" s="28"/>
      <c r="M82" s="28"/>
      <c r="N82" s="30">
        <f t="shared" si="13"/>
        <v>0</v>
      </c>
      <c r="O82" s="30">
        <v>0</v>
      </c>
      <c r="P82" s="30">
        <v>0</v>
      </c>
      <c r="Q82" s="30">
        <v>0</v>
      </c>
      <c r="R82" s="30">
        <f t="shared" si="11"/>
        <v>0</v>
      </c>
      <c r="S82" s="30">
        <v>0</v>
      </c>
      <c r="T82" s="30">
        <v>0</v>
      </c>
      <c r="U82" s="106">
        <f t="shared" si="18"/>
        <v>983888891</v>
      </c>
      <c r="V82" s="105">
        <f t="shared" si="14"/>
        <v>125917164.17</v>
      </c>
      <c r="W82" s="106">
        <f t="shared" si="15"/>
        <v>23727938.550000001</v>
      </c>
      <c r="X82" s="106">
        <f t="shared" si="16"/>
        <v>1133533993.72</v>
      </c>
      <c r="Y82" s="106">
        <v>0</v>
      </c>
      <c r="Z82" s="146">
        <v>983888891.2475332</v>
      </c>
      <c r="AA82" s="29" t="s">
        <v>408</v>
      </c>
      <c r="AB82" s="29" t="s">
        <v>412</v>
      </c>
      <c r="AC82" s="29" t="s">
        <v>416</v>
      </c>
      <c r="AD82" s="113" t="s">
        <v>436</v>
      </c>
      <c r="AE82" s="132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138">
        <v>196777778.20000002</v>
      </c>
      <c r="AR82" s="142">
        <f t="shared" si="17"/>
        <v>196777778.20000002</v>
      </c>
      <c r="AT82" s="143">
        <f>AR82/U82</f>
        <v>0.2</v>
      </c>
    </row>
    <row r="83" spans="1:46" x14ac:dyDescent="0.3">
      <c r="A83" s="96">
        <v>80</v>
      </c>
      <c r="B83" s="29" t="s">
        <v>202</v>
      </c>
      <c r="C83" s="28" t="s">
        <v>203</v>
      </c>
      <c r="D83" s="54">
        <v>2</v>
      </c>
      <c r="E83" s="30">
        <v>1258640966</v>
      </c>
      <c r="F83" s="30">
        <v>117488221</v>
      </c>
      <c r="G83" s="30">
        <v>66529914.780000001</v>
      </c>
      <c r="H83" s="91">
        <f t="shared" si="12"/>
        <v>1442659101.78</v>
      </c>
      <c r="I83" s="91">
        <v>0</v>
      </c>
      <c r="J83" s="91">
        <v>0</v>
      </c>
      <c r="K83" s="30">
        <v>0</v>
      </c>
      <c r="L83" s="28"/>
      <c r="M83" s="28"/>
      <c r="N83" s="30">
        <f t="shared" si="13"/>
        <v>0</v>
      </c>
      <c r="O83" s="30">
        <v>1258640966</v>
      </c>
      <c r="P83" s="30">
        <v>84018136</v>
      </c>
      <c r="Q83" s="30">
        <v>0</v>
      </c>
      <c r="R83" s="30">
        <f t="shared" si="11"/>
        <v>1342659102</v>
      </c>
      <c r="S83" s="30">
        <v>33470085</v>
      </c>
      <c r="T83" s="30">
        <v>66529914.780000001</v>
      </c>
      <c r="U83" s="106">
        <f>E83-K83-O83</f>
        <v>0</v>
      </c>
      <c r="V83" s="105">
        <f t="shared" si="14"/>
        <v>0</v>
      </c>
      <c r="W83" s="106">
        <f t="shared" si="15"/>
        <v>0</v>
      </c>
      <c r="X83" s="106">
        <f t="shared" si="16"/>
        <v>0</v>
      </c>
      <c r="Y83" s="106">
        <v>0</v>
      </c>
      <c r="Z83" s="146">
        <v>1258640966</v>
      </c>
      <c r="AA83" s="29" t="s">
        <v>408</v>
      </c>
      <c r="AB83" s="29" t="s">
        <v>412</v>
      </c>
      <c r="AC83" s="29" t="s">
        <v>417</v>
      </c>
      <c r="AD83" s="113" t="s">
        <v>434</v>
      </c>
      <c r="AE83" s="132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138">
        <v>0</v>
      </c>
      <c r="AR83" s="142">
        <f t="shared" si="17"/>
        <v>0</v>
      </c>
    </row>
    <row r="84" spans="1:46" x14ac:dyDescent="0.3">
      <c r="A84" s="96">
        <v>81</v>
      </c>
      <c r="B84" s="29" t="s">
        <v>204</v>
      </c>
      <c r="C84" s="28" t="s">
        <v>205</v>
      </c>
      <c r="D84" s="54">
        <v>2</v>
      </c>
      <c r="E84" s="30">
        <v>450000000</v>
      </c>
      <c r="F84" s="30">
        <v>38788909.43</v>
      </c>
      <c r="G84" s="30">
        <v>2858949.04</v>
      </c>
      <c r="H84" s="91">
        <f t="shared" si="12"/>
        <v>491647858.47000003</v>
      </c>
      <c r="I84" s="91">
        <v>0</v>
      </c>
      <c r="J84" s="91">
        <v>0</v>
      </c>
      <c r="K84" s="30">
        <v>0</v>
      </c>
      <c r="L84" s="28"/>
      <c r="M84" s="28"/>
      <c r="N84" s="30">
        <f t="shared" si="13"/>
        <v>0</v>
      </c>
      <c r="O84" s="30">
        <v>0</v>
      </c>
      <c r="P84" s="30">
        <v>0</v>
      </c>
      <c r="Q84" s="30">
        <v>0</v>
      </c>
      <c r="R84" s="30">
        <f t="shared" si="11"/>
        <v>0</v>
      </c>
      <c r="S84" s="30">
        <v>0</v>
      </c>
      <c r="T84" s="30">
        <v>0</v>
      </c>
      <c r="U84" s="106">
        <f t="shared" si="18"/>
        <v>450000000</v>
      </c>
      <c r="V84" s="105">
        <f t="shared" si="14"/>
        <v>38788909.43</v>
      </c>
      <c r="W84" s="106">
        <f t="shared" si="15"/>
        <v>2858949.04</v>
      </c>
      <c r="X84" s="106">
        <f t="shared" si="16"/>
        <v>491647858.47000003</v>
      </c>
      <c r="Y84" s="106">
        <v>0</v>
      </c>
      <c r="Z84" s="28">
        <v>1</v>
      </c>
      <c r="AA84" s="29" t="s">
        <v>408</v>
      </c>
      <c r="AB84" s="29" t="s">
        <v>414</v>
      </c>
      <c r="AC84" s="29" t="s">
        <v>416</v>
      </c>
      <c r="AD84" s="113" t="s">
        <v>436</v>
      </c>
      <c r="AE84" s="132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138">
        <v>22500000</v>
      </c>
      <c r="AR84" s="142">
        <f t="shared" si="17"/>
        <v>22500000</v>
      </c>
      <c r="AT84" s="143">
        <f t="shared" ref="AT84:AT85" si="21">AR84/U84</f>
        <v>0.05</v>
      </c>
    </row>
    <row r="85" spans="1:46" x14ac:dyDescent="0.3">
      <c r="A85" s="96">
        <v>82</v>
      </c>
      <c r="B85" s="29" t="s">
        <v>206</v>
      </c>
      <c r="C85" s="28" t="s">
        <v>163</v>
      </c>
      <c r="D85" s="54">
        <v>3</v>
      </c>
      <c r="E85" s="30">
        <v>1145267590.3</v>
      </c>
      <c r="F85" s="30">
        <v>74610056.579999998</v>
      </c>
      <c r="G85" s="30">
        <v>12319408</v>
      </c>
      <c r="H85" s="91">
        <f t="shared" si="12"/>
        <v>1232197054.8799999</v>
      </c>
      <c r="I85" s="91">
        <v>0</v>
      </c>
      <c r="J85" s="91">
        <v>0</v>
      </c>
      <c r="K85" s="30">
        <v>0</v>
      </c>
      <c r="L85" s="28"/>
      <c r="M85" s="28"/>
      <c r="N85" s="30">
        <f t="shared" si="13"/>
        <v>0</v>
      </c>
      <c r="O85" s="30">
        <v>0</v>
      </c>
      <c r="P85" s="30">
        <v>0</v>
      </c>
      <c r="Q85" s="30">
        <v>0</v>
      </c>
      <c r="R85" s="30">
        <f t="shared" si="11"/>
        <v>0</v>
      </c>
      <c r="S85" s="30">
        <v>0</v>
      </c>
      <c r="T85" s="30">
        <v>0</v>
      </c>
      <c r="U85" s="106">
        <f t="shared" si="18"/>
        <v>1145267590.3</v>
      </c>
      <c r="V85" s="105">
        <f t="shared" si="14"/>
        <v>74610056.579999998</v>
      </c>
      <c r="W85" s="106">
        <f t="shared" si="15"/>
        <v>12319408</v>
      </c>
      <c r="X85" s="106">
        <f t="shared" si="16"/>
        <v>1232197054.8799999</v>
      </c>
      <c r="Y85" s="106">
        <v>852000000</v>
      </c>
      <c r="Z85" s="146">
        <v>852000000</v>
      </c>
      <c r="AA85" s="29" t="s">
        <v>408</v>
      </c>
      <c r="AB85" s="29" t="s">
        <v>412</v>
      </c>
      <c r="AC85" s="29" t="s">
        <v>416</v>
      </c>
      <c r="AD85" s="113" t="s">
        <v>436</v>
      </c>
      <c r="AE85" s="132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138">
        <v>229053518.0381611</v>
      </c>
      <c r="AR85" s="142">
        <f t="shared" si="17"/>
        <v>229053518.0381611</v>
      </c>
      <c r="AT85" s="143">
        <f t="shared" si="21"/>
        <v>0.19999999998093118</v>
      </c>
    </row>
    <row r="86" spans="1:46" x14ac:dyDescent="0.3">
      <c r="A86" s="96">
        <v>83</v>
      </c>
      <c r="B86" s="29" t="s">
        <v>207</v>
      </c>
      <c r="C86" s="28" t="s">
        <v>208</v>
      </c>
      <c r="D86" s="54">
        <v>3</v>
      </c>
      <c r="E86" s="30">
        <v>447058133</v>
      </c>
      <c r="F86" s="30">
        <v>23340545</v>
      </c>
      <c r="G86" s="30">
        <v>86725962</v>
      </c>
      <c r="H86" s="91">
        <f t="shared" si="12"/>
        <v>557124640</v>
      </c>
      <c r="I86" s="91">
        <v>0</v>
      </c>
      <c r="J86" s="91">
        <v>0</v>
      </c>
      <c r="K86" s="30">
        <v>0</v>
      </c>
      <c r="L86" s="28"/>
      <c r="M86" s="28"/>
      <c r="N86" s="30">
        <f t="shared" si="13"/>
        <v>0</v>
      </c>
      <c r="O86" s="30">
        <v>447058133</v>
      </c>
      <c r="P86" s="30">
        <v>10340545</v>
      </c>
      <c r="Q86" s="30">
        <v>36726351</v>
      </c>
      <c r="R86" s="30">
        <f t="shared" si="11"/>
        <v>494125029</v>
      </c>
      <c r="S86" s="30">
        <v>13000000</v>
      </c>
      <c r="T86" s="30">
        <v>49999611</v>
      </c>
      <c r="U86" s="106">
        <f t="shared" si="18"/>
        <v>0</v>
      </c>
      <c r="V86" s="105">
        <f t="shared" si="14"/>
        <v>0</v>
      </c>
      <c r="W86" s="106">
        <f t="shared" si="15"/>
        <v>0</v>
      </c>
      <c r="X86" s="106">
        <f t="shared" si="16"/>
        <v>0</v>
      </c>
      <c r="Y86" s="106">
        <v>0</v>
      </c>
      <c r="Z86" s="146">
        <v>447058132.58321095</v>
      </c>
      <c r="AA86" s="29" t="s">
        <v>408</v>
      </c>
      <c r="AB86" s="29" t="s">
        <v>412</v>
      </c>
      <c r="AC86" s="29" t="s">
        <v>417</v>
      </c>
      <c r="AD86" s="113" t="s">
        <v>434</v>
      </c>
      <c r="AE86" s="132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138">
        <v>0</v>
      </c>
      <c r="AR86" s="142">
        <f t="shared" si="17"/>
        <v>0</v>
      </c>
    </row>
    <row r="87" spans="1:46" x14ac:dyDescent="0.3">
      <c r="A87" s="96">
        <v>84</v>
      </c>
      <c r="B87" s="29" t="s">
        <v>209</v>
      </c>
      <c r="C87" s="28" t="s">
        <v>210</v>
      </c>
      <c r="D87" s="54">
        <v>3</v>
      </c>
      <c r="E87" s="30">
        <v>645498544</v>
      </c>
      <c r="F87" s="30">
        <v>46625408</v>
      </c>
      <c r="G87" s="30">
        <v>2938579</v>
      </c>
      <c r="H87" s="91">
        <f t="shared" si="12"/>
        <v>695062531</v>
      </c>
      <c r="I87" s="91">
        <v>302535567</v>
      </c>
      <c r="J87" s="91">
        <v>224658096</v>
      </c>
      <c r="K87" s="30">
        <v>7444</v>
      </c>
      <c r="L87" s="28"/>
      <c r="M87" s="28"/>
      <c r="N87" s="30">
        <f t="shared" si="13"/>
        <v>7444</v>
      </c>
      <c r="O87" s="30">
        <v>645491100</v>
      </c>
      <c r="P87" s="30">
        <v>54508900</v>
      </c>
      <c r="Q87" s="30">
        <v>0</v>
      </c>
      <c r="R87" s="30">
        <f t="shared" si="11"/>
        <v>700000000</v>
      </c>
      <c r="S87" s="30">
        <v>294652075</v>
      </c>
      <c r="T87" s="30">
        <v>227596675</v>
      </c>
      <c r="U87" s="106">
        <f t="shared" si="18"/>
        <v>0</v>
      </c>
      <c r="V87" s="105">
        <f t="shared" si="14"/>
        <v>0</v>
      </c>
      <c r="W87" s="106">
        <f t="shared" si="15"/>
        <v>0</v>
      </c>
      <c r="X87" s="106">
        <f t="shared" si="16"/>
        <v>0</v>
      </c>
      <c r="Y87" s="106">
        <v>1399000000</v>
      </c>
      <c r="Z87" s="146">
        <v>645491100</v>
      </c>
      <c r="AA87" s="29" t="s">
        <v>408</v>
      </c>
      <c r="AB87" s="29" t="s">
        <v>412</v>
      </c>
      <c r="AC87" s="29" t="s">
        <v>417</v>
      </c>
      <c r="AD87" s="113" t="s">
        <v>434</v>
      </c>
      <c r="AE87" s="132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138">
        <v>0</v>
      </c>
      <c r="AR87" s="142">
        <f t="shared" si="17"/>
        <v>0</v>
      </c>
    </row>
    <row r="88" spans="1:46" x14ac:dyDescent="0.3">
      <c r="A88" s="96">
        <v>85</v>
      </c>
      <c r="B88" s="29" t="s">
        <v>211</v>
      </c>
      <c r="C88" s="28" t="s">
        <v>212</v>
      </c>
      <c r="D88" s="54">
        <v>3</v>
      </c>
      <c r="E88" s="30">
        <v>99295313.609999999</v>
      </c>
      <c r="F88" s="30">
        <v>3903413</v>
      </c>
      <c r="G88" s="30">
        <v>516243.88</v>
      </c>
      <c r="H88" s="91">
        <f t="shared" si="12"/>
        <v>103714970.48999999</v>
      </c>
      <c r="I88" s="91">
        <v>0</v>
      </c>
      <c r="J88" s="91">
        <v>0</v>
      </c>
      <c r="K88" s="30">
        <v>0</v>
      </c>
      <c r="L88" s="28"/>
      <c r="M88" s="28"/>
      <c r="N88" s="30">
        <f t="shared" si="13"/>
        <v>0</v>
      </c>
      <c r="O88" s="30">
        <v>99295313.609999999</v>
      </c>
      <c r="P88" s="30">
        <v>3903413</v>
      </c>
      <c r="Q88" s="30">
        <v>516243.88</v>
      </c>
      <c r="R88" s="30">
        <f t="shared" si="11"/>
        <v>103714970.48999999</v>
      </c>
      <c r="S88" s="30">
        <v>0</v>
      </c>
      <c r="T88" s="30">
        <v>0</v>
      </c>
      <c r="U88" s="106">
        <f t="shared" si="18"/>
        <v>0</v>
      </c>
      <c r="V88" s="105">
        <f t="shared" si="14"/>
        <v>0</v>
      </c>
      <c r="W88" s="106">
        <f t="shared" si="15"/>
        <v>0</v>
      </c>
      <c r="X88" s="106">
        <f t="shared" si="16"/>
        <v>0</v>
      </c>
      <c r="Y88" s="106">
        <v>0</v>
      </c>
      <c r="Z88" s="146">
        <v>99295314</v>
      </c>
      <c r="AA88" s="29" t="s">
        <v>408</v>
      </c>
      <c r="AB88" s="29" t="s">
        <v>414</v>
      </c>
      <c r="AC88" s="29" t="s">
        <v>417</v>
      </c>
      <c r="AD88" s="113" t="s">
        <v>435</v>
      </c>
      <c r="AE88" s="132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138">
        <v>0</v>
      </c>
      <c r="AR88" s="142">
        <f t="shared" si="17"/>
        <v>0</v>
      </c>
    </row>
    <row r="89" spans="1:46" s="131" customFormat="1" x14ac:dyDescent="0.3">
      <c r="A89" s="122">
        <v>86</v>
      </c>
      <c r="B89" s="129" t="s">
        <v>213</v>
      </c>
      <c r="C89" s="211" t="s">
        <v>214</v>
      </c>
      <c r="D89" s="123">
        <v>3</v>
      </c>
      <c r="E89" s="126">
        <v>146935826.66999999</v>
      </c>
      <c r="F89" s="126">
        <v>9185136</v>
      </c>
      <c r="G89" s="126">
        <v>38463624</v>
      </c>
      <c r="H89" s="125">
        <f t="shared" si="12"/>
        <v>194584586.66999999</v>
      </c>
      <c r="I89" s="91">
        <v>5337335.2699999996</v>
      </c>
      <c r="J89" s="91">
        <v>1620421</v>
      </c>
      <c r="K89" s="126">
        <v>48280</v>
      </c>
      <c r="L89" s="28"/>
      <c r="M89" s="28"/>
      <c r="N89" s="30">
        <f t="shared" si="13"/>
        <v>48280</v>
      </c>
      <c r="O89" s="126">
        <f>146935826.67-48280</f>
        <v>146887546.66999999</v>
      </c>
      <c r="P89" s="30">
        <v>14522471.27</v>
      </c>
      <c r="Q89" s="30">
        <v>40084045</v>
      </c>
      <c r="R89" s="126">
        <f t="shared" si="11"/>
        <v>201494062.94</v>
      </c>
      <c r="S89" s="30">
        <v>0</v>
      </c>
      <c r="T89" s="30">
        <v>0</v>
      </c>
      <c r="U89" s="127">
        <f t="shared" si="18"/>
        <v>0</v>
      </c>
      <c r="V89" s="105">
        <f t="shared" si="14"/>
        <v>0</v>
      </c>
      <c r="W89" s="127">
        <f t="shared" si="15"/>
        <v>0</v>
      </c>
      <c r="X89" s="127">
        <f t="shared" si="16"/>
        <v>0</v>
      </c>
      <c r="Y89" s="127">
        <v>0</v>
      </c>
      <c r="Z89" s="212">
        <v>146887547</v>
      </c>
      <c r="AA89" s="129" t="s">
        <v>410</v>
      </c>
      <c r="AB89" s="129" t="s">
        <v>412</v>
      </c>
      <c r="AC89" s="129" t="s">
        <v>417</v>
      </c>
      <c r="AD89" s="130" t="s">
        <v>434</v>
      </c>
      <c r="AE89" s="134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39">
        <v>0</v>
      </c>
      <c r="AR89" s="210">
        <f t="shared" si="17"/>
        <v>0</v>
      </c>
    </row>
    <row r="90" spans="1:46" x14ac:dyDescent="0.3">
      <c r="A90" s="96">
        <v>87</v>
      </c>
      <c r="B90" s="29" t="s">
        <v>215</v>
      </c>
      <c r="C90" s="28" t="s">
        <v>216</v>
      </c>
      <c r="D90" s="54">
        <v>3</v>
      </c>
      <c r="E90" s="30">
        <v>977504605</v>
      </c>
      <c r="F90" s="30">
        <v>70804629.5</v>
      </c>
      <c r="G90" s="30">
        <v>27136299.829999998</v>
      </c>
      <c r="H90" s="91">
        <f t="shared" si="12"/>
        <v>1075445534.3299999</v>
      </c>
      <c r="I90" s="91">
        <v>349603621.5</v>
      </c>
      <c r="J90" s="91">
        <v>190169410.55000001</v>
      </c>
      <c r="K90" s="30">
        <v>0</v>
      </c>
      <c r="L90" s="28"/>
      <c r="M90" s="28"/>
      <c r="N90" s="30">
        <f t="shared" si="13"/>
        <v>0</v>
      </c>
      <c r="O90" s="30">
        <v>977504605</v>
      </c>
      <c r="P90" s="30">
        <v>70804630</v>
      </c>
      <c r="Q90" s="30">
        <v>8312593.0999999996</v>
      </c>
      <c r="R90" s="30">
        <f t="shared" si="11"/>
        <v>1056621828.1</v>
      </c>
      <c r="S90" s="30">
        <v>349603621</v>
      </c>
      <c r="T90" s="30">
        <v>208993117.28</v>
      </c>
      <c r="U90" s="106">
        <f t="shared" si="18"/>
        <v>0</v>
      </c>
      <c r="V90" s="105">
        <f t="shared" si="14"/>
        <v>0</v>
      </c>
      <c r="W90" s="106">
        <f t="shared" si="15"/>
        <v>0</v>
      </c>
      <c r="X90" s="106">
        <f t="shared" si="16"/>
        <v>0</v>
      </c>
      <c r="Y90" s="106">
        <v>875000000</v>
      </c>
      <c r="Z90" s="146">
        <v>875000000</v>
      </c>
      <c r="AA90" s="29" t="s">
        <v>410</v>
      </c>
      <c r="AB90" s="29" t="s">
        <v>412</v>
      </c>
      <c r="AC90" s="29" t="s">
        <v>417</v>
      </c>
      <c r="AD90" s="113" t="s">
        <v>434</v>
      </c>
      <c r="AE90" s="132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138">
        <v>0</v>
      </c>
      <c r="AR90" s="142">
        <f t="shared" si="17"/>
        <v>0</v>
      </c>
    </row>
    <row r="91" spans="1:46" x14ac:dyDescent="0.3">
      <c r="A91" s="96">
        <v>88</v>
      </c>
      <c r="B91" s="29" t="s">
        <v>217</v>
      </c>
      <c r="C91" s="28" t="s">
        <v>218</v>
      </c>
      <c r="D91" s="54">
        <v>3</v>
      </c>
      <c r="E91" s="30">
        <v>2438052380.9299998</v>
      </c>
      <c r="F91" s="30">
        <v>170027458.68000001</v>
      </c>
      <c r="G91" s="30">
        <v>14793317.949999999</v>
      </c>
      <c r="H91" s="91">
        <f t="shared" si="12"/>
        <v>2622873157.5599995</v>
      </c>
      <c r="I91" s="91">
        <v>0</v>
      </c>
      <c r="J91" s="91">
        <v>0</v>
      </c>
      <c r="K91" s="30">
        <v>8052</v>
      </c>
      <c r="L91" s="28"/>
      <c r="M91" s="28"/>
      <c r="N91" s="30">
        <f t="shared" si="13"/>
        <v>8052</v>
      </c>
      <c r="O91" s="30">
        <v>37000000</v>
      </c>
      <c r="P91" s="30">
        <v>0</v>
      </c>
      <c r="Q91" s="30">
        <v>0</v>
      </c>
      <c r="R91" s="30">
        <f t="shared" si="11"/>
        <v>37000000</v>
      </c>
      <c r="S91" s="30">
        <v>0</v>
      </c>
      <c r="T91" s="30">
        <v>0</v>
      </c>
      <c r="U91" s="106">
        <f t="shared" si="18"/>
        <v>2401044328.9299998</v>
      </c>
      <c r="V91" s="105">
        <f t="shared" si="14"/>
        <v>170027458.68000001</v>
      </c>
      <c r="W91" s="106">
        <f t="shared" si="15"/>
        <v>14793317.949999999</v>
      </c>
      <c r="X91" s="106">
        <f t="shared" si="16"/>
        <v>2585865105.5599995</v>
      </c>
      <c r="Y91" s="106">
        <v>3795000000</v>
      </c>
      <c r="Z91" s="146">
        <v>2438044329</v>
      </c>
      <c r="AA91" s="29" t="s">
        <v>408</v>
      </c>
      <c r="AB91" s="29" t="s">
        <v>412</v>
      </c>
      <c r="AC91" s="29" t="s">
        <v>416</v>
      </c>
      <c r="AD91" s="113" t="s">
        <v>434</v>
      </c>
      <c r="AE91" s="132"/>
      <c r="AF91" s="30"/>
      <c r="AG91" s="30"/>
      <c r="AH91" s="30"/>
      <c r="AI91" s="30">
        <v>2585865105.5599995</v>
      </c>
      <c r="AJ91" s="30"/>
      <c r="AK91" s="30"/>
      <c r="AL91" s="30"/>
      <c r="AM91" s="30"/>
      <c r="AN91" s="30"/>
      <c r="AO91" s="30"/>
      <c r="AP91" s="30"/>
      <c r="AQ91" s="138">
        <v>0</v>
      </c>
      <c r="AR91" s="142">
        <f t="shared" si="17"/>
        <v>2585865105.5599995</v>
      </c>
    </row>
    <row r="92" spans="1:46" x14ac:dyDescent="0.3">
      <c r="A92" s="96">
        <v>89</v>
      </c>
      <c r="B92" s="29" t="s">
        <v>219</v>
      </c>
      <c r="C92" s="28" t="s">
        <v>220</v>
      </c>
      <c r="D92" s="54">
        <v>3</v>
      </c>
      <c r="E92" s="30">
        <v>646661742.27999997</v>
      </c>
      <c r="F92" s="30">
        <v>55124666.549999997</v>
      </c>
      <c r="G92" s="30">
        <v>4283616.6399999997</v>
      </c>
      <c r="H92" s="91">
        <f t="shared" si="12"/>
        <v>706070025.46999991</v>
      </c>
      <c r="I92" s="91">
        <v>0</v>
      </c>
      <c r="J92" s="91">
        <v>0</v>
      </c>
      <c r="K92" s="30">
        <v>7082</v>
      </c>
      <c r="L92" s="28"/>
      <c r="M92" s="28"/>
      <c r="N92" s="30">
        <f t="shared" si="13"/>
        <v>7082</v>
      </c>
      <c r="O92" s="30">
        <v>0</v>
      </c>
      <c r="P92" s="30">
        <v>0</v>
      </c>
      <c r="Q92" s="30">
        <v>0</v>
      </c>
      <c r="R92" s="30">
        <f t="shared" si="11"/>
        <v>0</v>
      </c>
      <c r="S92" s="30">
        <v>0</v>
      </c>
      <c r="T92" s="30">
        <v>0</v>
      </c>
      <c r="U92" s="106">
        <f t="shared" si="18"/>
        <v>646654660.27999997</v>
      </c>
      <c r="V92" s="105">
        <f t="shared" si="14"/>
        <v>55124666.549999997</v>
      </c>
      <c r="W92" s="106">
        <f t="shared" si="15"/>
        <v>4283616.6399999997</v>
      </c>
      <c r="X92" s="106">
        <f t="shared" si="16"/>
        <v>706062943.46999991</v>
      </c>
      <c r="Y92" s="106">
        <v>758000000</v>
      </c>
      <c r="Z92" s="146">
        <v>646654660</v>
      </c>
      <c r="AA92" s="29" t="s">
        <v>408</v>
      </c>
      <c r="AB92" s="29" t="s">
        <v>412</v>
      </c>
      <c r="AC92" s="29" t="s">
        <v>416</v>
      </c>
      <c r="AD92" s="113" t="s">
        <v>436</v>
      </c>
      <c r="AE92" s="132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138">
        <v>129330932.05599999</v>
      </c>
      <c r="AR92" s="142">
        <f t="shared" si="17"/>
        <v>129330932.05599999</v>
      </c>
      <c r="AT92" s="143">
        <f>AR92/U92</f>
        <v>0.2</v>
      </c>
    </row>
    <row r="93" spans="1:46" x14ac:dyDescent="0.3">
      <c r="A93" s="96">
        <v>90</v>
      </c>
      <c r="B93" s="29" t="s">
        <v>221</v>
      </c>
      <c r="C93" s="28" t="s">
        <v>222</v>
      </c>
      <c r="D93" s="54">
        <v>3</v>
      </c>
      <c r="E93" s="30">
        <v>1989728440.8599999</v>
      </c>
      <c r="F93" s="30">
        <v>140778323.30000001</v>
      </c>
      <c r="G93" s="30">
        <v>8561570.1899999995</v>
      </c>
      <c r="H93" s="91">
        <f t="shared" si="12"/>
        <v>2139068334.3499999</v>
      </c>
      <c r="I93" s="91">
        <v>0</v>
      </c>
      <c r="J93" s="91">
        <v>0</v>
      </c>
      <c r="K93" s="30">
        <v>8055</v>
      </c>
      <c r="L93" s="28"/>
      <c r="M93" s="28"/>
      <c r="N93" s="30">
        <f t="shared" si="13"/>
        <v>8055</v>
      </c>
      <c r="O93" s="30">
        <v>0</v>
      </c>
      <c r="P93" s="30">
        <v>0</v>
      </c>
      <c r="Q93" s="30">
        <v>0</v>
      </c>
      <c r="R93" s="30">
        <f t="shared" si="11"/>
        <v>0</v>
      </c>
      <c r="S93" s="30">
        <v>0</v>
      </c>
      <c r="T93" s="30">
        <v>0</v>
      </c>
      <c r="U93" s="106">
        <f t="shared" si="18"/>
        <v>1989720385.8599999</v>
      </c>
      <c r="V93" s="105">
        <f t="shared" si="14"/>
        <v>140778323.30000001</v>
      </c>
      <c r="W93" s="106">
        <f t="shared" si="15"/>
        <v>8561570.1899999995</v>
      </c>
      <c r="X93" s="106">
        <f t="shared" si="16"/>
        <v>2139060279.3499999</v>
      </c>
      <c r="Y93" s="106">
        <v>1208000000</v>
      </c>
      <c r="Z93" s="146">
        <v>1208000000</v>
      </c>
      <c r="AA93" s="29" t="s">
        <v>408</v>
      </c>
      <c r="AB93" s="29" t="s">
        <v>412</v>
      </c>
      <c r="AC93" s="29" t="s">
        <v>416</v>
      </c>
      <c r="AD93" s="113" t="s">
        <v>434</v>
      </c>
      <c r="AE93" s="132"/>
      <c r="AF93" s="30"/>
      <c r="AG93" s="30"/>
      <c r="AH93" s="30"/>
      <c r="AI93" s="30"/>
      <c r="AJ93" s="30"/>
      <c r="AK93" s="30">
        <v>1208000000</v>
      </c>
      <c r="AL93" s="30"/>
      <c r="AM93" s="30"/>
      <c r="AN93" s="30"/>
      <c r="AO93" s="30"/>
      <c r="AP93" s="30"/>
      <c r="AQ93" s="138">
        <v>0</v>
      </c>
      <c r="AR93" s="142">
        <f t="shared" si="17"/>
        <v>1208000000</v>
      </c>
    </row>
    <row r="94" spans="1:46" x14ac:dyDescent="0.3">
      <c r="A94" s="96">
        <v>91</v>
      </c>
      <c r="B94" s="29" t="s">
        <v>223</v>
      </c>
      <c r="C94" s="28" t="s">
        <v>224</v>
      </c>
      <c r="D94" s="54">
        <v>3</v>
      </c>
      <c r="E94" s="30">
        <v>1286022951.21</v>
      </c>
      <c r="F94" s="30">
        <v>77177785.310000002</v>
      </c>
      <c r="G94" s="30">
        <v>4793731.1900000004</v>
      </c>
      <c r="H94" s="91">
        <f t="shared" si="12"/>
        <v>1367994467.71</v>
      </c>
      <c r="I94" s="91">
        <v>0</v>
      </c>
      <c r="J94" s="91">
        <v>0</v>
      </c>
      <c r="K94" s="30">
        <v>8055</v>
      </c>
      <c r="L94" s="28"/>
      <c r="M94" s="28"/>
      <c r="N94" s="30">
        <f t="shared" si="13"/>
        <v>8055</v>
      </c>
      <c r="O94" s="30">
        <v>0</v>
      </c>
      <c r="P94" s="30">
        <v>0</v>
      </c>
      <c r="Q94" s="30">
        <v>0</v>
      </c>
      <c r="R94" s="30">
        <f t="shared" si="11"/>
        <v>0</v>
      </c>
      <c r="S94" s="30">
        <v>0</v>
      </c>
      <c r="T94" s="30">
        <v>0</v>
      </c>
      <c r="U94" s="106">
        <f t="shared" si="18"/>
        <v>1286014896.21</v>
      </c>
      <c r="V94" s="105">
        <f t="shared" si="14"/>
        <v>77177785.310000002</v>
      </c>
      <c r="W94" s="106">
        <f t="shared" si="15"/>
        <v>4793731.1900000004</v>
      </c>
      <c r="X94" s="106">
        <f t="shared" si="16"/>
        <v>1367986412.71</v>
      </c>
      <c r="Y94" s="106">
        <v>1387000000</v>
      </c>
      <c r="Z94" s="146">
        <v>1286014896</v>
      </c>
      <c r="AA94" s="29" t="s">
        <v>408</v>
      </c>
      <c r="AB94" s="29" t="s">
        <v>412</v>
      </c>
      <c r="AC94" s="29" t="s">
        <v>416</v>
      </c>
      <c r="AD94" s="113" t="s">
        <v>436</v>
      </c>
      <c r="AE94" s="132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138">
        <v>257202979.24200001</v>
      </c>
      <c r="AR94" s="142">
        <f t="shared" si="17"/>
        <v>257202979.24200001</v>
      </c>
      <c r="AT94" s="143">
        <f>AR94/U94</f>
        <v>0.2</v>
      </c>
    </row>
    <row r="95" spans="1:46" x14ac:dyDescent="0.3">
      <c r="A95" s="96">
        <v>92</v>
      </c>
      <c r="B95" s="29" t="s">
        <v>225</v>
      </c>
      <c r="C95" s="28" t="s">
        <v>226</v>
      </c>
      <c r="D95" s="54">
        <v>3</v>
      </c>
      <c r="E95" s="30">
        <v>224420261</v>
      </c>
      <c r="F95" s="30">
        <v>17147005.620000001</v>
      </c>
      <c r="G95" s="30">
        <v>1810904.82</v>
      </c>
      <c r="H95" s="91">
        <f t="shared" si="12"/>
        <v>243378171.44</v>
      </c>
      <c r="I95" s="91">
        <v>84997823.379999995</v>
      </c>
      <c r="J95" s="91">
        <v>51166470.420000002</v>
      </c>
      <c r="K95" s="30">
        <v>0</v>
      </c>
      <c r="L95" s="28"/>
      <c r="M95" s="28"/>
      <c r="N95" s="30">
        <f t="shared" si="13"/>
        <v>0</v>
      </c>
      <c r="O95" s="30">
        <v>224420261</v>
      </c>
      <c r="P95" s="30">
        <v>17147006</v>
      </c>
      <c r="Q95" s="30">
        <v>1810904.82</v>
      </c>
      <c r="R95" s="30">
        <f t="shared" si="11"/>
        <v>243378171.81999999</v>
      </c>
      <c r="S95" s="30">
        <v>84997823</v>
      </c>
      <c r="T95" s="30">
        <v>51166470.420000002</v>
      </c>
      <c r="U95" s="106">
        <f>E95-K95-O95</f>
        <v>0</v>
      </c>
      <c r="V95" s="105">
        <f t="shared" si="14"/>
        <v>0</v>
      </c>
      <c r="W95" s="106">
        <f t="shared" si="15"/>
        <v>0</v>
      </c>
      <c r="X95" s="106">
        <f t="shared" si="16"/>
        <v>0</v>
      </c>
      <c r="Y95" s="106">
        <v>0</v>
      </c>
      <c r="Z95" s="28">
        <v>1</v>
      </c>
      <c r="AA95" s="29" t="s">
        <v>410</v>
      </c>
      <c r="AB95" s="29" t="s">
        <v>414</v>
      </c>
      <c r="AC95" s="29" t="s">
        <v>417</v>
      </c>
      <c r="AD95" s="113" t="s">
        <v>435</v>
      </c>
      <c r="AE95" s="132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138">
        <v>0</v>
      </c>
      <c r="AR95" s="142">
        <f t="shared" si="17"/>
        <v>0</v>
      </c>
    </row>
    <row r="96" spans="1:46" x14ac:dyDescent="0.3">
      <c r="A96" s="96">
        <v>93</v>
      </c>
      <c r="B96" s="29" t="s">
        <v>227</v>
      </c>
      <c r="C96" s="28" t="s">
        <v>228</v>
      </c>
      <c r="D96" s="54">
        <v>3</v>
      </c>
      <c r="E96" s="30">
        <v>2195494187</v>
      </c>
      <c r="F96" s="30">
        <v>143057549.72999999</v>
      </c>
      <c r="G96" s="30">
        <v>10777670.699999999</v>
      </c>
      <c r="H96" s="91">
        <f t="shared" si="12"/>
        <v>2349329407.4299998</v>
      </c>
      <c r="I96" s="91">
        <v>0</v>
      </c>
      <c r="J96" s="91">
        <v>0</v>
      </c>
      <c r="K96" s="30">
        <v>8055</v>
      </c>
      <c r="L96" s="28"/>
      <c r="M96" s="28"/>
      <c r="N96" s="30">
        <f t="shared" si="13"/>
        <v>8055</v>
      </c>
      <c r="O96" s="30">
        <v>1313095000</v>
      </c>
      <c r="P96" s="30">
        <v>0</v>
      </c>
      <c r="Q96" s="30">
        <v>0</v>
      </c>
      <c r="R96" s="30">
        <f t="shared" si="11"/>
        <v>1313095000</v>
      </c>
      <c r="S96" s="30">
        <v>0</v>
      </c>
      <c r="T96" s="30">
        <v>0</v>
      </c>
      <c r="U96" s="106">
        <f t="shared" si="18"/>
        <v>882391132</v>
      </c>
      <c r="V96" s="105">
        <f t="shared" si="14"/>
        <v>143057549.72999999</v>
      </c>
      <c r="W96" s="106">
        <f t="shared" si="15"/>
        <v>10777670.699999999</v>
      </c>
      <c r="X96" s="106">
        <f t="shared" si="16"/>
        <v>1036226352.4300001</v>
      </c>
      <c r="Y96" s="106">
        <v>1262000000</v>
      </c>
      <c r="Z96" s="146">
        <v>1262000000</v>
      </c>
      <c r="AA96" s="29" t="s">
        <v>408</v>
      </c>
      <c r="AB96" s="29" t="s">
        <v>412</v>
      </c>
      <c r="AC96" s="29" t="s">
        <v>416</v>
      </c>
      <c r="AD96" s="113" t="s">
        <v>434</v>
      </c>
      <c r="AE96" s="132">
        <v>1262000000</v>
      </c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138">
        <v>0</v>
      </c>
      <c r="AR96" s="142">
        <f t="shared" si="17"/>
        <v>1262000000</v>
      </c>
    </row>
    <row r="97" spans="1:46" x14ac:dyDescent="0.3">
      <c r="A97" s="96">
        <v>94</v>
      </c>
      <c r="B97" s="29" t="s">
        <v>229</v>
      </c>
      <c r="C97" s="28" t="s">
        <v>193</v>
      </c>
      <c r="D97" s="54">
        <v>3</v>
      </c>
      <c r="E97" s="30">
        <v>972222232</v>
      </c>
      <c r="F97" s="30">
        <v>74506713.180000007</v>
      </c>
      <c r="G97" s="30">
        <v>305502206.30000001</v>
      </c>
      <c r="H97" s="91">
        <f t="shared" si="12"/>
        <v>1352231151.48</v>
      </c>
      <c r="I97" s="91">
        <v>0</v>
      </c>
      <c r="J97" s="91">
        <v>0</v>
      </c>
      <c r="K97" s="30">
        <v>0</v>
      </c>
      <c r="L97" s="28"/>
      <c r="M97" s="28"/>
      <c r="N97" s="30">
        <f t="shared" si="13"/>
        <v>0</v>
      </c>
      <c r="O97" s="30">
        <v>0</v>
      </c>
      <c r="P97" s="30">
        <v>0</v>
      </c>
      <c r="Q97" s="30">
        <v>0</v>
      </c>
      <c r="R97" s="30">
        <f t="shared" si="11"/>
        <v>0</v>
      </c>
      <c r="S97" s="30">
        <v>0</v>
      </c>
      <c r="T97" s="30">
        <v>0</v>
      </c>
      <c r="U97" s="106">
        <f t="shared" si="18"/>
        <v>972222232</v>
      </c>
      <c r="V97" s="105">
        <f t="shared" si="14"/>
        <v>74506713.180000007</v>
      </c>
      <c r="W97" s="106">
        <f t="shared" si="15"/>
        <v>305502206.30000001</v>
      </c>
      <c r="X97" s="106">
        <f t="shared" si="16"/>
        <v>1352231151.48</v>
      </c>
      <c r="Y97" s="106">
        <v>0</v>
      </c>
      <c r="Z97" s="146">
        <v>972222231.63280439</v>
      </c>
      <c r="AA97" s="29" t="s">
        <v>408</v>
      </c>
      <c r="AB97" s="29" t="s">
        <v>412</v>
      </c>
      <c r="AC97" s="29" t="s">
        <v>416</v>
      </c>
      <c r="AD97" s="113" t="s">
        <v>436</v>
      </c>
      <c r="AE97" s="132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138">
        <v>194444446.40000001</v>
      </c>
      <c r="AR97" s="142">
        <f t="shared" si="17"/>
        <v>194444446.40000001</v>
      </c>
      <c r="AT97" s="143">
        <f>AR97/U97</f>
        <v>0.2</v>
      </c>
    </row>
    <row r="98" spans="1:46" x14ac:dyDescent="0.3">
      <c r="A98" s="96">
        <v>95</v>
      </c>
      <c r="B98" s="29" t="s">
        <v>230</v>
      </c>
      <c r="C98" s="28" t="s">
        <v>231</v>
      </c>
      <c r="D98" s="54">
        <v>3</v>
      </c>
      <c r="E98" s="30">
        <v>1191689625</v>
      </c>
      <c r="F98" s="30">
        <v>65804684</v>
      </c>
      <c r="G98" s="30">
        <v>3163176</v>
      </c>
      <c r="H98" s="91">
        <f t="shared" si="12"/>
        <v>1260657485</v>
      </c>
      <c r="I98" s="91">
        <v>8055</v>
      </c>
      <c r="J98" s="91">
        <v>0</v>
      </c>
      <c r="K98" s="30">
        <v>8055</v>
      </c>
      <c r="L98" s="28"/>
      <c r="M98" s="28"/>
      <c r="N98" s="30">
        <f t="shared" si="13"/>
        <v>8055</v>
      </c>
      <c r="O98" s="30">
        <f>1191689625-8055</f>
        <v>1191681570</v>
      </c>
      <c r="P98" s="30">
        <v>15155255</v>
      </c>
      <c r="Q98" s="30">
        <v>3163176</v>
      </c>
      <c r="R98" s="30">
        <f t="shared" si="11"/>
        <v>1210000001</v>
      </c>
      <c r="S98" s="30">
        <v>50657484</v>
      </c>
      <c r="T98" s="30">
        <v>0</v>
      </c>
      <c r="U98" s="106">
        <f>E98-K98-O98</f>
        <v>0</v>
      </c>
      <c r="V98" s="105">
        <f t="shared" si="14"/>
        <v>0</v>
      </c>
      <c r="W98" s="106">
        <f t="shared" si="15"/>
        <v>0</v>
      </c>
      <c r="X98" s="106">
        <f t="shared" si="16"/>
        <v>0</v>
      </c>
      <c r="Y98" s="106">
        <v>0</v>
      </c>
      <c r="Z98" s="146">
        <v>1191681570</v>
      </c>
      <c r="AA98" s="29" t="s">
        <v>408</v>
      </c>
      <c r="AB98" s="29" t="s">
        <v>412</v>
      </c>
      <c r="AC98" s="29" t="s">
        <v>417</v>
      </c>
      <c r="AD98" s="113" t="s">
        <v>434</v>
      </c>
      <c r="AE98" s="132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138">
        <v>0</v>
      </c>
      <c r="AR98" s="142">
        <f t="shared" si="17"/>
        <v>0</v>
      </c>
    </row>
    <row r="99" spans="1:46" x14ac:dyDescent="0.3">
      <c r="A99" s="96">
        <v>96</v>
      </c>
      <c r="B99" s="29" t="s">
        <v>232</v>
      </c>
      <c r="C99" s="28" t="s">
        <v>233</v>
      </c>
      <c r="D99" s="54">
        <v>3</v>
      </c>
      <c r="E99" s="30">
        <v>434840611.32999998</v>
      </c>
      <c r="F99" s="30">
        <v>22818852.210000001</v>
      </c>
      <c r="G99" s="30">
        <v>2900236.48</v>
      </c>
      <c r="H99" s="91">
        <f t="shared" si="12"/>
        <v>460559700.01999998</v>
      </c>
      <c r="I99" s="91">
        <v>0</v>
      </c>
      <c r="J99" s="91">
        <v>0</v>
      </c>
      <c r="K99" s="30">
        <v>0</v>
      </c>
      <c r="L99" s="28"/>
      <c r="M99" s="28"/>
      <c r="N99" s="30">
        <f t="shared" si="13"/>
        <v>0</v>
      </c>
      <c r="O99" s="30">
        <v>0</v>
      </c>
      <c r="P99" s="30">
        <v>0</v>
      </c>
      <c r="Q99" s="30">
        <v>0</v>
      </c>
      <c r="R99" s="30">
        <f t="shared" si="11"/>
        <v>0</v>
      </c>
      <c r="S99" s="30">
        <v>0</v>
      </c>
      <c r="T99" s="30">
        <v>0</v>
      </c>
      <c r="U99" s="106">
        <f t="shared" si="18"/>
        <v>434840611.32999998</v>
      </c>
      <c r="V99" s="105">
        <f t="shared" si="14"/>
        <v>22818852.210000001</v>
      </c>
      <c r="W99" s="106">
        <f t="shared" si="15"/>
        <v>2900236.48</v>
      </c>
      <c r="X99" s="106">
        <f t="shared" si="16"/>
        <v>460559700.01999998</v>
      </c>
      <c r="Y99" s="106">
        <v>987000000</v>
      </c>
      <c r="Z99" s="146">
        <v>434840611.28532386</v>
      </c>
      <c r="AA99" s="29" t="s">
        <v>408</v>
      </c>
      <c r="AB99" s="29" t="s">
        <v>412</v>
      </c>
      <c r="AC99" s="29" t="s">
        <v>416</v>
      </c>
      <c r="AD99" s="113" t="s">
        <v>436</v>
      </c>
      <c r="AE99" s="132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138">
        <v>86968122.266000003</v>
      </c>
      <c r="AR99" s="142">
        <f t="shared" si="17"/>
        <v>86968122.266000003</v>
      </c>
      <c r="AT99" s="143">
        <f>AR99/U99</f>
        <v>0.2</v>
      </c>
    </row>
    <row r="100" spans="1:46" x14ac:dyDescent="0.3">
      <c r="A100" s="96">
        <v>97</v>
      </c>
      <c r="B100" s="29" t="s">
        <v>234</v>
      </c>
      <c r="C100" s="28" t="s">
        <v>233</v>
      </c>
      <c r="D100" s="54">
        <v>3</v>
      </c>
      <c r="E100" s="30">
        <v>89392952</v>
      </c>
      <c r="F100" s="30">
        <v>5106060.4800000004</v>
      </c>
      <c r="G100" s="30">
        <v>763108.81</v>
      </c>
      <c r="H100" s="91">
        <f t="shared" si="12"/>
        <v>95262121.290000007</v>
      </c>
      <c r="I100" s="91">
        <v>0</v>
      </c>
      <c r="J100" s="91">
        <v>0</v>
      </c>
      <c r="K100" s="30">
        <v>0</v>
      </c>
      <c r="L100" s="28"/>
      <c r="M100" s="28"/>
      <c r="N100" s="30">
        <f t="shared" si="13"/>
        <v>0</v>
      </c>
      <c r="O100" s="30">
        <v>0</v>
      </c>
      <c r="P100" s="30">
        <v>0</v>
      </c>
      <c r="Q100" s="30">
        <v>0</v>
      </c>
      <c r="R100" s="30">
        <f t="shared" ref="R100:R131" si="22">SUM(O100:Q100)</f>
        <v>0</v>
      </c>
      <c r="S100" s="30">
        <v>0</v>
      </c>
      <c r="T100" s="30">
        <v>0</v>
      </c>
      <c r="U100" s="106">
        <f t="shared" si="18"/>
        <v>89392952</v>
      </c>
      <c r="V100" s="105">
        <f t="shared" si="14"/>
        <v>5106060.4800000004</v>
      </c>
      <c r="W100" s="106">
        <f t="shared" si="15"/>
        <v>763108.81</v>
      </c>
      <c r="X100" s="106">
        <f t="shared" si="16"/>
        <v>95262121.290000007</v>
      </c>
      <c r="Y100" s="106">
        <v>0</v>
      </c>
      <c r="Z100" s="146">
        <v>89392952</v>
      </c>
      <c r="AA100" s="29" t="s">
        <v>408</v>
      </c>
      <c r="AB100" s="29" t="s">
        <v>414</v>
      </c>
      <c r="AC100" s="29" t="s">
        <v>416</v>
      </c>
      <c r="AD100" s="113" t="s">
        <v>436</v>
      </c>
      <c r="AE100" s="132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138">
        <v>4469647.6000000006</v>
      </c>
      <c r="AR100" s="142">
        <f t="shared" si="17"/>
        <v>4469647.6000000006</v>
      </c>
      <c r="AT100" s="143"/>
    </row>
    <row r="101" spans="1:46" x14ac:dyDescent="0.3">
      <c r="A101" s="96">
        <v>98</v>
      </c>
      <c r="B101" s="29" t="s">
        <v>235</v>
      </c>
      <c r="C101" s="28" t="s">
        <v>195</v>
      </c>
      <c r="D101" s="54">
        <v>3</v>
      </c>
      <c r="E101" s="30">
        <v>483595610.48000002</v>
      </c>
      <c r="F101" s="30">
        <v>57239724.200000003</v>
      </c>
      <c r="G101" s="30">
        <v>47864227.710000001</v>
      </c>
      <c r="H101" s="91">
        <f t="shared" si="12"/>
        <v>588699562.3900001</v>
      </c>
      <c r="I101" s="91">
        <v>0</v>
      </c>
      <c r="J101" s="91">
        <v>0</v>
      </c>
      <c r="K101" s="30">
        <v>0</v>
      </c>
      <c r="L101" s="28"/>
      <c r="M101" s="28"/>
      <c r="N101" s="30">
        <f t="shared" si="13"/>
        <v>0</v>
      </c>
      <c r="O101" s="30">
        <v>2796782.46</v>
      </c>
      <c r="P101" s="30">
        <v>0</v>
      </c>
      <c r="Q101" s="30">
        <v>0</v>
      </c>
      <c r="R101" s="30">
        <f t="shared" si="22"/>
        <v>2796782.46</v>
      </c>
      <c r="S101" s="30">
        <v>0</v>
      </c>
      <c r="T101" s="30">
        <v>0</v>
      </c>
      <c r="U101" s="106">
        <f t="shared" si="18"/>
        <v>480798828.02000004</v>
      </c>
      <c r="V101" s="105">
        <f t="shared" si="14"/>
        <v>57239724.200000003</v>
      </c>
      <c r="W101" s="106">
        <f t="shared" si="15"/>
        <v>47864227.710000001</v>
      </c>
      <c r="X101" s="106">
        <f t="shared" si="16"/>
        <v>585902779.93000007</v>
      </c>
      <c r="Y101" s="106">
        <v>886000000</v>
      </c>
      <c r="Z101" s="146">
        <v>483595610.91397041</v>
      </c>
      <c r="AA101" s="29" t="s">
        <v>408</v>
      </c>
      <c r="AB101" s="29" t="s">
        <v>412</v>
      </c>
      <c r="AC101" s="29" t="s">
        <v>416</v>
      </c>
      <c r="AD101" s="113" t="s">
        <v>436</v>
      </c>
      <c r="AE101" s="132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138">
        <v>96159765.604000017</v>
      </c>
      <c r="AR101" s="142">
        <f t="shared" si="17"/>
        <v>96159765.604000017</v>
      </c>
      <c r="AT101" s="143"/>
    </row>
    <row r="102" spans="1:46" x14ac:dyDescent="0.3">
      <c r="A102" s="96">
        <v>99</v>
      </c>
      <c r="B102" s="29" t="s">
        <v>236</v>
      </c>
      <c r="C102" s="28" t="s">
        <v>237</v>
      </c>
      <c r="D102" s="54">
        <v>3</v>
      </c>
      <c r="E102" s="30">
        <v>125000000</v>
      </c>
      <c r="F102" s="30">
        <v>10937500</v>
      </c>
      <c r="G102" s="30">
        <v>1946883.98</v>
      </c>
      <c r="H102" s="91">
        <f t="shared" si="12"/>
        <v>137884383.97999999</v>
      </c>
      <c r="I102" s="91">
        <v>0</v>
      </c>
      <c r="J102" s="91">
        <v>0</v>
      </c>
      <c r="K102" s="30">
        <v>0</v>
      </c>
      <c r="L102" s="28"/>
      <c r="M102" s="28"/>
      <c r="N102" s="30">
        <f t="shared" si="13"/>
        <v>0</v>
      </c>
      <c r="O102" s="30">
        <v>0</v>
      </c>
      <c r="P102" s="30">
        <v>0</v>
      </c>
      <c r="Q102" s="30">
        <v>0</v>
      </c>
      <c r="R102" s="30">
        <f t="shared" si="22"/>
        <v>0</v>
      </c>
      <c r="S102" s="30">
        <v>0</v>
      </c>
      <c r="T102" s="30">
        <v>0</v>
      </c>
      <c r="U102" s="106">
        <f t="shared" si="18"/>
        <v>125000000</v>
      </c>
      <c r="V102" s="105">
        <f t="shared" si="14"/>
        <v>10937500</v>
      </c>
      <c r="W102" s="106">
        <f t="shared" si="15"/>
        <v>1946883.98</v>
      </c>
      <c r="X102" s="106">
        <f t="shared" si="16"/>
        <v>137884383.97999999</v>
      </c>
      <c r="Y102" s="106">
        <v>0</v>
      </c>
      <c r="Z102" s="146">
        <v>125000000</v>
      </c>
      <c r="AA102" s="29" t="s">
        <v>408</v>
      </c>
      <c r="AB102" s="29" t="s">
        <v>414</v>
      </c>
      <c r="AC102" s="29" t="s">
        <v>416</v>
      </c>
      <c r="AD102" s="113" t="s">
        <v>436</v>
      </c>
      <c r="AE102" s="132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138">
        <v>6250000</v>
      </c>
      <c r="AR102" s="142">
        <f t="shared" si="17"/>
        <v>6250000</v>
      </c>
      <c r="AT102" s="143"/>
    </row>
    <row r="103" spans="1:46" x14ac:dyDescent="0.3">
      <c r="A103" s="96">
        <v>100</v>
      </c>
      <c r="B103" s="29" t="s">
        <v>238</v>
      </c>
      <c r="C103" s="28" t="s">
        <v>239</v>
      </c>
      <c r="D103" s="54">
        <v>3</v>
      </c>
      <c r="E103" s="30">
        <v>2075162520.8299999</v>
      </c>
      <c r="F103" s="30">
        <v>197655269.97</v>
      </c>
      <c r="G103" s="30">
        <v>115180138.79000001</v>
      </c>
      <c r="H103" s="91">
        <f t="shared" si="12"/>
        <v>2387997929.5899997</v>
      </c>
      <c r="I103" s="91">
        <v>0</v>
      </c>
      <c r="J103" s="91">
        <v>0</v>
      </c>
      <c r="K103" s="30">
        <v>0</v>
      </c>
      <c r="L103" s="28"/>
      <c r="M103" s="28"/>
      <c r="N103" s="30">
        <f t="shared" si="13"/>
        <v>0</v>
      </c>
      <c r="O103" s="30">
        <v>0</v>
      </c>
      <c r="P103" s="30">
        <v>0</v>
      </c>
      <c r="Q103" s="30">
        <v>0</v>
      </c>
      <c r="R103" s="30">
        <f t="shared" si="22"/>
        <v>0</v>
      </c>
      <c r="S103" s="30">
        <v>0</v>
      </c>
      <c r="T103" s="30">
        <v>0</v>
      </c>
      <c r="U103" s="106">
        <f t="shared" si="18"/>
        <v>2075162520.8299999</v>
      </c>
      <c r="V103" s="105">
        <f t="shared" si="14"/>
        <v>197655269.97</v>
      </c>
      <c r="W103" s="106">
        <f t="shared" si="15"/>
        <v>115180138.79000001</v>
      </c>
      <c r="X103" s="106">
        <f t="shared" si="16"/>
        <v>2387997929.5899997</v>
      </c>
      <c r="Y103" s="106">
        <v>2227000000</v>
      </c>
      <c r="Z103" s="146">
        <v>2075162521.0501919</v>
      </c>
      <c r="AA103" s="29" t="s">
        <v>408</v>
      </c>
      <c r="AB103" s="29" t="s">
        <v>412</v>
      </c>
      <c r="AC103" s="29" t="s">
        <v>416</v>
      </c>
      <c r="AD103" s="113" t="s">
        <v>436</v>
      </c>
      <c r="AE103" s="132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138">
        <v>415032504.16600001</v>
      </c>
      <c r="AR103" s="142">
        <f t="shared" si="17"/>
        <v>415032504.16600001</v>
      </c>
      <c r="AT103" s="143"/>
    </row>
    <row r="104" spans="1:46" x14ac:dyDescent="0.3">
      <c r="A104" s="96">
        <v>101</v>
      </c>
      <c r="B104" s="29" t="s">
        <v>240</v>
      </c>
      <c r="C104" s="28" t="s">
        <v>239</v>
      </c>
      <c r="D104" s="54">
        <v>3</v>
      </c>
      <c r="E104" s="30">
        <v>299316116.89999998</v>
      </c>
      <c r="F104" s="30">
        <v>28292085.829999998</v>
      </c>
      <c r="G104" s="30">
        <v>5576844.6200000001</v>
      </c>
      <c r="H104" s="91">
        <f t="shared" si="12"/>
        <v>333185047.34999996</v>
      </c>
      <c r="I104" s="91">
        <v>0</v>
      </c>
      <c r="J104" s="91">
        <v>0</v>
      </c>
      <c r="K104" s="30">
        <v>0</v>
      </c>
      <c r="L104" s="28"/>
      <c r="M104" s="28"/>
      <c r="N104" s="30">
        <f t="shared" si="13"/>
        <v>0</v>
      </c>
      <c r="O104" s="30">
        <v>0</v>
      </c>
      <c r="P104" s="30">
        <v>0</v>
      </c>
      <c r="Q104" s="30">
        <v>0</v>
      </c>
      <c r="R104" s="30">
        <f t="shared" si="22"/>
        <v>0</v>
      </c>
      <c r="S104" s="30">
        <v>0</v>
      </c>
      <c r="T104" s="30">
        <v>0</v>
      </c>
      <c r="U104" s="106">
        <f t="shared" si="18"/>
        <v>299316116.89999998</v>
      </c>
      <c r="V104" s="105">
        <f t="shared" si="14"/>
        <v>28292085.829999998</v>
      </c>
      <c r="W104" s="106">
        <f t="shared" si="15"/>
        <v>5576844.6200000001</v>
      </c>
      <c r="X104" s="106">
        <f t="shared" si="16"/>
        <v>333185047.34999996</v>
      </c>
      <c r="Y104" s="106">
        <v>0</v>
      </c>
      <c r="Z104" s="146">
        <v>151844558</v>
      </c>
      <c r="AA104" s="29" t="s">
        <v>408</v>
      </c>
      <c r="AB104" s="29" t="s">
        <v>414</v>
      </c>
      <c r="AC104" s="29" t="s">
        <v>416</v>
      </c>
      <c r="AD104" s="113" t="s">
        <v>436</v>
      </c>
      <c r="AE104" s="132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138">
        <v>14965805.844999999</v>
      </c>
      <c r="AR104" s="142">
        <f t="shared" si="17"/>
        <v>14965805.844999999</v>
      </c>
      <c r="AT104" s="143"/>
    </row>
    <row r="105" spans="1:46" x14ac:dyDescent="0.3">
      <c r="A105" s="96">
        <v>102</v>
      </c>
      <c r="B105" s="29" t="s">
        <v>241</v>
      </c>
      <c r="C105" s="28" t="s">
        <v>242</v>
      </c>
      <c r="D105" s="54">
        <v>3</v>
      </c>
      <c r="E105" s="30">
        <v>525000000</v>
      </c>
      <c r="F105" s="30">
        <v>55834703.619999997</v>
      </c>
      <c r="G105" s="30">
        <v>5537842.3899999997</v>
      </c>
      <c r="H105" s="91">
        <f t="shared" si="12"/>
        <v>586372546.00999999</v>
      </c>
      <c r="I105" s="91">
        <v>270965079.38</v>
      </c>
      <c r="J105" s="91">
        <v>225422762.49000001</v>
      </c>
      <c r="K105" s="30">
        <v>0</v>
      </c>
      <c r="L105" s="28"/>
      <c r="M105" s="28"/>
      <c r="N105" s="30">
        <f t="shared" si="13"/>
        <v>0</v>
      </c>
      <c r="O105" s="30">
        <v>525000000</v>
      </c>
      <c r="P105" s="30">
        <v>326799783</v>
      </c>
      <c r="Q105" s="30">
        <v>0</v>
      </c>
      <c r="R105" s="30">
        <f t="shared" si="22"/>
        <v>851799783</v>
      </c>
      <c r="S105" s="30">
        <v>0</v>
      </c>
      <c r="T105" s="30">
        <v>230960604.88</v>
      </c>
      <c r="U105" s="106">
        <f>E105-K105-O105</f>
        <v>0</v>
      </c>
      <c r="V105" s="105">
        <f t="shared" si="14"/>
        <v>0</v>
      </c>
      <c r="W105" s="106">
        <f t="shared" si="15"/>
        <v>0</v>
      </c>
      <c r="X105" s="106">
        <f t="shared" si="16"/>
        <v>0</v>
      </c>
      <c r="Y105" s="106">
        <v>0</v>
      </c>
      <c r="Z105" s="28">
        <v>1</v>
      </c>
      <c r="AA105" s="29" t="s">
        <v>408</v>
      </c>
      <c r="AB105" s="29" t="s">
        <v>414</v>
      </c>
      <c r="AC105" s="29" t="s">
        <v>417</v>
      </c>
      <c r="AD105" s="113" t="s">
        <v>435</v>
      </c>
      <c r="AE105" s="132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138">
        <v>0</v>
      </c>
      <c r="AR105" s="142">
        <f t="shared" si="17"/>
        <v>0</v>
      </c>
    </row>
    <row r="106" spans="1:46" x14ac:dyDescent="0.3">
      <c r="A106" s="96">
        <v>103</v>
      </c>
      <c r="B106" s="29" t="s">
        <v>243</v>
      </c>
      <c r="C106" s="28" t="s">
        <v>244</v>
      </c>
      <c r="D106" s="54">
        <v>4</v>
      </c>
      <c r="E106" s="30">
        <v>456269597.26999998</v>
      </c>
      <c r="F106" s="30">
        <v>107399978.06</v>
      </c>
      <c r="G106" s="30">
        <v>114943005.53</v>
      </c>
      <c r="H106" s="91">
        <f t="shared" si="12"/>
        <v>678612580.8599999</v>
      </c>
      <c r="I106" s="91">
        <v>0</v>
      </c>
      <c r="J106" s="91">
        <v>0</v>
      </c>
      <c r="K106" s="30">
        <v>9023</v>
      </c>
      <c r="L106" s="28"/>
      <c r="M106" s="28"/>
      <c r="N106" s="30">
        <f t="shared" si="13"/>
        <v>9023</v>
      </c>
      <c r="O106" s="30">
        <v>36900000</v>
      </c>
      <c r="P106" s="30">
        <v>0</v>
      </c>
      <c r="Q106" s="30">
        <v>0</v>
      </c>
      <c r="R106" s="30">
        <f t="shared" si="22"/>
        <v>36900000</v>
      </c>
      <c r="S106" s="30">
        <v>0</v>
      </c>
      <c r="T106" s="30">
        <v>0</v>
      </c>
      <c r="U106" s="106">
        <f t="shared" si="18"/>
        <v>419360574.26999998</v>
      </c>
      <c r="V106" s="105">
        <f t="shared" si="14"/>
        <v>107399978.06</v>
      </c>
      <c r="W106" s="106">
        <f t="shared" si="15"/>
        <v>114943005.53</v>
      </c>
      <c r="X106" s="106">
        <f t="shared" si="16"/>
        <v>641703557.86000001</v>
      </c>
      <c r="Y106" s="106">
        <v>621000000</v>
      </c>
      <c r="Z106" s="146">
        <v>456260574</v>
      </c>
      <c r="AA106" s="29" t="s">
        <v>408</v>
      </c>
      <c r="AB106" s="29" t="s">
        <v>412</v>
      </c>
      <c r="AC106" s="29" t="s">
        <v>416</v>
      </c>
      <c r="AD106" s="113" t="s">
        <v>436</v>
      </c>
      <c r="AE106" s="132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138">
        <v>83872114.854000002</v>
      </c>
      <c r="AR106" s="142">
        <f t="shared" si="17"/>
        <v>83872114.854000002</v>
      </c>
      <c r="AT106" s="143"/>
    </row>
    <row r="107" spans="1:46" x14ac:dyDescent="0.3">
      <c r="A107" s="96">
        <v>104</v>
      </c>
      <c r="B107" s="29" t="s">
        <v>245</v>
      </c>
      <c r="C107" s="28" t="s">
        <v>246</v>
      </c>
      <c r="D107" s="54">
        <v>4</v>
      </c>
      <c r="E107" s="30">
        <v>475636546.01999998</v>
      </c>
      <c r="F107" s="30">
        <v>200036299.66999999</v>
      </c>
      <c r="G107" s="30">
        <v>160635453.87</v>
      </c>
      <c r="H107" s="91">
        <f t="shared" si="12"/>
        <v>836308299.55999994</v>
      </c>
      <c r="I107" s="91">
        <v>0</v>
      </c>
      <c r="J107" s="91">
        <v>0</v>
      </c>
      <c r="K107" s="30">
        <v>0</v>
      </c>
      <c r="L107" s="28"/>
      <c r="M107" s="28"/>
      <c r="N107" s="30">
        <f t="shared" si="13"/>
        <v>0</v>
      </c>
      <c r="O107" s="30">
        <v>0</v>
      </c>
      <c r="P107" s="30">
        <v>0</v>
      </c>
      <c r="Q107" s="30">
        <v>0</v>
      </c>
      <c r="R107" s="30">
        <f t="shared" si="22"/>
        <v>0</v>
      </c>
      <c r="S107" s="30">
        <v>0</v>
      </c>
      <c r="T107" s="30">
        <v>0</v>
      </c>
      <c r="U107" s="106">
        <f t="shared" si="18"/>
        <v>475636546.01999998</v>
      </c>
      <c r="V107" s="105">
        <f t="shared" si="14"/>
        <v>200036299.66999999</v>
      </c>
      <c r="W107" s="106">
        <f t="shared" si="15"/>
        <v>160635453.87</v>
      </c>
      <c r="X107" s="106">
        <f t="shared" si="16"/>
        <v>836308299.55999994</v>
      </c>
      <c r="Y107" s="106">
        <v>186000000</v>
      </c>
      <c r="Z107" s="146">
        <v>186000000</v>
      </c>
      <c r="AA107" s="29" t="s">
        <v>408</v>
      </c>
      <c r="AB107" s="29" t="s">
        <v>412</v>
      </c>
      <c r="AC107" s="29" t="s">
        <v>416</v>
      </c>
      <c r="AD107" s="113" t="s">
        <v>436</v>
      </c>
      <c r="AE107" s="132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138">
        <v>95127309.203999996</v>
      </c>
      <c r="AR107" s="142">
        <f t="shared" si="17"/>
        <v>95127309.203999996</v>
      </c>
      <c r="AT107" s="143"/>
    </row>
    <row r="108" spans="1:46" x14ac:dyDescent="0.3">
      <c r="A108" s="96">
        <v>105</v>
      </c>
      <c r="B108" s="29" t="s">
        <v>247</v>
      </c>
      <c r="C108" s="28" t="s">
        <v>248</v>
      </c>
      <c r="D108" s="54">
        <v>4</v>
      </c>
      <c r="E108" s="30">
        <v>925882990.33000004</v>
      </c>
      <c r="F108" s="30">
        <v>8950202.1400000006</v>
      </c>
      <c r="G108" s="30">
        <v>0</v>
      </c>
      <c r="H108" s="91">
        <f t="shared" si="12"/>
        <v>934833192.47000003</v>
      </c>
      <c r="I108" s="91">
        <v>0</v>
      </c>
      <c r="J108" s="91">
        <v>0</v>
      </c>
      <c r="K108" s="30">
        <v>0</v>
      </c>
      <c r="L108" s="28"/>
      <c r="M108" s="28"/>
      <c r="N108" s="30">
        <f t="shared" si="13"/>
        <v>0</v>
      </c>
      <c r="O108" s="30">
        <v>0</v>
      </c>
      <c r="P108" s="30">
        <v>0</v>
      </c>
      <c r="Q108" s="30">
        <v>0</v>
      </c>
      <c r="R108" s="30">
        <f t="shared" si="22"/>
        <v>0</v>
      </c>
      <c r="S108" s="30">
        <v>0</v>
      </c>
      <c r="T108" s="30">
        <v>0</v>
      </c>
      <c r="U108" s="106">
        <f t="shared" si="18"/>
        <v>925882990.33000004</v>
      </c>
      <c r="V108" s="105">
        <f t="shared" si="14"/>
        <v>8950202.1400000006</v>
      </c>
      <c r="W108" s="106">
        <f t="shared" si="15"/>
        <v>0</v>
      </c>
      <c r="X108" s="106">
        <f t="shared" si="16"/>
        <v>934833192.47000003</v>
      </c>
      <c r="Y108" s="106">
        <v>757000000</v>
      </c>
      <c r="Z108" s="146">
        <v>757000000</v>
      </c>
      <c r="AA108" s="29" t="s">
        <v>408</v>
      </c>
      <c r="AB108" s="29" t="s">
        <v>414</v>
      </c>
      <c r="AC108" s="29" t="s">
        <v>416</v>
      </c>
      <c r="AD108" s="113" t="s">
        <v>436</v>
      </c>
      <c r="AE108" s="132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138">
        <v>46294149.516500004</v>
      </c>
      <c r="AR108" s="142">
        <f t="shared" si="17"/>
        <v>46294149.516500004</v>
      </c>
      <c r="AT108" s="143"/>
    </row>
    <row r="109" spans="1:46" x14ac:dyDescent="0.3">
      <c r="A109" s="96">
        <v>106</v>
      </c>
      <c r="B109" s="29" t="s">
        <v>249</v>
      </c>
      <c r="C109" s="28" t="s">
        <v>250</v>
      </c>
      <c r="D109" s="54">
        <v>4</v>
      </c>
      <c r="E109" s="30">
        <v>66098978</v>
      </c>
      <c r="F109" s="30">
        <v>0</v>
      </c>
      <c r="G109" s="30">
        <v>0</v>
      </c>
      <c r="H109" s="91">
        <f t="shared" si="12"/>
        <v>66098978</v>
      </c>
      <c r="I109" s="91">
        <v>1143333.28</v>
      </c>
      <c r="J109" s="91">
        <v>1999688.34</v>
      </c>
      <c r="K109" s="30">
        <v>0</v>
      </c>
      <c r="L109" s="28"/>
      <c r="M109" s="28"/>
      <c r="N109" s="30">
        <f t="shared" si="13"/>
        <v>0</v>
      </c>
      <c r="O109" s="30">
        <v>66098978</v>
      </c>
      <c r="P109" s="30">
        <v>1143333.28</v>
      </c>
      <c r="Q109" s="30">
        <v>1999688.34</v>
      </c>
      <c r="R109" s="30">
        <f t="shared" si="22"/>
        <v>69241999.620000005</v>
      </c>
      <c r="S109" s="30">
        <v>0</v>
      </c>
      <c r="T109" s="30">
        <v>0</v>
      </c>
      <c r="U109" s="106">
        <f t="shared" si="18"/>
        <v>0</v>
      </c>
      <c r="V109" s="105">
        <f t="shared" si="14"/>
        <v>0</v>
      </c>
      <c r="W109" s="106">
        <f t="shared" si="15"/>
        <v>0</v>
      </c>
      <c r="X109" s="106">
        <f t="shared" si="16"/>
        <v>0</v>
      </c>
      <c r="Y109" s="106">
        <v>0</v>
      </c>
      <c r="Z109" s="146">
        <v>66098978</v>
      </c>
      <c r="AA109" s="29" t="s">
        <v>408</v>
      </c>
      <c r="AB109" s="29" t="s">
        <v>412</v>
      </c>
      <c r="AC109" s="29" t="s">
        <v>417</v>
      </c>
      <c r="AD109" s="113" t="s">
        <v>434</v>
      </c>
      <c r="AE109" s="132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138">
        <v>0</v>
      </c>
      <c r="AR109" s="142">
        <f t="shared" si="17"/>
        <v>0</v>
      </c>
    </row>
    <row r="110" spans="1:46" x14ac:dyDescent="0.3">
      <c r="A110" s="96">
        <v>107</v>
      </c>
      <c r="B110" s="29" t="s">
        <v>251</v>
      </c>
      <c r="C110" s="28" t="s">
        <v>252</v>
      </c>
      <c r="D110" s="54">
        <v>4</v>
      </c>
      <c r="E110" s="30">
        <v>70471818.049999997</v>
      </c>
      <c r="F110" s="30">
        <v>0</v>
      </c>
      <c r="G110" s="30">
        <v>0</v>
      </c>
      <c r="H110" s="91">
        <f t="shared" si="12"/>
        <v>70471818.049999997</v>
      </c>
      <c r="I110" s="91">
        <v>1260270.98</v>
      </c>
      <c r="J110" s="91">
        <v>61061</v>
      </c>
      <c r="K110" s="30">
        <v>0</v>
      </c>
      <c r="L110" s="28"/>
      <c r="M110" s="28"/>
      <c r="N110" s="30">
        <f t="shared" si="13"/>
        <v>0</v>
      </c>
      <c r="O110" s="30">
        <v>70471818.049999997</v>
      </c>
      <c r="P110" s="30">
        <v>1260270.98</v>
      </c>
      <c r="Q110" s="30">
        <v>61061</v>
      </c>
      <c r="R110" s="30">
        <f t="shared" si="22"/>
        <v>71793150.030000001</v>
      </c>
      <c r="S110" s="30">
        <v>0</v>
      </c>
      <c r="T110" s="30">
        <v>0</v>
      </c>
      <c r="U110" s="106">
        <f t="shared" si="18"/>
        <v>0</v>
      </c>
      <c r="V110" s="105">
        <f t="shared" si="14"/>
        <v>0</v>
      </c>
      <c r="W110" s="106">
        <f t="shared" si="15"/>
        <v>0</v>
      </c>
      <c r="X110" s="106">
        <f t="shared" si="16"/>
        <v>0</v>
      </c>
      <c r="Y110" s="106">
        <v>0</v>
      </c>
      <c r="Z110" s="146">
        <v>70471818</v>
      </c>
      <c r="AA110" s="29" t="s">
        <v>408</v>
      </c>
      <c r="AB110" s="29" t="s">
        <v>412</v>
      </c>
      <c r="AC110" s="29" t="s">
        <v>417</v>
      </c>
      <c r="AD110" s="113" t="s">
        <v>434</v>
      </c>
      <c r="AE110" s="132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138">
        <v>0</v>
      </c>
      <c r="AR110" s="142">
        <f t="shared" si="17"/>
        <v>0</v>
      </c>
    </row>
    <row r="111" spans="1:46" x14ac:dyDescent="0.3">
      <c r="A111" s="96">
        <v>108</v>
      </c>
      <c r="B111" s="29" t="s">
        <v>253</v>
      </c>
      <c r="C111" s="28" t="s">
        <v>254</v>
      </c>
      <c r="D111" s="54">
        <v>4</v>
      </c>
      <c r="E111" s="30">
        <v>110000009</v>
      </c>
      <c r="F111" s="30">
        <v>0</v>
      </c>
      <c r="G111" s="30">
        <v>0</v>
      </c>
      <c r="H111" s="91">
        <f t="shared" si="12"/>
        <v>110000009</v>
      </c>
      <c r="I111" s="91">
        <v>1760000</v>
      </c>
      <c r="J111" s="91">
        <v>3324491.43</v>
      </c>
      <c r="K111" s="30">
        <v>0</v>
      </c>
      <c r="L111" s="28"/>
      <c r="M111" s="28"/>
      <c r="N111" s="30">
        <f t="shared" si="13"/>
        <v>0</v>
      </c>
      <c r="O111" s="30">
        <v>110000009</v>
      </c>
      <c r="P111" s="30">
        <v>1760000</v>
      </c>
      <c r="Q111" s="30">
        <v>3324491.43</v>
      </c>
      <c r="R111" s="30">
        <f t="shared" si="22"/>
        <v>115084500.43000001</v>
      </c>
      <c r="S111" s="30">
        <v>0</v>
      </c>
      <c r="T111" s="30">
        <v>0</v>
      </c>
      <c r="U111" s="106">
        <f t="shared" si="18"/>
        <v>0</v>
      </c>
      <c r="V111" s="105">
        <f t="shared" si="14"/>
        <v>0</v>
      </c>
      <c r="W111" s="106">
        <f t="shared" si="15"/>
        <v>0</v>
      </c>
      <c r="X111" s="106">
        <f t="shared" si="16"/>
        <v>0</v>
      </c>
      <c r="Y111" s="106">
        <v>0</v>
      </c>
      <c r="Z111" s="146">
        <v>110000009</v>
      </c>
      <c r="AA111" s="29" t="s">
        <v>408</v>
      </c>
      <c r="AB111" s="29" t="s">
        <v>412</v>
      </c>
      <c r="AC111" s="29" t="s">
        <v>417</v>
      </c>
      <c r="AD111" s="113" t="s">
        <v>434</v>
      </c>
      <c r="AE111" s="132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138">
        <v>0</v>
      </c>
      <c r="AR111" s="142">
        <f t="shared" si="17"/>
        <v>0</v>
      </c>
    </row>
    <row r="112" spans="1:46" x14ac:dyDescent="0.3">
      <c r="A112" s="96">
        <v>109</v>
      </c>
      <c r="B112" s="29" t="s">
        <v>255</v>
      </c>
      <c r="C112" s="28" t="s">
        <v>256</v>
      </c>
      <c r="D112" s="54">
        <v>4</v>
      </c>
      <c r="E112" s="30">
        <v>391610493.31999999</v>
      </c>
      <c r="F112" s="30">
        <v>29079688.27</v>
      </c>
      <c r="G112" s="30">
        <v>10671633.15</v>
      </c>
      <c r="H112" s="91">
        <f t="shared" si="12"/>
        <v>431361814.73999995</v>
      </c>
      <c r="I112" s="91">
        <v>0</v>
      </c>
      <c r="J112" s="91">
        <v>0</v>
      </c>
      <c r="K112" s="30">
        <v>6105</v>
      </c>
      <c r="L112" s="28"/>
      <c r="M112" s="28"/>
      <c r="N112" s="30">
        <f t="shared" si="13"/>
        <v>6105</v>
      </c>
      <c r="O112" s="30">
        <v>0</v>
      </c>
      <c r="P112" s="30">
        <v>0</v>
      </c>
      <c r="Q112" s="30">
        <v>0</v>
      </c>
      <c r="R112" s="30">
        <f t="shared" si="22"/>
        <v>0</v>
      </c>
      <c r="S112" s="30">
        <v>0</v>
      </c>
      <c r="T112" s="30">
        <v>0</v>
      </c>
      <c r="U112" s="106">
        <f t="shared" si="18"/>
        <v>391604388.31999999</v>
      </c>
      <c r="V112" s="105">
        <f t="shared" si="14"/>
        <v>29079688.27</v>
      </c>
      <c r="W112" s="106">
        <f t="shared" si="15"/>
        <v>10671633.15</v>
      </c>
      <c r="X112" s="106">
        <f t="shared" si="16"/>
        <v>431355709.73999995</v>
      </c>
      <c r="Y112" s="106">
        <v>286000000</v>
      </c>
      <c r="Z112" s="146">
        <v>286000000</v>
      </c>
      <c r="AA112" s="29" t="s">
        <v>408</v>
      </c>
      <c r="AB112" s="29" t="s">
        <v>412</v>
      </c>
      <c r="AC112" s="29" t="s">
        <v>416</v>
      </c>
      <c r="AD112" s="113" t="s">
        <v>434</v>
      </c>
      <c r="AE112" s="132"/>
      <c r="AF112" s="30"/>
      <c r="AG112" s="30"/>
      <c r="AH112" s="30"/>
      <c r="AI112" s="30"/>
      <c r="AJ112" s="30"/>
      <c r="AK112" s="106">
        <v>286000000</v>
      </c>
      <c r="AL112" s="30"/>
      <c r="AM112" s="30"/>
      <c r="AN112" s="30"/>
      <c r="AO112" s="30"/>
      <c r="AP112" s="30"/>
      <c r="AQ112" s="138">
        <v>0</v>
      </c>
      <c r="AR112" s="142">
        <f t="shared" si="17"/>
        <v>286000000</v>
      </c>
    </row>
    <row r="113" spans="1:46" x14ac:dyDescent="0.3">
      <c r="A113" s="96">
        <v>110</v>
      </c>
      <c r="B113" s="29" t="s">
        <v>257</v>
      </c>
      <c r="C113" s="28" t="s">
        <v>258</v>
      </c>
      <c r="D113" s="54">
        <v>4</v>
      </c>
      <c r="E113" s="30">
        <v>598929955.62</v>
      </c>
      <c r="F113" s="30">
        <v>2795006.41</v>
      </c>
      <c r="G113" s="30">
        <v>0</v>
      </c>
      <c r="H113" s="91">
        <f t="shared" si="12"/>
        <v>601724962.02999997</v>
      </c>
      <c r="I113" s="91">
        <v>0</v>
      </c>
      <c r="J113" s="91">
        <v>0</v>
      </c>
      <c r="K113" s="30">
        <v>104230918</v>
      </c>
      <c r="L113" s="28"/>
      <c r="M113" s="28"/>
      <c r="N113" s="30">
        <f t="shared" si="13"/>
        <v>104230918</v>
      </c>
      <c r="O113" s="30">
        <v>0</v>
      </c>
      <c r="P113" s="30">
        <v>0</v>
      </c>
      <c r="Q113" s="30">
        <v>0</v>
      </c>
      <c r="R113" s="30">
        <f t="shared" si="22"/>
        <v>0</v>
      </c>
      <c r="S113" s="30">
        <v>0</v>
      </c>
      <c r="T113" s="30">
        <v>0</v>
      </c>
      <c r="U113" s="106">
        <f t="shared" si="18"/>
        <v>494699037.62</v>
      </c>
      <c r="V113" s="105">
        <f t="shared" si="14"/>
        <v>2795006.41</v>
      </c>
      <c r="W113" s="106">
        <f t="shared" si="15"/>
        <v>0</v>
      </c>
      <c r="X113" s="106">
        <f t="shared" si="16"/>
        <v>497494044.03000003</v>
      </c>
      <c r="Y113" s="106" t="s">
        <v>30</v>
      </c>
      <c r="Z113" s="28">
        <v>1</v>
      </c>
      <c r="AA113" s="29" t="s">
        <v>411</v>
      </c>
      <c r="AB113" s="29" t="s">
        <v>414</v>
      </c>
      <c r="AC113" s="29" t="s">
        <v>416</v>
      </c>
      <c r="AD113" s="113" t="s">
        <v>435</v>
      </c>
      <c r="AE113" s="132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138">
        <v>24734951.881000001</v>
      </c>
      <c r="AR113" s="142">
        <f t="shared" si="17"/>
        <v>24734951.881000001</v>
      </c>
      <c r="AT113" s="143"/>
    </row>
    <row r="114" spans="1:46" x14ac:dyDescent="0.3">
      <c r="A114" s="96">
        <v>111</v>
      </c>
      <c r="B114" s="29" t="s">
        <v>259</v>
      </c>
      <c r="C114" s="28" t="s">
        <v>260</v>
      </c>
      <c r="D114" s="54">
        <v>4</v>
      </c>
      <c r="E114" s="30">
        <v>104933119.59</v>
      </c>
      <c r="F114" s="30">
        <v>7728245.4099999992</v>
      </c>
      <c r="G114" s="30">
        <v>16274638.859999999</v>
      </c>
      <c r="H114" s="91">
        <f t="shared" si="12"/>
        <v>128936003.86</v>
      </c>
      <c r="I114" s="91">
        <v>22876130.59</v>
      </c>
      <c r="J114" s="91">
        <v>5794329.3200000003</v>
      </c>
      <c r="K114" s="30">
        <v>8052</v>
      </c>
      <c r="L114" s="28"/>
      <c r="M114" s="28"/>
      <c r="N114" s="30">
        <f t="shared" si="13"/>
        <v>8052</v>
      </c>
      <c r="O114" s="30">
        <f>104933119.59-8052</f>
        <v>104925067.59</v>
      </c>
      <c r="P114" s="30">
        <v>30604376</v>
      </c>
      <c r="Q114" s="30">
        <v>5000056.78</v>
      </c>
      <c r="R114" s="30">
        <f t="shared" si="22"/>
        <v>140529500.37</v>
      </c>
      <c r="S114" s="30">
        <v>0</v>
      </c>
      <c r="T114" s="30">
        <v>17068911.399999999</v>
      </c>
      <c r="U114" s="106">
        <f>E114-K114-O114</f>
        <v>0</v>
      </c>
      <c r="V114" s="105">
        <f t="shared" si="14"/>
        <v>0</v>
      </c>
      <c r="W114" s="106">
        <f t="shared" si="15"/>
        <v>0</v>
      </c>
      <c r="X114" s="106">
        <f t="shared" si="16"/>
        <v>0</v>
      </c>
      <c r="Y114" s="106">
        <v>0</v>
      </c>
      <c r="Z114" s="146">
        <v>104925068</v>
      </c>
      <c r="AA114" s="29" t="s">
        <v>408</v>
      </c>
      <c r="AB114" s="29" t="s">
        <v>412</v>
      </c>
      <c r="AC114" s="29" t="s">
        <v>417</v>
      </c>
      <c r="AD114" s="113" t="s">
        <v>434</v>
      </c>
      <c r="AE114" s="132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138">
        <v>0</v>
      </c>
      <c r="AR114" s="142">
        <f t="shared" si="17"/>
        <v>0</v>
      </c>
    </row>
    <row r="115" spans="1:46" x14ac:dyDescent="0.3">
      <c r="A115" s="96">
        <v>112</v>
      </c>
      <c r="B115" s="29" t="s">
        <v>261</v>
      </c>
      <c r="C115" s="28" t="s">
        <v>262</v>
      </c>
      <c r="D115" s="54">
        <v>4</v>
      </c>
      <c r="E115" s="30">
        <v>205946228.22999999</v>
      </c>
      <c r="F115" s="30">
        <v>26269766.030000001</v>
      </c>
      <c r="G115" s="30">
        <v>56906975.869999997</v>
      </c>
      <c r="H115" s="91">
        <f t="shared" si="12"/>
        <v>289122970.13</v>
      </c>
      <c r="I115" s="91">
        <v>0</v>
      </c>
      <c r="J115" s="91">
        <v>0</v>
      </c>
      <c r="K115" s="30">
        <v>0</v>
      </c>
      <c r="L115" s="28"/>
      <c r="M115" s="28"/>
      <c r="N115" s="30">
        <f t="shared" si="13"/>
        <v>0</v>
      </c>
      <c r="O115" s="30">
        <v>26700000</v>
      </c>
      <c r="P115" s="30">
        <v>0</v>
      </c>
      <c r="Q115" s="30">
        <v>0</v>
      </c>
      <c r="R115" s="30">
        <f t="shared" si="22"/>
        <v>26700000</v>
      </c>
      <c r="S115" s="30">
        <v>0</v>
      </c>
      <c r="T115" s="30">
        <v>0</v>
      </c>
      <c r="U115" s="106">
        <f t="shared" si="18"/>
        <v>179246228.22999999</v>
      </c>
      <c r="V115" s="105">
        <f t="shared" si="14"/>
        <v>26269766.030000001</v>
      </c>
      <c r="W115" s="106">
        <f t="shared" si="15"/>
        <v>56906975.869999997</v>
      </c>
      <c r="X115" s="106">
        <f t="shared" si="16"/>
        <v>262422970.13</v>
      </c>
      <c r="Y115" s="106">
        <v>231000000</v>
      </c>
      <c r="Z115" s="146">
        <v>205946228</v>
      </c>
      <c r="AA115" s="29" t="s">
        <v>408</v>
      </c>
      <c r="AB115" s="29" t="s">
        <v>412</v>
      </c>
      <c r="AC115" s="29" t="s">
        <v>416</v>
      </c>
      <c r="AD115" s="113" t="s">
        <v>434</v>
      </c>
      <c r="AE115" s="132"/>
      <c r="AF115" s="30"/>
      <c r="AG115" s="30"/>
      <c r="AH115" s="106">
        <v>231000000</v>
      </c>
      <c r="AI115" s="30"/>
      <c r="AJ115" s="30"/>
      <c r="AK115" s="30"/>
      <c r="AL115" s="30"/>
      <c r="AM115" s="30"/>
      <c r="AN115" s="30"/>
      <c r="AO115" s="30"/>
      <c r="AP115" s="30"/>
      <c r="AQ115" s="138"/>
      <c r="AR115" s="142">
        <f t="shared" si="17"/>
        <v>231000000</v>
      </c>
      <c r="AT115" s="143"/>
    </row>
    <row r="116" spans="1:46" x14ac:dyDescent="0.3">
      <c r="A116" s="96">
        <v>113</v>
      </c>
      <c r="B116" s="29" t="s">
        <v>263</v>
      </c>
      <c r="C116" s="28" t="s">
        <v>264</v>
      </c>
      <c r="D116" s="54">
        <v>4</v>
      </c>
      <c r="E116" s="30">
        <v>83767665.560000002</v>
      </c>
      <c r="F116" s="30">
        <v>5502112.75</v>
      </c>
      <c r="G116" s="30">
        <v>25866462.91</v>
      </c>
      <c r="H116" s="91">
        <f t="shared" si="12"/>
        <v>115136241.22</v>
      </c>
      <c r="I116" s="91">
        <v>9154199.25</v>
      </c>
      <c r="J116" s="91">
        <v>9101665.9000000004</v>
      </c>
      <c r="K116" s="30">
        <v>8052</v>
      </c>
      <c r="L116" s="28"/>
      <c r="M116" s="28"/>
      <c r="N116" s="30">
        <f t="shared" si="13"/>
        <v>8052</v>
      </c>
      <c r="O116" s="30">
        <f>83767665.56-8052</f>
        <v>83759613.560000002</v>
      </c>
      <c r="P116" s="30">
        <v>14656312</v>
      </c>
      <c r="Q116" s="30">
        <v>8742032.1999999993</v>
      </c>
      <c r="R116" s="30">
        <f t="shared" si="22"/>
        <v>107157957.76000001</v>
      </c>
      <c r="S116" s="30">
        <v>0</v>
      </c>
      <c r="T116" s="30">
        <v>26226096.609999999</v>
      </c>
      <c r="U116" s="106">
        <f t="shared" si="18"/>
        <v>0</v>
      </c>
      <c r="V116" s="105">
        <f t="shared" si="14"/>
        <v>0</v>
      </c>
      <c r="W116" s="106">
        <f t="shared" si="15"/>
        <v>0</v>
      </c>
      <c r="X116" s="106">
        <f t="shared" si="16"/>
        <v>0</v>
      </c>
      <c r="Y116" s="106">
        <v>0</v>
      </c>
      <c r="Z116" s="146">
        <v>83759614</v>
      </c>
      <c r="AA116" s="29" t="s">
        <v>408</v>
      </c>
      <c r="AB116" s="29" t="s">
        <v>412</v>
      </c>
      <c r="AC116" s="29" t="s">
        <v>417</v>
      </c>
      <c r="AD116" s="113" t="s">
        <v>434</v>
      </c>
      <c r="AE116" s="132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138">
        <v>0</v>
      </c>
      <c r="AR116" s="142">
        <f t="shared" si="17"/>
        <v>0</v>
      </c>
    </row>
    <row r="117" spans="1:46" x14ac:dyDescent="0.3">
      <c r="A117" s="96">
        <v>114</v>
      </c>
      <c r="B117" s="29" t="s">
        <v>265</v>
      </c>
      <c r="C117" s="28" t="s">
        <v>266</v>
      </c>
      <c r="D117" s="54">
        <v>4</v>
      </c>
      <c r="E117" s="30">
        <v>202742131.40000001</v>
      </c>
      <c r="F117" s="30">
        <v>24033189.899999999</v>
      </c>
      <c r="G117" s="30">
        <v>15456497.07</v>
      </c>
      <c r="H117" s="91">
        <f t="shared" si="12"/>
        <v>242231818.37</v>
      </c>
      <c r="I117" s="91">
        <v>0</v>
      </c>
      <c r="J117" s="91">
        <v>81.630000000819507</v>
      </c>
      <c r="K117" s="30">
        <v>0</v>
      </c>
      <c r="L117" s="28"/>
      <c r="M117" s="28"/>
      <c r="N117" s="30">
        <f t="shared" si="13"/>
        <v>0</v>
      </c>
      <c r="O117" s="30">
        <v>202742131.40000001</v>
      </c>
      <c r="P117" s="30">
        <v>24033189.899999999</v>
      </c>
      <c r="Q117" s="30">
        <v>15456578.700000001</v>
      </c>
      <c r="R117" s="30">
        <f t="shared" si="22"/>
        <v>242231900</v>
      </c>
      <c r="S117" s="30">
        <v>0</v>
      </c>
      <c r="T117" s="30">
        <v>0</v>
      </c>
      <c r="U117" s="106">
        <f t="shared" si="18"/>
        <v>0</v>
      </c>
      <c r="V117" s="105">
        <f t="shared" si="14"/>
        <v>0</v>
      </c>
      <c r="W117" s="106">
        <f t="shared" si="15"/>
        <v>0</v>
      </c>
      <c r="X117" s="106">
        <f t="shared" si="16"/>
        <v>0</v>
      </c>
      <c r="Y117" s="106">
        <v>0</v>
      </c>
      <c r="Z117" s="146">
        <v>202742131</v>
      </c>
      <c r="AA117" s="29" t="s">
        <v>408</v>
      </c>
      <c r="AB117" s="29" t="s">
        <v>412</v>
      </c>
      <c r="AC117" s="29" t="s">
        <v>417</v>
      </c>
      <c r="AD117" s="113" t="s">
        <v>434</v>
      </c>
      <c r="AE117" s="132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138">
        <v>0</v>
      </c>
      <c r="AR117" s="142">
        <f t="shared" si="17"/>
        <v>0</v>
      </c>
    </row>
    <row r="118" spans="1:46" x14ac:dyDescent="0.3">
      <c r="A118" s="96">
        <v>115</v>
      </c>
      <c r="B118" s="29" t="s">
        <v>267</v>
      </c>
      <c r="C118" s="28" t="s">
        <v>268</v>
      </c>
      <c r="D118" s="54">
        <v>4</v>
      </c>
      <c r="E118" s="30">
        <v>2507662332.0700002</v>
      </c>
      <c r="F118" s="30">
        <v>200881715.97</v>
      </c>
      <c r="G118" s="30">
        <v>83136917.290000007</v>
      </c>
      <c r="H118" s="91">
        <f t="shared" si="12"/>
        <v>2791680965.3299999</v>
      </c>
      <c r="I118" s="91">
        <v>0</v>
      </c>
      <c r="J118" s="91">
        <v>0</v>
      </c>
      <c r="K118" s="30">
        <v>8052</v>
      </c>
      <c r="L118" s="28"/>
      <c r="M118" s="28"/>
      <c r="N118" s="30">
        <f t="shared" si="13"/>
        <v>8052</v>
      </c>
      <c r="O118" s="30">
        <v>133490000.00000001</v>
      </c>
      <c r="P118" s="30">
        <v>0</v>
      </c>
      <c r="Q118" s="30">
        <v>0</v>
      </c>
      <c r="R118" s="30">
        <f t="shared" si="22"/>
        <v>133490000.00000001</v>
      </c>
      <c r="S118" s="30">
        <v>0</v>
      </c>
      <c r="T118" s="30">
        <v>0</v>
      </c>
      <c r="U118" s="106">
        <f t="shared" si="18"/>
        <v>2374164280.0700002</v>
      </c>
      <c r="V118" s="105">
        <f t="shared" si="14"/>
        <v>200881715.97</v>
      </c>
      <c r="W118" s="106">
        <f t="shared" si="15"/>
        <v>83136917.290000007</v>
      </c>
      <c r="X118" s="106">
        <f t="shared" si="16"/>
        <v>2658182913.3299999</v>
      </c>
      <c r="Y118" s="106">
        <v>3154000000</v>
      </c>
      <c r="Z118" s="146">
        <v>2507654280</v>
      </c>
      <c r="AA118" s="29" t="s">
        <v>408</v>
      </c>
      <c r="AB118" s="29" t="s">
        <v>412</v>
      </c>
      <c r="AC118" s="29" t="s">
        <v>416</v>
      </c>
      <c r="AD118" s="113" t="s">
        <v>434</v>
      </c>
      <c r="AE118" s="132"/>
      <c r="AF118" s="30"/>
      <c r="AG118" s="30"/>
      <c r="AH118" s="30"/>
      <c r="AI118" s="30"/>
      <c r="AJ118" s="106">
        <v>2658182913.3299999</v>
      </c>
      <c r="AK118" s="30"/>
      <c r="AL118" s="30"/>
      <c r="AM118" s="30"/>
      <c r="AN118" s="30"/>
      <c r="AO118" s="30"/>
      <c r="AP118" s="30"/>
      <c r="AQ118" s="138"/>
      <c r="AR118" s="142">
        <f t="shared" si="17"/>
        <v>2658182913.3299999</v>
      </c>
    </row>
    <row r="119" spans="1:46" x14ac:dyDescent="0.3">
      <c r="A119" s="96">
        <v>116</v>
      </c>
      <c r="B119" s="29" t="s">
        <v>269</v>
      </c>
      <c r="C119" s="28" t="s">
        <v>197</v>
      </c>
      <c r="D119" s="54">
        <v>4</v>
      </c>
      <c r="E119" s="30">
        <v>1675959696.26</v>
      </c>
      <c r="F119" s="30">
        <v>193280884.93000001</v>
      </c>
      <c r="G119" s="30">
        <v>58178865.689999998</v>
      </c>
      <c r="H119" s="91">
        <f t="shared" si="12"/>
        <v>1927419446.8800001</v>
      </c>
      <c r="I119" s="91">
        <v>0</v>
      </c>
      <c r="J119" s="91">
        <v>0</v>
      </c>
      <c r="K119" s="30">
        <v>0</v>
      </c>
      <c r="L119" s="28"/>
      <c r="M119" s="28"/>
      <c r="N119" s="30">
        <f t="shared" si="13"/>
        <v>0</v>
      </c>
      <c r="O119" s="30">
        <v>0</v>
      </c>
      <c r="P119" s="30">
        <v>0</v>
      </c>
      <c r="Q119" s="30">
        <v>0</v>
      </c>
      <c r="R119" s="30">
        <f t="shared" si="22"/>
        <v>0</v>
      </c>
      <c r="S119" s="30">
        <v>0</v>
      </c>
      <c r="T119" s="30">
        <v>0</v>
      </c>
      <c r="U119" s="106">
        <f t="shared" si="18"/>
        <v>1675959696.26</v>
      </c>
      <c r="V119" s="105">
        <f t="shared" si="14"/>
        <v>193280884.93000001</v>
      </c>
      <c r="W119" s="106">
        <f t="shared" si="15"/>
        <v>58178865.689999998</v>
      </c>
      <c r="X119" s="106">
        <f t="shared" si="16"/>
        <v>1927419446.8800001</v>
      </c>
      <c r="Y119" s="106">
        <v>1722000000</v>
      </c>
      <c r="Z119" s="146">
        <v>1722000000</v>
      </c>
      <c r="AA119" s="29" t="s">
        <v>410</v>
      </c>
      <c r="AB119" s="29" t="s">
        <v>412</v>
      </c>
      <c r="AC119" s="29" t="s">
        <v>416</v>
      </c>
      <c r="AD119" s="113" t="s">
        <v>436</v>
      </c>
      <c r="AE119" s="132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138">
        <v>335191939.25200003</v>
      </c>
      <c r="AR119" s="142">
        <f t="shared" si="17"/>
        <v>335191939.25200003</v>
      </c>
      <c r="AT119" s="143"/>
    </row>
    <row r="120" spans="1:46" x14ac:dyDescent="0.3">
      <c r="A120" s="96">
        <v>117</v>
      </c>
      <c r="B120" s="29" t="s">
        <v>270</v>
      </c>
      <c r="C120" s="28" t="s">
        <v>271</v>
      </c>
      <c r="D120" s="54">
        <v>4</v>
      </c>
      <c r="E120" s="30">
        <v>341584872.85000002</v>
      </c>
      <c r="F120" s="30">
        <v>28184994.800000001</v>
      </c>
      <c r="G120" s="30">
        <v>10506842.41</v>
      </c>
      <c r="H120" s="91">
        <f t="shared" si="12"/>
        <v>380276710.06000006</v>
      </c>
      <c r="I120" s="91">
        <v>0</v>
      </c>
      <c r="J120" s="91">
        <v>0</v>
      </c>
      <c r="K120" s="30">
        <v>0</v>
      </c>
      <c r="L120" s="28"/>
      <c r="M120" s="28"/>
      <c r="N120" s="30">
        <f t="shared" si="13"/>
        <v>0</v>
      </c>
      <c r="O120" s="30">
        <v>0</v>
      </c>
      <c r="P120" s="30">
        <v>0</v>
      </c>
      <c r="Q120" s="30">
        <v>0</v>
      </c>
      <c r="R120" s="30">
        <f t="shared" si="22"/>
        <v>0</v>
      </c>
      <c r="S120" s="30">
        <v>0</v>
      </c>
      <c r="T120" s="30">
        <v>0</v>
      </c>
      <c r="U120" s="106">
        <f t="shared" si="18"/>
        <v>341584872.85000002</v>
      </c>
      <c r="V120" s="105">
        <f t="shared" si="14"/>
        <v>28184994.800000001</v>
      </c>
      <c r="W120" s="106">
        <f t="shared" si="15"/>
        <v>10506842.41</v>
      </c>
      <c r="X120" s="106">
        <f t="shared" si="16"/>
        <v>380276710.06000006</v>
      </c>
      <c r="Y120" s="106">
        <v>0</v>
      </c>
      <c r="Z120" s="146">
        <v>341584873</v>
      </c>
      <c r="AA120" s="29" t="s">
        <v>408</v>
      </c>
      <c r="AB120" s="29" t="s">
        <v>412</v>
      </c>
      <c r="AC120" s="29" t="s">
        <v>416</v>
      </c>
      <c r="AD120" s="113" t="s">
        <v>436</v>
      </c>
      <c r="AE120" s="132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138">
        <v>68316974.570000008</v>
      </c>
      <c r="AR120" s="142">
        <f t="shared" si="17"/>
        <v>68316974.570000008</v>
      </c>
      <c r="AT120" s="143"/>
    </row>
    <row r="121" spans="1:46" x14ac:dyDescent="0.3">
      <c r="A121" s="96">
        <v>118</v>
      </c>
      <c r="B121" s="29" t="s">
        <v>272</v>
      </c>
      <c r="C121" s="28" t="s">
        <v>273</v>
      </c>
      <c r="D121" s="54">
        <v>4</v>
      </c>
      <c r="E121" s="30">
        <v>745739661.72000003</v>
      </c>
      <c r="F121" s="30">
        <v>91545808.819999993</v>
      </c>
      <c r="G121" s="30">
        <v>24281073.270000003</v>
      </c>
      <c r="H121" s="91">
        <f t="shared" si="12"/>
        <v>861566543.80999994</v>
      </c>
      <c r="I121" s="91">
        <v>0</v>
      </c>
      <c r="J121" s="91">
        <v>0</v>
      </c>
      <c r="K121" s="30">
        <v>7082</v>
      </c>
      <c r="L121" s="28"/>
      <c r="M121" s="28"/>
      <c r="N121" s="30">
        <f t="shared" si="13"/>
        <v>7082</v>
      </c>
      <c r="O121" s="30">
        <v>562385988</v>
      </c>
      <c r="P121" s="30">
        <v>0</v>
      </c>
      <c r="Q121" s="30">
        <v>0</v>
      </c>
      <c r="R121" s="30">
        <f t="shared" si="22"/>
        <v>562385988</v>
      </c>
      <c r="S121" s="30">
        <v>0</v>
      </c>
      <c r="T121" s="30">
        <v>0</v>
      </c>
      <c r="U121" s="106">
        <f t="shared" si="18"/>
        <v>183346591.72000003</v>
      </c>
      <c r="V121" s="105">
        <f t="shared" si="14"/>
        <v>91545808.819999993</v>
      </c>
      <c r="W121" s="106">
        <f t="shared" si="15"/>
        <v>24281073.270000003</v>
      </c>
      <c r="X121" s="106">
        <f t="shared" si="16"/>
        <v>299173473.81</v>
      </c>
      <c r="Y121" s="106">
        <v>396000000</v>
      </c>
      <c r="Z121" s="146">
        <v>396000000</v>
      </c>
      <c r="AA121" s="29" t="s">
        <v>408</v>
      </c>
      <c r="AB121" s="29" t="s">
        <v>412</v>
      </c>
      <c r="AC121" s="29" t="s">
        <v>416</v>
      </c>
      <c r="AD121" s="113" t="s">
        <v>434</v>
      </c>
      <c r="AE121" s="132"/>
      <c r="AF121" s="30"/>
      <c r="AG121" s="30"/>
      <c r="AH121" s="30"/>
      <c r="AI121" s="30"/>
      <c r="AJ121" s="30"/>
      <c r="AK121" s="30">
        <v>299173473.81</v>
      </c>
      <c r="AL121" s="30"/>
      <c r="AM121" s="30"/>
      <c r="AN121" s="30"/>
      <c r="AO121" s="30"/>
      <c r="AP121" s="30"/>
      <c r="AQ121" s="138"/>
      <c r="AR121" s="142">
        <f t="shared" si="17"/>
        <v>299173473.81</v>
      </c>
    </row>
    <row r="122" spans="1:46" x14ac:dyDescent="0.3">
      <c r="A122" s="96">
        <v>119</v>
      </c>
      <c r="B122" s="29" t="s">
        <v>274</v>
      </c>
      <c r="C122" s="28" t="s">
        <v>275</v>
      </c>
      <c r="D122" s="54">
        <v>4</v>
      </c>
      <c r="E122" s="30">
        <v>1074953168.0699999</v>
      </c>
      <c r="F122" s="30">
        <v>108607175.68000001</v>
      </c>
      <c r="G122" s="30">
        <v>36449304.82</v>
      </c>
      <c r="H122" s="91">
        <f t="shared" si="12"/>
        <v>1220009648.5699999</v>
      </c>
      <c r="I122" s="91">
        <v>0</v>
      </c>
      <c r="J122" s="91">
        <v>0</v>
      </c>
      <c r="K122" s="30">
        <v>0</v>
      </c>
      <c r="L122" s="28"/>
      <c r="M122" s="28"/>
      <c r="N122" s="30">
        <f t="shared" si="13"/>
        <v>0</v>
      </c>
      <c r="O122" s="30">
        <v>5000000</v>
      </c>
      <c r="P122" s="30">
        <v>0</v>
      </c>
      <c r="Q122" s="30">
        <v>0</v>
      </c>
      <c r="R122" s="30">
        <f t="shared" si="22"/>
        <v>5000000</v>
      </c>
      <c r="S122" s="30">
        <v>0</v>
      </c>
      <c r="T122" s="30">
        <v>0</v>
      </c>
      <c r="U122" s="106">
        <f t="shared" si="18"/>
        <v>1069953168.0699999</v>
      </c>
      <c r="V122" s="105">
        <f t="shared" si="14"/>
        <v>108607175.68000001</v>
      </c>
      <c r="W122" s="106">
        <f t="shared" si="15"/>
        <v>36449304.82</v>
      </c>
      <c r="X122" s="106">
        <f t="shared" si="16"/>
        <v>1215009648.5699999</v>
      </c>
      <c r="Y122" s="106">
        <v>834000000</v>
      </c>
      <c r="Z122" s="146">
        <v>839000000</v>
      </c>
      <c r="AA122" s="29" t="s">
        <v>408</v>
      </c>
      <c r="AB122" s="29" t="s">
        <v>412</v>
      </c>
      <c r="AC122" s="29" t="s">
        <v>416</v>
      </c>
      <c r="AD122" s="113" t="s">
        <v>436</v>
      </c>
      <c r="AE122" s="132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138">
        <v>213990633.61399999</v>
      </c>
      <c r="AR122" s="142">
        <f t="shared" si="17"/>
        <v>213990633.61399999</v>
      </c>
      <c r="AT122" s="143"/>
    </row>
    <row r="123" spans="1:46" s="131" customFormat="1" x14ac:dyDescent="0.3">
      <c r="A123" s="122">
        <v>120</v>
      </c>
      <c r="B123" s="129" t="s">
        <v>276</v>
      </c>
      <c r="C123" s="211" t="s">
        <v>277</v>
      </c>
      <c r="D123" s="123">
        <v>4</v>
      </c>
      <c r="E123" s="126">
        <v>448372727</v>
      </c>
      <c r="F123" s="126">
        <v>59142236</v>
      </c>
      <c r="G123" s="126">
        <v>11821159</v>
      </c>
      <c r="H123" s="125">
        <f t="shared" si="12"/>
        <v>519336122</v>
      </c>
      <c r="I123" s="125">
        <v>26462017</v>
      </c>
      <c r="J123" s="125">
        <v>9120227</v>
      </c>
      <c r="K123" s="126">
        <v>6101</v>
      </c>
      <c r="L123" s="28"/>
      <c r="M123" s="28"/>
      <c r="N123" s="30">
        <f t="shared" si="13"/>
        <v>6101</v>
      </c>
      <c r="O123" s="126">
        <f>448372727-6101</f>
        <v>448366626</v>
      </c>
      <c r="P123" s="126">
        <v>85604253</v>
      </c>
      <c r="Q123" s="126">
        <v>20941386</v>
      </c>
      <c r="R123" s="126">
        <f t="shared" si="22"/>
        <v>554912265</v>
      </c>
      <c r="S123" s="126">
        <v>0</v>
      </c>
      <c r="T123" s="126">
        <v>0</v>
      </c>
      <c r="U123" s="127">
        <f>E123-K123-O123</f>
        <v>0</v>
      </c>
      <c r="V123" s="128">
        <f t="shared" si="14"/>
        <v>0</v>
      </c>
      <c r="W123" s="127">
        <f t="shared" si="15"/>
        <v>0</v>
      </c>
      <c r="X123" s="127">
        <f t="shared" si="16"/>
        <v>0</v>
      </c>
      <c r="Y123" s="127">
        <v>0</v>
      </c>
      <c r="Z123" s="212">
        <v>448366626</v>
      </c>
      <c r="AA123" s="129" t="s">
        <v>408</v>
      </c>
      <c r="AB123" s="129" t="s">
        <v>412</v>
      </c>
      <c r="AC123" s="129" t="s">
        <v>417</v>
      </c>
      <c r="AD123" s="130" t="s">
        <v>434</v>
      </c>
      <c r="AE123" s="134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39">
        <v>0</v>
      </c>
      <c r="AR123" s="210">
        <f t="shared" si="17"/>
        <v>0</v>
      </c>
    </row>
    <row r="124" spans="1:46" x14ac:dyDescent="0.3">
      <c r="A124" s="96">
        <v>121</v>
      </c>
      <c r="B124" s="29" t="s">
        <v>278</v>
      </c>
      <c r="C124" s="28" t="s">
        <v>279</v>
      </c>
      <c r="D124" s="54">
        <v>4</v>
      </c>
      <c r="E124" s="30">
        <v>1997437530.6099999</v>
      </c>
      <c r="F124" s="30">
        <v>258040752.62</v>
      </c>
      <c r="G124" s="30">
        <v>36914370.170000002</v>
      </c>
      <c r="H124" s="91">
        <f t="shared" si="12"/>
        <v>2292392653.4000001</v>
      </c>
      <c r="I124" s="91">
        <v>0</v>
      </c>
      <c r="J124" s="91">
        <v>0</v>
      </c>
      <c r="K124" s="30">
        <v>9023</v>
      </c>
      <c r="L124" s="28"/>
      <c r="M124" s="28"/>
      <c r="N124" s="30">
        <f t="shared" si="13"/>
        <v>9023</v>
      </c>
      <c r="O124" s="30">
        <v>0</v>
      </c>
      <c r="P124" s="30">
        <v>0</v>
      </c>
      <c r="Q124" s="30">
        <v>0</v>
      </c>
      <c r="R124" s="30">
        <f t="shared" si="22"/>
        <v>0</v>
      </c>
      <c r="S124" s="30">
        <v>0</v>
      </c>
      <c r="T124" s="30">
        <v>0</v>
      </c>
      <c r="U124" s="106">
        <f t="shared" si="18"/>
        <v>1997428507.6099999</v>
      </c>
      <c r="V124" s="105">
        <f t="shared" si="14"/>
        <v>258040752.62</v>
      </c>
      <c r="W124" s="106">
        <f t="shared" si="15"/>
        <v>36914370.170000002</v>
      </c>
      <c r="X124" s="106">
        <f t="shared" si="16"/>
        <v>2292383630.4000001</v>
      </c>
      <c r="Y124" s="106">
        <v>1206000000</v>
      </c>
      <c r="Z124" s="146">
        <v>1206000000</v>
      </c>
      <c r="AA124" s="29" t="s">
        <v>408</v>
      </c>
      <c r="AB124" s="29" t="s">
        <v>412</v>
      </c>
      <c r="AC124" s="29" t="s">
        <v>416</v>
      </c>
      <c r="AD124" s="113" t="s">
        <v>434</v>
      </c>
      <c r="AE124" s="132"/>
      <c r="AF124" s="30"/>
      <c r="AG124" s="30"/>
      <c r="AH124" s="30"/>
      <c r="AI124" s="30"/>
      <c r="AJ124" s="30"/>
      <c r="AK124" s="30"/>
      <c r="AL124" s="106">
        <v>1206000000</v>
      </c>
      <c r="AM124" s="30"/>
      <c r="AN124" s="30"/>
      <c r="AO124" s="30"/>
      <c r="AP124" s="30"/>
      <c r="AQ124" s="138"/>
      <c r="AR124" s="142">
        <f t="shared" si="17"/>
        <v>1206000000</v>
      </c>
    </row>
    <row r="125" spans="1:46" x14ac:dyDescent="0.3">
      <c r="A125" s="96">
        <v>122</v>
      </c>
      <c r="B125" s="29" t="s">
        <v>280</v>
      </c>
      <c r="C125" s="28" t="s">
        <v>275</v>
      </c>
      <c r="D125" s="54">
        <v>4</v>
      </c>
      <c r="E125" s="30">
        <v>124358028.89</v>
      </c>
      <c r="F125" s="30">
        <v>11902164.34</v>
      </c>
      <c r="G125" s="30">
        <v>2507935.19</v>
      </c>
      <c r="H125" s="91">
        <f t="shared" si="12"/>
        <v>138768128.41999999</v>
      </c>
      <c r="I125" s="91">
        <v>0</v>
      </c>
      <c r="J125" s="91">
        <v>0</v>
      </c>
      <c r="K125" s="30">
        <v>0</v>
      </c>
      <c r="L125" s="28"/>
      <c r="M125" s="28"/>
      <c r="N125" s="30">
        <f t="shared" si="13"/>
        <v>0</v>
      </c>
      <c r="O125" s="30">
        <v>0</v>
      </c>
      <c r="P125" s="30">
        <v>0</v>
      </c>
      <c r="Q125" s="30">
        <v>0</v>
      </c>
      <c r="R125" s="30">
        <f t="shared" si="22"/>
        <v>0</v>
      </c>
      <c r="S125" s="30">
        <v>0</v>
      </c>
      <c r="T125" s="30">
        <v>0</v>
      </c>
      <c r="U125" s="106">
        <f t="shared" si="18"/>
        <v>124358028.89</v>
      </c>
      <c r="V125" s="105">
        <f t="shared" si="14"/>
        <v>11902164.34</v>
      </c>
      <c r="W125" s="106">
        <f t="shared" si="15"/>
        <v>2507935.19</v>
      </c>
      <c r="X125" s="106">
        <f t="shared" si="16"/>
        <v>138768128.41999999</v>
      </c>
      <c r="Y125" s="106">
        <v>0</v>
      </c>
      <c r="Z125" s="28">
        <v>1</v>
      </c>
      <c r="AA125" s="29" t="s">
        <v>408</v>
      </c>
      <c r="AB125" s="29" t="s">
        <v>414</v>
      </c>
      <c r="AC125" s="29" t="s">
        <v>416</v>
      </c>
      <c r="AD125" s="113" t="s">
        <v>436</v>
      </c>
      <c r="AE125" s="132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138">
        <v>6217901.4445000002</v>
      </c>
      <c r="AR125" s="142">
        <f t="shared" si="17"/>
        <v>6217901.4445000002</v>
      </c>
      <c r="AT125" s="143"/>
    </row>
    <row r="126" spans="1:46" x14ac:dyDescent="0.3">
      <c r="A126" s="96">
        <v>123</v>
      </c>
      <c r="B126" s="29" t="s">
        <v>281</v>
      </c>
      <c r="C126" s="28" t="s">
        <v>282</v>
      </c>
      <c r="D126" s="54">
        <v>4</v>
      </c>
      <c r="E126" s="30">
        <v>140839282.12</v>
      </c>
      <c r="F126" s="30">
        <v>16917898.149999999</v>
      </c>
      <c r="G126" s="30">
        <v>20655934.109999999</v>
      </c>
      <c r="H126" s="91">
        <f t="shared" si="12"/>
        <v>178413114.38</v>
      </c>
      <c r="I126" s="91">
        <v>0</v>
      </c>
      <c r="J126" s="91">
        <v>0</v>
      </c>
      <c r="K126" s="30">
        <v>0</v>
      </c>
      <c r="L126" s="28"/>
      <c r="M126" s="28"/>
      <c r="N126" s="30">
        <f t="shared" si="13"/>
        <v>0</v>
      </c>
      <c r="O126" s="30">
        <v>1500000</v>
      </c>
      <c r="P126" s="30">
        <v>0</v>
      </c>
      <c r="Q126" s="30">
        <v>0</v>
      </c>
      <c r="R126" s="30">
        <f t="shared" si="22"/>
        <v>1500000</v>
      </c>
      <c r="S126" s="30">
        <v>0</v>
      </c>
      <c r="T126" s="30">
        <v>0</v>
      </c>
      <c r="U126" s="106">
        <f t="shared" si="18"/>
        <v>139339282.12</v>
      </c>
      <c r="V126" s="105">
        <f t="shared" si="14"/>
        <v>16917898.149999999</v>
      </c>
      <c r="W126" s="106">
        <f t="shared" si="15"/>
        <v>20655934.109999999</v>
      </c>
      <c r="X126" s="106">
        <f t="shared" si="16"/>
        <v>176913114.38</v>
      </c>
      <c r="Y126" s="106">
        <v>149000000</v>
      </c>
      <c r="Z126" s="146">
        <v>140839282</v>
      </c>
      <c r="AA126" s="29" t="s">
        <v>408</v>
      </c>
      <c r="AB126" s="29" t="s">
        <v>412</v>
      </c>
      <c r="AC126" s="29" t="s">
        <v>416</v>
      </c>
      <c r="AD126" s="113" t="s">
        <v>436</v>
      </c>
      <c r="AE126" s="132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138">
        <v>27867856.424000002</v>
      </c>
      <c r="AR126" s="142">
        <f t="shared" si="17"/>
        <v>27867856.424000002</v>
      </c>
      <c r="AT126" s="143"/>
    </row>
    <row r="127" spans="1:46" x14ac:dyDescent="0.3">
      <c r="A127" s="96">
        <v>124</v>
      </c>
      <c r="B127" s="29" t="s">
        <v>283</v>
      </c>
      <c r="C127" s="28" t="s">
        <v>284</v>
      </c>
      <c r="D127" s="54">
        <v>4</v>
      </c>
      <c r="E127" s="30">
        <v>148001636.47999999</v>
      </c>
      <c r="F127" s="30">
        <v>11798245</v>
      </c>
      <c r="G127" s="30">
        <v>74294143.600000009</v>
      </c>
      <c r="H127" s="91">
        <f t="shared" si="12"/>
        <v>234094025.07999998</v>
      </c>
      <c r="I127" s="91">
        <v>6467875</v>
      </c>
      <c r="J127" s="91">
        <v>143023211.97999999</v>
      </c>
      <c r="K127" s="30">
        <v>720522</v>
      </c>
      <c r="L127" s="28"/>
      <c r="M127" s="28"/>
      <c r="N127" s="30">
        <f t="shared" si="13"/>
        <v>720522</v>
      </c>
      <c r="O127" s="30">
        <v>147281114.47999999</v>
      </c>
      <c r="P127" s="30">
        <v>18266120</v>
      </c>
      <c r="Q127" s="30">
        <v>452765.79</v>
      </c>
      <c r="R127" s="30">
        <f t="shared" si="22"/>
        <v>166000000.26999998</v>
      </c>
      <c r="S127" s="30">
        <v>0</v>
      </c>
      <c r="T127" s="30">
        <v>216864589.78999999</v>
      </c>
      <c r="U127" s="106">
        <f t="shared" si="18"/>
        <v>0</v>
      </c>
      <c r="V127" s="105">
        <f t="shared" si="14"/>
        <v>0</v>
      </c>
      <c r="W127" s="106">
        <f t="shared" si="15"/>
        <v>0</v>
      </c>
      <c r="X127" s="106">
        <f t="shared" si="16"/>
        <v>0</v>
      </c>
      <c r="Y127" s="106">
        <v>392000000</v>
      </c>
      <c r="Z127" s="146">
        <v>147281114</v>
      </c>
      <c r="AA127" s="29" t="s">
        <v>408</v>
      </c>
      <c r="AB127" s="29" t="s">
        <v>412</v>
      </c>
      <c r="AC127" s="29" t="s">
        <v>417</v>
      </c>
      <c r="AD127" s="113" t="s">
        <v>434</v>
      </c>
      <c r="AE127" s="132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138">
        <v>0</v>
      </c>
      <c r="AR127" s="142">
        <f t="shared" si="17"/>
        <v>0</v>
      </c>
    </row>
    <row r="128" spans="1:46" x14ac:dyDescent="0.3">
      <c r="A128" s="96">
        <v>125</v>
      </c>
      <c r="B128" s="29" t="s">
        <v>285</v>
      </c>
      <c r="C128" s="28" t="s">
        <v>286</v>
      </c>
      <c r="D128" s="54">
        <v>4</v>
      </c>
      <c r="E128" s="30">
        <v>278400994.68000001</v>
      </c>
      <c r="F128" s="30">
        <v>16868962.799999997</v>
      </c>
      <c r="G128" s="30">
        <v>17545358.829999998</v>
      </c>
      <c r="H128" s="91">
        <f t="shared" si="12"/>
        <v>312815316.31</v>
      </c>
      <c r="I128" s="91">
        <v>7247326.2000000002</v>
      </c>
      <c r="J128" s="91">
        <v>6000</v>
      </c>
      <c r="K128" s="30">
        <v>0</v>
      </c>
      <c r="L128" s="28"/>
      <c r="M128" s="28"/>
      <c r="N128" s="30">
        <f t="shared" si="13"/>
        <v>0</v>
      </c>
      <c r="O128" s="30">
        <v>278400994.68000001</v>
      </c>
      <c r="P128" s="30">
        <v>16868963</v>
      </c>
      <c r="Q128" s="30">
        <v>17551358.829999998</v>
      </c>
      <c r="R128" s="30">
        <f t="shared" si="22"/>
        <v>312821316.50999999</v>
      </c>
      <c r="S128" s="30">
        <v>7247326</v>
      </c>
      <c r="T128" s="30">
        <v>0</v>
      </c>
      <c r="U128" s="106">
        <f t="shared" si="18"/>
        <v>0</v>
      </c>
      <c r="V128" s="105">
        <f t="shared" si="14"/>
        <v>0</v>
      </c>
      <c r="W128" s="106">
        <f t="shared" si="15"/>
        <v>0</v>
      </c>
      <c r="X128" s="106">
        <f t="shared" si="16"/>
        <v>0</v>
      </c>
      <c r="Y128" s="106">
        <v>0</v>
      </c>
      <c r="Z128" s="146">
        <v>278400995</v>
      </c>
      <c r="AA128" s="29" t="s">
        <v>408</v>
      </c>
      <c r="AB128" s="29" t="s">
        <v>412</v>
      </c>
      <c r="AC128" s="29" t="s">
        <v>417</v>
      </c>
      <c r="AD128" s="113" t="s">
        <v>434</v>
      </c>
      <c r="AE128" s="132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138">
        <v>0</v>
      </c>
      <c r="AR128" s="142">
        <f t="shared" si="17"/>
        <v>0</v>
      </c>
    </row>
    <row r="129" spans="1:46" x14ac:dyDescent="0.3">
      <c r="A129" s="96">
        <v>126</v>
      </c>
      <c r="B129" s="29" t="s">
        <v>287</v>
      </c>
      <c r="C129" s="28" t="s">
        <v>288</v>
      </c>
      <c r="D129" s="54">
        <v>4</v>
      </c>
      <c r="E129" s="30">
        <v>252713501.71000001</v>
      </c>
      <c r="F129" s="30">
        <v>108565531.72</v>
      </c>
      <c r="G129" s="30">
        <v>48590470.109999999</v>
      </c>
      <c r="H129" s="91">
        <f t="shared" si="12"/>
        <v>409869503.54000002</v>
      </c>
      <c r="I129" s="91">
        <v>0</v>
      </c>
      <c r="J129" s="91">
        <v>6000</v>
      </c>
      <c r="K129" s="30">
        <v>0</v>
      </c>
      <c r="L129" s="28"/>
      <c r="M129" s="28"/>
      <c r="N129" s="30">
        <f t="shared" si="13"/>
        <v>0</v>
      </c>
      <c r="O129" s="30">
        <v>252713501.71000001</v>
      </c>
      <c r="P129" s="30">
        <v>108565531.72</v>
      </c>
      <c r="Q129" s="30">
        <v>48596470.109999999</v>
      </c>
      <c r="R129" s="30">
        <f t="shared" si="22"/>
        <v>409875503.54000002</v>
      </c>
      <c r="S129" s="30">
        <v>0</v>
      </c>
      <c r="T129" s="30">
        <v>0</v>
      </c>
      <c r="U129" s="106">
        <f t="shared" si="18"/>
        <v>0</v>
      </c>
      <c r="V129" s="105">
        <f t="shared" si="14"/>
        <v>0</v>
      </c>
      <c r="W129" s="106">
        <f t="shared" si="15"/>
        <v>0</v>
      </c>
      <c r="X129" s="106">
        <f t="shared" si="16"/>
        <v>0</v>
      </c>
      <c r="Y129" s="106">
        <v>0</v>
      </c>
      <c r="Z129" s="146">
        <v>409875504</v>
      </c>
      <c r="AA129" s="29" t="s">
        <v>408</v>
      </c>
      <c r="AB129" s="29" t="s">
        <v>412</v>
      </c>
      <c r="AC129" s="29" t="s">
        <v>417</v>
      </c>
      <c r="AD129" s="113" t="s">
        <v>434</v>
      </c>
      <c r="AE129" s="132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138">
        <v>0</v>
      </c>
      <c r="AR129" s="142">
        <f t="shared" si="17"/>
        <v>0</v>
      </c>
    </row>
    <row r="130" spans="1:46" x14ac:dyDescent="0.3">
      <c r="A130" s="96">
        <v>127</v>
      </c>
      <c r="B130" s="29" t="s">
        <v>289</v>
      </c>
      <c r="C130" s="28" t="s">
        <v>290</v>
      </c>
      <c r="D130" s="54">
        <v>4</v>
      </c>
      <c r="E130" s="30">
        <v>1275577304.9100001</v>
      </c>
      <c r="F130" s="30">
        <v>38194080.170000002</v>
      </c>
      <c r="G130" s="30">
        <v>5271897.0199999996</v>
      </c>
      <c r="H130" s="91">
        <f t="shared" si="12"/>
        <v>1319043282.1000001</v>
      </c>
      <c r="I130" s="91">
        <v>0</v>
      </c>
      <c r="J130" s="91">
        <v>0</v>
      </c>
      <c r="K130" s="30">
        <v>0</v>
      </c>
      <c r="L130" s="28"/>
      <c r="M130" s="28"/>
      <c r="N130" s="30">
        <f t="shared" si="13"/>
        <v>0</v>
      </c>
      <c r="O130" s="30">
        <v>0</v>
      </c>
      <c r="P130" s="30">
        <v>0</v>
      </c>
      <c r="Q130" s="30">
        <v>0</v>
      </c>
      <c r="R130" s="30">
        <f t="shared" si="22"/>
        <v>0</v>
      </c>
      <c r="S130" s="30">
        <v>0</v>
      </c>
      <c r="T130" s="30">
        <v>0</v>
      </c>
      <c r="U130" s="106">
        <f t="shared" si="18"/>
        <v>1275577304.9100001</v>
      </c>
      <c r="V130" s="105">
        <f t="shared" si="14"/>
        <v>38194080.170000002</v>
      </c>
      <c r="W130" s="106">
        <f t="shared" si="15"/>
        <v>5271897.0199999996</v>
      </c>
      <c r="X130" s="106">
        <f t="shared" si="16"/>
        <v>1319043282.1000001</v>
      </c>
      <c r="Y130" s="106">
        <v>842000000</v>
      </c>
      <c r="Z130" s="146">
        <v>842000000</v>
      </c>
      <c r="AA130" s="29" t="s">
        <v>408</v>
      </c>
      <c r="AB130" s="29" t="s">
        <v>412</v>
      </c>
      <c r="AC130" s="29" t="s">
        <v>416</v>
      </c>
      <c r="AD130" s="113" t="s">
        <v>434</v>
      </c>
      <c r="AE130" s="132"/>
      <c r="AF130" s="30"/>
      <c r="AG130" s="30"/>
      <c r="AH130" s="30"/>
      <c r="AI130" s="30">
        <v>842000000</v>
      </c>
      <c r="AJ130" s="30"/>
      <c r="AK130" s="30"/>
      <c r="AL130" s="30"/>
      <c r="AM130" s="30"/>
      <c r="AN130" s="30"/>
      <c r="AO130" s="30"/>
      <c r="AP130" s="30"/>
      <c r="AQ130" s="138"/>
      <c r="AR130" s="142">
        <f t="shared" si="17"/>
        <v>842000000</v>
      </c>
    </row>
    <row r="131" spans="1:46" x14ac:dyDescent="0.3">
      <c r="A131" s="96">
        <v>128</v>
      </c>
      <c r="B131" s="29" t="s">
        <v>291</v>
      </c>
      <c r="C131" s="28" t="s">
        <v>292</v>
      </c>
      <c r="D131" s="54">
        <v>4</v>
      </c>
      <c r="E131" s="30">
        <v>1267551909.5599999</v>
      </c>
      <c r="F131" s="30">
        <v>22921629.280000001</v>
      </c>
      <c r="G131" s="30">
        <v>2941761.66</v>
      </c>
      <c r="H131" s="91">
        <f t="shared" si="12"/>
        <v>1293415300.5</v>
      </c>
      <c r="I131" s="91">
        <v>0</v>
      </c>
      <c r="J131" s="91">
        <v>0</v>
      </c>
      <c r="K131" s="30">
        <v>0</v>
      </c>
      <c r="L131" s="28"/>
      <c r="M131" s="28"/>
      <c r="N131" s="30">
        <f t="shared" si="13"/>
        <v>0</v>
      </c>
      <c r="O131" s="30">
        <v>0</v>
      </c>
      <c r="P131" s="30">
        <v>0</v>
      </c>
      <c r="Q131" s="30">
        <v>0</v>
      </c>
      <c r="R131" s="30">
        <f t="shared" si="22"/>
        <v>0</v>
      </c>
      <c r="S131" s="30">
        <v>0</v>
      </c>
      <c r="T131" s="30">
        <v>0</v>
      </c>
      <c r="U131" s="106">
        <f t="shared" si="18"/>
        <v>1267551909.5599999</v>
      </c>
      <c r="V131" s="105">
        <f t="shared" si="14"/>
        <v>22921629.280000001</v>
      </c>
      <c r="W131" s="106">
        <f t="shared" si="15"/>
        <v>2941761.66</v>
      </c>
      <c r="X131" s="106">
        <f t="shared" si="16"/>
        <v>1293415300.5</v>
      </c>
      <c r="Y131" s="106">
        <v>791000000</v>
      </c>
      <c r="Z131" s="146">
        <v>791000000</v>
      </c>
      <c r="AA131" s="29" t="s">
        <v>408</v>
      </c>
      <c r="AB131" s="29" t="s">
        <v>412</v>
      </c>
      <c r="AC131" s="29" t="s">
        <v>416</v>
      </c>
      <c r="AD131" s="113" t="s">
        <v>436</v>
      </c>
      <c r="AE131" s="132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138">
        <v>253510381.912</v>
      </c>
      <c r="AR131" s="142">
        <f t="shared" si="17"/>
        <v>253510381.912</v>
      </c>
      <c r="AT131" s="143"/>
    </row>
    <row r="132" spans="1:46" x14ac:dyDescent="0.3">
      <c r="A132" s="96">
        <v>129</v>
      </c>
      <c r="B132" s="29" t="s">
        <v>293</v>
      </c>
      <c r="C132" s="28" t="s">
        <v>294</v>
      </c>
      <c r="D132" s="54">
        <v>4</v>
      </c>
      <c r="E132" s="30">
        <v>2432020910.96</v>
      </c>
      <c r="F132" s="30">
        <v>219778852.50999999</v>
      </c>
      <c r="G132" s="30">
        <v>41837751.590000004</v>
      </c>
      <c r="H132" s="91">
        <f t="shared" si="12"/>
        <v>2693637515.0600004</v>
      </c>
      <c r="I132" s="91">
        <v>0</v>
      </c>
      <c r="J132" s="91">
        <v>0</v>
      </c>
      <c r="K132" s="30">
        <v>8055</v>
      </c>
      <c r="L132" s="28"/>
      <c r="M132" s="28"/>
      <c r="N132" s="30">
        <f t="shared" si="13"/>
        <v>8055</v>
      </c>
      <c r="O132" s="30">
        <v>0</v>
      </c>
      <c r="P132" s="30">
        <v>0</v>
      </c>
      <c r="Q132" s="30">
        <v>0</v>
      </c>
      <c r="R132" s="30">
        <f t="shared" ref="R132:R163" si="23">SUM(O132:Q132)</f>
        <v>0</v>
      </c>
      <c r="S132" s="30">
        <v>0</v>
      </c>
      <c r="T132" s="30">
        <v>0</v>
      </c>
      <c r="U132" s="106">
        <f t="shared" si="18"/>
        <v>2432012855.96</v>
      </c>
      <c r="V132" s="105">
        <f t="shared" si="14"/>
        <v>219778852.50999999</v>
      </c>
      <c r="W132" s="106">
        <f t="shared" si="15"/>
        <v>41837751.590000004</v>
      </c>
      <c r="X132" s="106">
        <f t="shared" si="16"/>
        <v>2693629460.0600004</v>
      </c>
      <c r="Y132" s="106">
        <v>2509000000</v>
      </c>
      <c r="Z132" s="146">
        <v>2432012856</v>
      </c>
      <c r="AA132" s="29" t="s">
        <v>408</v>
      </c>
      <c r="AB132" s="29" t="s">
        <v>412</v>
      </c>
      <c r="AC132" s="29" t="s">
        <v>416</v>
      </c>
      <c r="AD132" s="113" t="s">
        <v>434</v>
      </c>
      <c r="AE132" s="132"/>
      <c r="AF132" s="30"/>
      <c r="AG132" s="30"/>
      <c r="AH132" s="30"/>
      <c r="AI132" s="30"/>
      <c r="AJ132" s="30"/>
      <c r="AK132" s="30"/>
      <c r="AL132" s="30"/>
      <c r="AM132" s="30">
        <v>2509000000</v>
      </c>
      <c r="AN132" s="30"/>
      <c r="AO132" s="30"/>
      <c r="AP132" s="30"/>
      <c r="AQ132" s="138"/>
      <c r="AR132" s="142">
        <f t="shared" si="17"/>
        <v>2509000000</v>
      </c>
    </row>
    <row r="133" spans="1:46" x14ac:dyDescent="0.3">
      <c r="A133" s="96">
        <v>130</v>
      </c>
      <c r="B133" s="29" t="s">
        <v>295</v>
      </c>
      <c r="C133" s="28" t="s">
        <v>296</v>
      </c>
      <c r="D133" s="54">
        <v>4</v>
      </c>
      <c r="E133" s="30">
        <v>2252547205.9200001</v>
      </c>
      <c r="F133" s="30">
        <v>344033393.25999999</v>
      </c>
      <c r="G133" s="30">
        <v>95725352.159999996</v>
      </c>
      <c r="H133" s="91">
        <f t="shared" ref="H133:H196" si="24">SUM(E133:G133)</f>
        <v>2692305951.3400002</v>
      </c>
      <c r="I133" s="91">
        <v>0</v>
      </c>
      <c r="J133" s="91">
        <v>0</v>
      </c>
      <c r="K133" s="30">
        <v>0</v>
      </c>
      <c r="L133" s="28"/>
      <c r="M133" s="28"/>
      <c r="N133" s="30">
        <f t="shared" ref="N133:N196" si="25">SUM(K133:M133)</f>
        <v>0</v>
      </c>
      <c r="O133" s="30">
        <v>0</v>
      </c>
      <c r="P133" s="30">
        <v>0</v>
      </c>
      <c r="Q133" s="30">
        <v>0</v>
      </c>
      <c r="R133" s="30">
        <f t="shared" si="23"/>
        <v>0</v>
      </c>
      <c r="S133" s="30">
        <v>0</v>
      </c>
      <c r="T133" s="30">
        <v>0</v>
      </c>
      <c r="U133" s="106">
        <f t="shared" ref="U133:U196" si="26">E133-K133-O133</f>
        <v>2252547205.9200001</v>
      </c>
      <c r="V133" s="105">
        <f t="shared" ref="V133:V196" si="27">F133+I133-P133-S133</f>
        <v>344033393.25999999</v>
      </c>
      <c r="W133" s="106">
        <f t="shared" ref="W133:W196" si="28">G133+J133-M133-Q133-T133</f>
        <v>95725352.159999996</v>
      </c>
      <c r="X133" s="106">
        <f t="shared" ref="X133:X196" si="29">SUM(U133:W133)</f>
        <v>2692305951.3400002</v>
      </c>
      <c r="Y133" s="106">
        <v>1270000000</v>
      </c>
      <c r="Z133" s="146">
        <v>1270000000</v>
      </c>
      <c r="AA133" s="29" t="s">
        <v>408</v>
      </c>
      <c r="AB133" s="29" t="s">
        <v>412</v>
      </c>
      <c r="AC133" s="29" t="s">
        <v>416</v>
      </c>
      <c r="AD133" s="113" t="s">
        <v>436</v>
      </c>
      <c r="AE133" s="132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138">
        <v>450509441.18400002</v>
      </c>
      <c r="AR133" s="142">
        <f t="shared" ref="AR133:AR196" si="30">SUM(AE133:AQ133)</f>
        <v>450509441.18400002</v>
      </c>
      <c r="AT133" s="143"/>
    </row>
    <row r="134" spans="1:46" x14ac:dyDescent="0.3">
      <c r="A134" s="96">
        <v>131</v>
      </c>
      <c r="B134" s="29" t="s">
        <v>297</v>
      </c>
      <c r="C134" s="28" t="s">
        <v>298</v>
      </c>
      <c r="D134" s="54">
        <v>4</v>
      </c>
      <c r="E134" s="30">
        <v>491500045.23000002</v>
      </c>
      <c r="F134" s="30">
        <v>67493878.180000007</v>
      </c>
      <c r="G134" s="30">
        <v>22714876.640000001</v>
      </c>
      <c r="H134" s="91">
        <f t="shared" si="24"/>
        <v>581708800.05000007</v>
      </c>
      <c r="I134" s="91">
        <v>0</v>
      </c>
      <c r="J134" s="91">
        <v>0</v>
      </c>
      <c r="K134" s="30">
        <v>0</v>
      </c>
      <c r="L134" s="28"/>
      <c r="M134" s="28"/>
      <c r="N134" s="30">
        <f t="shared" si="25"/>
        <v>0</v>
      </c>
      <c r="O134" s="30">
        <v>0</v>
      </c>
      <c r="P134" s="30">
        <v>0</v>
      </c>
      <c r="Q134" s="30">
        <v>0</v>
      </c>
      <c r="R134" s="30">
        <f t="shared" si="23"/>
        <v>0</v>
      </c>
      <c r="S134" s="30">
        <v>0</v>
      </c>
      <c r="T134" s="30">
        <v>0</v>
      </c>
      <c r="U134" s="106">
        <f t="shared" si="26"/>
        <v>491500045.23000002</v>
      </c>
      <c r="V134" s="105">
        <f t="shared" si="27"/>
        <v>67493878.180000007</v>
      </c>
      <c r="W134" s="106">
        <f t="shared" si="28"/>
        <v>22714876.640000001</v>
      </c>
      <c r="X134" s="106">
        <f t="shared" si="29"/>
        <v>581708800.05000007</v>
      </c>
      <c r="Y134" s="106">
        <v>405000000</v>
      </c>
      <c r="Z134" s="146">
        <v>405000000</v>
      </c>
      <c r="AA134" s="29" t="s">
        <v>408</v>
      </c>
      <c r="AB134" s="29" t="s">
        <v>412</v>
      </c>
      <c r="AC134" s="29" t="s">
        <v>416</v>
      </c>
      <c r="AD134" s="113" t="s">
        <v>434</v>
      </c>
      <c r="AE134" s="132"/>
      <c r="AF134" s="30"/>
      <c r="AG134" s="30">
        <v>405000000</v>
      </c>
      <c r="AH134" s="30"/>
      <c r="AI134" s="30"/>
      <c r="AJ134" s="30"/>
      <c r="AK134" s="30"/>
      <c r="AL134" s="30"/>
      <c r="AM134" s="30"/>
      <c r="AN134" s="30"/>
      <c r="AO134" s="30"/>
      <c r="AP134" s="30"/>
      <c r="AQ134" s="138"/>
      <c r="AR134" s="142">
        <f t="shared" si="30"/>
        <v>405000000</v>
      </c>
    </row>
    <row r="135" spans="1:46" x14ac:dyDescent="0.3">
      <c r="A135" s="96">
        <v>132</v>
      </c>
      <c r="B135" s="29" t="s">
        <v>299</v>
      </c>
      <c r="C135" s="28" t="s">
        <v>205</v>
      </c>
      <c r="D135" s="54">
        <v>4</v>
      </c>
      <c r="E135" s="30">
        <v>1988639111.52</v>
      </c>
      <c r="F135" s="30">
        <v>202413541.11000001</v>
      </c>
      <c r="G135" s="30">
        <v>84407258.349999994</v>
      </c>
      <c r="H135" s="91">
        <f t="shared" si="24"/>
        <v>2275459910.98</v>
      </c>
      <c r="I135" s="91">
        <v>0</v>
      </c>
      <c r="J135" s="91">
        <v>0</v>
      </c>
      <c r="K135" s="30">
        <v>0</v>
      </c>
      <c r="L135" s="28"/>
      <c r="M135" s="28"/>
      <c r="N135" s="30">
        <f t="shared" si="25"/>
        <v>0</v>
      </c>
      <c r="O135" s="30">
        <v>4150000</v>
      </c>
      <c r="P135" s="30">
        <v>0</v>
      </c>
      <c r="Q135" s="30">
        <v>0</v>
      </c>
      <c r="R135" s="30">
        <f t="shared" si="23"/>
        <v>4150000</v>
      </c>
      <c r="S135" s="30">
        <v>0</v>
      </c>
      <c r="T135" s="30">
        <v>0</v>
      </c>
      <c r="U135" s="106">
        <f t="shared" si="26"/>
        <v>1984489111.52</v>
      </c>
      <c r="V135" s="105">
        <f t="shared" si="27"/>
        <v>202413541.11000001</v>
      </c>
      <c r="W135" s="106">
        <f t="shared" si="28"/>
        <v>84407258.349999994</v>
      </c>
      <c r="X135" s="106">
        <f t="shared" si="29"/>
        <v>2271309910.98</v>
      </c>
      <c r="Y135" s="106">
        <v>1929000000</v>
      </c>
      <c r="Z135" s="146">
        <v>1932900000</v>
      </c>
      <c r="AA135" s="29" t="s">
        <v>408</v>
      </c>
      <c r="AB135" s="29" t="s">
        <v>412</v>
      </c>
      <c r="AC135" s="29" t="s">
        <v>416</v>
      </c>
      <c r="AD135" s="113" t="s">
        <v>436</v>
      </c>
      <c r="AE135" s="132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138">
        <v>396897822.30400002</v>
      </c>
      <c r="AR135" s="142">
        <f t="shared" si="30"/>
        <v>396897822.30400002</v>
      </c>
      <c r="AT135" s="143"/>
    </row>
    <row r="136" spans="1:46" x14ac:dyDescent="0.3">
      <c r="A136" s="96">
        <v>133</v>
      </c>
      <c r="B136" s="29" t="s">
        <v>300</v>
      </c>
      <c r="C136" s="28" t="s">
        <v>301</v>
      </c>
      <c r="D136" s="54">
        <v>4</v>
      </c>
      <c r="E136" s="30">
        <v>994852981.46000004</v>
      </c>
      <c r="F136" s="30">
        <v>97574523.260000005</v>
      </c>
      <c r="G136" s="30">
        <v>36385091.219999999</v>
      </c>
      <c r="H136" s="91">
        <f t="shared" si="24"/>
        <v>1128812595.9400001</v>
      </c>
      <c r="I136" s="91">
        <v>0</v>
      </c>
      <c r="J136" s="91">
        <v>0</v>
      </c>
      <c r="K136" s="30">
        <v>0</v>
      </c>
      <c r="L136" s="28"/>
      <c r="M136" s="28"/>
      <c r="N136" s="30">
        <f t="shared" si="25"/>
        <v>0</v>
      </c>
      <c r="O136" s="30">
        <v>0</v>
      </c>
      <c r="P136" s="30">
        <v>0</v>
      </c>
      <c r="Q136" s="30">
        <v>0</v>
      </c>
      <c r="R136" s="30">
        <f t="shared" si="23"/>
        <v>0</v>
      </c>
      <c r="S136" s="30">
        <v>0</v>
      </c>
      <c r="T136" s="30">
        <v>0</v>
      </c>
      <c r="U136" s="106">
        <f t="shared" si="26"/>
        <v>994852981.46000004</v>
      </c>
      <c r="V136" s="105">
        <f t="shared" si="27"/>
        <v>97574523.260000005</v>
      </c>
      <c r="W136" s="106">
        <f t="shared" si="28"/>
        <v>36385091.219999999</v>
      </c>
      <c r="X136" s="106">
        <f t="shared" si="29"/>
        <v>1128812595.9400001</v>
      </c>
      <c r="Y136" s="106">
        <v>1180000000</v>
      </c>
      <c r="Z136" s="146">
        <v>994852981</v>
      </c>
      <c r="AA136" s="29" t="s">
        <v>408</v>
      </c>
      <c r="AB136" s="29" t="s">
        <v>412</v>
      </c>
      <c r="AC136" s="29" t="s">
        <v>416</v>
      </c>
      <c r="AD136" s="113" t="s">
        <v>434</v>
      </c>
      <c r="AE136" s="132"/>
      <c r="AF136" s="30">
        <v>1180000000</v>
      </c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138"/>
      <c r="AR136" s="142">
        <f t="shared" si="30"/>
        <v>1180000000</v>
      </c>
      <c r="AT136" s="143"/>
    </row>
    <row r="137" spans="1:46" x14ac:dyDescent="0.3">
      <c r="A137" s="96">
        <v>134</v>
      </c>
      <c r="B137" s="29" t="s">
        <v>302</v>
      </c>
      <c r="C137" s="28" t="s">
        <v>303</v>
      </c>
      <c r="D137" s="54">
        <v>4</v>
      </c>
      <c r="E137" s="30">
        <v>376878622.83999997</v>
      </c>
      <c r="F137" s="30">
        <v>25250811.25</v>
      </c>
      <c r="G137" s="30">
        <v>0</v>
      </c>
      <c r="H137" s="91">
        <f t="shared" si="24"/>
        <v>402129434.08999997</v>
      </c>
      <c r="I137" s="91">
        <v>0</v>
      </c>
      <c r="J137" s="91">
        <v>0</v>
      </c>
      <c r="K137" s="30">
        <v>0</v>
      </c>
      <c r="L137" s="28"/>
      <c r="M137" s="28"/>
      <c r="N137" s="30">
        <f t="shared" si="25"/>
        <v>0</v>
      </c>
      <c r="O137" s="30">
        <v>36000000</v>
      </c>
      <c r="P137" s="30">
        <v>0</v>
      </c>
      <c r="Q137" s="30">
        <v>0</v>
      </c>
      <c r="R137" s="30">
        <f t="shared" si="23"/>
        <v>36000000</v>
      </c>
      <c r="S137" s="30">
        <v>0</v>
      </c>
      <c r="T137" s="30">
        <v>0</v>
      </c>
      <c r="U137" s="106">
        <f t="shared" si="26"/>
        <v>340878622.83999997</v>
      </c>
      <c r="V137" s="105">
        <f t="shared" si="27"/>
        <v>25250811.25</v>
      </c>
      <c r="W137" s="106">
        <f t="shared" si="28"/>
        <v>0</v>
      </c>
      <c r="X137" s="106">
        <f t="shared" si="29"/>
        <v>366129434.08999997</v>
      </c>
      <c r="Y137" s="106">
        <v>194000000</v>
      </c>
      <c r="Z137" s="146">
        <v>194000000</v>
      </c>
      <c r="AA137" s="29" t="s">
        <v>408</v>
      </c>
      <c r="AB137" s="29" t="s">
        <v>414</v>
      </c>
      <c r="AC137" s="29" t="s">
        <v>416</v>
      </c>
      <c r="AD137" s="113" t="s">
        <v>436</v>
      </c>
      <c r="AE137" s="132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138">
        <f>5%*U137</f>
        <v>17043931.142000001</v>
      </c>
      <c r="AR137" s="142">
        <f t="shared" si="30"/>
        <v>17043931.142000001</v>
      </c>
      <c r="AT137" s="143"/>
    </row>
    <row r="138" spans="1:46" x14ac:dyDescent="0.3">
      <c r="A138" s="96">
        <v>135</v>
      </c>
      <c r="B138" s="29" t="s">
        <v>304</v>
      </c>
      <c r="C138" s="28" t="s">
        <v>305</v>
      </c>
      <c r="D138" s="54">
        <v>4</v>
      </c>
      <c r="E138" s="30">
        <v>985488250.79999995</v>
      </c>
      <c r="F138" s="30">
        <v>114551282.65000001</v>
      </c>
      <c r="G138" s="30">
        <v>18946266.77</v>
      </c>
      <c r="H138" s="91">
        <f t="shared" si="24"/>
        <v>1118985800.22</v>
      </c>
      <c r="I138" s="91">
        <v>0</v>
      </c>
      <c r="J138" s="91">
        <v>0</v>
      </c>
      <c r="K138" s="30">
        <v>0</v>
      </c>
      <c r="L138" s="28"/>
      <c r="M138" s="28"/>
      <c r="N138" s="30">
        <f t="shared" si="25"/>
        <v>0</v>
      </c>
      <c r="O138" s="30">
        <v>744897100</v>
      </c>
      <c r="P138" s="30">
        <v>0</v>
      </c>
      <c r="Q138" s="30">
        <v>0</v>
      </c>
      <c r="R138" s="30">
        <f t="shared" si="23"/>
        <v>744897100</v>
      </c>
      <c r="S138" s="30">
        <v>0</v>
      </c>
      <c r="T138" s="30">
        <v>0</v>
      </c>
      <c r="U138" s="106">
        <f t="shared" si="26"/>
        <v>240591150.79999995</v>
      </c>
      <c r="V138" s="105">
        <f t="shared" si="27"/>
        <v>114551282.65000001</v>
      </c>
      <c r="W138" s="106">
        <f t="shared" si="28"/>
        <v>18946266.77</v>
      </c>
      <c r="X138" s="106">
        <f t="shared" si="29"/>
        <v>374088700.21999991</v>
      </c>
      <c r="Y138" s="106">
        <v>738000000</v>
      </c>
      <c r="Z138" s="146">
        <v>985488251</v>
      </c>
      <c r="AA138" s="29" t="s">
        <v>408</v>
      </c>
      <c r="AB138" s="29" t="s">
        <v>412</v>
      </c>
      <c r="AC138" s="29" t="s">
        <v>416</v>
      </c>
      <c r="AD138" s="113" t="s">
        <v>436</v>
      </c>
      <c r="AE138" s="132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138">
        <v>0</v>
      </c>
      <c r="AR138" s="142">
        <f t="shared" si="30"/>
        <v>0</v>
      </c>
      <c r="AS138" t="s">
        <v>1425</v>
      </c>
      <c r="AT138" s="143"/>
    </row>
    <row r="139" spans="1:46" x14ac:dyDescent="0.3">
      <c r="A139" s="96">
        <v>136</v>
      </c>
      <c r="B139" s="29" t="s">
        <v>306</v>
      </c>
      <c r="C139" s="28" t="s">
        <v>307</v>
      </c>
      <c r="D139" s="54">
        <v>4</v>
      </c>
      <c r="E139" s="30">
        <v>1478257113.01</v>
      </c>
      <c r="F139" s="30">
        <v>183689188.44999999</v>
      </c>
      <c r="G139" s="30">
        <v>41596702.850000001</v>
      </c>
      <c r="H139" s="91">
        <f t="shared" si="24"/>
        <v>1703543004.3099999</v>
      </c>
      <c r="I139" s="91">
        <v>0</v>
      </c>
      <c r="J139" s="91">
        <v>0</v>
      </c>
      <c r="K139" s="30">
        <v>0</v>
      </c>
      <c r="L139" s="28"/>
      <c r="M139" s="28"/>
      <c r="N139" s="30">
        <f t="shared" si="25"/>
        <v>0</v>
      </c>
      <c r="O139" s="30">
        <v>0</v>
      </c>
      <c r="P139" s="30">
        <v>0</v>
      </c>
      <c r="Q139" s="30">
        <v>0</v>
      </c>
      <c r="R139" s="30">
        <f t="shared" si="23"/>
        <v>0</v>
      </c>
      <c r="S139" s="30">
        <v>0</v>
      </c>
      <c r="T139" s="30">
        <v>0</v>
      </c>
      <c r="U139" s="106">
        <f t="shared" si="26"/>
        <v>1478257113.01</v>
      </c>
      <c r="V139" s="105">
        <f t="shared" si="27"/>
        <v>183689188.44999999</v>
      </c>
      <c r="W139" s="106">
        <f t="shared" si="28"/>
        <v>41596702.850000001</v>
      </c>
      <c r="X139" s="106">
        <f t="shared" si="29"/>
        <v>1703543004.3099999</v>
      </c>
      <c r="Y139" s="106">
        <v>3101000000</v>
      </c>
      <c r="Z139" s="146">
        <v>1478257113</v>
      </c>
      <c r="AA139" s="29" t="s">
        <v>408</v>
      </c>
      <c r="AB139" s="29" t="s">
        <v>412</v>
      </c>
      <c r="AC139" s="29" t="s">
        <v>416</v>
      </c>
      <c r="AD139" s="113" t="s">
        <v>436</v>
      </c>
      <c r="AE139" s="132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138">
        <v>295651422.602</v>
      </c>
      <c r="AR139" s="142">
        <f t="shared" si="30"/>
        <v>295651422.602</v>
      </c>
      <c r="AT139" s="143"/>
    </row>
    <row r="140" spans="1:46" x14ac:dyDescent="0.3">
      <c r="A140" s="96">
        <v>137</v>
      </c>
      <c r="B140" s="29" t="s">
        <v>308</v>
      </c>
      <c r="C140" s="28" t="s">
        <v>309</v>
      </c>
      <c r="D140" s="54">
        <v>4</v>
      </c>
      <c r="E140" s="30">
        <v>197492169.44</v>
      </c>
      <c r="F140" s="30">
        <v>27402916.23</v>
      </c>
      <c r="G140" s="30">
        <v>4358071.8099999996</v>
      </c>
      <c r="H140" s="91">
        <f t="shared" si="24"/>
        <v>229253157.47999999</v>
      </c>
      <c r="I140" s="91">
        <v>0</v>
      </c>
      <c r="J140" s="91">
        <v>0</v>
      </c>
      <c r="K140" s="30">
        <v>4142</v>
      </c>
      <c r="L140" s="28"/>
      <c r="M140" s="28"/>
      <c r="N140" s="30">
        <f t="shared" si="25"/>
        <v>4142</v>
      </c>
      <c r="O140" s="30">
        <f>197492169.44-4142</f>
        <v>197488027.44</v>
      </c>
      <c r="P140" s="30">
        <v>27402916.23</v>
      </c>
      <c r="Q140" s="30">
        <v>4358071.8099999996</v>
      </c>
      <c r="R140" s="30">
        <f t="shared" si="23"/>
        <v>229249015.47999999</v>
      </c>
      <c r="S140" s="30">
        <v>0</v>
      </c>
      <c r="T140" s="30">
        <v>0</v>
      </c>
      <c r="U140" s="106">
        <f>E140-K140-O140</f>
        <v>0</v>
      </c>
      <c r="V140" s="105">
        <f t="shared" si="27"/>
        <v>0</v>
      </c>
      <c r="W140" s="106">
        <f t="shared" si="28"/>
        <v>0</v>
      </c>
      <c r="X140" s="106">
        <f t="shared" si="29"/>
        <v>0</v>
      </c>
      <c r="Y140" s="106">
        <v>0</v>
      </c>
      <c r="Z140" s="146">
        <v>229249015</v>
      </c>
      <c r="AA140" s="29" t="s">
        <v>408</v>
      </c>
      <c r="AB140" s="29" t="s">
        <v>412</v>
      </c>
      <c r="AC140" s="29" t="s">
        <v>417</v>
      </c>
      <c r="AD140" s="113" t="s">
        <v>434</v>
      </c>
      <c r="AE140" s="132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138">
        <v>0</v>
      </c>
      <c r="AR140" s="142">
        <f t="shared" si="30"/>
        <v>0</v>
      </c>
    </row>
    <row r="141" spans="1:46" x14ac:dyDescent="0.3">
      <c r="A141" s="96">
        <v>138</v>
      </c>
      <c r="B141" s="29" t="s">
        <v>310</v>
      </c>
      <c r="C141" s="28" t="s">
        <v>311</v>
      </c>
      <c r="D141" s="54">
        <v>4</v>
      </c>
      <c r="E141" s="30">
        <v>1728036037.77</v>
      </c>
      <c r="F141" s="30">
        <v>232066425.34999999</v>
      </c>
      <c r="G141" s="30">
        <v>46659048.770000003</v>
      </c>
      <c r="H141" s="91">
        <f t="shared" si="24"/>
        <v>2006761511.8899999</v>
      </c>
      <c r="I141" s="91">
        <v>0</v>
      </c>
      <c r="J141" s="91">
        <v>0</v>
      </c>
      <c r="K141" s="30">
        <v>0</v>
      </c>
      <c r="L141" s="28"/>
      <c r="M141" s="28"/>
      <c r="N141" s="30">
        <f t="shared" si="25"/>
        <v>0</v>
      </c>
      <c r="O141" s="30">
        <v>0</v>
      </c>
      <c r="P141" s="30">
        <v>0</v>
      </c>
      <c r="Q141" s="30">
        <v>0</v>
      </c>
      <c r="R141" s="30">
        <f t="shared" si="23"/>
        <v>0</v>
      </c>
      <c r="S141" s="30">
        <v>0</v>
      </c>
      <c r="T141" s="30">
        <v>0</v>
      </c>
      <c r="U141" s="106">
        <f t="shared" si="26"/>
        <v>1728036037.77</v>
      </c>
      <c r="V141" s="105">
        <f t="shared" si="27"/>
        <v>232066425.34999999</v>
      </c>
      <c r="W141" s="106">
        <f t="shared" si="28"/>
        <v>46659048.770000003</v>
      </c>
      <c r="X141" s="106">
        <f t="shared" si="29"/>
        <v>2006761511.8899999</v>
      </c>
      <c r="Y141" s="106">
        <v>1016000000</v>
      </c>
      <c r="Z141" s="146">
        <v>1016000000</v>
      </c>
      <c r="AA141" s="29" t="s">
        <v>408</v>
      </c>
      <c r="AB141" s="29" t="s">
        <v>412</v>
      </c>
      <c r="AC141" s="29" t="s">
        <v>416</v>
      </c>
      <c r="AD141" s="113" t="s">
        <v>436</v>
      </c>
      <c r="AE141" s="132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138"/>
      <c r="AR141" s="142">
        <f t="shared" si="30"/>
        <v>0</v>
      </c>
      <c r="AS141" t="s">
        <v>1425</v>
      </c>
      <c r="AT141" s="143"/>
    </row>
    <row r="142" spans="1:46" x14ac:dyDescent="0.3">
      <c r="A142" s="96">
        <v>139</v>
      </c>
      <c r="B142" s="29" t="s">
        <v>312</v>
      </c>
      <c r="C142" s="28" t="s">
        <v>313</v>
      </c>
      <c r="D142" s="54">
        <v>4</v>
      </c>
      <c r="E142" s="30">
        <v>890420820.29999995</v>
      </c>
      <c r="F142" s="30">
        <v>132716779.98999999</v>
      </c>
      <c r="G142" s="30">
        <v>27830383.48</v>
      </c>
      <c r="H142" s="91">
        <f t="shared" si="24"/>
        <v>1050967983.77</v>
      </c>
      <c r="I142" s="91">
        <v>0</v>
      </c>
      <c r="J142" s="91">
        <v>0</v>
      </c>
      <c r="K142" s="30">
        <v>0</v>
      </c>
      <c r="L142" s="28"/>
      <c r="M142" s="28"/>
      <c r="N142" s="30">
        <f t="shared" si="25"/>
        <v>0</v>
      </c>
      <c r="O142" s="30">
        <v>10000000</v>
      </c>
      <c r="P142" s="30">
        <v>0</v>
      </c>
      <c r="Q142" s="30">
        <v>0</v>
      </c>
      <c r="R142" s="30">
        <f t="shared" si="23"/>
        <v>10000000</v>
      </c>
      <c r="S142" s="30">
        <v>0</v>
      </c>
      <c r="T142" s="30">
        <v>0</v>
      </c>
      <c r="U142" s="106">
        <f t="shared" si="26"/>
        <v>880420820.29999995</v>
      </c>
      <c r="V142" s="105">
        <f t="shared" si="27"/>
        <v>132716779.98999999</v>
      </c>
      <c r="W142" s="106">
        <f t="shared" si="28"/>
        <v>27830383.48</v>
      </c>
      <c r="X142" s="106">
        <f t="shared" si="29"/>
        <v>1040967983.77</v>
      </c>
      <c r="Y142" s="106">
        <v>762000000</v>
      </c>
      <c r="Z142" s="146">
        <v>772000000</v>
      </c>
      <c r="AA142" s="29" t="s">
        <v>408</v>
      </c>
      <c r="AB142" s="29" t="s">
        <v>412</v>
      </c>
      <c r="AC142" s="29" t="s">
        <v>416</v>
      </c>
      <c r="AD142" s="113" t="s">
        <v>434</v>
      </c>
      <c r="AE142" s="132"/>
      <c r="AF142" s="30"/>
      <c r="AG142" s="30"/>
      <c r="AH142" s="30"/>
      <c r="AI142" s="30"/>
      <c r="AJ142" s="30"/>
      <c r="AK142" s="30"/>
      <c r="AL142" s="30">
        <v>762000000</v>
      </c>
      <c r="AM142" s="30"/>
      <c r="AN142" s="30"/>
      <c r="AO142" s="30"/>
      <c r="AP142" s="30"/>
      <c r="AQ142" s="138"/>
      <c r="AR142" s="142">
        <f t="shared" si="30"/>
        <v>762000000</v>
      </c>
      <c r="AT142" s="143"/>
    </row>
    <row r="143" spans="1:46" x14ac:dyDescent="0.3">
      <c r="A143" s="96">
        <v>140</v>
      </c>
      <c r="B143" s="29" t="s">
        <v>314</v>
      </c>
      <c r="C143" s="28" t="s">
        <v>315</v>
      </c>
      <c r="D143" s="54">
        <v>4</v>
      </c>
      <c r="E143" s="30">
        <v>595844810.29999995</v>
      </c>
      <c r="F143" s="30">
        <v>55114836.880000003</v>
      </c>
      <c r="G143" s="30">
        <v>10501251.560000001</v>
      </c>
      <c r="H143" s="91">
        <f t="shared" si="24"/>
        <v>661460898.73999989</v>
      </c>
      <c r="I143" s="91">
        <v>0</v>
      </c>
      <c r="J143" s="91">
        <v>0</v>
      </c>
      <c r="K143" s="30">
        <v>9023</v>
      </c>
      <c r="L143" s="28"/>
      <c r="M143" s="28"/>
      <c r="N143" s="30">
        <f t="shared" si="25"/>
        <v>9023</v>
      </c>
      <c r="O143" s="30">
        <v>3000000</v>
      </c>
      <c r="P143" s="30">
        <v>0</v>
      </c>
      <c r="Q143" s="30">
        <v>0</v>
      </c>
      <c r="R143" s="30">
        <f t="shared" si="23"/>
        <v>3000000</v>
      </c>
      <c r="S143" s="30">
        <v>0</v>
      </c>
      <c r="T143" s="30">
        <v>0</v>
      </c>
      <c r="U143" s="106">
        <f t="shared" si="26"/>
        <v>592835787.29999995</v>
      </c>
      <c r="V143" s="105">
        <f t="shared" si="27"/>
        <v>55114836.880000003</v>
      </c>
      <c r="W143" s="106">
        <f t="shared" si="28"/>
        <v>10501251.560000001</v>
      </c>
      <c r="X143" s="106">
        <f t="shared" si="29"/>
        <v>658451875.73999989</v>
      </c>
      <c r="Y143" s="106">
        <v>563000000</v>
      </c>
      <c r="Z143" s="146">
        <v>565000000</v>
      </c>
      <c r="AA143" s="29" t="s">
        <v>408</v>
      </c>
      <c r="AB143" s="29" t="s">
        <v>412</v>
      </c>
      <c r="AC143" s="29" t="s">
        <v>416</v>
      </c>
      <c r="AD143" s="113" t="s">
        <v>434</v>
      </c>
      <c r="AE143" s="132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138">
        <v>118567157.45999999</v>
      </c>
      <c r="AR143" s="142">
        <f t="shared" si="30"/>
        <v>118567157.45999999</v>
      </c>
      <c r="AT143" s="143"/>
    </row>
    <row r="144" spans="1:46" x14ac:dyDescent="0.3">
      <c r="A144" s="96">
        <v>141</v>
      </c>
      <c r="B144" s="29" t="s">
        <v>316</v>
      </c>
      <c r="C144" s="28" t="s">
        <v>296</v>
      </c>
      <c r="D144" s="54">
        <v>4</v>
      </c>
      <c r="E144" s="30">
        <v>299497806</v>
      </c>
      <c r="F144" s="30">
        <v>45363722.030000001</v>
      </c>
      <c r="G144" s="30">
        <v>8247702.6100000003</v>
      </c>
      <c r="H144" s="91">
        <f t="shared" si="24"/>
        <v>353109230.63999999</v>
      </c>
      <c r="I144" s="91">
        <v>0</v>
      </c>
      <c r="J144" s="91">
        <v>0</v>
      </c>
      <c r="K144" s="30">
        <v>0</v>
      </c>
      <c r="L144" s="28"/>
      <c r="M144" s="28"/>
      <c r="N144" s="30">
        <f t="shared" si="25"/>
        <v>0</v>
      </c>
      <c r="O144" s="30">
        <v>0</v>
      </c>
      <c r="P144" s="30">
        <v>0</v>
      </c>
      <c r="Q144" s="30">
        <v>0</v>
      </c>
      <c r="R144" s="30">
        <f t="shared" si="23"/>
        <v>0</v>
      </c>
      <c r="S144" s="30">
        <v>0</v>
      </c>
      <c r="T144" s="30">
        <v>0</v>
      </c>
      <c r="U144" s="106">
        <f t="shared" si="26"/>
        <v>299497806</v>
      </c>
      <c r="V144" s="105">
        <f t="shared" si="27"/>
        <v>45363722.030000001</v>
      </c>
      <c r="W144" s="106">
        <f t="shared" si="28"/>
        <v>8247702.6100000003</v>
      </c>
      <c r="X144" s="106">
        <f t="shared" si="29"/>
        <v>353109230.63999999</v>
      </c>
      <c r="Y144" s="106">
        <v>0</v>
      </c>
      <c r="Z144" s="28">
        <v>1</v>
      </c>
      <c r="AA144" s="29" t="s">
        <v>408</v>
      </c>
      <c r="AB144" s="29" t="s">
        <v>414</v>
      </c>
      <c r="AC144" s="29" t="s">
        <v>416</v>
      </c>
      <c r="AD144" s="113" t="s">
        <v>436</v>
      </c>
      <c r="AE144" s="132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138">
        <v>14974890.300000001</v>
      </c>
      <c r="AR144" s="142">
        <f t="shared" si="30"/>
        <v>14974890.300000001</v>
      </c>
      <c r="AT144" s="143"/>
    </row>
    <row r="145" spans="1:46" x14ac:dyDescent="0.3">
      <c r="A145" s="96">
        <v>142</v>
      </c>
      <c r="B145" s="29" t="s">
        <v>317</v>
      </c>
      <c r="C145" s="28" t="s">
        <v>313</v>
      </c>
      <c r="D145" s="54">
        <v>4</v>
      </c>
      <c r="E145" s="30">
        <v>99832602</v>
      </c>
      <c r="F145" s="30">
        <v>14084406.76</v>
      </c>
      <c r="G145" s="30">
        <v>2054860.76</v>
      </c>
      <c r="H145" s="91">
        <f t="shared" si="24"/>
        <v>115971869.52000001</v>
      </c>
      <c r="I145" s="91">
        <v>0</v>
      </c>
      <c r="J145" s="91">
        <v>0</v>
      </c>
      <c r="K145" s="30">
        <v>0</v>
      </c>
      <c r="L145" s="28"/>
      <c r="M145" s="28"/>
      <c r="N145" s="30">
        <f t="shared" si="25"/>
        <v>0</v>
      </c>
      <c r="O145" s="30">
        <v>0</v>
      </c>
      <c r="P145" s="30">
        <v>0</v>
      </c>
      <c r="Q145" s="30">
        <v>0</v>
      </c>
      <c r="R145" s="30">
        <f t="shared" si="23"/>
        <v>0</v>
      </c>
      <c r="S145" s="30">
        <v>0</v>
      </c>
      <c r="T145" s="30">
        <v>0</v>
      </c>
      <c r="U145" s="106">
        <f t="shared" si="26"/>
        <v>99832602</v>
      </c>
      <c r="V145" s="105">
        <f t="shared" si="27"/>
        <v>14084406.76</v>
      </c>
      <c r="W145" s="106">
        <f t="shared" si="28"/>
        <v>2054860.76</v>
      </c>
      <c r="X145" s="106">
        <f t="shared" si="29"/>
        <v>115971869.52000001</v>
      </c>
      <c r="Y145" s="106">
        <v>0</v>
      </c>
      <c r="Z145" s="28">
        <v>1</v>
      </c>
      <c r="AA145" s="29" t="s">
        <v>408</v>
      </c>
      <c r="AB145" s="29" t="s">
        <v>414</v>
      </c>
      <c r="AC145" s="29" t="s">
        <v>416</v>
      </c>
      <c r="AD145" s="113" t="s">
        <v>436</v>
      </c>
      <c r="AE145" s="132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138">
        <v>4991630.1000000006</v>
      </c>
      <c r="AR145" s="142">
        <f t="shared" si="30"/>
        <v>4991630.1000000006</v>
      </c>
      <c r="AT145" s="143"/>
    </row>
    <row r="146" spans="1:46" x14ac:dyDescent="0.3">
      <c r="A146" s="96">
        <v>143</v>
      </c>
      <c r="B146" s="29" t="s">
        <v>318</v>
      </c>
      <c r="C146" s="28" t="s">
        <v>319</v>
      </c>
      <c r="D146" s="54">
        <v>4</v>
      </c>
      <c r="E146" s="30">
        <v>248716054.72</v>
      </c>
      <c r="F146" s="30">
        <v>23878671.099999998</v>
      </c>
      <c r="G146" s="30">
        <v>2201690.42</v>
      </c>
      <c r="H146" s="91">
        <f t="shared" si="24"/>
        <v>274796416.24000001</v>
      </c>
      <c r="I146" s="91">
        <v>125801012.78</v>
      </c>
      <c r="J146" s="91">
        <v>108598812.75</v>
      </c>
      <c r="K146" s="30">
        <v>6255</v>
      </c>
      <c r="L146" s="28"/>
      <c r="M146" s="28"/>
      <c r="N146" s="30">
        <f t="shared" si="25"/>
        <v>6255</v>
      </c>
      <c r="O146" s="30">
        <v>248709799.72</v>
      </c>
      <c r="P146" s="30">
        <v>51290200</v>
      </c>
      <c r="Q146" s="30">
        <v>0</v>
      </c>
      <c r="R146" s="30">
        <f t="shared" si="23"/>
        <v>299999999.72000003</v>
      </c>
      <c r="S146" s="30">
        <v>98389483.879999995</v>
      </c>
      <c r="T146" s="30">
        <v>110800503.17</v>
      </c>
      <c r="U146" s="106">
        <f>E146-K146-O146</f>
        <v>0</v>
      </c>
      <c r="V146" s="105">
        <f t="shared" si="27"/>
        <v>0</v>
      </c>
      <c r="W146" s="106">
        <f t="shared" si="28"/>
        <v>0</v>
      </c>
      <c r="X146" s="106">
        <f t="shared" si="29"/>
        <v>0</v>
      </c>
      <c r="Y146" s="106">
        <v>585000000</v>
      </c>
      <c r="Z146" s="146">
        <v>248709800</v>
      </c>
      <c r="AA146" s="29" t="s">
        <v>408</v>
      </c>
      <c r="AB146" s="29" t="s">
        <v>412</v>
      </c>
      <c r="AC146" s="29" t="s">
        <v>417</v>
      </c>
      <c r="AD146" s="113" t="s">
        <v>434</v>
      </c>
      <c r="AE146" s="132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138">
        <v>49741959.944000006</v>
      </c>
      <c r="AR146" s="142">
        <f t="shared" si="30"/>
        <v>49741959.944000006</v>
      </c>
      <c r="AT146" s="143"/>
    </row>
    <row r="147" spans="1:46" x14ac:dyDescent="0.3">
      <c r="A147" s="96">
        <v>144</v>
      </c>
      <c r="B147" s="29" t="s">
        <v>320</v>
      </c>
      <c r="C147" s="28" t="s">
        <v>201</v>
      </c>
      <c r="D147" s="54">
        <v>4</v>
      </c>
      <c r="E147" s="30">
        <v>229873836</v>
      </c>
      <c r="F147" s="30">
        <v>29956704.890000001</v>
      </c>
      <c r="G147" s="30">
        <v>4532956.46</v>
      </c>
      <c r="H147" s="91">
        <f t="shared" si="24"/>
        <v>264363497.34999999</v>
      </c>
      <c r="I147" s="91">
        <v>0</v>
      </c>
      <c r="J147" s="91">
        <v>0</v>
      </c>
      <c r="K147" s="30">
        <v>0</v>
      </c>
      <c r="L147" s="28"/>
      <c r="M147" s="28"/>
      <c r="N147" s="30">
        <f t="shared" si="25"/>
        <v>0</v>
      </c>
      <c r="O147" s="30">
        <v>0</v>
      </c>
      <c r="P147" s="30">
        <v>0</v>
      </c>
      <c r="Q147" s="30">
        <v>0</v>
      </c>
      <c r="R147" s="30">
        <f t="shared" si="23"/>
        <v>0</v>
      </c>
      <c r="S147" s="30">
        <v>0</v>
      </c>
      <c r="T147" s="30">
        <v>0</v>
      </c>
      <c r="U147" s="106">
        <f t="shared" si="26"/>
        <v>229873836</v>
      </c>
      <c r="V147" s="105">
        <f t="shared" si="27"/>
        <v>29956704.890000001</v>
      </c>
      <c r="W147" s="106">
        <f t="shared" si="28"/>
        <v>4532956.46</v>
      </c>
      <c r="X147" s="106">
        <f t="shared" si="29"/>
        <v>264363497.34999999</v>
      </c>
      <c r="Y147" s="106">
        <v>0</v>
      </c>
      <c r="Z147" s="28">
        <v>1</v>
      </c>
      <c r="AA147" s="29" t="s">
        <v>408</v>
      </c>
      <c r="AB147" s="29" t="s">
        <v>414</v>
      </c>
      <c r="AC147" s="29" t="s">
        <v>416</v>
      </c>
      <c r="AD147" s="113" t="s">
        <v>436</v>
      </c>
      <c r="AE147" s="132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138">
        <v>11493691.800000001</v>
      </c>
      <c r="AR147" s="142">
        <f t="shared" si="30"/>
        <v>11493691.800000001</v>
      </c>
      <c r="AT147" s="143"/>
    </row>
    <row r="148" spans="1:46" x14ac:dyDescent="0.3">
      <c r="A148" s="96">
        <v>145</v>
      </c>
      <c r="B148" s="29" t="s">
        <v>321</v>
      </c>
      <c r="C148" s="28" t="s">
        <v>298</v>
      </c>
      <c r="D148" s="54">
        <v>4</v>
      </c>
      <c r="E148" s="30">
        <v>64820753.079999998</v>
      </c>
      <c r="F148" s="30">
        <v>7702887.6699999999</v>
      </c>
      <c r="G148" s="30">
        <v>1239061.22</v>
      </c>
      <c r="H148" s="91">
        <f t="shared" si="24"/>
        <v>73762701.969999999</v>
      </c>
      <c r="I148" s="91">
        <v>0</v>
      </c>
      <c r="J148" s="91">
        <v>0</v>
      </c>
      <c r="K148" s="30">
        <v>0</v>
      </c>
      <c r="L148" s="28"/>
      <c r="M148" s="28"/>
      <c r="N148" s="30">
        <f t="shared" si="25"/>
        <v>0</v>
      </c>
      <c r="O148" s="30">
        <v>0</v>
      </c>
      <c r="P148" s="30">
        <v>0</v>
      </c>
      <c r="Q148" s="30">
        <v>0</v>
      </c>
      <c r="R148" s="30">
        <f t="shared" si="23"/>
        <v>0</v>
      </c>
      <c r="S148" s="30">
        <v>0</v>
      </c>
      <c r="T148" s="30">
        <v>0</v>
      </c>
      <c r="U148" s="106">
        <f t="shared" si="26"/>
        <v>64820753.079999998</v>
      </c>
      <c r="V148" s="105">
        <f t="shared" si="27"/>
        <v>7702887.6699999999</v>
      </c>
      <c r="W148" s="106">
        <f t="shared" si="28"/>
        <v>1239061.22</v>
      </c>
      <c r="X148" s="106">
        <f t="shared" si="29"/>
        <v>73762701.969999999</v>
      </c>
      <c r="Y148" s="106">
        <v>0</v>
      </c>
      <c r="Z148" s="28">
        <v>1</v>
      </c>
      <c r="AA148" s="29" t="s">
        <v>408</v>
      </c>
      <c r="AB148" s="29" t="s">
        <v>414</v>
      </c>
      <c r="AC148" s="29" t="s">
        <v>416</v>
      </c>
      <c r="AD148" s="113" t="s">
        <v>436</v>
      </c>
      <c r="AE148" s="132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138">
        <v>3241037.6540000001</v>
      </c>
      <c r="AR148" s="142">
        <f t="shared" si="30"/>
        <v>3241037.6540000001</v>
      </c>
      <c r="AT148" s="143"/>
    </row>
    <row r="149" spans="1:46" x14ac:dyDescent="0.3">
      <c r="A149" s="96">
        <v>146</v>
      </c>
      <c r="B149" s="29" t="s">
        <v>322</v>
      </c>
      <c r="C149" s="28" t="s">
        <v>290</v>
      </c>
      <c r="D149" s="54">
        <v>4</v>
      </c>
      <c r="E149" s="30">
        <v>250000000</v>
      </c>
      <c r="F149" s="30">
        <v>38194080.170000002</v>
      </c>
      <c r="G149" s="30">
        <v>5271897.0199999996</v>
      </c>
      <c r="H149" s="91">
        <f t="shared" si="24"/>
        <v>293465977.19</v>
      </c>
      <c r="I149" s="91">
        <v>0</v>
      </c>
      <c r="J149" s="91">
        <v>0</v>
      </c>
      <c r="K149" s="30">
        <v>0</v>
      </c>
      <c r="L149" s="28"/>
      <c r="M149" s="28"/>
      <c r="N149" s="30">
        <f t="shared" si="25"/>
        <v>0</v>
      </c>
      <c r="O149" s="30">
        <v>0</v>
      </c>
      <c r="P149" s="30">
        <v>0</v>
      </c>
      <c r="Q149" s="30">
        <v>0</v>
      </c>
      <c r="R149" s="30">
        <f t="shared" si="23"/>
        <v>0</v>
      </c>
      <c r="S149" s="30">
        <v>0</v>
      </c>
      <c r="T149" s="30">
        <v>0</v>
      </c>
      <c r="U149" s="106">
        <f t="shared" si="26"/>
        <v>250000000</v>
      </c>
      <c r="V149" s="105">
        <f t="shared" si="27"/>
        <v>38194080.170000002</v>
      </c>
      <c r="W149" s="106">
        <f t="shared" si="28"/>
        <v>5271897.0199999996</v>
      </c>
      <c r="X149" s="106">
        <f t="shared" si="29"/>
        <v>293465977.19</v>
      </c>
      <c r="Y149" s="106">
        <v>0</v>
      </c>
      <c r="Z149" s="28">
        <v>1</v>
      </c>
      <c r="AA149" s="29" t="s">
        <v>408</v>
      </c>
      <c r="AB149" s="29" t="s">
        <v>414</v>
      </c>
      <c r="AC149" s="29" t="s">
        <v>416</v>
      </c>
      <c r="AD149" s="113" t="s">
        <v>436</v>
      </c>
      <c r="AE149" s="132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138">
        <v>12500000</v>
      </c>
      <c r="AR149" s="142">
        <f t="shared" si="30"/>
        <v>12500000</v>
      </c>
      <c r="AT149" s="143"/>
    </row>
    <row r="150" spans="1:46" x14ac:dyDescent="0.3">
      <c r="A150" s="96">
        <v>147</v>
      </c>
      <c r="B150" s="29" t="s">
        <v>323</v>
      </c>
      <c r="C150" s="28" t="s">
        <v>292</v>
      </c>
      <c r="D150" s="54">
        <v>4</v>
      </c>
      <c r="E150" s="30">
        <v>199665204</v>
      </c>
      <c r="F150" s="30">
        <v>22921629.280000001</v>
      </c>
      <c r="G150" s="30">
        <v>2941761.66</v>
      </c>
      <c r="H150" s="91">
        <f t="shared" si="24"/>
        <v>225528594.94</v>
      </c>
      <c r="I150" s="91">
        <v>0</v>
      </c>
      <c r="J150" s="91">
        <v>0</v>
      </c>
      <c r="K150" s="30">
        <v>0</v>
      </c>
      <c r="L150" s="28"/>
      <c r="M150" s="28"/>
      <c r="N150" s="30">
        <f t="shared" si="25"/>
        <v>0</v>
      </c>
      <c r="O150" s="30">
        <v>0</v>
      </c>
      <c r="P150" s="30">
        <v>0</v>
      </c>
      <c r="Q150" s="30">
        <v>0</v>
      </c>
      <c r="R150" s="30">
        <f t="shared" si="23"/>
        <v>0</v>
      </c>
      <c r="S150" s="30">
        <v>0</v>
      </c>
      <c r="T150" s="30">
        <v>0</v>
      </c>
      <c r="U150" s="106">
        <f t="shared" si="26"/>
        <v>199665204</v>
      </c>
      <c r="V150" s="105">
        <f t="shared" si="27"/>
        <v>22921629.280000001</v>
      </c>
      <c r="W150" s="106">
        <f t="shared" si="28"/>
        <v>2941761.66</v>
      </c>
      <c r="X150" s="106">
        <f t="shared" si="29"/>
        <v>225528594.94</v>
      </c>
      <c r="Y150" s="106">
        <v>0</v>
      </c>
      <c r="Z150" s="28">
        <v>1</v>
      </c>
      <c r="AA150" s="29" t="s">
        <v>408</v>
      </c>
      <c r="AB150" s="29" t="s">
        <v>414</v>
      </c>
      <c r="AC150" s="29" t="s">
        <v>416</v>
      </c>
      <c r="AD150" s="113" t="s">
        <v>436</v>
      </c>
      <c r="AE150" s="132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138">
        <v>9983260.2000000011</v>
      </c>
      <c r="AR150" s="142">
        <f t="shared" si="30"/>
        <v>9983260.2000000011</v>
      </c>
      <c r="AT150" s="143"/>
    </row>
    <row r="151" spans="1:46" x14ac:dyDescent="0.3">
      <c r="A151" s="96">
        <v>148</v>
      </c>
      <c r="B151" s="29" t="s">
        <v>324</v>
      </c>
      <c r="C151" s="28" t="s">
        <v>305</v>
      </c>
      <c r="D151" s="54">
        <v>4</v>
      </c>
      <c r="E151" s="30">
        <v>150000000</v>
      </c>
      <c r="F151" s="30">
        <v>20385278.239999998</v>
      </c>
      <c r="G151" s="30">
        <v>2827956.72</v>
      </c>
      <c r="H151" s="91">
        <f t="shared" si="24"/>
        <v>173213234.96000001</v>
      </c>
      <c r="I151" s="91">
        <v>0</v>
      </c>
      <c r="J151" s="91">
        <v>0</v>
      </c>
      <c r="K151" s="30">
        <v>0</v>
      </c>
      <c r="L151" s="28"/>
      <c r="M151" s="28"/>
      <c r="N151" s="30">
        <f t="shared" si="25"/>
        <v>0</v>
      </c>
      <c r="O151" s="30">
        <v>5000000</v>
      </c>
      <c r="P151" s="30">
        <v>4748903.07</v>
      </c>
      <c r="Q151" s="30">
        <v>0</v>
      </c>
      <c r="R151" s="30">
        <f t="shared" si="23"/>
        <v>9748903.0700000003</v>
      </c>
      <c r="S151" s="30">
        <v>0</v>
      </c>
      <c r="T151" s="30">
        <v>0</v>
      </c>
      <c r="U151" s="106">
        <f t="shared" si="26"/>
        <v>145000000</v>
      </c>
      <c r="V151" s="105">
        <f t="shared" si="27"/>
        <v>15636375.169999998</v>
      </c>
      <c r="W151" s="106">
        <f t="shared" si="28"/>
        <v>2827956.72</v>
      </c>
      <c r="X151" s="106">
        <f t="shared" si="29"/>
        <v>163464331.88999999</v>
      </c>
      <c r="Y151" s="106">
        <v>0</v>
      </c>
      <c r="Z151" s="146">
        <v>5000000</v>
      </c>
      <c r="AA151" s="29" t="s">
        <v>408</v>
      </c>
      <c r="AB151" s="29" t="s">
        <v>414</v>
      </c>
      <c r="AC151" s="29" t="s">
        <v>416</v>
      </c>
      <c r="AD151" s="113" t="s">
        <v>436</v>
      </c>
      <c r="AE151" s="132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138">
        <f>5%*U151</f>
        <v>7250000</v>
      </c>
      <c r="AR151" s="142">
        <f t="shared" si="30"/>
        <v>7250000</v>
      </c>
      <c r="AT151" s="143"/>
    </row>
    <row r="152" spans="1:46" x14ac:dyDescent="0.3">
      <c r="A152" s="96">
        <v>149</v>
      </c>
      <c r="B152" s="29" t="s">
        <v>325</v>
      </c>
      <c r="C152" s="28" t="s">
        <v>311</v>
      </c>
      <c r="D152" s="54">
        <v>4</v>
      </c>
      <c r="E152" s="30">
        <v>195000000</v>
      </c>
      <c r="F152" s="30">
        <v>25466977.210000001</v>
      </c>
      <c r="G152" s="30">
        <v>3388193.85</v>
      </c>
      <c r="H152" s="91">
        <f t="shared" si="24"/>
        <v>223855171.06</v>
      </c>
      <c r="I152" s="91">
        <v>0</v>
      </c>
      <c r="J152" s="91">
        <v>0</v>
      </c>
      <c r="K152" s="30">
        <v>0</v>
      </c>
      <c r="L152" s="28"/>
      <c r="M152" s="28"/>
      <c r="N152" s="30">
        <f t="shared" si="25"/>
        <v>0</v>
      </c>
      <c r="O152" s="30">
        <v>0</v>
      </c>
      <c r="P152" s="30">
        <v>0</v>
      </c>
      <c r="Q152" s="30">
        <v>0</v>
      </c>
      <c r="R152" s="30">
        <f t="shared" si="23"/>
        <v>0</v>
      </c>
      <c r="S152" s="30">
        <v>0</v>
      </c>
      <c r="T152" s="30">
        <v>0</v>
      </c>
      <c r="U152" s="106">
        <f t="shared" si="26"/>
        <v>195000000</v>
      </c>
      <c r="V152" s="105">
        <f t="shared" si="27"/>
        <v>25466977.210000001</v>
      </c>
      <c r="W152" s="106">
        <f t="shared" si="28"/>
        <v>3388193.85</v>
      </c>
      <c r="X152" s="106">
        <f t="shared" si="29"/>
        <v>223855171.06</v>
      </c>
      <c r="Y152" s="106">
        <v>0</v>
      </c>
      <c r="Z152" s="28">
        <v>1</v>
      </c>
      <c r="AA152" s="29" t="s">
        <v>408</v>
      </c>
      <c r="AB152" s="29" t="s">
        <v>414</v>
      </c>
      <c r="AC152" s="29" t="s">
        <v>416</v>
      </c>
      <c r="AD152" s="113" t="s">
        <v>436</v>
      </c>
      <c r="AE152" s="132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138">
        <v>9750000</v>
      </c>
      <c r="AR152" s="142">
        <f t="shared" si="30"/>
        <v>9750000</v>
      </c>
      <c r="AT152" s="143"/>
    </row>
    <row r="153" spans="1:46" x14ac:dyDescent="0.3">
      <c r="A153" s="96">
        <v>150</v>
      </c>
      <c r="B153" s="29" t="s">
        <v>326</v>
      </c>
      <c r="C153" s="28" t="s">
        <v>327</v>
      </c>
      <c r="D153" s="54">
        <v>4</v>
      </c>
      <c r="E153" s="30">
        <v>1996652041</v>
      </c>
      <c r="F153" s="30">
        <v>189186682.68000001</v>
      </c>
      <c r="G153" s="30">
        <v>17042554.59</v>
      </c>
      <c r="H153" s="91">
        <f t="shared" si="24"/>
        <v>2202881278.27</v>
      </c>
      <c r="I153" s="91">
        <v>0</v>
      </c>
      <c r="J153" s="91">
        <v>0</v>
      </c>
      <c r="K153" s="30">
        <v>10911</v>
      </c>
      <c r="L153" s="28"/>
      <c r="M153" s="28"/>
      <c r="N153" s="30">
        <f t="shared" si="25"/>
        <v>10911</v>
      </c>
      <c r="O153" s="30">
        <v>0</v>
      </c>
      <c r="P153" s="30">
        <v>0</v>
      </c>
      <c r="Q153" s="30">
        <v>0</v>
      </c>
      <c r="R153" s="30">
        <f t="shared" si="23"/>
        <v>0</v>
      </c>
      <c r="S153" s="30">
        <v>0</v>
      </c>
      <c r="T153" s="30">
        <v>0</v>
      </c>
      <c r="U153" s="106">
        <f t="shared" si="26"/>
        <v>1996641130</v>
      </c>
      <c r="V153" s="105">
        <f t="shared" si="27"/>
        <v>189186682.68000001</v>
      </c>
      <c r="W153" s="106">
        <f t="shared" si="28"/>
        <v>17042554.59</v>
      </c>
      <c r="X153" s="106">
        <f t="shared" si="29"/>
        <v>2202870367.27</v>
      </c>
      <c r="Y153" s="106">
        <v>1233000000</v>
      </c>
      <c r="Z153" s="146">
        <v>1233000000</v>
      </c>
      <c r="AA153" s="29" t="s">
        <v>408</v>
      </c>
      <c r="AB153" s="29" t="s">
        <v>412</v>
      </c>
      <c r="AC153" s="29" t="s">
        <v>416</v>
      </c>
      <c r="AD153" s="113" t="s">
        <v>436</v>
      </c>
      <c r="AE153" s="132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138">
        <v>399328226</v>
      </c>
      <c r="AR153" s="142">
        <f t="shared" si="30"/>
        <v>399328226</v>
      </c>
      <c r="AT153" s="143"/>
    </row>
    <row r="154" spans="1:46" x14ac:dyDescent="0.3">
      <c r="A154" s="96">
        <v>151</v>
      </c>
      <c r="B154" s="29" t="s">
        <v>328</v>
      </c>
      <c r="C154" s="28" t="s">
        <v>329</v>
      </c>
      <c r="D154" s="54">
        <v>4</v>
      </c>
      <c r="E154" s="30">
        <v>888347430.74000001</v>
      </c>
      <c r="F154" s="30">
        <v>86333068.780000001</v>
      </c>
      <c r="G154" s="30">
        <v>46513658.659999996</v>
      </c>
      <c r="H154" s="91">
        <f t="shared" si="24"/>
        <v>1021194158.1799999</v>
      </c>
      <c r="I154" s="91">
        <v>0</v>
      </c>
      <c r="J154" s="91">
        <v>0</v>
      </c>
      <c r="K154" s="30">
        <v>0</v>
      </c>
      <c r="L154" s="28"/>
      <c r="M154" s="28"/>
      <c r="N154" s="30">
        <f t="shared" si="25"/>
        <v>0</v>
      </c>
      <c r="O154" s="30">
        <v>0</v>
      </c>
      <c r="P154" s="30">
        <v>0</v>
      </c>
      <c r="Q154" s="30">
        <v>0</v>
      </c>
      <c r="R154" s="30">
        <f t="shared" si="23"/>
        <v>0</v>
      </c>
      <c r="S154" s="30">
        <v>0</v>
      </c>
      <c r="T154" s="30">
        <v>0</v>
      </c>
      <c r="U154" s="106">
        <f t="shared" si="26"/>
        <v>888347430.74000001</v>
      </c>
      <c r="V154" s="105">
        <f t="shared" si="27"/>
        <v>86333068.780000001</v>
      </c>
      <c r="W154" s="106">
        <f t="shared" si="28"/>
        <v>46513658.659999996</v>
      </c>
      <c r="X154" s="106">
        <f t="shared" si="29"/>
        <v>1021194158.1799999</v>
      </c>
      <c r="Y154" s="106">
        <v>1510000000</v>
      </c>
      <c r="Z154" s="146">
        <v>888347431</v>
      </c>
      <c r="AA154" s="29" t="s">
        <v>408</v>
      </c>
      <c r="AB154" s="29" t="s">
        <v>412</v>
      </c>
      <c r="AC154" s="29" t="s">
        <v>416</v>
      </c>
      <c r="AD154" s="113" t="s">
        <v>434</v>
      </c>
      <c r="AE154" s="132"/>
      <c r="AF154" s="30"/>
      <c r="AG154" s="30"/>
      <c r="AH154" s="30"/>
      <c r="AI154" s="30"/>
      <c r="AJ154" s="30"/>
      <c r="AK154" s="30"/>
      <c r="AL154" s="30"/>
      <c r="AM154" s="30"/>
      <c r="AN154" s="30">
        <v>1021194158.1799999</v>
      </c>
      <c r="AO154" s="30"/>
      <c r="AP154" s="30"/>
      <c r="AQ154" s="138"/>
      <c r="AR154" s="142">
        <f t="shared" si="30"/>
        <v>1021194158.1799999</v>
      </c>
    </row>
    <row r="155" spans="1:46" x14ac:dyDescent="0.3">
      <c r="A155" s="96">
        <v>152</v>
      </c>
      <c r="B155" s="29" t="s">
        <v>330</v>
      </c>
      <c r="C155" s="28" t="s">
        <v>331</v>
      </c>
      <c r="D155" s="54">
        <v>4</v>
      </c>
      <c r="E155" s="30">
        <v>808333341</v>
      </c>
      <c r="F155" s="30">
        <v>74479166.439999998</v>
      </c>
      <c r="G155" s="30">
        <v>29161962.899999999</v>
      </c>
      <c r="H155" s="91">
        <f t="shared" si="24"/>
        <v>911974470.34000003</v>
      </c>
      <c r="I155" s="91">
        <v>0</v>
      </c>
      <c r="J155" s="91">
        <v>0</v>
      </c>
      <c r="K155" s="30">
        <v>0</v>
      </c>
      <c r="L155" s="28"/>
      <c r="M155" s="28"/>
      <c r="N155" s="30">
        <f t="shared" si="25"/>
        <v>0</v>
      </c>
      <c r="O155" s="30">
        <v>0</v>
      </c>
      <c r="P155" s="30">
        <v>0</v>
      </c>
      <c r="Q155" s="30">
        <v>0</v>
      </c>
      <c r="R155" s="30">
        <f t="shared" si="23"/>
        <v>0</v>
      </c>
      <c r="S155" s="30">
        <v>0</v>
      </c>
      <c r="T155" s="30">
        <v>0</v>
      </c>
      <c r="U155" s="106">
        <f t="shared" si="26"/>
        <v>808333341</v>
      </c>
      <c r="V155" s="105">
        <f t="shared" si="27"/>
        <v>74479166.439999998</v>
      </c>
      <c r="W155" s="106">
        <f t="shared" si="28"/>
        <v>29161962.899999999</v>
      </c>
      <c r="X155" s="106">
        <f t="shared" si="29"/>
        <v>911974470.34000003</v>
      </c>
      <c r="Y155" s="106">
        <v>1081000000</v>
      </c>
      <c r="Z155" s="146">
        <v>808333341</v>
      </c>
      <c r="AA155" s="29" t="s">
        <v>408</v>
      </c>
      <c r="AB155" s="29" t="s">
        <v>412</v>
      </c>
      <c r="AC155" s="29" t="s">
        <v>416</v>
      </c>
      <c r="AD155" s="113" t="s">
        <v>434</v>
      </c>
      <c r="AE155" s="132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>
        <v>1081000000</v>
      </c>
      <c r="AQ155" s="138"/>
      <c r="AR155" s="142">
        <f t="shared" si="30"/>
        <v>1081000000</v>
      </c>
    </row>
    <row r="156" spans="1:46" x14ac:dyDescent="0.3">
      <c r="A156" s="96">
        <v>153</v>
      </c>
      <c r="B156" s="29" t="s">
        <v>332</v>
      </c>
      <c r="C156" s="28" t="s">
        <v>333</v>
      </c>
      <c r="D156" s="54">
        <v>4</v>
      </c>
      <c r="E156" s="30">
        <v>924999994</v>
      </c>
      <c r="F156" s="30">
        <v>57069720</v>
      </c>
      <c r="G156" s="30">
        <v>57957223.840000004</v>
      </c>
      <c r="H156" s="91">
        <f t="shared" si="24"/>
        <v>1040026937.84</v>
      </c>
      <c r="I156" s="91">
        <v>239574994.41</v>
      </c>
      <c r="J156" s="91">
        <v>191604777.08000001</v>
      </c>
      <c r="K156" s="30">
        <v>0</v>
      </c>
      <c r="L156" s="28"/>
      <c r="M156" s="28"/>
      <c r="N156" s="30">
        <f t="shared" si="25"/>
        <v>0</v>
      </c>
      <c r="O156" s="30">
        <v>924999994</v>
      </c>
      <c r="P156" s="30">
        <v>116000006</v>
      </c>
      <c r="Q156" s="30">
        <v>0</v>
      </c>
      <c r="R156" s="30">
        <f t="shared" si="23"/>
        <v>1041000000</v>
      </c>
      <c r="S156" s="30">
        <v>180644708.41000003</v>
      </c>
      <c r="T156" s="30">
        <v>249562000.91999999</v>
      </c>
      <c r="U156" s="106">
        <f>E156-K156-O156</f>
        <v>0</v>
      </c>
      <c r="V156" s="105">
        <f t="shared" si="27"/>
        <v>0</v>
      </c>
      <c r="W156" s="106">
        <f t="shared" si="28"/>
        <v>0</v>
      </c>
      <c r="X156" s="106">
        <f t="shared" si="29"/>
        <v>0</v>
      </c>
      <c r="Y156" s="106">
        <v>2555000000</v>
      </c>
      <c r="Z156" s="146">
        <v>924999994</v>
      </c>
      <c r="AA156" s="29" t="s">
        <v>408</v>
      </c>
      <c r="AB156" s="29" t="s">
        <v>412</v>
      </c>
      <c r="AC156" s="29" t="s">
        <v>417</v>
      </c>
      <c r="AD156" s="113" t="s">
        <v>434</v>
      </c>
      <c r="AE156" s="132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138">
        <v>0</v>
      </c>
      <c r="AR156" s="142">
        <f t="shared" si="30"/>
        <v>0</v>
      </c>
    </row>
    <row r="157" spans="1:46" x14ac:dyDescent="0.3">
      <c r="A157" s="96">
        <v>154</v>
      </c>
      <c r="B157" s="29" t="s">
        <v>334</v>
      </c>
      <c r="C157" s="28" t="s">
        <v>335</v>
      </c>
      <c r="D157" s="54">
        <v>4</v>
      </c>
      <c r="E157" s="30">
        <v>412499993</v>
      </c>
      <c r="F157" s="30">
        <v>36372885.609999999</v>
      </c>
      <c r="G157" s="30">
        <v>12932650.34</v>
      </c>
      <c r="H157" s="91">
        <f t="shared" si="24"/>
        <v>461805528.94999999</v>
      </c>
      <c r="I157" s="91">
        <v>0</v>
      </c>
      <c r="J157" s="91">
        <v>0</v>
      </c>
      <c r="K157" s="30">
        <v>7080</v>
      </c>
      <c r="L157" s="28"/>
      <c r="M157" s="28"/>
      <c r="N157" s="30">
        <f t="shared" si="25"/>
        <v>7080</v>
      </c>
      <c r="O157" s="30">
        <v>0</v>
      </c>
      <c r="P157" s="30">
        <v>0</v>
      </c>
      <c r="Q157" s="30">
        <v>0</v>
      </c>
      <c r="R157" s="30">
        <f t="shared" si="23"/>
        <v>0</v>
      </c>
      <c r="S157" s="30">
        <v>0</v>
      </c>
      <c r="T157" s="30">
        <v>0</v>
      </c>
      <c r="U157" s="106">
        <f t="shared" si="26"/>
        <v>412492913</v>
      </c>
      <c r="V157" s="105">
        <f t="shared" si="27"/>
        <v>36372885.609999999</v>
      </c>
      <c r="W157" s="106">
        <f t="shared" si="28"/>
        <v>12932650.34</v>
      </c>
      <c r="X157" s="106">
        <f t="shared" si="29"/>
        <v>461798448.94999999</v>
      </c>
      <c r="Y157" s="106">
        <v>1226000000</v>
      </c>
      <c r="Z157" s="146">
        <v>412492913</v>
      </c>
      <c r="AA157" s="29" t="s">
        <v>408</v>
      </c>
      <c r="AB157" s="29" t="s">
        <v>412</v>
      </c>
      <c r="AC157" s="29" t="s">
        <v>416</v>
      </c>
      <c r="AD157" s="113" t="s">
        <v>436</v>
      </c>
      <c r="AE157" s="132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138">
        <v>82498582.600000009</v>
      </c>
      <c r="AR157" s="142">
        <f t="shared" si="30"/>
        <v>82498582.600000009</v>
      </c>
      <c r="AT157" s="143"/>
    </row>
    <row r="158" spans="1:46" x14ac:dyDescent="0.3">
      <c r="A158" s="96">
        <v>155</v>
      </c>
      <c r="B158" s="29" t="s">
        <v>336</v>
      </c>
      <c r="C158" s="28" t="s">
        <v>337</v>
      </c>
      <c r="D158" s="54">
        <v>4</v>
      </c>
      <c r="E158" s="30">
        <v>1116786253.3499999</v>
      </c>
      <c r="F158" s="30">
        <v>116086396.79000001</v>
      </c>
      <c r="G158" s="30">
        <v>40266003.109999999</v>
      </c>
      <c r="H158" s="91">
        <f t="shared" si="24"/>
        <v>1273138653.2499998</v>
      </c>
      <c r="I158" s="91">
        <v>0</v>
      </c>
      <c r="J158" s="91">
        <v>0</v>
      </c>
      <c r="K158" s="30">
        <v>7082</v>
      </c>
      <c r="L158" s="28"/>
      <c r="M158" s="28"/>
      <c r="N158" s="30">
        <f t="shared" si="25"/>
        <v>7082</v>
      </c>
      <c r="O158" s="30">
        <v>0</v>
      </c>
      <c r="P158" s="30">
        <v>0</v>
      </c>
      <c r="Q158" s="30">
        <v>0</v>
      </c>
      <c r="R158" s="30">
        <f t="shared" si="23"/>
        <v>0</v>
      </c>
      <c r="S158" s="30">
        <v>0</v>
      </c>
      <c r="T158" s="30">
        <v>0</v>
      </c>
      <c r="U158" s="106">
        <f t="shared" si="26"/>
        <v>1116779171.3499999</v>
      </c>
      <c r="V158" s="105">
        <f t="shared" si="27"/>
        <v>116086396.79000001</v>
      </c>
      <c r="W158" s="106">
        <f t="shared" si="28"/>
        <v>40266003.109999999</v>
      </c>
      <c r="X158" s="106">
        <f t="shared" si="29"/>
        <v>1273131571.2499998</v>
      </c>
      <c r="Y158" s="106">
        <v>1155000000</v>
      </c>
      <c r="Z158" s="146">
        <v>1116779171</v>
      </c>
      <c r="AA158" s="29" t="s">
        <v>408</v>
      </c>
      <c r="AB158" s="29" t="s">
        <v>412</v>
      </c>
      <c r="AC158" s="29" t="s">
        <v>416</v>
      </c>
      <c r="AD158" s="113" t="s">
        <v>436</v>
      </c>
      <c r="AE158" s="132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138">
        <v>223355834.26999998</v>
      </c>
      <c r="AR158" s="142">
        <f t="shared" si="30"/>
        <v>223355834.26999998</v>
      </c>
      <c r="AT158" s="143"/>
    </row>
    <row r="159" spans="1:46" x14ac:dyDescent="0.3">
      <c r="A159" s="96">
        <v>156</v>
      </c>
      <c r="B159" s="29" t="s">
        <v>338</v>
      </c>
      <c r="C159" s="28" t="s">
        <v>339</v>
      </c>
      <c r="D159" s="54">
        <v>4</v>
      </c>
      <c r="E159" s="30">
        <v>783494676.02999997</v>
      </c>
      <c r="F159" s="30">
        <v>122561174.70999999</v>
      </c>
      <c r="G159" s="30">
        <v>30180178.460000001</v>
      </c>
      <c r="H159" s="91">
        <f t="shared" si="24"/>
        <v>936236029.20000005</v>
      </c>
      <c r="I159" s="91">
        <v>0</v>
      </c>
      <c r="J159" s="91">
        <v>0</v>
      </c>
      <c r="K159" s="30">
        <v>0</v>
      </c>
      <c r="L159" s="28"/>
      <c r="M159" s="28"/>
      <c r="N159" s="30">
        <f t="shared" si="25"/>
        <v>0</v>
      </c>
      <c r="O159" s="30">
        <v>0</v>
      </c>
      <c r="P159" s="30">
        <v>0</v>
      </c>
      <c r="Q159" s="30">
        <v>0</v>
      </c>
      <c r="R159" s="30">
        <f t="shared" si="23"/>
        <v>0</v>
      </c>
      <c r="S159" s="30">
        <v>0</v>
      </c>
      <c r="T159" s="30">
        <v>0</v>
      </c>
      <c r="U159" s="106">
        <f t="shared" si="26"/>
        <v>783494676.02999997</v>
      </c>
      <c r="V159" s="105">
        <f t="shared" si="27"/>
        <v>122561174.70999999</v>
      </c>
      <c r="W159" s="106">
        <f t="shared" si="28"/>
        <v>30180178.460000001</v>
      </c>
      <c r="X159" s="106">
        <f t="shared" si="29"/>
        <v>936236029.20000005</v>
      </c>
      <c r="Y159" s="106">
        <v>802000000</v>
      </c>
      <c r="Z159" s="146">
        <v>783494676</v>
      </c>
      <c r="AA159" s="29" t="s">
        <v>408</v>
      </c>
      <c r="AB159" s="29" t="s">
        <v>412</v>
      </c>
      <c r="AC159" s="29" t="s">
        <v>416</v>
      </c>
      <c r="AD159" s="113" t="s">
        <v>436</v>
      </c>
      <c r="AE159" s="132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138">
        <v>156698935.206</v>
      </c>
      <c r="AR159" s="142">
        <f t="shared" si="30"/>
        <v>156698935.206</v>
      </c>
      <c r="AT159" s="143"/>
    </row>
    <row r="160" spans="1:46" x14ac:dyDescent="0.3">
      <c r="A160" s="96">
        <v>157</v>
      </c>
      <c r="B160" s="29" t="s">
        <v>340</v>
      </c>
      <c r="C160" s="28" t="s">
        <v>341</v>
      </c>
      <c r="D160" s="54">
        <v>4</v>
      </c>
      <c r="E160" s="30">
        <v>1989705950.6300001</v>
      </c>
      <c r="F160" s="30">
        <v>275675261.45999998</v>
      </c>
      <c r="G160" s="30">
        <v>77728780.769999996</v>
      </c>
      <c r="H160" s="91">
        <f t="shared" si="24"/>
        <v>2343109992.8600001</v>
      </c>
      <c r="I160" s="91">
        <v>0</v>
      </c>
      <c r="J160" s="91">
        <v>0</v>
      </c>
      <c r="K160" s="30">
        <v>0</v>
      </c>
      <c r="L160" s="28"/>
      <c r="M160" s="28"/>
      <c r="N160" s="30">
        <f t="shared" si="25"/>
        <v>0</v>
      </c>
      <c r="O160" s="30">
        <v>0</v>
      </c>
      <c r="P160" s="30">
        <v>0</v>
      </c>
      <c r="Q160" s="30">
        <v>0</v>
      </c>
      <c r="R160" s="30">
        <f t="shared" si="23"/>
        <v>0</v>
      </c>
      <c r="S160" s="30">
        <v>0</v>
      </c>
      <c r="T160" s="30">
        <v>0</v>
      </c>
      <c r="U160" s="106">
        <f t="shared" si="26"/>
        <v>1989705950.6300001</v>
      </c>
      <c r="V160" s="105">
        <f t="shared" si="27"/>
        <v>275675261.45999998</v>
      </c>
      <c r="W160" s="106">
        <f t="shared" si="28"/>
        <v>77728780.769999996</v>
      </c>
      <c r="X160" s="106">
        <f t="shared" si="29"/>
        <v>2343109992.8600001</v>
      </c>
      <c r="Y160" s="106">
        <v>1945000000</v>
      </c>
      <c r="Z160" s="146">
        <v>1945000000</v>
      </c>
      <c r="AA160" s="29" t="s">
        <v>408</v>
      </c>
      <c r="AB160" s="29" t="s">
        <v>412</v>
      </c>
      <c r="AC160" s="29" t="s">
        <v>416</v>
      </c>
      <c r="AD160" s="113" t="s">
        <v>436</v>
      </c>
      <c r="AE160" s="132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138">
        <v>397941190.12600005</v>
      </c>
      <c r="AR160" s="142">
        <f t="shared" si="30"/>
        <v>397941190.12600005</v>
      </c>
      <c r="AT160" s="143"/>
    </row>
    <row r="161" spans="1:46" s="131" customFormat="1" x14ac:dyDescent="0.3">
      <c r="A161" s="122">
        <v>158</v>
      </c>
      <c r="B161" s="129" t="s">
        <v>342</v>
      </c>
      <c r="C161" s="211" t="s">
        <v>343</v>
      </c>
      <c r="D161" s="123">
        <v>4</v>
      </c>
      <c r="E161" s="126">
        <v>688453229</v>
      </c>
      <c r="F161" s="126">
        <v>79141307</v>
      </c>
      <c r="G161" s="126">
        <v>19254722</v>
      </c>
      <c r="H161" s="125">
        <f t="shared" si="24"/>
        <v>786849258</v>
      </c>
      <c r="I161" s="91">
        <v>0</v>
      </c>
      <c r="J161" s="91">
        <v>0</v>
      </c>
      <c r="K161" s="126">
        <v>7080</v>
      </c>
      <c r="L161" s="28"/>
      <c r="M161" s="28"/>
      <c r="N161" s="30">
        <f t="shared" si="25"/>
        <v>7080</v>
      </c>
      <c r="O161" s="126">
        <f>688453229-7080</f>
        <v>688446149</v>
      </c>
      <c r="P161" s="30">
        <v>0</v>
      </c>
      <c r="Q161" s="30">
        <v>0</v>
      </c>
      <c r="R161" s="126">
        <f t="shared" si="23"/>
        <v>688446149</v>
      </c>
      <c r="S161" s="30">
        <v>79141307</v>
      </c>
      <c r="T161" s="30">
        <v>19254722</v>
      </c>
      <c r="U161" s="127">
        <f>E161-K161-O161</f>
        <v>0</v>
      </c>
      <c r="V161" s="105">
        <f t="shared" si="27"/>
        <v>0</v>
      </c>
      <c r="W161" s="127">
        <f t="shared" si="28"/>
        <v>0</v>
      </c>
      <c r="X161" s="127">
        <f t="shared" si="29"/>
        <v>0</v>
      </c>
      <c r="Y161" s="127">
        <v>0</v>
      </c>
      <c r="Z161" s="212">
        <v>688446149</v>
      </c>
      <c r="AA161" s="129" t="s">
        <v>408</v>
      </c>
      <c r="AB161" s="129" t="s">
        <v>414</v>
      </c>
      <c r="AC161" s="129" t="s">
        <v>417</v>
      </c>
      <c r="AD161" s="130" t="s">
        <v>435</v>
      </c>
      <c r="AE161" s="134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39">
        <v>0</v>
      </c>
      <c r="AR161" s="210">
        <f t="shared" si="30"/>
        <v>0</v>
      </c>
    </row>
    <row r="162" spans="1:46" x14ac:dyDescent="0.3">
      <c r="A162" s="96">
        <v>159</v>
      </c>
      <c r="B162" s="29" t="s">
        <v>344</v>
      </c>
      <c r="C162" s="28" t="s">
        <v>341</v>
      </c>
      <c r="D162" s="54">
        <v>4</v>
      </c>
      <c r="E162" s="30">
        <v>249895597</v>
      </c>
      <c r="F162" s="30">
        <v>32950765.609999999</v>
      </c>
      <c r="G162" s="30">
        <v>4994549.71</v>
      </c>
      <c r="H162" s="91">
        <f t="shared" si="24"/>
        <v>287840912.31999999</v>
      </c>
      <c r="I162" s="91">
        <v>0</v>
      </c>
      <c r="J162" s="91">
        <v>0</v>
      </c>
      <c r="K162" s="30">
        <v>0</v>
      </c>
      <c r="L162" s="28"/>
      <c r="M162" s="28"/>
      <c r="N162" s="30">
        <f t="shared" si="25"/>
        <v>0</v>
      </c>
      <c r="O162" s="30">
        <v>0</v>
      </c>
      <c r="P162" s="30">
        <v>0</v>
      </c>
      <c r="Q162" s="30">
        <v>0</v>
      </c>
      <c r="R162" s="30">
        <f t="shared" si="23"/>
        <v>0</v>
      </c>
      <c r="S162" s="30">
        <v>0</v>
      </c>
      <c r="T162" s="30">
        <v>0</v>
      </c>
      <c r="U162" s="106">
        <f t="shared" si="26"/>
        <v>249895597</v>
      </c>
      <c r="V162" s="105">
        <f t="shared" si="27"/>
        <v>32950765.609999999</v>
      </c>
      <c r="W162" s="106">
        <f t="shared" si="28"/>
        <v>4994549.71</v>
      </c>
      <c r="X162" s="106">
        <f t="shared" si="29"/>
        <v>287840912.31999999</v>
      </c>
      <c r="Y162" s="106">
        <v>0</v>
      </c>
      <c r="Z162" s="28">
        <v>1</v>
      </c>
      <c r="AA162" s="29" t="s">
        <v>408</v>
      </c>
      <c r="AB162" s="29" t="s">
        <v>414</v>
      </c>
      <c r="AC162" s="29" t="s">
        <v>416</v>
      </c>
      <c r="AD162" s="113" t="s">
        <v>436</v>
      </c>
      <c r="AE162" s="132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138">
        <v>12494779.850000001</v>
      </c>
      <c r="AR162" s="142">
        <f t="shared" si="30"/>
        <v>12494779.850000001</v>
      </c>
      <c r="AT162" s="143"/>
    </row>
    <row r="163" spans="1:46" x14ac:dyDescent="0.3">
      <c r="A163" s="96">
        <v>160</v>
      </c>
      <c r="B163" s="29" t="s">
        <v>345</v>
      </c>
      <c r="C163" s="28" t="s">
        <v>346</v>
      </c>
      <c r="D163" s="54">
        <v>4</v>
      </c>
      <c r="E163" s="30">
        <v>1341666673</v>
      </c>
      <c r="F163" s="30">
        <v>158074583.38999999</v>
      </c>
      <c r="G163" s="30">
        <v>95937365.079999998</v>
      </c>
      <c r="H163" s="91">
        <f t="shared" si="24"/>
        <v>1595678621.4699998</v>
      </c>
      <c r="I163" s="91">
        <v>0</v>
      </c>
      <c r="J163" s="91">
        <v>0</v>
      </c>
      <c r="K163" s="30">
        <v>0</v>
      </c>
      <c r="L163" s="28"/>
      <c r="M163" s="28"/>
      <c r="N163" s="30">
        <f t="shared" si="25"/>
        <v>0</v>
      </c>
      <c r="O163" s="30">
        <v>0</v>
      </c>
      <c r="P163" s="30">
        <v>0</v>
      </c>
      <c r="Q163" s="30">
        <v>0</v>
      </c>
      <c r="R163" s="30">
        <f t="shared" si="23"/>
        <v>0</v>
      </c>
      <c r="S163" s="30">
        <v>0</v>
      </c>
      <c r="T163" s="30">
        <v>0</v>
      </c>
      <c r="U163" s="106">
        <f t="shared" si="26"/>
        <v>1341666673</v>
      </c>
      <c r="V163" s="105">
        <f t="shared" si="27"/>
        <v>158074583.38999999</v>
      </c>
      <c r="W163" s="106">
        <f t="shared" si="28"/>
        <v>95937365.079999998</v>
      </c>
      <c r="X163" s="106">
        <f t="shared" si="29"/>
        <v>1595678621.4699998</v>
      </c>
      <c r="Y163" s="106">
        <v>3127000000</v>
      </c>
      <c r="Z163" s="146">
        <v>1341661550</v>
      </c>
      <c r="AA163" s="29" t="s">
        <v>408</v>
      </c>
      <c r="AB163" s="29" t="s">
        <v>412</v>
      </c>
      <c r="AC163" s="29" t="s">
        <v>416</v>
      </c>
      <c r="AD163" s="113" t="s">
        <v>436</v>
      </c>
      <c r="AE163" s="132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138">
        <v>268333334.60000002</v>
      </c>
      <c r="AR163" s="142">
        <f t="shared" si="30"/>
        <v>268333334.60000002</v>
      </c>
      <c r="AT163" s="143"/>
    </row>
    <row r="164" spans="1:46" x14ac:dyDescent="0.3">
      <c r="A164" s="96">
        <v>161</v>
      </c>
      <c r="B164" s="29" t="s">
        <v>347</v>
      </c>
      <c r="C164" s="28" t="s">
        <v>348</v>
      </c>
      <c r="D164" s="54">
        <v>4</v>
      </c>
      <c r="E164" s="30">
        <v>1475256929.05</v>
      </c>
      <c r="F164" s="30">
        <v>266783704.19999999</v>
      </c>
      <c r="G164" s="30">
        <v>61771211.5</v>
      </c>
      <c r="H164" s="91">
        <f t="shared" si="24"/>
        <v>1803811844.75</v>
      </c>
      <c r="I164" s="91">
        <v>0</v>
      </c>
      <c r="J164" s="91">
        <v>0</v>
      </c>
      <c r="K164" s="30">
        <v>0</v>
      </c>
      <c r="L164" s="28"/>
      <c r="M164" s="28"/>
      <c r="N164" s="30">
        <f t="shared" si="25"/>
        <v>0</v>
      </c>
      <c r="O164" s="30">
        <v>1161823000</v>
      </c>
      <c r="P164" s="30">
        <v>0</v>
      </c>
      <c r="Q164" s="30">
        <v>0</v>
      </c>
      <c r="R164" s="30">
        <f t="shared" ref="R164:R195" si="31">SUM(O164:Q164)</f>
        <v>1161823000</v>
      </c>
      <c r="S164" s="30">
        <v>0</v>
      </c>
      <c r="T164" s="30">
        <v>0</v>
      </c>
      <c r="U164" s="106">
        <f t="shared" si="26"/>
        <v>313433929.04999995</v>
      </c>
      <c r="V164" s="105">
        <f t="shared" si="27"/>
        <v>266783704.19999999</v>
      </c>
      <c r="W164" s="106">
        <f t="shared" si="28"/>
        <v>61771211.5</v>
      </c>
      <c r="X164" s="106">
        <f t="shared" si="29"/>
        <v>641988844.75</v>
      </c>
      <c r="Y164" s="106">
        <v>1106000000</v>
      </c>
      <c r="Z164" s="146">
        <v>1106000000</v>
      </c>
      <c r="AA164" s="29" t="s">
        <v>408</v>
      </c>
      <c r="AB164" s="29" t="s">
        <v>412</v>
      </c>
      <c r="AC164" s="29" t="s">
        <v>416</v>
      </c>
      <c r="AD164" s="113" t="s">
        <v>436</v>
      </c>
      <c r="AE164" s="132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138">
        <v>0</v>
      </c>
      <c r="AR164" s="142">
        <f t="shared" si="30"/>
        <v>0</v>
      </c>
      <c r="AS164" t="s">
        <v>1426</v>
      </c>
      <c r="AT164" s="143"/>
    </row>
    <row r="165" spans="1:46" x14ac:dyDescent="0.3">
      <c r="A165" s="96">
        <v>162</v>
      </c>
      <c r="B165" s="29" t="s">
        <v>349</v>
      </c>
      <c r="C165" s="28" t="s">
        <v>346</v>
      </c>
      <c r="D165" s="54">
        <v>4</v>
      </c>
      <c r="E165" s="30">
        <v>341666668</v>
      </c>
      <c r="F165" s="30">
        <v>38147082.340000004</v>
      </c>
      <c r="G165" s="30">
        <v>10973964.460000001</v>
      </c>
      <c r="H165" s="91">
        <f t="shared" si="24"/>
        <v>390787714.80000001</v>
      </c>
      <c r="I165" s="91">
        <v>0</v>
      </c>
      <c r="J165" s="91">
        <v>0</v>
      </c>
      <c r="K165" s="30">
        <v>0</v>
      </c>
      <c r="L165" s="28"/>
      <c r="M165" s="28"/>
      <c r="N165" s="30">
        <f t="shared" si="25"/>
        <v>0</v>
      </c>
      <c r="O165" s="30">
        <v>0</v>
      </c>
      <c r="P165" s="30">
        <v>0</v>
      </c>
      <c r="Q165" s="30">
        <v>0</v>
      </c>
      <c r="R165" s="30">
        <f t="shared" si="31"/>
        <v>0</v>
      </c>
      <c r="S165" s="30">
        <v>0</v>
      </c>
      <c r="T165" s="30">
        <v>0</v>
      </c>
      <c r="U165" s="106">
        <f t="shared" si="26"/>
        <v>341666668</v>
      </c>
      <c r="V165" s="105">
        <f t="shared" si="27"/>
        <v>38147082.340000004</v>
      </c>
      <c r="W165" s="106">
        <f t="shared" si="28"/>
        <v>10973964.460000001</v>
      </c>
      <c r="X165" s="106">
        <f t="shared" si="29"/>
        <v>390787714.80000001</v>
      </c>
      <c r="Y165" s="106">
        <v>0</v>
      </c>
      <c r="Z165" s="146">
        <v>341666668</v>
      </c>
      <c r="AA165" s="29" t="s">
        <v>408</v>
      </c>
      <c r="AB165" s="29" t="s">
        <v>414</v>
      </c>
      <c r="AC165" s="29" t="s">
        <v>416</v>
      </c>
      <c r="AD165" s="113" t="s">
        <v>436</v>
      </c>
      <c r="AE165" s="132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138">
        <v>17083333.400000002</v>
      </c>
      <c r="AR165" s="142">
        <f t="shared" si="30"/>
        <v>17083333.400000002</v>
      </c>
      <c r="AT165" s="143"/>
    </row>
    <row r="166" spans="1:46" x14ac:dyDescent="0.3">
      <c r="A166" s="96">
        <v>163</v>
      </c>
      <c r="B166" s="29" t="s">
        <v>350</v>
      </c>
      <c r="C166" s="28" t="s">
        <v>237</v>
      </c>
      <c r="D166" s="54">
        <v>4</v>
      </c>
      <c r="E166" s="30">
        <v>466661893.06999999</v>
      </c>
      <c r="F166" s="30">
        <v>43205944.270000003</v>
      </c>
      <c r="G166" s="30">
        <v>34076694.729999997</v>
      </c>
      <c r="H166" s="91">
        <f t="shared" si="24"/>
        <v>543944532.06999993</v>
      </c>
      <c r="I166" s="91">
        <v>0</v>
      </c>
      <c r="J166" s="91">
        <v>0</v>
      </c>
      <c r="K166" s="30">
        <v>0</v>
      </c>
      <c r="L166" s="28"/>
      <c r="M166" s="28"/>
      <c r="N166" s="30">
        <f t="shared" si="25"/>
        <v>0</v>
      </c>
      <c r="O166" s="30">
        <v>0</v>
      </c>
      <c r="P166" s="30">
        <v>0</v>
      </c>
      <c r="Q166" s="30">
        <v>0</v>
      </c>
      <c r="R166" s="30">
        <f t="shared" si="31"/>
        <v>0</v>
      </c>
      <c r="S166" s="30">
        <v>0</v>
      </c>
      <c r="T166" s="30">
        <v>0</v>
      </c>
      <c r="U166" s="106">
        <f t="shared" si="26"/>
        <v>466661893.06999999</v>
      </c>
      <c r="V166" s="105">
        <f t="shared" si="27"/>
        <v>43205944.270000003</v>
      </c>
      <c r="W166" s="106">
        <f t="shared" si="28"/>
        <v>34076694.729999997</v>
      </c>
      <c r="X166" s="106">
        <f t="shared" si="29"/>
        <v>543944532.06999993</v>
      </c>
      <c r="Y166" s="106">
        <v>1745000000</v>
      </c>
      <c r="Z166" s="146">
        <v>465646486</v>
      </c>
      <c r="AA166" s="29" t="s">
        <v>408</v>
      </c>
      <c r="AB166" s="29" t="s">
        <v>412</v>
      </c>
      <c r="AC166" s="29" t="s">
        <v>416</v>
      </c>
      <c r="AD166" s="113" t="s">
        <v>436</v>
      </c>
      <c r="AE166" s="132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138">
        <v>93332378.614000008</v>
      </c>
      <c r="AR166" s="142">
        <f t="shared" si="30"/>
        <v>93332378.614000008</v>
      </c>
      <c r="AT166" s="143"/>
    </row>
    <row r="167" spans="1:46" s="131" customFormat="1" x14ac:dyDescent="0.3">
      <c r="A167" s="122">
        <v>164</v>
      </c>
      <c r="B167" s="129" t="s">
        <v>351</v>
      </c>
      <c r="C167" s="211" t="s">
        <v>352</v>
      </c>
      <c r="D167" s="123">
        <v>4</v>
      </c>
      <c r="E167" s="126">
        <v>190869093</v>
      </c>
      <c r="F167" s="126">
        <v>26370265</v>
      </c>
      <c r="G167" s="126">
        <v>58957148.950000003</v>
      </c>
      <c r="H167" s="125">
        <f t="shared" si="24"/>
        <v>276196506.94999999</v>
      </c>
      <c r="I167" s="125">
        <v>51977678</v>
      </c>
      <c r="J167" s="125">
        <v>193502490.69999999</v>
      </c>
      <c r="K167" s="126">
        <v>0</v>
      </c>
      <c r="L167" s="28"/>
      <c r="M167" s="28"/>
      <c r="N167" s="30">
        <f t="shared" si="25"/>
        <v>0</v>
      </c>
      <c r="O167" s="126">
        <v>190869093</v>
      </c>
      <c r="P167" s="126">
        <v>26370265</v>
      </c>
      <c r="Q167" s="126">
        <v>0</v>
      </c>
      <c r="R167" s="126">
        <f t="shared" si="31"/>
        <v>217239358</v>
      </c>
      <c r="S167" s="126">
        <v>51977678</v>
      </c>
      <c r="T167" s="126">
        <v>252459639.65000001</v>
      </c>
      <c r="U167" s="127">
        <f t="shared" si="26"/>
        <v>0</v>
      </c>
      <c r="V167" s="128">
        <f t="shared" si="27"/>
        <v>0</v>
      </c>
      <c r="W167" s="127">
        <f t="shared" si="28"/>
        <v>0</v>
      </c>
      <c r="X167" s="127">
        <f t="shared" si="29"/>
        <v>0</v>
      </c>
      <c r="Y167" s="127">
        <v>305000000</v>
      </c>
      <c r="Z167" s="212">
        <v>190869093</v>
      </c>
      <c r="AA167" s="129" t="s">
        <v>408</v>
      </c>
      <c r="AB167" s="129" t="s">
        <v>412</v>
      </c>
      <c r="AC167" s="129" t="s">
        <v>417</v>
      </c>
      <c r="AD167" s="130" t="s">
        <v>434</v>
      </c>
      <c r="AE167" s="134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39"/>
      <c r="AR167" s="210">
        <f t="shared" si="30"/>
        <v>0</v>
      </c>
    </row>
    <row r="168" spans="1:46" x14ac:dyDescent="0.3">
      <c r="A168" s="96">
        <v>165</v>
      </c>
      <c r="B168" s="29" t="s">
        <v>353</v>
      </c>
      <c r="C168" s="28" t="s">
        <v>354</v>
      </c>
      <c r="D168" s="54">
        <v>4</v>
      </c>
      <c r="E168" s="30">
        <v>1256860200</v>
      </c>
      <c r="F168" s="30">
        <v>143494025</v>
      </c>
      <c r="G168" s="30">
        <v>40746739</v>
      </c>
      <c r="H168" s="91">
        <f t="shared" si="24"/>
        <v>1441100964</v>
      </c>
      <c r="I168" s="91">
        <v>46250124</v>
      </c>
      <c r="J168" s="91">
        <v>618032609</v>
      </c>
      <c r="K168" s="30">
        <v>0</v>
      </c>
      <c r="L168" s="28"/>
      <c r="M168" s="28"/>
      <c r="N168" s="30">
        <f t="shared" si="25"/>
        <v>0</v>
      </c>
      <c r="O168" s="30">
        <v>1256860200</v>
      </c>
      <c r="P168" s="30">
        <v>57139800</v>
      </c>
      <c r="Q168" s="30">
        <v>0</v>
      </c>
      <c r="R168" s="30">
        <f t="shared" si="31"/>
        <v>1314000000</v>
      </c>
      <c r="S168" s="30">
        <v>132604349</v>
      </c>
      <c r="T168" s="30">
        <v>658779348</v>
      </c>
      <c r="U168" s="106">
        <f t="shared" si="26"/>
        <v>0</v>
      </c>
      <c r="V168" s="105">
        <f t="shared" si="27"/>
        <v>0</v>
      </c>
      <c r="W168" s="106">
        <f t="shared" si="28"/>
        <v>0</v>
      </c>
      <c r="X168" s="106">
        <f t="shared" si="29"/>
        <v>0</v>
      </c>
      <c r="Y168" s="106">
        <v>1297000000</v>
      </c>
      <c r="Z168" s="146">
        <v>1256852151</v>
      </c>
      <c r="AA168" s="29" t="s">
        <v>408</v>
      </c>
      <c r="AB168" s="29" t="s">
        <v>412</v>
      </c>
      <c r="AC168" s="29" t="s">
        <v>417</v>
      </c>
      <c r="AD168" s="113" t="s">
        <v>434</v>
      </c>
      <c r="AE168" s="132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138"/>
      <c r="AR168" s="142">
        <f t="shared" si="30"/>
        <v>0</v>
      </c>
    </row>
    <row r="169" spans="1:46" x14ac:dyDescent="0.3">
      <c r="A169" s="96">
        <v>166</v>
      </c>
      <c r="B169" s="29" t="s">
        <v>355</v>
      </c>
      <c r="C169" s="28" t="s">
        <v>356</v>
      </c>
      <c r="D169" s="54">
        <v>4</v>
      </c>
      <c r="E169" s="30">
        <v>1106651144.24</v>
      </c>
      <c r="F169" s="30">
        <v>163371801.72999999</v>
      </c>
      <c r="G169" s="30">
        <v>34444664.780000001</v>
      </c>
      <c r="H169" s="91">
        <f t="shared" si="24"/>
        <v>1304467610.75</v>
      </c>
      <c r="I169" s="91">
        <v>0</v>
      </c>
      <c r="J169" s="91">
        <v>0</v>
      </c>
      <c r="K169" s="30">
        <v>0</v>
      </c>
      <c r="L169" s="28"/>
      <c r="M169" s="28"/>
      <c r="N169" s="30">
        <f t="shared" si="25"/>
        <v>0</v>
      </c>
      <c r="O169" s="30">
        <v>0</v>
      </c>
      <c r="P169" s="30">
        <v>0</v>
      </c>
      <c r="Q169" s="30">
        <v>0</v>
      </c>
      <c r="R169" s="30">
        <f t="shared" si="31"/>
        <v>0</v>
      </c>
      <c r="S169" s="30">
        <v>0</v>
      </c>
      <c r="T169" s="30">
        <v>0</v>
      </c>
      <c r="U169" s="106">
        <f t="shared" si="26"/>
        <v>1106651144.24</v>
      </c>
      <c r="V169" s="105">
        <f t="shared" si="27"/>
        <v>163371801.72999999</v>
      </c>
      <c r="W169" s="106">
        <f t="shared" si="28"/>
        <v>34444664.780000001</v>
      </c>
      <c r="X169" s="106">
        <f t="shared" si="29"/>
        <v>1304467610.75</v>
      </c>
      <c r="Y169" s="106">
        <v>649000000</v>
      </c>
      <c r="Z169" s="146">
        <v>649000000</v>
      </c>
      <c r="AA169" s="29" t="s">
        <v>408</v>
      </c>
      <c r="AB169" s="29" t="s">
        <v>412</v>
      </c>
      <c r="AC169" s="29" t="s">
        <v>416</v>
      </c>
      <c r="AD169" s="113" t="s">
        <v>436</v>
      </c>
      <c r="AE169" s="132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138">
        <v>221330228.84800002</v>
      </c>
      <c r="AR169" s="142">
        <f t="shared" si="30"/>
        <v>221330228.84800002</v>
      </c>
      <c r="AT169" s="143"/>
    </row>
    <row r="170" spans="1:46" x14ac:dyDescent="0.3">
      <c r="A170" s="96">
        <v>167</v>
      </c>
      <c r="B170" s="29" t="s">
        <v>357</v>
      </c>
      <c r="C170" s="28" t="s">
        <v>358</v>
      </c>
      <c r="D170" s="54">
        <v>4</v>
      </c>
      <c r="E170" s="30">
        <v>1979443924.9100001</v>
      </c>
      <c r="F170" s="30">
        <v>608980223.88</v>
      </c>
      <c r="G170" s="30">
        <v>248259656.62</v>
      </c>
      <c r="H170" s="91">
        <f t="shared" si="24"/>
        <v>2836683805.4099998</v>
      </c>
      <c r="I170" s="91">
        <v>0</v>
      </c>
      <c r="J170" s="91">
        <v>0</v>
      </c>
      <c r="K170" s="30">
        <v>0</v>
      </c>
      <c r="L170" s="28"/>
      <c r="M170" s="28"/>
      <c r="N170" s="30">
        <f t="shared" si="25"/>
        <v>0</v>
      </c>
      <c r="O170" s="30">
        <v>0</v>
      </c>
      <c r="P170" s="30">
        <v>0</v>
      </c>
      <c r="Q170" s="30">
        <v>0</v>
      </c>
      <c r="R170" s="30">
        <f t="shared" si="31"/>
        <v>0</v>
      </c>
      <c r="S170" s="30">
        <v>0</v>
      </c>
      <c r="T170" s="30">
        <v>0</v>
      </c>
      <c r="U170" s="106">
        <f t="shared" si="26"/>
        <v>1979443924.9100001</v>
      </c>
      <c r="V170" s="105">
        <f t="shared" si="27"/>
        <v>608980223.88</v>
      </c>
      <c r="W170" s="106">
        <f t="shared" si="28"/>
        <v>248259656.62</v>
      </c>
      <c r="X170" s="106">
        <f t="shared" si="29"/>
        <v>2836683805.4099998</v>
      </c>
      <c r="Y170" s="106">
        <v>0</v>
      </c>
      <c r="Z170" s="146">
        <v>1595300000</v>
      </c>
      <c r="AA170" s="29" t="s">
        <v>410</v>
      </c>
      <c r="AB170" s="29" t="s">
        <v>414</v>
      </c>
      <c r="AC170" s="29" t="s">
        <v>416</v>
      </c>
      <c r="AD170" s="113" t="s">
        <v>436</v>
      </c>
      <c r="AE170" s="132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138">
        <v>98972196.245500013</v>
      </c>
      <c r="AR170" s="142">
        <f t="shared" si="30"/>
        <v>98972196.245500013</v>
      </c>
      <c r="AT170" s="143"/>
    </row>
    <row r="171" spans="1:46" x14ac:dyDescent="0.3">
      <c r="A171" s="96">
        <v>168</v>
      </c>
      <c r="B171" s="29" t="s">
        <v>359</v>
      </c>
      <c r="C171" s="28" t="s">
        <v>242</v>
      </c>
      <c r="D171" s="54">
        <v>4</v>
      </c>
      <c r="E171" s="30">
        <v>2483022380</v>
      </c>
      <c r="F171" s="30">
        <v>293814301</v>
      </c>
      <c r="G171" s="30">
        <v>116406577</v>
      </c>
      <c r="H171" s="91">
        <f t="shared" si="24"/>
        <v>2893243258</v>
      </c>
      <c r="I171" s="91">
        <v>1286547861</v>
      </c>
      <c r="J171" s="91">
        <v>1097951462.77</v>
      </c>
      <c r="K171" s="30">
        <v>0</v>
      </c>
      <c r="L171" s="28"/>
      <c r="M171" s="28"/>
      <c r="N171" s="30">
        <f t="shared" si="25"/>
        <v>0</v>
      </c>
      <c r="O171" s="30">
        <v>2483022380</v>
      </c>
      <c r="P171" s="30">
        <v>1580362162</v>
      </c>
      <c r="Q171" s="30">
        <v>84815675</v>
      </c>
      <c r="R171" s="30">
        <f t="shared" si="31"/>
        <v>4148200217</v>
      </c>
      <c r="S171" s="30">
        <v>0</v>
      </c>
      <c r="T171" s="30">
        <v>1129542364.77</v>
      </c>
      <c r="U171" s="106">
        <f>E171-K171-O171</f>
        <v>0</v>
      </c>
      <c r="V171" s="105">
        <f t="shared" si="27"/>
        <v>0</v>
      </c>
      <c r="W171" s="106">
        <f t="shared" si="28"/>
        <v>0</v>
      </c>
      <c r="X171" s="106">
        <f t="shared" si="29"/>
        <v>0</v>
      </c>
      <c r="Y171" s="106">
        <v>4988000000</v>
      </c>
      <c r="Z171" s="146">
        <v>2477206107</v>
      </c>
      <c r="AA171" s="29" t="s">
        <v>408</v>
      </c>
      <c r="AB171" s="29" t="s">
        <v>412</v>
      </c>
      <c r="AC171" s="29" t="s">
        <v>417</v>
      </c>
      <c r="AD171" s="113" t="s">
        <v>434</v>
      </c>
      <c r="AE171" s="132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138">
        <v>0</v>
      </c>
      <c r="AR171" s="142">
        <f t="shared" si="30"/>
        <v>0</v>
      </c>
    </row>
    <row r="172" spans="1:46" x14ac:dyDescent="0.3">
      <c r="A172" s="96">
        <v>169</v>
      </c>
      <c r="B172" s="29" t="s">
        <v>360</v>
      </c>
      <c r="C172" s="28" t="s">
        <v>361</v>
      </c>
      <c r="D172" s="54">
        <v>4</v>
      </c>
      <c r="E172" s="30">
        <v>1962426625.0699999</v>
      </c>
      <c r="F172" s="30">
        <v>339802804.82999998</v>
      </c>
      <c r="G172" s="30">
        <v>55030011.909999996</v>
      </c>
      <c r="H172" s="91">
        <f t="shared" si="24"/>
        <v>2357259441.8099999</v>
      </c>
      <c r="I172" s="91">
        <v>0</v>
      </c>
      <c r="J172" s="91">
        <v>0</v>
      </c>
      <c r="K172" s="30">
        <v>0</v>
      </c>
      <c r="L172" s="28"/>
      <c r="M172" s="28"/>
      <c r="N172" s="30">
        <f t="shared" si="25"/>
        <v>0</v>
      </c>
      <c r="O172" s="30">
        <v>1256750000</v>
      </c>
      <c r="P172" s="30">
        <v>0</v>
      </c>
      <c r="Q172" s="30">
        <v>0</v>
      </c>
      <c r="R172" s="30">
        <f t="shared" si="31"/>
        <v>1256750000</v>
      </c>
      <c r="S172" s="30">
        <v>0</v>
      </c>
      <c r="T172" s="30">
        <v>0</v>
      </c>
      <c r="U172" s="106">
        <f t="shared" si="26"/>
        <v>705676625.06999993</v>
      </c>
      <c r="V172" s="105">
        <f t="shared" si="27"/>
        <v>339802804.82999998</v>
      </c>
      <c r="W172" s="106">
        <f t="shared" si="28"/>
        <v>55030011.909999996</v>
      </c>
      <c r="X172" s="106">
        <f t="shared" si="29"/>
        <v>1100509441.8099999</v>
      </c>
      <c r="Y172" s="106">
        <v>1316000000</v>
      </c>
      <c r="Z172" s="146">
        <v>1316000000</v>
      </c>
      <c r="AA172" s="29" t="s">
        <v>408</v>
      </c>
      <c r="AB172" s="29" t="s">
        <v>412</v>
      </c>
      <c r="AC172" s="29" t="s">
        <v>416</v>
      </c>
      <c r="AD172" s="113" t="s">
        <v>436</v>
      </c>
      <c r="AE172" s="132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138">
        <v>0</v>
      </c>
      <c r="AR172" s="142">
        <f t="shared" si="30"/>
        <v>0</v>
      </c>
      <c r="AS172" t="s">
        <v>1426</v>
      </c>
      <c r="AT172" s="143"/>
    </row>
    <row r="173" spans="1:46" x14ac:dyDescent="0.3">
      <c r="A173" s="96">
        <v>170</v>
      </c>
      <c r="B173" s="29" t="s">
        <v>362</v>
      </c>
      <c r="C173" s="28" t="s">
        <v>363</v>
      </c>
      <c r="D173" s="54">
        <v>4</v>
      </c>
      <c r="E173" s="30">
        <v>1373686426.27</v>
      </c>
      <c r="F173" s="30">
        <v>234453370.34</v>
      </c>
      <c r="G173" s="30">
        <v>84439739.409999996</v>
      </c>
      <c r="H173" s="91">
        <f t="shared" si="24"/>
        <v>1692579536.02</v>
      </c>
      <c r="I173" s="91">
        <v>0</v>
      </c>
      <c r="J173" s="91">
        <v>0</v>
      </c>
      <c r="K173" s="30">
        <v>0</v>
      </c>
      <c r="L173" s="28"/>
      <c r="M173" s="28"/>
      <c r="N173" s="30">
        <f t="shared" si="25"/>
        <v>0</v>
      </c>
      <c r="O173" s="30">
        <v>0</v>
      </c>
      <c r="P173" s="30">
        <v>0</v>
      </c>
      <c r="Q173" s="30">
        <v>0</v>
      </c>
      <c r="R173" s="30">
        <f t="shared" si="31"/>
        <v>0</v>
      </c>
      <c r="S173" s="30">
        <v>0</v>
      </c>
      <c r="T173" s="30">
        <v>0</v>
      </c>
      <c r="U173" s="106">
        <f t="shared" si="26"/>
        <v>1373686426.27</v>
      </c>
      <c r="V173" s="105">
        <f t="shared" si="27"/>
        <v>234453370.34</v>
      </c>
      <c r="W173" s="106">
        <f t="shared" si="28"/>
        <v>84439739.409999996</v>
      </c>
      <c r="X173" s="106">
        <f t="shared" si="29"/>
        <v>1692579536.02</v>
      </c>
      <c r="Y173" s="106">
        <v>1027000000</v>
      </c>
      <c r="Z173" s="146">
        <v>1027000000</v>
      </c>
      <c r="AA173" s="29" t="s">
        <v>408</v>
      </c>
      <c r="AB173" s="29" t="s">
        <v>412</v>
      </c>
      <c r="AC173" s="29" t="s">
        <v>416</v>
      </c>
      <c r="AD173" s="113" t="s">
        <v>436</v>
      </c>
      <c r="AE173" s="132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138">
        <v>274737285.25400001</v>
      </c>
      <c r="AR173" s="142">
        <f t="shared" si="30"/>
        <v>274737285.25400001</v>
      </c>
      <c r="AT173" s="143"/>
    </row>
    <row r="174" spans="1:46" x14ac:dyDescent="0.3">
      <c r="A174" s="96">
        <v>171</v>
      </c>
      <c r="B174" s="29" t="s">
        <v>364</v>
      </c>
      <c r="C174" s="28" t="s">
        <v>365</v>
      </c>
      <c r="D174" s="54">
        <v>4</v>
      </c>
      <c r="E174" s="30">
        <v>1560070176.8900001</v>
      </c>
      <c r="F174" s="30">
        <v>184981676.66</v>
      </c>
      <c r="G174" s="30">
        <v>74685624.530000001</v>
      </c>
      <c r="H174" s="91">
        <f t="shared" si="24"/>
        <v>1819737478.0800002</v>
      </c>
      <c r="I174" s="91">
        <v>0</v>
      </c>
      <c r="J174" s="91">
        <v>0</v>
      </c>
      <c r="K174" s="30">
        <v>0</v>
      </c>
      <c r="L174" s="28"/>
      <c r="M174" s="28"/>
      <c r="N174" s="30">
        <f t="shared" si="25"/>
        <v>0</v>
      </c>
      <c r="O174" s="30">
        <v>0</v>
      </c>
      <c r="P174" s="30">
        <v>0</v>
      </c>
      <c r="Q174" s="30">
        <v>0</v>
      </c>
      <c r="R174" s="30">
        <f t="shared" si="31"/>
        <v>0</v>
      </c>
      <c r="S174" s="30">
        <v>0</v>
      </c>
      <c r="T174" s="30">
        <v>0</v>
      </c>
      <c r="U174" s="106">
        <f t="shared" si="26"/>
        <v>1560070176.8900001</v>
      </c>
      <c r="V174" s="105">
        <f t="shared" si="27"/>
        <v>184981676.66</v>
      </c>
      <c r="W174" s="106">
        <f t="shared" si="28"/>
        <v>74685624.530000001</v>
      </c>
      <c r="X174" s="106">
        <f t="shared" si="29"/>
        <v>1819737478.0800002</v>
      </c>
      <c r="Y174" s="106">
        <v>1121000000</v>
      </c>
      <c r="Z174" s="146">
        <v>1121000000</v>
      </c>
      <c r="AA174" s="29" t="s">
        <v>408</v>
      </c>
      <c r="AB174" s="29" t="s">
        <v>412</v>
      </c>
      <c r="AC174" s="29" t="s">
        <v>416</v>
      </c>
      <c r="AD174" s="113" t="s">
        <v>436</v>
      </c>
      <c r="AE174" s="132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138">
        <v>312014035.37800002</v>
      </c>
      <c r="AR174" s="142">
        <f t="shared" si="30"/>
        <v>312014035.37800002</v>
      </c>
      <c r="AT174" s="143"/>
    </row>
    <row r="175" spans="1:46" x14ac:dyDescent="0.3">
      <c r="A175" s="96">
        <v>172</v>
      </c>
      <c r="B175" s="29" t="s">
        <v>366</v>
      </c>
      <c r="C175" s="28" t="s">
        <v>367</v>
      </c>
      <c r="D175" s="54">
        <v>4</v>
      </c>
      <c r="E175" s="30">
        <v>1094338268.55</v>
      </c>
      <c r="F175" s="30">
        <v>174522770.34999999</v>
      </c>
      <c r="G175" s="30">
        <v>50004829.269999996</v>
      </c>
      <c r="H175" s="91">
        <f t="shared" si="24"/>
        <v>1318865868.1699998</v>
      </c>
      <c r="I175" s="91">
        <v>0</v>
      </c>
      <c r="J175" s="91">
        <v>0</v>
      </c>
      <c r="K175" s="30">
        <v>0</v>
      </c>
      <c r="L175" s="28"/>
      <c r="M175" s="28"/>
      <c r="N175" s="30">
        <f t="shared" si="25"/>
        <v>0</v>
      </c>
      <c r="O175" s="30">
        <v>0</v>
      </c>
      <c r="P175" s="30">
        <v>0</v>
      </c>
      <c r="Q175" s="30">
        <v>0</v>
      </c>
      <c r="R175" s="30">
        <f t="shared" si="31"/>
        <v>0</v>
      </c>
      <c r="S175" s="30">
        <v>0</v>
      </c>
      <c r="T175" s="30">
        <v>0</v>
      </c>
      <c r="U175" s="106">
        <f t="shared" si="26"/>
        <v>1094338268.55</v>
      </c>
      <c r="V175" s="105">
        <f t="shared" si="27"/>
        <v>174522770.34999999</v>
      </c>
      <c r="W175" s="106">
        <f t="shared" si="28"/>
        <v>50004829.269999996</v>
      </c>
      <c r="X175" s="106">
        <f t="shared" si="29"/>
        <v>1318865868.1699998</v>
      </c>
      <c r="Y175" s="106">
        <v>644000000</v>
      </c>
      <c r="Z175" s="146">
        <v>644000000</v>
      </c>
      <c r="AA175" s="29" t="s">
        <v>408</v>
      </c>
      <c r="AB175" s="29" t="s">
        <v>412</v>
      </c>
      <c r="AC175" s="29" t="s">
        <v>416</v>
      </c>
      <c r="AD175" s="113" t="s">
        <v>436</v>
      </c>
      <c r="AE175" s="132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138">
        <v>218867653.71000001</v>
      </c>
      <c r="AR175" s="142">
        <f t="shared" si="30"/>
        <v>218867653.71000001</v>
      </c>
      <c r="AT175" s="143"/>
    </row>
    <row r="176" spans="1:46" x14ac:dyDescent="0.3">
      <c r="A176" s="96">
        <v>173</v>
      </c>
      <c r="B176" s="29" t="s">
        <v>368</v>
      </c>
      <c r="C176" s="28" t="s">
        <v>369</v>
      </c>
      <c r="D176" s="54">
        <v>4</v>
      </c>
      <c r="E176" s="30">
        <v>781764426.37</v>
      </c>
      <c r="F176" s="30">
        <v>104903082.41</v>
      </c>
      <c r="G176" s="30">
        <v>37946981.310000002</v>
      </c>
      <c r="H176" s="91">
        <f t="shared" si="24"/>
        <v>924614490.08999991</v>
      </c>
      <c r="I176" s="91">
        <v>0</v>
      </c>
      <c r="J176" s="91">
        <v>0</v>
      </c>
      <c r="K176" s="30">
        <v>0</v>
      </c>
      <c r="L176" s="28"/>
      <c r="M176" s="28"/>
      <c r="N176" s="30">
        <f t="shared" si="25"/>
        <v>0</v>
      </c>
      <c r="O176" s="30">
        <v>0</v>
      </c>
      <c r="P176" s="30">
        <v>0</v>
      </c>
      <c r="Q176" s="30">
        <v>0</v>
      </c>
      <c r="R176" s="30">
        <f t="shared" si="31"/>
        <v>0</v>
      </c>
      <c r="S176" s="30">
        <v>0</v>
      </c>
      <c r="T176" s="30">
        <v>0</v>
      </c>
      <c r="U176" s="106">
        <f t="shared" si="26"/>
        <v>781764426.37</v>
      </c>
      <c r="V176" s="105">
        <f t="shared" si="27"/>
        <v>104903082.41</v>
      </c>
      <c r="W176" s="106">
        <f t="shared" si="28"/>
        <v>37946981.310000002</v>
      </c>
      <c r="X176" s="106">
        <f t="shared" si="29"/>
        <v>924614490.08999991</v>
      </c>
      <c r="Y176" s="106">
        <v>0</v>
      </c>
      <c r="Z176" s="146">
        <v>778512509</v>
      </c>
      <c r="AA176" s="29" t="s">
        <v>408</v>
      </c>
      <c r="AB176" s="29" t="s">
        <v>414</v>
      </c>
      <c r="AC176" s="29" t="s">
        <v>416</v>
      </c>
      <c r="AD176" s="113" t="s">
        <v>436</v>
      </c>
      <c r="AE176" s="132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138">
        <v>39088221.318500005</v>
      </c>
      <c r="AR176" s="142">
        <f t="shared" si="30"/>
        <v>39088221.318500005</v>
      </c>
      <c r="AT176" s="143"/>
    </row>
    <row r="177" spans="1:46" x14ac:dyDescent="0.3">
      <c r="A177" s="96">
        <v>174</v>
      </c>
      <c r="B177" s="29" t="s">
        <v>370</v>
      </c>
      <c r="C177" s="28" t="s">
        <v>371</v>
      </c>
      <c r="D177" s="54">
        <v>4</v>
      </c>
      <c r="E177" s="30">
        <v>1479666004.01</v>
      </c>
      <c r="F177" s="30">
        <v>311058104.29000002</v>
      </c>
      <c r="G177" s="30">
        <v>84973434.700000003</v>
      </c>
      <c r="H177" s="91">
        <f t="shared" si="24"/>
        <v>1875697543</v>
      </c>
      <c r="I177" s="91">
        <v>0</v>
      </c>
      <c r="J177" s="91">
        <v>0</v>
      </c>
      <c r="K177" s="30">
        <v>0</v>
      </c>
      <c r="L177" s="28"/>
      <c r="M177" s="28"/>
      <c r="N177" s="30">
        <f t="shared" si="25"/>
        <v>0</v>
      </c>
      <c r="O177" s="30">
        <v>1479666004.01</v>
      </c>
      <c r="P177" s="30">
        <v>7238995.9900000002</v>
      </c>
      <c r="Q177" s="30">
        <v>0</v>
      </c>
      <c r="R177" s="30">
        <f t="shared" si="31"/>
        <v>1486905000</v>
      </c>
      <c r="S177" s="30">
        <v>0</v>
      </c>
      <c r="T177" s="30">
        <v>0</v>
      </c>
      <c r="U177" s="106">
        <v>0</v>
      </c>
      <c r="V177" s="105">
        <f t="shared" si="27"/>
        <v>303819108.30000001</v>
      </c>
      <c r="W177" s="106">
        <f t="shared" si="28"/>
        <v>84973434.700000003</v>
      </c>
      <c r="X177" s="106">
        <f t="shared" si="29"/>
        <v>388792543</v>
      </c>
      <c r="Y177" s="106">
        <v>1557000000</v>
      </c>
      <c r="Z177" s="146">
        <v>1479666004</v>
      </c>
      <c r="AA177" s="29" t="s">
        <v>408</v>
      </c>
      <c r="AB177" s="29" t="s">
        <v>412</v>
      </c>
      <c r="AC177" s="29" t="s">
        <v>416</v>
      </c>
      <c r="AD177" s="113" t="s">
        <v>436</v>
      </c>
      <c r="AE177" s="132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138">
        <v>0</v>
      </c>
      <c r="AR177" s="142">
        <f t="shared" si="30"/>
        <v>0</v>
      </c>
      <c r="AS177" t="s">
        <v>1426</v>
      </c>
    </row>
    <row r="178" spans="1:46" x14ac:dyDescent="0.3">
      <c r="A178" s="96">
        <v>175</v>
      </c>
      <c r="B178" s="29" t="s">
        <v>372</v>
      </c>
      <c r="C178" s="28" t="s">
        <v>373</v>
      </c>
      <c r="D178" s="54">
        <v>4</v>
      </c>
      <c r="E178" s="30">
        <v>613411664.42999995</v>
      </c>
      <c r="F178" s="30">
        <v>118679414.89</v>
      </c>
      <c r="G178" s="30">
        <v>34826119.520000003</v>
      </c>
      <c r="H178" s="91">
        <f t="shared" si="24"/>
        <v>766917198.83999991</v>
      </c>
      <c r="I178" s="91">
        <v>0</v>
      </c>
      <c r="J178" s="91">
        <v>0</v>
      </c>
      <c r="K178" s="30">
        <v>0</v>
      </c>
      <c r="L178" s="28"/>
      <c r="M178" s="28"/>
      <c r="N178" s="30">
        <f t="shared" si="25"/>
        <v>0</v>
      </c>
      <c r="O178" s="30">
        <v>526679600</v>
      </c>
      <c r="P178" s="30">
        <v>0</v>
      </c>
      <c r="Q178" s="30">
        <v>0</v>
      </c>
      <c r="R178" s="30">
        <f t="shared" si="31"/>
        <v>526679600</v>
      </c>
      <c r="S178" s="30">
        <v>0</v>
      </c>
      <c r="T178" s="30">
        <v>0</v>
      </c>
      <c r="U178" s="106">
        <f t="shared" si="26"/>
        <v>86732064.429999948</v>
      </c>
      <c r="V178" s="105">
        <f t="shared" si="27"/>
        <v>118679414.89</v>
      </c>
      <c r="W178" s="106">
        <f t="shared" si="28"/>
        <v>34826119.520000003</v>
      </c>
      <c r="X178" s="106">
        <f t="shared" si="29"/>
        <v>240237598.83999994</v>
      </c>
      <c r="Y178" s="106">
        <v>518000000</v>
      </c>
      <c r="Z178" s="146">
        <v>518000000</v>
      </c>
      <c r="AA178" s="29" t="s">
        <v>410</v>
      </c>
      <c r="AB178" s="29" t="s">
        <v>412</v>
      </c>
      <c r="AC178" s="29" t="s">
        <v>416</v>
      </c>
      <c r="AD178" s="113" t="s">
        <v>436</v>
      </c>
      <c r="AE178" s="132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138">
        <v>0</v>
      </c>
      <c r="AR178" s="142">
        <f t="shared" si="30"/>
        <v>0</v>
      </c>
      <c r="AS178" t="s">
        <v>1426</v>
      </c>
    </row>
    <row r="179" spans="1:46" x14ac:dyDescent="0.3">
      <c r="A179" s="96">
        <v>176</v>
      </c>
      <c r="B179" s="29" t="s">
        <v>374</v>
      </c>
      <c r="C179" s="28" t="s">
        <v>375</v>
      </c>
      <c r="D179" s="54">
        <v>4</v>
      </c>
      <c r="E179" s="30">
        <v>2495680814.04</v>
      </c>
      <c r="F179" s="30">
        <v>413028666.72000003</v>
      </c>
      <c r="G179" s="30">
        <v>79687167.650000006</v>
      </c>
      <c r="H179" s="91">
        <f t="shared" si="24"/>
        <v>2988396648.4100003</v>
      </c>
      <c r="I179" s="91">
        <v>0</v>
      </c>
      <c r="J179" s="91">
        <v>0</v>
      </c>
      <c r="K179" s="30">
        <v>0</v>
      </c>
      <c r="L179" s="28"/>
      <c r="M179" s="28"/>
      <c r="N179" s="30">
        <f t="shared" si="25"/>
        <v>0</v>
      </c>
      <c r="O179" s="30">
        <v>0</v>
      </c>
      <c r="P179" s="30">
        <v>0</v>
      </c>
      <c r="Q179" s="30">
        <v>0</v>
      </c>
      <c r="R179" s="30">
        <f t="shared" si="31"/>
        <v>0</v>
      </c>
      <c r="S179" s="30">
        <v>0</v>
      </c>
      <c r="T179" s="30">
        <v>0</v>
      </c>
      <c r="U179" s="106">
        <f t="shared" si="26"/>
        <v>2495680814.04</v>
      </c>
      <c r="V179" s="105">
        <f t="shared" si="27"/>
        <v>413028666.72000003</v>
      </c>
      <c r="W179" s="106">
        <f t="shared" si="28"/>
        <v>79687167.650000006</v>
      </c>
      <c r="X179" s="106">
        <f t="shared" si="29"/>
        <v>2988396648.4100003</v>
      </c>
      <c r="Y179" s="106">
        <v>0</v>
      </c>
      <c r="Z179" s="146">
        <v>1183950000</v>
      </c>
      <c r="AA179" s="29" t="s">
        <v>408</v>
      </c>
      <c r="AB179" s="29" t="s">
        <v>414</v>
      </c>
      <c r="AC179" s="29" t="s">
        <v>416</v>
      </c>
      <c r="AD179" s="113" t="s">
        <v>436</v>
      </c>
      <c r="AE179" s="132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138">
        <v>124784040.70200001</v>
      </c>
      <c r="AR179" s="142">
        <f t="shared" si="30"/>
        <v>124784040.70200001</v>
      </c>
      <c r="AT179" s="143"/>
    </row>
    <row r="180" spans="1:46" x14ac:dyDescent="0.3">
      <c r="A180" s="96">
        <v>177</v>
      </c>
      <c r="B180" s="29" t="s">
        <v>376</v>
      </c>
      <c r="C180" s="28" t="s">
        <v>367</v>
      </c>
      <c r="D180" s="54">
        <v>4</v>
      </c>
      <c r="E180" s="30">
        <v>150000000</v>
      </c>
      <c r="F180" s="30">
        <v>47949176.319999993</v>
      </c>
      <c r="G180" s="30">
        <v>4005130.99</v>
      </c>
      <c r="H180" s="91">
        <f t="shared" si="24"/>
        <v>201954307.31</v>
      </c>
      <c r="I180" s="91">
        <v>0</v>
      </c>
      <c r="J180" s="91">
        <v>0</v>
      </c>
      <c r="K180" s="30">
        <v>0</v>
      </c>
      <c r="L180" s="28"/>
      <c r="M180" s="28"/>
      <c r="N180" s="30">
        <f t="shared" si="25"/>
        <v>0</v>
      </c>
      <c r="O180" s="30">
        <v>0</v>
      </c>
      <c r="P180" s="30">
        <v>0</v>
      </c>
      <c r="Q180" s="30">
        <v>0</v>
      </c>
      <c r="R180" s="30">
        <f t="shared" si="31"/>
        <v>0</v>
      </c>
      <c r="S180" s="30">
        <v>0</v>
      </c>
      <c r="T180" s="30">
        <v>0</v>
      </c>
      <c r="U180" s="106">
        <f t="shared" si="26"/>
        <v>150000000</v>
      </c>
      <c r="V180" s="105">
        <f t="shared" si="27"/>
        <v>47949176.319999993</v>
      </c>
      <c r="W180" s="106">
        <f t="shared" si="28"/>
        <v>4005130.99</v>
      </c>
      <c r="X180" s="106">
        <f t="shared" si="29"/>
        <v>201954307.31</v>
      </c>
      <c r="Y180" s="106">
        <v>0</v>
      </c>
      <c r="Z180" s="28">
        <v>1</v>
      </c>
      <c r="AA180" s="29" t="s">
        <v>408</v>
      </c>
      <c r="AB180" s="29" t="s">
        <v>414</v>
      </c>
      <c r="AC180" s="29" t="s">
        <v>416</v>
      </c>
      <c r="AD180" s="113" t="s">
        <v>436</v>
      </c>
      <c r="AE180" s="132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138">
        <v>7500000</v>
      </c>
      <c r="AR180" s="142">
        <f t="shared" si="30"/>
        <v>7500000</v>
      </c>
      <c r="AT180" s="143"/>
    </row>
    <row r="181" spans="1:46" x14ac:dyDescent="0.3">
      <c r="A181" s="96">
        <v>178</v>
      </c>
      <c r="B181" s="29" t="s">
        <v>377</v>
      </c>
      <c r="C181" s="28" t="s">
        <v>361</v>
      </c>
      <c r="D181" s="54">
        <v>4</v>
      </c>
      <c r="E181" s="30">
        <v>365000000</v>
      </c>
      <c r="F181" s="30">
        <v>62994411.710000001</v>
      </c>
      <c r="G181" s="30">
        <v>10299675.220000001</v>
      </c>
      <c r="H181" s="91">
        <f t="shared" si="24"/>
        <v>438294086.93000001</v>
      </c>
      <c r="I181" s="91">
        <v>0</v>
      </c>
      <c r="J181" s="91">
        <v>0</v>
      </c>
      <c r="K181" s="30">
        <v>0</v>
      </c>
      <c r="L181" s="28"/>
      <c r="M181" s="28"/>
      <c r="N181" s="30">
        <f t="shared" si="25"/>
        <v>0</v>
      </c>
      <c r="O181" s="30">
        <v>0</v>
      </c>
      <c r="P181" s="30">
        <v>0</v>
      </c>
      <c r="Q181" s="30">
        <v>0</v>
      </c>
      <c r="R181" s="30">
        <f t="shared" si="31"/>
        <v>0</v>
      </c>
      <c r="S181" s="30">
        <v>0</v>
      </c>
      <c r="T181" s="30">
        <v>0</v>
      </c>
      <c r="U181" s="106">
        <f t="shared" si="26"/>
        <v>365000000</v>
      </c>
      <c r="V181" s="105">
        <f t="shared" si="27"/>
        <v>62994411.710000001</v>
      </c>
      <c r="W181" s="106">
        <f t="shared" si="28"/>
        <v>10299675.220000001</v>
      </c>
      <c r="X181" s="106">
        <f t="shared" si="29"/>
        <v>438294086.93000001</v>
      </c>
      <c r="Y181" s="106">
        <v>0</v>
      </c>
      <c r="Z181" s="28">
        <v>1</v>
      </c>
      <c r="AA181" s="29" t="s">
        <v>408</v>
      </c>
      <c r="AB181" s="29" t="s">
        <v>414</v>
      </c>
      <c r="AC181" s="29" t="s">
        <v>416</v>
      </c>
      <c r="AD181" s="113" t="s">
        <v>436</v>
      </c>
      <c r="AE181" s="132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138">
        <f>5%*U181</f>
        <v>18250000</v>
      </c>
      <c r="AR181" s="142">
        <f t="shared" si="30"/>
        <v>18250000</v>
      </c>
    </row>
    <row r="182" spans="1:46" x14ac:dyDescent="0.3">
      <c r="A182" s="96">
        <v>179</v>
      </c>
      <c r="B182" s="29" t="s">
        <v>378</v>
      </c>
      <c r="C182" s="28" t="s">
        <v>365</v>
      </c>
      <c r="D182" s="54">
        <v>4</v>
      </c>
      <c r="E182" s="30">
        <v>374161034</v>
      </c>
      <c r="F182" s="30">
        <v>44769058.469999999</v>
      </c>
      <c r="G182" s="30">
        <v>7328601.9500000002</v>
      </c>
      <c r="H182" s="91">
        <f t="shared" si="24"/>
        <v>426258694.42000002</v>
      </c>
      <c r="I182" s="91">
        <v>0</v>
      </c>
      <c r="J182" s="91">
        <v>0</v>
      </c>
      <c r="K182" s="30">
        <v>0</v>
      </c>
      <c r="L182" s="28"/>
      <c r="M182" s="28"/>
      <c r="N182" s="30">
        <f t="shared" si="25"/>
        <v>0</v>
      </c>
      <c r="O182" s="30">
        <v>0</v>
      </c>
      <c r="P182" s="30">
        <v>0</v>
      </c>
      <c r="Q182" s="30">
        <v>0</v>
      </c>
      <c r="R182" s="30">
        <f t="shared" si="31"/>
        <v>0</v>
      </c>
      <c r="S182" s="30">
        <v>461</v>
      </c>
      <c r="T182" s="30">
        <v>0</v>
      </c>
      <c r="U182" s="106">
        <f t="shared" si="26"/>
        <v>374161034</v>
      </c>
      <c r="V182" s="105">
        <f t="shared" si="27"/>
        <v>44768597.469999999</v>
      </c>
      <c r="W182" s="106">
        <f t="shared" si="28"/>
        <v>7328601.9500000002</v>
      </c>
      <c r="X182" s="106">
        <f t="shared" si="29"/>
        <v>426258233.42000002</v>
      </c>
      <c r="Y182" s="106">
        <v>0</v>
      </c>
      <c r="Z182" s="28">
        <v>1</v>
      </c>
      <c r="AA182" s="29" t="s">
        <v>408</v>
      </c>
      <c r="AB182" s="29" t="s">
        <v>414</v>
      </c>
      <c r="AC182" s="29" t="s">
        <v>416</v>
      </c>
      <c r="AD182" s="113" t="s">
        <v>435</v>
      </c>
      <c r="AE182" s="132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138">
        <v>18708051.699999999</v>
      </c>
      <c r="AR182" s="142">
        <f t="shared" si="30"/>
        <v>18708051.699999999</v>
      </c>
      <c r="AT182" s="143">
        <f>AR182/U182</f>
        <v>4.9999999999999996E-2</v>
      </c>
    </row>
    <row r="183" spans="1:46" x14ac:dyDescent="0.3">
      <c r="A183" s="96">
        <v>180</v>
      </c>
      <c r="B183" s="29" t="s">
        <v>379</v>
      </c>
      <c r="C183" s="28" t="s">
        <v>363</v>
      </c>
      <c r="D183" s="54">
        <v>4</v>
      </c>
      <c r="E183" s="30">
        <v>350000000</v>
      </c>
      <c r="F183" s="30">
        <v>58965172.789999999</v>
      </c>
      <c r="G183" s="30">
        <v>9106404.9900000002</v>
      </c>
      <c r="H183" s="91">
        <f t="shared" si="24"/>
        <v>418071577.78000003</v>
      </c>
      <c r="I183" s="91">
        <v>0</v>
      </c>
      <c r="J183" s="91">
        <v>0</v>
      </c>
      <c r="K183" s="30">
        <v>0</v>
      </c>
      <c r="L183" s="28"/>
      <c r="M183" s="28"/>
      <c r="N183" s="30">
        <f t="shared" si="25"/>
        <v>0</v>
      </c>
      <c r="O183" s="30">
        <v>0</v>
      </c>
      <c r="P183" s="30">
        <v>0</v>
      </c>
      <c r="Q183" s="30">
        <v>0</v>
      </c>
      <c r="R183" s="30">
        <f t="shared" si="31"/>
        <v>0</v>
      </c>
      <c r="S183" s="30">
        <v>0</v>
      </c>
      <c r="T183" s="30">
        <v>0</v>
      </c>
      <c r="U183" s="106">
        <f t="shared" si="26"/>
        <v>350000000</v>
      </c>
      <c r="V183" s="105">
        <f t="shared" si="27"/>
        <v>58965172.789999999</v>
      </c>
      <c r="W183" s="106">
        <f t="shared" si="28"/>
        <v>9106404.9900000002</v>
      </c>
      <c r="X183" s="106">
        <f t="shared" si="29"/>
        <v>418071577.78000003</v>
      </c>
      <c r="Y183" s="106">
        <v>0</v>
      </c>
      <c r="Z183" s="28">
        <v>1</v>
      </c>
      <c r="AA183" s="29" t="s">
        <v>408</v>
      </c>
      <c r="AB183" s="29" t="s">
        <v>414</v>
      </c>
      <c r="AC183" s="29" t="s">
        <v>416</v>
      </c>
      <c r="AD183" s="113" t="s">
        <v>435</v>
      </c>
      <c r="AE183" s="132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138">
        <v>17500000</v>
      </c>
      <c r="AR183" s="142">
        <f t="shared" si="30"/>
        <v>17500000</v>
      </c>
      <c r="AT183" s="143">
        <f t="shared" ref="AT183:AT184" si="32">AR183/U183</f>
        <v>0.05</v>
      </c>
    </row>
    <row r="184" spans="1:46" x14ac:dyDescent="0.3">
      <c r="A184" s="96">
        <v>181</v>
      </c>
      <c r="B184" s="29" t="s">
        <v>380</v>
      </c>
      <c r="C184" s="28" t="s">
        <v>356</v>
      </c>
      <c r="D184" s="54">
        <v>4</v>
      </c>
      <c r="E184" s="30">
        <v>375000000</v>
      </c>
      <c r="F184" s="30">
        <v>50750000</v>
      </c>
      <c r="G184" s="30">
        <v>9631875.7400000002</v>
      </c>
      <c r="H184" s="91">
        <f t="shared" si="24"/>
        <v>435381875.74000001</v>
      </c>
      <c r="I184" s="91">
        <v>0</v>
      </c>
      <c r="J184" s="91">
        <v>0</v>
      </c>
      <c r="K184" s="30">
        <v>0</v>
      </c>
      <c r="L184" s="28"/>
      <c r="M184" s="28"/>
      <c r="N184" s="30">
        <f t="shared" si="25"/>
        <v>0</v>
      </c>
      <c r="O184" s="30">
        <v>0</v>
      </c>
      <c r="P184" s="30">
        <v>0</v>
      </c>
      <c r="Q184" s="30">
        <v>0</v>
      </c>
      <c r="R184" s="30">
        <f t="shared" si="31"/>
        <v>0</v>
      </c>
      <c r="S184" s="30">
        <v>0</v>
      </c>
      <c r="T184" s="30">
        <v>0</v>
      </c>
      <c r="U184" s="106">
        <f t="shared" si="26"/>
        <v>375000000</v>
      </c>
      <c r="V184" s="105">
        <f t="shared" si="27"/>
        <v>50750000</v>
      </c>
      <c r="W184" s="106">
        <f t="shared" si="28"/>
        <v>9631875.7400000002</v>
      </c>
      <c r="X184" s="106">
        <f t="shared" si="29"/>
        <v>435381875.74000001</v>
      </c>
      <c r="Y184" s="106">
        <v>0</v>
      </c>
      <c r="Z184" s="28">
        <v>1</v>
      </c>
      <c r="AA184" s="29" t="s">
        <v>408</v>
      </c>
      <c r="AB184" s="29" t="s">
        <v>414</v>
      </c>
      <c r="AC184" s="29" t="s">
        <v>416</v>
      </c>
      <c r="AD184" s="113" t="s">
        <v>435</v>
      </c>
      <c r="AE184" s="132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138">
        <v>18750000</v>
      </c>
      <c r="AR184" s="142">
        <f t="shared" si="30"/>
        <v>18750000</v>
      </c>
      <c r="AT184" s="143">
        <f t="shared" si="32"/>
        <v>0.05</v>
      </c>
    </row>
    <row r="185" spans="1:46" x14ac:dyDescent="0.3">
      <c r="A185" s="96">
        <v>182</v>
      </c>
      <c r="B185" s="29" t="s">
        <v>381</v>
      </c>
      <c r="C185" s="28" t="s">
        <v>354</v>
      </c>
      <c r="D185" s="54">
        <v>4</v>
      </c>
      <c r="E185" s="30">
        <v>297921367</v>
      </c>
      <c r="F185" s="30">
        <v>33887472.760000005</v>
      </c>
      <c r="G185" s="30">
        <v>6693692.9100000001</v>
      </c>
      <c r="H185" s="91">
        <f t="shared" si="24"/>
        <v>338502532.67000002</v>
      </c>
      <c r="I185" s="91">
        <v>125684752.23999999</v>
      </c>
      <c r="J185" s="91">
        <v>148234337.22</v>
      </c>
      <c r="K185" s="30">
        <v>0</v>
      </c>
      <c r="L185" s="28"/>
      <c r="M185" s="28"/>
      <c r="N185" s="30">
        <f t="shared" si="25"/>
        <v>0</v>
      </c>
      <c r="O185" s="30">
        <v>297921367</v>
      </c>
      <c r="P185" s="30">
        <v>12078633</v>
      </c>
      <c r="Q185" s="30">
        <v>0</v>
      </c>
      <c r="R185" s="30">
        <f t="shared" si="31"/>
        <v>310000000</v>
      </c>
      <c r="S185" s="30">
        <v>147493592</v>
      </c>
      <c r="T185" s="30">
        <v>154928030.13</v>
      </c>
      <c r="U185" s="106">
        <f>E185-K185-O185</f>
        <v>0</v>
      </c>
      <c r="V185" s="105">
        <f t="shared" si="27"/>
        <v>0</v>
      </c>
      <c r="W185" s="106">
        <f t="shared" si="28"/>
        <v>0</v>
      </c>
      <c r="X185" s="106">
        <f t="shared" si="29"/>
        <v>0</v>
      </c>
      <c r="Y185" s="106">
        <v>0</v>
      </c>
      <c r="Z185" s="28">
        <v>1</v>
      </c>
      <c r="AA185" s="29" t="s">
        <v>408</v>
      </c>
      <c r="AB185" s="29" t="s">
        <v>414</v>
      </c>
      <c r="AC185" s="29" t="s">
        <v>417</v>
      </c>
      <c r="AD185" s="113" t="s">
        <v>435</v>
      </c>
      <c r="AE185" s="132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138">
        <v>0</v>
      </c>
      <c r="AR185" s="142">
        <f t="shared" si="30"/>
        <v>0</v>
      </c>
    </row>
    <row r="186" spans="1:46" x14ac:dyDescent="0.3">
      <c r="A186" s="96">
        <v>183</v>
      </c>
      <c r="B186" s="29" t="s">
        <v>382</v>
      </c>
      <c r="C186" s="28" t="s">
        <v>369</v>
      </c>
      <c r="D186" s="54">
        <v>4</v>
      </c>
      <c r="E186" s="30">
        <v>185000000</v>
      </c>
      <c r="F186" s="30">
        <v>24145417.52</v>
      </c>
      <c r="G186" s="30">
        <v>3248092.75</v>
      </c>
      <c r="H186" s="91">
        <f t="shared" si="24"/>
        <v>212393510.27000001</v>
      </c>
      <c r="I186" s="91">
        <v>0</v>
      </c>
      <c r="J186" s="91">
        <v>0</v>
      </c>
      <c r="K186" s="30">
        <v>0</v>
      </c>
      <c r="L186" s="28"/>
      <c r="M186" s="28"/>
      <c r="N186" s="30">
        <f t="shared" si="25"/>
        <v>0</v>
      </c>
      <c r="O186" s="30">
        <v>0</v>
      </c>
      <c r="P186" s="30">
        <v>0</v>
      </c>
      <c r="Q186" s="30">
        <v>0</v>
      </c>
      <c r="R186" s="30">
        <f t="shared" si="31"/>
        <v>0</v>
      </c>
      <c r="S186" s="30">
        <v>0</v>
      </c>
      <c r="T186" s="30">
        <v>0</v>
      </c>
      <c r="U186" s="106">
        <f t="shared" si="26"/>
        <v>185000000</v>
      </c>
      <c r="V186" s="105">
        <f t="shared" si="27"/>
        <v>24145417.52</v>
      </c>
      <c r="W186" s="106">
        <f t="shared" si="28"/>
        <v>3248092.75</v>
      </c>
      <c r="X186" s="106">
        <f t="shared" si="29"/>
        <v>212393510.27000001</v>
      </c>
      <c r="Y186" s="106">
        <v>0</v>
      </c>
      <c r="Z186" s="146">
        <v>185000000</v>
      </c>
      <c r="AA186" s="29" t="s">
        <v>408</v>
      </c>
      <c r="AB186" s="29" t="s">
        <v>414</v>
      </c>
      <c r="AC186" s="29" t="s">
        <v>416</v>
      </c>
      <c r="AD186" s="113" t="s">
        <v>435</v>
      </c>
      <c r="AE186" s="132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138">
        <v>9250000</v>
      </c>
      <c r="AR186" s="142">
        <f t="shared" si="30"/>
        <v>9250000</v>
      </c>
      <c r="AT186" s="143">
        <f>AR186/U186</f>
        <v>0.05</v>
      </c>
    </row>
    <row r="187" spans="1:46" x14ac:dyDescent="0.3">
      <c r="A187" s="96">
        <v>184</v>
      </c>
      <c r="B187" s="29" t="s">
        <v>383</v>
      </c>
      <c r="C187" s="28" t="s">
        <v>384</v>
      </c>
      <c r="D187" s="54">
        <v>4</v>
      </c>
      <c r="E187" s="30">
        <v>881431510.53999996</v>
      </c>
      <c r="F187" s="30">
        <v>134621761.49000001</v>
      </c>
      <c r="G187" s="30">
        <v>42752098.520000003</v>
      </c>
      <c r="H187" s="91">
        <f t="shared" si="24"/>
        <v>1058805370.55</v>
      </c>
      <c r="I187" s="91">
        <v>0</v>
      </c>
      <c r="J187" s="91">
        <v>0</v>
      </c>
      <c r="K187" s="30">
        <v>0</v>
      </c>
      <c r="L187" s="28"/>
      <c r="M187" s="28"/>
      <c r="N187" s="30">
        <f t="shared" si="25"/>
        <v>0</v>
      </c>
      <c r="O187" s="30">
        <v>645702491</v>
      </c>
      <c r="P187" s="30">
        <v>0</v>
      </c>
      <c r="Q187" s="30">
        <v>0</v>
      </c>
      <c r="R187" s="30">
        <f t="shared" si="31"/>
        <v>645702491</v>
      </c>
      <c r="S187" s="30">
        <v>0</v>
      </c>
      <c r="T187" s="30">
        <v>0</v>
      </c>
      <c r="U187" s="106">
        <f t="shared" si="26"/>
        <v>235729019.53999996</v>
      </c>
      <c r="V187" s="105">
        <f t="shared" si="27"/>
        <v>134621761.49000001</v>
      </c>
      <c r="W187" s="106">
        <f t="shared" si="28"/>
        <v>42752098.520000003</v>
      </c>
      <c r="X187" s="106">
        <f t="shared" si="29"/>
        <v>413102879.54999995</v>
      </c>
      <c r="Y187" s="106">
        <v>632000000</v>
      </c>
      <c r="Z187" s="146">
        <v>632000000</v>
      </c>
      <c r="AA187" s="29" t="s">
        <v>408</v>
      </c>
      <c r="AB187" s="29" t="s">
        <v>412</v>
      </c>
      <c r="AC187" s="29" t="s">
        <v>416</v>
      </c>
      <c r="AD187" s="113" t="s">
        <v>436</v>
      </c>
      <c r="AE187" s="132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138">
        <v>0</v>
      </c>
      <c r="AR187" s="142">
        <f t="shared" si="30"/>
        <v>0</v>
      </c>
      <c r="AS187" t="s">
        <v>1426</v>
      </c>
      <c r="AT187" s="143"/>
    </row>
    <row r="188" spans="1:46" x14ac:dyDescent="0.3">
      <c r="A188" s="96">
        <v>185</v>
      </c>
      <c r="B188" s="29" t="s">
        <v>385</v>
      </c>
      <c r="C188" s="28" t="s">
        <v>386</v>
      </c>
      <c r="D188" s="54">
        <v>4</v>
      </c>
      <c r="E188" s="30">
        <v>1281156165.76</v>
      </c>
      <c r="F188" s="30">
        <v>207130215.13999999</v>
      </c>
      <c r="G188" s="30">
        <v>58646987.259999998</v>
      </c>
      <c r="H188" s="91">
        <f t="shared" si="24"/>
        <v>1546933368.1600001</v>
      </c>
      <c r="I188" s="91">
        <v>0</v>
      </c>
      <c r="J188" s="91">
        <v>0</v>
      </c>
      <c r="K188" s="30">
        <v>0</v>
      </c>
      <c r="L188" s="28"/>
      <c r="M188" s="28"/>
      <c r="N188" s="30">
        <f t="shared" si="25"/>
        <v>0</v>
      </c>
      <c r="O188" s="30">
        <v>0</v>
      </c>
      <c r="P188" s="30">
        <v>0</v>
      </c>
      <c r="Q188" s="30">
        <v>0</v>
      </c>
      <c r="R188" s="30">
        <f t="shared" si="31"/>
        <v>0</v>
      </c>
      <c r="S188" s="30">
        <v>0</v>
      </c>
      <c r="T188" s="30">
        <v>0</v>
      </c>
      <c r="U188" s="106">
        <f t="shared" si="26"/>
        <v>1281156165.76</v>
      </c>
      <c r="V188" s="105">
        <f t="shared" si="27"/>
        <v>207130215.13999999</v>
      </c>
      <c r="W188" s="106">
        <f t="shared" si="28"/>
        <v>58646987.259999998</v>
      </c>
      <c r="X188" s="106">
        <f t="shared" si="29"/>
        <v>1546933368.1600001</v>
      </c>
      <c r="Y188" s="106">
        <v>1024000000</v>
      </c>
      <c r="Z188" s="146">
        <v>1024000000</v>
      </c>
      <c r="AA188" s="29" t="s">
        <v>408</v>
      </c>
      <c r="AB188" s="29" t="s">
        <v>412</v>
      </c>
      <c r="AC188" s="29" t="s">
        <v>416</v>
      </c>
      <c r="AD188" s="113" t="s">
        <v>436</v>
      </c>
      <c r="AE188" s="132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138">
        <v>256231233.15200001</v>
      </c>
      <c r="AR188" s="142">
        <f t="shared" si="30"/>
        <v>256231233.15200001</v>
      </c>
      <c r="AT188" s="143"/>
    </row>
    <row r="189" spans="1:46" x14ac:dyDescent="0.3">
      <c r="A189" s="96">
        <v>186</v>
      </c>
      <c r="B189" s="29" t="s">
        <v>387</v>
      </c>
      <c r="C189" s="28" t="s">
        <v>384</v>
      </c>
      <c r="D189" s="54">
        <v>4</v>
      </c>
      <c r="E189" s="30">
        <v>140000000</v>
      </c>
      <c r="F189" s="30">
        <v>22682355.449999999</v>
      </c>
      <c r="G189" s="30">
        <v>3897044.12</v>
      </c>
      <c r="H189" s="91">
        <f t="shared" si="24"/>
        <v>166579399.56999999</v>
      </c>
      <c r="I189" s="91">
        <v>0</v>
      </c>
      <c r="J189" s="91">
        <v>0</v>
      </c>
      <c r="K189" s="30">
        <v>0</v>
      </c>
      <c r="L189" s="28"/>
      <c r="M189" s="28"/>
      <c r="N189" s="30">
        <f t="shared" si="25"/>
        <v>0</v>
      </c>
      <c r="O189" s="30">
        <v>0</v>
      </c>
      <c r="P189" s="30">
        <v>0</v>
      </c>
      <c r="Q189" s="30">
        <v>0</v>
      </c>
      <c r="R189" s="30">
        <f t="shared" si="31"/>
        <v>0</v>
      </c>
      <c r="S189" s="30">
        <v>0</v>
      </c>
      <c r="T189" s="30">
        <v>0</v>
      </c>
      <c r="U189" s="106">
        <f t="shared" si="26"/>
        <v>140000000</v>
      </c>
      <c r="V189" s="105">
        <f t="shared" si="27"/>
        <v>22682355.449999999</v>
      </c>
      <c r="W189" s="106">
        <f t="shared" si="28"/>
        <v>3897044.12</v>
      </c>
      <c r="X189" s="106">
        <f t="shared" si="29"/>
        <v>166579399.56999999</v>
      </c>
      <c r="Y189" s="106">
        <v>0</v>
      </c>
      <c r="Z189" s="28">
        <v>1</v>
      </c>
      <c r="AA189" s="29" t="s">
        <v>408</v>
      </c>
      <c r="AB189" s="29" t="s">
        <v>414</v>
      </c>
      <c r="AC189" s="29" t="s">
        <v>416</v>
      </c>
      <c r="AD189" s="113" t="s">
        <v>436</v>
      </c>
      <c r="AE189" s="132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138">
        <f>5%*U189</f>
        <v>7000000</v>
      </c>
      <c r="AR189" s="142">
        <f t="shared" si="30"/>
        <v>7000000</v>
      </c>
      <c r="AT189" s="143">
        <f>AR189/U189</f>
        <v>0.05</v>
      </c>
    </row>
    <row r="190" spans="1:46" x14ac:dyDescent="0.3">
      <c r="A190" s="96">
        <v>187</v>
      </c>
      <c r="B190" s="29" t="s">
        <v>388</v>
      </c>
      <c r="C190" s="28" t="s">
        <v>389</v>
      </c>
      <c r="D190" s="54">
        <v>4</v>
      </c>
      <c r="E190" s="30">
        <v>223188685.88999999</v>
      </c>
      <c r="F190" s="30">
        <v>98130911.879999995</v>
      </c>
      <c r="G190" s="30">
        <v>599364898.77999997</v>
      </c>
      <c r="H190" s="91">
        <f t="shared" si="24"/>
        <v>920684496.54999995</v>
      </c>
      <c r="I190" s="91">
        <v>0</v>
      </c>
      <c r="J190" s="91">
        <v>0</v>
      </c>
      <c r="K190" s="30">
        <v>803695</v>
      </c>
      <c r="L190" s="28"/>
      <c r="M190" s="28"/>
      <c r="N190" s="30">
        <f t="shared" si="25"/>
        <v>803695</v>
      </c>
      <c r="O190" s="30">
        <v>0</v>
      </c>
      <c r="P190" s="30">
        <v>0</v>
      </c>
      <c r="Q190" s="30">
        <v>0</v>
      </c>
      <c r="R190" s="30">
        <f t="shared" si="31"/>
        <v>0</v>
      </c>
      <c r="S190" s="30">
        <v>0</v>
      </c>
      <c r="T190" s="30">
        <v>0</v>
      </c>
      <c r="U190" s="106">
        <f t="shared" si="26"/>
        <v>222384990.88999999</v>
      </c>
      <c r="V190" s="105">
        <f t="shared" si="27"/>
        <v>98130911.879999995</v>
      </c>
      <c r="W190" s="106">
        <f t="shared" si="28"/>
        <v>599364898.77999997</v>
      </c>
      <c r="X190" s="106">
        <f t="shared" si="29"/>
        <v>919880801.54999995</v>
      </c>
      <c r="Y190" s="106">
        <v>243000000</v>
      </c>
      <c r="Z190" s="146">
        <v>222384991</v>
      </c>
      <c r="AA190" s="29" t="s">
        <v>408</v>
      </c>
      <c r="AB190" s="29" t="s">
        <v>412</v>
      </c>
      <c r="AC190" s="29" t="s">
        <v>416</v>
      </c>
      <c r="AD190" s="113" t="s">
        <v>436</v>
      </c>
      <c r="AE190" s="132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138">
        <v>44476998.178000003</v>
      </c>
      <c r="AR190" s="142">
        <f t="shared" si="30"/>
        <v>44476998.178000003</v>
      </c>
      <c r="AT190" s="143"/>
    </row>
    <row r="191" spans="1:46" x14ac:dyDescent="0.3">
      <c r="A191" s="96">
        <v>188</v>
      </c>
      <c r="B191" s="29" t="s">
        <v>390</v>
      </c>
      <c r="C191" s="28" t="s">
        <v>391</v>
      </c>
      <c r="D191" s="54">
        <v>4</v>
      </c>
      <c r="E191" s="30">
        <v>77898878.489999995</v>
      </c>
      <c r="F191" s="30">
        <v>31305422.100000001</v>
      </c>
      <c r="G191" s="30">
        <v>73249692.030000001</v>
      </c>
      <c r="H191" s="91">
        <f t="shared" si="24"/>
        <v>182453992.62</v>
      </c>
      <c r="I191" s="91">
        <v>0</v>
      </c>
      <c r="J191" s="91">
        <v>0</v>
      </c>
      <c r="K191" s="30">
        <v>0</v>
      </c>
      <c r="L191" s="28"/>
      <c r="M191" s="28"/>
      <c r="N191" s="30">
        <f t="shared" si="25"/>
        <v>0</v>
      </c>
      <c r="O191" s="30">
        <v>49126544</v>
      </c>
      <c r="P191" s="30">
        <v>0</v>
      </c>
      <c r="Q191" s="30">
        <v>0</v>
      </c>
      <c r="R191" s="30">
        <f t="shared" si="31"/>
        <v>49126544</v>
      </c>
      <c r="S191" s="30">
        <v>0</v>
      </c>
      <c r="T191" s="30">
        <v>0</v>
      </c>
      <c r="U191" s="106">
        <f t="shared" si="26"/>
        <v>28772334.489999995</v>
      </c>
      <c r="V191" s="105">
        <f t="shared" si="27"/>
        <v>31305422.100000001</v>
      </c>
      <c r="W191" s="106">
        <f t="shared" si="28"/>
        <v>73249692.030000001</v>
      </c>
      <c r="X191" s="106">
        <f t="shared" si="29"/>
        <v>133327448.62</v>
      </c>
      <c r="Y191" s="106">
        <v>36000000</v>
      </c>
      <c r="Z191" s="146">
        <v>36000000</v>
      </c>
      <c r="AA191" s="29" t="s">
        <v>408</v>
      </c>
      <c r="AB191" s="29" t="s">
        <v>412</v>
      </c>
      <c r="AC191" s="29" t="s">
        <v>416</v>
      </c>
      <c r="AD191" s="113" t="s">
        <v>436</v>
      </c>
      <c r="AE191" s="132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138">
        <v>0</v>
      </c>
      <c r="AR191" s="142">
        <f t="shared" si="30"/>
        <v>0</v>
      </c>
      <c r="AS191" t="s">
        <v>1426</v>
      </c>
      <c r="AT191" s="143"/>
    </row>
    <row r="192" spans="1:46" x14ac:dyDescent="0.3">
      <c r="A192" s="96">
        <v>189</v>
      </c>
      <c r="B192" s="29" t="s">
        <v>392</v>
      </c>
      <c r="C192" s="28" t="s">
        <v>393</v>
      </c>
      <c r="D192" s="54">
        <v>4</v>
      </c>
      <c r="E192" s="30">
        <v>673845250.67999995</v>
      </c>
      <c r="F192" s="30">
        <v>246430165.22999999</v>
      </c>
      <c r="G192" s="30">
        <v>174256550.34</v>
      </c>
      <c r="H192" s="91">
        <f t="shared" si="24"/>
        <v>1094531966.25</v>
      </c>
      <c r="I192" s="91">
        <v>0</v>
      </c>
      <c r="J192" s="91">
        <v>0</v>
      </c>
      <c r="K192" s="30">
        <v>0</v>
      </c>
      <c r="L192" s="28"/>
      <c r="M192" s="28"/>
      <c r="N192" s="30">
        <f t="shared" si="25"/>
        <v>0</v>
      </c>
      <c r="O192" s="30">
        <v>0</v>
      </c>
      <c r="P192" s="30">
        <v>0</v>
      </c>
      <c r="Q192" s="30">
        <v>0</v>
      </c>
      <c r="R192" s="30">
        <f t="shared" si="31"/>
        <v>0</v>
      </c>
      <c r="S192" s="30">
        <v>0</v>
      </c>
      <c r="T192" s="30">
        <v>0</v>
      </c>
      <c r="U192" s="106">
        <f t="shared" si="26"/>
        <v>673845250.67999995</v>
      </c>
      <c r="V192" s="105">
        <f t="shared" si="27"/>
        <v>246430165.22999999</v>
      </c>
      <c r="W192" s="106">
        <f t="shared" si="28"/>
        <v>174256550.34</v>
      </c>
      <c r="X192" s="106">
        <f t="shared" si="29"/>
        <v>1094531966.25</v>
      </c>
      <c r="Y192" s="106">
        <v>719000000</v>
      </c>
      <c r="Z192" s="146">
        <v>673845251</v>
      </c>
      <c r="AA192" s="29" t="s">
        <v>408</v>
      </c>
      <c r="AB192" s="29" t="s">
        <v>412</v>
      </c>
      <c r="AC192" s="29" t="s">
        <v>416</v>
      </c>
      <c r="AD192" s="113" t="s">
        <v>436</v>
      </c>
      <c r="AE192" s="132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138">
        <v>134769050.13600001</v>
      </c>
      <c r="AR192" s="142">
        <f t="shared" si="30"/>
        <v>134769050.13600001</v>
      </c>
      <c r="AT192" s="143"/>
    </row>
    <row r="193" spans="1:46" x14ac:dyDescent="0.3">
      <c r="A193" s="96">
        <v>190</v>
      </c>
      <c r="B193" s="29" t="s">
        <v>394</v>
      </c>
      <c r="C193" s="28" t="s">
        <v>395</v>
      </c>
      <c r="D193" s="54">
        <v>4</v>
      </c>
      <c r="E193" s="30">
        <v>941666669</v>
      </c>
      <c r="F193" s="30">
        <v>266799997.31</v>
      </c>
      <c r="G193" s="30">
        <v>155749326.66999999</v>
      </c>
      <c r="H193" s="91">
        <f t="shared" si="24"/>
        <v>1364215992.98</v>
      </c>
      <c r="I193" s="91">
        <v>0</v>
      </c>
      <c r="J193" s="91">
        <v>0</v>
      </c>
      <c r="K193" s="30">
        <v>0</v>
      </c>
      <c r="L193" s="28"/>
      <c r="M193" s="28"/>
      <c r="N193" s="30">
        <f t="shared" si="25"/>
        <v>0</v>
      </c>
      <c r="O193" s="30">
        <v>0</v>
      </c>
      <c r="P193" s="30">
        <v>0</v>
      </c>
      <c r="Q193" s="30">
        <v>0</v>
      </c>
      <c r="R193" s="30">
        <f t="shared" si="31"/>
        <v>0</v>
      </c>
      <c r="S193" s="30">
        <v>0</v>
      </c>
      <c r="T193" s="30">
        <v>0</v>
      </c>
      <c r="U193" s="106">
        <f t="shared" si="26"/>
        <v>941666669</v>
      </c>
      <c r="V193" s="105">
        <f t="shared" si="27"/>
        <v>266799997.31</v>
      </c>
      <c r="W193" s="106">
        <f t="shared" si="28"/>
        <v>155749326.66999999</v>
      </c>
      <c r="X193" s="106">
        <f t="shared" si="29"/>
        <v>1364215992.98</v>
      </c>
      <c r="Y193" s="106">
        <v>648000000</v>
      </c>
      <c r="Z193" s="146">
        <v>648000000</v>
      </c>
      <c r="AA193" s="29" t="s">
        <v>408</v>
      </c>
      <c r="AB193" s="29" t="s">
        <v>412</v>
      </c>
      <c r="AC193" s="29" t="s">
        <v>416</v>
      </c>
      <c r="AD193" s="113" t="s">
        <v>434</v>
      </c>
      <c r="AE193" s="132"/>
      <c r="AF193" s="30"/>
      <c r="AG193" s="30"/>
      <c r="AH193" s="30"/>
      <c r="AI193" s="30"/>
      <c r="AJ193" s="30"/>
      <c r="AK193" s="30"/>
      <c r="AL193" s="30"/>
      <c r="AM193" s="30"/>
      <c r="AN193" s="106">
        <v>648000000</v>
      </c>
      <c r="AO193" s="30"/>
      <c r="AP193" s="30"/>
      <c r="AQ193" s="138"/>
      <c r="AR193" s="142">
        <f t="shared" si="30"/>
        <v>648000000</v>
      </c>
      <c r="AT193" s="143"/>
    </row>
    <row r="194" spans="1:46" x14ac:dyDescent="0.3">
      <c r="A194" s="96">
        <v>191</v>
      </c>
      <c r="B194" s="29" t="s">
        <v>396</v>
      </c>
      <c r="C194" s="28" t="s">
        <v>397</v>
      </c>
      <c r="D194" s="54">
        <v>4</v>
      </c>
      <c r="E194" s="30">
        <v>1140000000</v>
      </c>
      <c r="F194" s="30">
        <v>137882500</v>
      </c>
      <c r="G194" s="30">
        <v>190455481.69999999</v>
      </c>
      <c r="H194" s="91">
        <f t="shared" si="24"/>
        <v>1468337981.7</v>
      </c>
      <c r="I194" s="91">
        <v>0</v>
      </c>
      <c r="J194" s="91">
        <v>0</v>
      </c>
      <c r="K194" s="30">
        <v>0</v>
      </c>
      <c r="L194" s="28"/>
      <c r="M194" s="28"/>
      <c r="N194" s="30">
        <f t="shared" si="25"/>
        <v>0</v>
      </c>
      <c r="O194" s="30">
        <v>0</v>
      </c>
      <c r="P194" s="30">
        <v>0</v>
      </c>
      <c r="Q194" s="30">
        <v>0</v>
      </c>
      <c r="R194" s="30">
        <f t="shared" si="31"/>
        <v>0</v>
      </c>
      <c r="S194" s="30">
        <v>0</v>
      </c>
      <c r="T194" s="30">
        <v>0</v>
      </c>
      <c r="U194" s="106">
        <f t="shared" si="26"/>
        <v>1140000000</v>
      </c>
      <c r="V194" s="105">
        <f t="shared" si="27"/>
        <v>137882500</v>
      </c>
      <c r="W194" s="106">
        <f t="shared" si="28"/>
        <v>190455481.69999999</v>
      </c>
      <c r="X194" s="106">
        <f t="shared" si="29"/>
        <v>1468337981.7</v>
      </c>
      <c r="Y194" s="106">
        <v>2344000000</v>
      </c>
      <c r="Z194" s="146">
        <v>1140000000</v>
      </c>
      <c r="AA194" s="29" t="s">
        <v>408</v>
      </c>
      <c r="AB194" s="29" t="s">
        <v>412</v>
      </c>
      <c r="AC194" s="29" t="s">
        <v>416</v>
      </c>
      <c r="AD194" s="113" t="s">
        <v>434</v>
      </c>
      <c r="AE194" s="132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>
        <v>1468337981.7</v>
      </c>
      <c r="AP194" s="30"/>
      <c r="AQ194" s="138"/>
      <c r="AR194" s="142">
        <f t="shared" si="30"/>
        <v>1468337981.7</v>
      </c>
      <c r="AT194" s="143"/>
    </row>
    <row r="195" spans="1:46" x14ac:dyDescent="0.3">
      <c r="A195" s="96">
        <v>192</v>
      </c>
      <c r="B195" s="29" t="s">
        <v>398</v>
      </c>
      <c r="C195" s="28" t="s">
        <v>399</v>
      </c>
      <c r="D195" s="54">
        <v>4</v>
      </c>
      <c r="E195" s="30">
        <v>290021334</v>
      </c>
      <c r="F195" s="30">
        <v>256295821</v>
      </c>
      <c r="G195" s="30">
        <v>423011664.56999999</v>
      </c>
      <c r="H195" s="91">
        <f t="shared" si="24"/>
        <v>969328819.56999993</v>
      </c>
      <c r="I195" s="91">
        <v>114840000</v>
      </c>
      <c r="J195" s="91">
        <v>465117316.80000001</v>
      </c>
      <c r="K195" s="30">
        <v>15026616</v>
      </c>
      <c r="L195" s="28"/>
      <c r="M195" s="28"/>
      <c r="N195" s="30">
        <f t="shared" si="25"/>
        <v>15026616</v>
      </c>
      <c r="O195" s="30">
        <v>274994718</v>
      </c>
      <c r="P195" s="30">
        <v>200005282</v>
      </c>
      <c r="Q195" s="30">
        <v>0</v>
      </c>
      <c r="R195" s="30">
        <f t="shared" si="31"/>
        <v>475000000</v>
      </c>
      <c r="S195" s="30">
        <v>171130539</v>
      </c>
      <c r="T195" s="30">
        <v>888128981.37</v>
      </c>
      <c r="U195" s="106">
        <f>E195-K195-O195</f>
        <v>0</v>
      </c>
      <c r="V195" s="105">
        <f t="shared" si="27"/>
        <v>0</v>
      </c>
      <c r="W195" s="106">
        <f t="shared" si="28"/>
        <v>0</v>
      </c>
      <c r="X195" s="106">
        <f t="shared" si="29"/>
        <v>0</v>
      </c>
      <c r="Y195" s="106">
        <v>543000000</v>
      </c>
      <c r="Z195" s="146">
        <v>274994718</v>
      </c>
      <c r="AA195" s="29" t="s">
        <v>410</v>
      </c>
      <c r="AB195" s="29" t="s">
        <v>412</v>
      </c>
      <c r="AC195" s="29" t="s">
        <v>417</v>
      </c>
      <c r="AD195" s="113" t="s">
        <v>434</v>
      </c>
      <c r="AE195" s="132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138">
        <v>0</v>
      </c>
      <c r="AR195" s="142">
        <f t="shared" si="30"/>
        <v>0</v>
      </c>
    </row>
    <row r="196" spans="1:46" x14ac:dyDescent="0.3">
      <c r="A196" s="96">
        <v>193</v>
      </c>
      <c r="B196" s="29" t="s">
        <v>400</v>
      </c>
      <c r="C196" s="28" t="s">
        <v>401</v>
      </c>
      <c r="D196" s="54">
        <v>4</v>
      </c>
      <c r="E196" s="30">
        <v>977562978.34000003</v>
      </c>
      <c r="F196" s="30">
        <v>226672053.06</v>
      </c>
      <c r="G196" s="30">
        <v>93835770.310000002</v>
      </c>
      <c r="H196" s="91">
        <f t="shared" si="24"/>
        <v>1298070801.71</v>
      </c>
      <c r="I196" s="91">
        <v>0</v>
      </c>
      <c r="J196" s="91">
        <v>0</v>
      </c>
      <c r="K196" s="30">
        <v>0</v>
      </c>
      <c r="L196" s="28"/>
      <c r="M196" s="28"/>
      <c r="N196" s="30">
        <f t="shared" si="25"/>
        <v>0</v>
      </c>
      <c r="O196" s="30">
        <v>0</v>
      </c>
      <c r="P196" s="30">
        <v>0</v>
      </c>
      <c r="Q196" s="30">
        <v>0</v>
      </c>
      <c r="R196" s="30">
        <f>SUM(O196:Q196)</f>
        <v>0</v>
      </c>
      <c r="S196" s="30">
        <v>0</v>
      </c>
      <c r="T196" s="30">
        <v>0</v>
      </c>
      <c r="U196" s="106">
        <f t="shared" si="26"/>
        <v>977562978.34000003</v>
      </c>
      <c r="V196" s="105">
        <f t="shared" si="27"/>
        <v>226672053.06</v>
      </c>
      <c r="W196" s="106">
        <f t="shared" si="28"/>
        <v>93835770.310000002</v>
      </c>
      <c r="X196" s="106">
        <f t="shared" si="29"/>
        <v>1298070801.71</v>
      </c>
      <c r="Y196" s="106">
        <v>1128000000</v>
      </c>
      <c r="Z196" s="146">
        <v>977562978</v>
      </c>
      <c r="AA196" s="29" t="s">
        <v>408</v>
      </c>
      <c r="AB196" s="29" t="s">
        <v>412</v>
      </c>
      <c r="AC196" s="29" t="s">
        <v>416</v>
      </c>
      <c r="AD196" s="113" t="s">
        <v>436</v>
      </c>
      <c r="AE196" s="132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138">
        <v>195512595.66800001</v>
      </c>
      <c r="AR196" s="142">
        <f t="shared" si="30"/>
        <v>195512595.66800001</v>
      </c>
      <c r="AT196" s="143"/>
    </row>
    <row r="197" spans="1:46" x14ac:dyDescent="0.3">
      <c r="A197" s="96">
        <v>194</v>
      </c>
      <c r="B197" s="29" t="s">
        <v>402</v>
      </c>
      <c r="C197" s="28" t="s">
        <v>403</v>
      </c>
      <c r="D197" s="54">
        <v>4</v>
      </c>
      <c r="E197" s="30">
        <v>186730216.50999999</v>
      </c>
      <c r="F197" s="30">
        <v>73985662.760000005</v>
      </c>
      <c r="G197" s="30">
        <v>228922958.63999999</v>
      </c>
      <c r="H197" s="91">
        <f>SUM(E197:G197)</f>
        <v>489638837.90999997</v>
      </c>
      <c r="I197" s="91">
        <v>0</v>
      </c>
      <c r="J197" s="91">
        <v>0</v>
      </c>
      <c r="K197" s="30">
        <v>4194163</v>
      </c>
      <c r="L197" s="28"/>
      <c r="M197" s="28"/>
      <c r="N197" s="30">
        <f>SUM(K197:M197)</f>
        <v>4194163</v>
      </c>
      <c r="O197" s="30">
        <v>72000000</v>
      </c>
      <c r="P197" s="30">
        <v>0</v>
      </c>
      <c r="Q197" s="30">
        <v>0</v>
      </c>
      <c r="R197" s="30">
        <f>SUM(O197:Q197)</f>
        <v>72000000</v>
      </c>
      <c r="S197" s="30">
        <v>0</v>
      </c>
      <c r="T197" s="30">
        <v>0</v>
      </c>
      <c r="U197" s="106">
        <f>E197-K197-O197</f>
        <v>110536053.50999999</v>
      </c>
      <c r="V197" s="105">
        <f>F197+I197-P197-S197</f>
        <v>73985662.760000005</v>
      </c>
      <c r="W197" s="106">
        <f>G197+J197-M197-Q197-T197</f>
        <v>228922958.63999999</v>
      </c>
      <c r="X197" s="106">
        <f>SUM(U197:W197)</f>
        <v>413444674.90999997</v>
      </c>
      <c r="Y197" s="106">
        <v>644000000</v>
      </c>
      <c r="Z197" s="146">
        <v>182536054</v>
      </c>
      <c r="AA197" s="29" t="s">
        <v>408</v>
      </c>
      <c r="AB197" s="29" t="s">
        <v>412</v>
      </c>
      <c r="AC197" s="29" t="s">
        <v>416</v>
      </c>
      <c r="AD197" s="113" t="s">
        <v>433</v>
      </c>
      <c r="AE197" s="132">
        <v>3263157</v>
      </c>
      <c r="AF197" s="30">
        <v>3263157</v>
      </c>
      <c r="AG197" s="30">
        <v>3263157</v>
      </c>
      <c r="AH197" s="30">
        <v>3263157</v>
      </c>
      <c r="AI197" s="30">
        <v>3263157</v>
      </c>
      <c r="AJ197" s="30">
        <v>3263157</v>
      </c>
      <c r="AK197" s="30">
        <v>3263157</v>
      </c>
      <c r="AL197" s="30">
        <v>3263157</v>
      </c>
      <c r="AM197" s="30">
        <v>3263157</v>
      </c>
      <c r="AN197" s="30">
        <v>3263157</v>
      </c>
      <c r="AO197" s="30">
        <v>3263157</v>
      </c>
      <c r="AP197" s="30">
        <v>3263157</v>
      </c>
      <c r="AQ197" s="138">
        <f>U197-(SUM(AE197:AP197))</f>
        <v>71378169.50999999</v>
      </c>
      <c r="AR197" s="142">
        <f>SUM(AE197:AQ197)</f>
        <v>110536053.50999999</v>
      </c>
      <c r="AT197" s="143"/>
    </row>
    <row r="198" spans="1:46" x14ac:dyDescent="0.3">
      <c r="A198" s="96">
        <v>195</v>
      </c>
      <c r="B198" s="29" t="s">
        <v>404</v>
      </c>
      <c r="C198" s="28" t="s">
        <v>405</v>
      </c>
      <c r="D198" s="54">
        <v>4</v>
      </c>
      <c r="E198" s="30">
        <v>174382739.47999999</v>
      </c>
      <c r="F198" s="30">
        <v>38088186.259999998</v>
      </c>
      <c r="G198" s="30">
        <v>57018974.399999999</v>
      </c>
      <c r="H198" s="91">
        <f>SUM(E198:G198)</f>
        <v>269489900.13999999</v>
      </c>
      <c r="I198" s="91">
        <v>0</v>
      </c>
      <c r="J198" s="91">
        <v>0</v>
      </c>
      <c r="K198" s="30">
        <v>1179</v>
      </c>
      <c r="L198" s="28"/>
      <c r="M198" s="28"/>
      <c r="N198" s="30">
        <f>SUM(K198:M198)</f>
        <v>1179</v>
      </c>
      <c r="O198" s="30">
        <v>0</v>
      </c>
      <c r="P198" s="30">
        <v>0</v>
      </c>
      <c r="Q198" s="30">
        <v>0</v>
      </c>
      <c r="R198" s="30">
        <f>SUM(O198:Q198)</f>
        <v>0</v>
      </c>
      <c r="S198" s="30">
        <v>0</v>
      </c>
      <c r="T198" s="30">
        <v>0</v>
      </c>
      <c r="U198" s="106">
        <f>E198-K198-O198</f>
        <v>174381560.47999999</v>
      </c>
      <c r="V198" s="105">
        <f>F198+I198-P198-S198</f>
        <v>38088186.259999998</v>
      </c>
      <c r="W198" s="106">
        <f>G198+J198-M198-Q198-T198</f>
        <v>57018974.399999999</v>
      </c>
      <c r="X198" s="106">
        <f>SUM(U198:W198)</f>
        <v>269488721.13999999</v>
      </c>
      <c r="Y198" s="106">
        <v>242000000</v>
      </c>
      <c r="Z198" s="146">
        <v>174381560</v>
      </c>
      <c r="AA198" s="29" t="s">
        <v>408</v>
      </c>
      <c r="AB198" s="29" t="s">
        <v>412</v>
      </c>
      <c r="AC198" s="29" t="s">
        <v>416</v>
      </c>
      <c r="AD198" s="113" t="s">
        <v>436</v>
      </c>
      <c r="AE198" s="132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138">
        <v>34876312.096000001</v>
      </c>
      <c r="AR198" s="142">
        <f>SUM(AE198:AQ198)</f>
        <v>34876312.096000001</v>
      </c>
      <c r="AT198" s="143"/>
    </row>
    <row r="199" spans="1:46" ht="15" thickBot="1" x14ac:dyDescent="0.35">
      <c r="A199" s="98">
        <v>196</v>
      </c>
      <c r="B199" s="58" t="s">
        <v>406</v>
      </c>
      <c r="C199" s="57" t="s">
        <v>407</v>
      </c>
      <c r="D199" s="99">
        <v>4</v>
      </c>
      <c r="E199" s="59">
        <v>39474393.590000004</v>
      </c>
      <c r="F199" s="59">
        <v>17577107.789999999</v>
      </c>
      <c r="G199" s="59">
        <v>32706493.370000001</v>
      </c>
      <c r="H199" s="100">
        <f>SUM(E199:G199)</f>
        <v>89757994.75</v>
      </c>
      <c r="I199" s="91">
        <v>0</v>
      </c>
      <c r="J199" s="91">
        <v>0</v>
      </c>
      <c r="K199" s="30">
        <v>0</v>
      </c>
      <c r="L199" s="57"/>
      <c r="M199" s="57"/>
      <c r="N199" s="30">
        <f>SUM(K199:M199)</f>
        <v>0</v>
      </c>
      <c r="O199" s="59">
        <v>0</v>
      </c>
      <c r="P199" s="30">
        <v>0</v>
      </c>
      <c r="Q199" s="30">
        <v>0</v>
      </c>
      <c r="R199" s="30">
        <f>SUM(O199:Q199)</f>
        <v>0</v>
      </c>
      <c r="S199" s="30">
        <v>0</v>
      </c>
      <c r="T199" s="30">
        <v>0</v>
      </c>
      <c r="U199" s="106">
        <f>E199-K199-O199</f>
        <v>39474393.590000004</v>
      </c>
      <c r="V199" s="105">
        <f>F199+I199-P199-S199</f>
        <v>17577107.789999999</v>
      </c>
      <c r="W199" s="106">
        <f>G199+J199-M199-Q199-T199</f>
        <v>32706493.370000001</v>
      </c>
      <c r="X199" s="106">
        <f>SUM(U199:W199)</f>
        <v>89757994.75</v>
      </c>
      <c r="Y199" s="106">
        <v>45000000</v>
      </c>
      <c r="Z199" s="147">
        <v>39474394</v>
      </c>
      <c r="AA199" s="58" t="s">
        <v>408</v>
      </c>
      <c r="AB199" s="58" t="s">
        <v>413</v>
      </c>
      <c r="AC199" s="29" t="s">
        <v>416</v>
      </c>
      <c r="AD199" s="113" t="s">
        <v>436</v>
      </c>
      <c r="AE199" s="135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40">
        <v>1973719.6795000003</v>
      </c>
      <c r="AR199" s="142">
        <f>SUM(AE199:AQ199)</f>
        <v>1973719.6795000003</v>
      </c>
      <c r="AT199" s="143"/>
    </row>
    <row r="200" spans="1:46" s="104" customFormat="1" ht="15" thickBot="1" x14ac:dyDescent="0.35">
      <c r="A200" s="101"/>
      <c r="B200" s="102"/>
      <c r="C200" s="102"/>
      <c r="D200" s="102"/>
      <c r="E200" s="103">
        <f t="shared" ref="E200:Y200" si="33">SUM(E4:E199)</f>
        <v>126953947655.93002</v>
      </c>
      <c r="F200" s="103">
        <f t="shared" si="33"/>
        <v>12738151277.349998</v>
      </c>
      <c r="G200" s="103">
        <f t="shared" si="33"/>
        <v>6356146739.8599968</v>
      </c>
      <c r="H200" s="103">
        <f t="shared" si="33"/>
        <v>146048245673.14005</v>
      </c>
      <c r="I200" s="103">
        <f t="shared" si="33"/>
        <v>5091780772.4800005</v>
      </c>
      <c r="J200" s="103">
        <f t="shared" si="33"/>
        <v>4581419814.3599997</v>
      </c>
      <c r="K200" s="103">
        <f t="shared" si="33"/>
        <v>424158712.35219067</v>
      </c>
      <c r="L200" s="103">
        <f t="shared" si="33"/>
        <v>0</v>
      </c>
      <c r="M200" s="103">
        <f t="shared" si="33"/>
        <v>0</v>
      </c>
      <c r="N200" s="103">
        <f t="shared" si="33"/>
        <v>424158712.35219067</v>
      </c>
      <c r="O200" s="103">
        <f t="shared" si="33"/>
        <v>36047969208.949997</v>
      </c>
      <c r="P200" s="103">
        <f t="shared" si="33"/>
        <v>3968029458.4899998</v>
      </c>
      <c r="Q200" s="103">
        <f t="shared" si="33"/>
        <v>511520479.84999996</v>
      </c>
      <c r="R200" s="103">
        <f t="shared" si="33"/>
        <v>40527519147.289993</v>
      </c>
      <c r="S200" s="103">
        <f t="shared" si="33"/>
        <v>2758641108.6999998</v>
      </c>
      <c r="T200" s="103">
        <f t="shared" si="33"/>
        <v>5311538538.4399996</v>
      </c>
      <c r="U200" s="103">
        <f t="shared" si="33"/>
        <v>90481819734.667816</v>
      </c>
      <c r="V200" s="103">
        <f t="shared" si="33"/>
        <v>11103261482.419998</v>
      </c>
      <c r="W200" s="103">
        <f t="shared" si="33"/>
        <v>5114507535.9299994</v>
      </c>
      <c r="X200" s="103">
        <f t="shared" si="33"/>
        <v>106699588753.01779</v>
      </c>
      <c r="Y200" s="103">
        <f t="shared" si="33"/>
        <v>107479000000</v>
      </c>
      <c r="Z200" s="103">
        <f>SUM(Z4:Z199)-3</f>
        <v>101330578974.12103</v>
      </c>
      <c r="AA200" s="102"/>
      <c r="AB200" s="102"/>
      <c r="AC200" s="102"/>
      <c r="AD200" s="116"/>
      <c r="AE200" s="144">
        <f>SUM(AE4:AE199)</f>
        <v>1296772680.2105262</v>
      </c>
      <c r="AF200" s="144">
        <f t="shared" ref="AF200:AR200" si="34">SUM(AF4:AF199)</f>
        <v>1823621595.9905264</v>
      </c>
      <c r="AG200" s="144">
        <f t="shared" si="34"/>
        <v>1455735236.5605264</v>
      </c>
      <c r="AH200" s="144">
        <f t="shared" si="34"/>
        <v>1272772680.2105265</v>
      </c>
      <c r="AI200" s="144">
        <f t="shared" si="34"/>
        <v>3462637785.7705259</v>
      </c>
      <c r="AJ200" s="144">
        <f t="shared" si="34"/>
        <v>2692955593.5405264</v>
      </c>
      <c r="AK200" s="144">
        <f t="shared" si="34"/>
        <v>1827946154.0205262</v>
      </c>
      <c r="AL200" s="144">
        <f t="shared" si="34"/>
        <v>2002772680.2105262</v>
      </c>
      <c r="AM200" s="144">
        <f t="shared" si="34"/>
        <v>2543772680.2105265</v>
      </c>
      <c r="AN200" s="144">
        <f t="shared" si="34"/>
        <v>1703966838.3905263</v>
      </c>
      <c r="AO200" s="144">
        <f t="shared" si="34"/>
        <v>1503110661.9105263</v>
      </c>
      <c r="AP200" s="144">
        <f t="shared" si="34"/>
        <v>3332923023.1220198</v>
      </c>
      <c r="AQ200" s="144">
        <f t="shared" si="34"/>
        <v>10524282524.668665</v>
      </c>
      <c r="AR200" s="145">
        <f t="shared" si="34"/>
        <v>35443270134.81646</v>
      </c>
    </row>
    <row r="202" spans="1:46" x14ac:dyDescent="0.3">
      <c r="K202" s="52"/>
      <c r="U202" s="110"/>
    </row>
    <row r="203" spans="1:46" x14ac:dyDescent="0.3">
      <c r="K203" s="108"/>
      <c r="O203" s="108"/>
    </row>
    <row r="204" spans="1:46" x14ac:dyDescent="0.3">
      <c r="X204" s="108"/>
      <c r="Y204" s="108"/>
    </row>
    <row r="205" spans="1:46" x14ac:dyDescent="0.3">
      <c r="X205" s="108"/>
      <c r="Y205" s="108"/>
      <c r="AR205" t="s">
        <v>29</v>
      </c>
    </row>
    <row r="212" spans="25:25" x14ac:dyDescent="0.3">
      <c r="Y212" t="s">
        <v>29</v>
      </c>
    </row>
  </sheetData>
  <autoFilter ref="A3:AT200" xr:uid="{49E7DF56-7079-42B7-909D-1D383B80C087}"/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H4:H199 N4:N199 AE200:AO20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FFF4-BAED-448B-8F21-BA48C850E967}">
  <dimension ref="A3:P91"/>
  <sheetViews>
    <sheetView zoomScale="80" zoomScaleNormal="80" workbookViewId="0">
      <selection activeCell="D35" sqref="D35"/>
    </sheetView>
  </sheetViews>
  <sheetFormatPr defaultRowHeight="14.4" x14ac:dyDescent="0.3"/>
  <cols>
    <col min="1" max="1" width="27.109375" bestFit="1" customWidth="1"/>
    <col min="2" max="2" width="21.109375" bestFit="1" customWidth="1"/>
    <col min="3" max="3" width="30.109375" bestFit="1" customWidth="1"/>
    <col min="4" max="4" width="18.5546875" bestFit="1" customWidth="1"/>
    <col min="5" max="5" width="34.5546875" bestFit="1" customWidth="1"/>
    <col min="6" max="6" width="34.88671875" bestFit="1" customWidth="1"/>
    <col min="7" max="7" width="19.6640625" bestFit="1" customWidth="1"/>
    <col min="9" max="9" width="4.33203125" bestFit="1" customWidth="1"/>
    <col min="10" max="10" width="12.21875" bestFit="1" customWidth="1"/>
    <col min="11" max="11" width="19.5546875" bestFit="1" customWidth="1"/>
    <col min="12" max="12" width="7.44140625" bestFit="1" customWidth="1"/>
    <col min="13" max="13" width="16.109375" bestFit="1" customWidth="1"/>
    <col min="14" max="14" width="12.44140625" bestFit="1" customWidth="1"/>
    <col min="15" max="15" width="15.109375" bestFit="1" customWidth="1"/>
    <col min="16" max="16" width="18.21875" bestFit="1" customWidth="1"/>
  </cols>
  <sheetData>
    <row r="3" spans="1:7" x14ac:dyDescent="0.3">
      <c r="A3" s="214" t="s">
        <v>1337</v>
      </c>
      <c r="B3" t="s">
        <v>1339</v>
      </c>
      <c r="C3" t="s">
        <v>1340</v>
      </c>
      <c r="D3" t="s">
        <v>1341</v>
      </c>
      <c r="E3" t="s">
        <v>1342</v>
      </c>
      <c r="F3" t="s">
        <v>1343</v>
      </c>
      <c r="G3" t="s">
        <v>1344</v>
      </c>
    </row>
    <row r="4" spans="1:7" x14ac:dyDescent="0.3">
      <c r="A4" s="215" t="s">
        <v>416</v>
      </c>
      <c r="B4" s="217">
        <v>120</v>
      </c>
      <c r="C4" s="217">
        <v>105508260037.70001</v>
      </c>
      <c r="D4" s="217">
        <v>343775270.35219073</v>
      </c>
      <c r="E4" s="217">
        <v>14682665032.68</v>
      </c>
      <c r="F4" s="217">
        <v>90481819734.667816</v>
      </c>
      <c r="G4" s="217">
        <v>81143591126.090302</v>
      </c>
    </row>
    <row r="5" spans="1:7" x14ac:dyDescent="0.3">
      <c r="A5" s="216">
        <v>1</v>
      </c>
      <c r="B5" s="217">
        <v>13</v>
      </c>
      <c r="C5" s="217">
        <v>8173858704.1000004</v>
      </c>
      <c r="D5" s="217">
        <v>181430952.3521907</v>
      </c>
      <c r="E5" s="217">
        <v>2459906847.1199999</v>
      </c>
      <c r="F5" s="217">
        <v>5532520904.6278105</v>
      </c>
      <c r="G5" s="217">
        <v>6705728668.9604864</v>
      </c>
    </row>
    <row r="6" spans="1:7" x14ac:dyDescent="0.3">
      <c r="A6" s="216">
        <v>2</v>
      </c>
      <c r="B6" s="217">
        <v>19</v>
      </c>
      <c r="C6" s="217">
        <v>18389922845.510002</v>
      </c>
      <c r="D6" s="217">
        <v>52993628</v>
      </c>
      <c r="E6" s="217">
        <v>4109095676.0900002</v>
      </c>
      <c r="F6" s="217">
        <v>14227833541.419998</v>
      </c>
      <c r="G6" s="217">
        <v>12995257656.247534</v>
      </c>
    </row>
    <row r="7" spans="1:7" x14ac:dyDescent="0.3">
      <c r="A7" s="216">
        <v>3</v>
      </c>
      <c r="B7" s="217">
        <v>13</v>
      </c>
      <c r="C7" s="217">
        <v>14180757336.119997</v>
      </c>
      <c r="D7" s="217">
        <v>39299</v>
      </c>
      <c r="E7" s="217">
        <v>1352891782.46</v>
      </c>
      <c r="F7" s="217">
        <v>12827826254.659998</v>
      </c>
      <c r="G7" s="217">
        <v>12024772369.882292</v>
      </c>
    </row>
    <row r="8" spans="1:7" x14ac:dyDescent="0.3">
      <c r="A8" s="216">
        <v>4</v>
      </c>
      <c r="B8" s="217">
        <v>75</v>
      </c>
      <c r="C8" s="217">
        <v>64763721151.970009</v>
      </c>
      <c r="D8" s="217">
        <v>109311391</v>
      </c>
      <c r="E8" s="217">
        <v>6760770727.0100002</v>
      </c>
      <c r="F8" s="217">
        <v>57893639033.960007</v>
      </c>
      <c r="G8" s="217">
        <v>49417832431</v>
      </c>
    </row>
    <row r="9" spans="1:7" x14ac:dyDescent="0.3">
      <c r="A9" s="215" t="s">
        <v>417</v>
      </c>
      <c r="B9" s="217">
        <v>76</v>
      </c>
      <c r="C9" s="217">
        <v>21445687618.229996</v>
      </c>
      <c r="D9" s="217">
        <v>80383442</v>
      </c>
      <c r="E9" s="217">
        <v>21365304176.269997</v>
      </c>
      <c r="F9" s="217">
        <v>0</v>
      </c>
      <c r="G9" s="217">
        <v>20186987851.030727</v>
      </c>
    </row>
    <row r="10" spans="1:7" x14ac:dyDescent="0.3">
      <c r="A10" s="216">
        <v>1</v>
      </c>
      <c r="B10" s="217">
        <v>43</v>
      </c>
      <c r="C10" s="217">
        <v>6561002024.3199997</v>
      </c>
      <c r="D10" s="217">
        <v>64476662</v>
      </c>
      <c r="E10" s="217">
        <v>6496525362.3600016</v>
      </c>
      <c r="F10" s="217">
        <v>0</v>
      </c>
      <c r="G10" s="217">
        <v>6284956598.4475174</v>
      </c>
    </row>
    <row r="11" spans="1:7" x14ac:dyDescent="0.3">
      <c r="A11" s="216">
        <v>2</v>
      </c>
      <c r="B11" s="217">
        <v>6</v>
      </c>
      <c r="C11" s="217">
        <v>2283424883</v>
      </c>
      <c r="D11" s="217">
        <v>56181</v>
      </c>
      <c r="E11" s="217">
        <v>2283368702</v>
      </c>
      <c r="F11" s="217">
        <v>0</v>
      </c>
      <c r="G11" s="217">
        <v>2283368702</v>
      </c>
    </row>
    <row r="12" spans="1:7" x14ac:dyDescent="0.3">
      <c r="A12" s="216">
        <v>3</v>
      </c>
      <c r="B12" s="217">
        <v>8</v>
      </c>
      <c r="C12" s="217">
        <v>4257402308.2799997</v>
      </c>
      <c r="D12" s="217">
        <v>63779</v>
      </c>
      <c r="E12" s="217">
        <v>4257338529.2799997</v>
      </c>
      <c r="F12" s="217">
        <v>0</v>
      </c>
      <c r="G12" s="217">
        <v>3405413665.5832109</v>
      </c>
    </row>
    <row r="13" spans="1:7" x14ac:dyDescent="0.3">
      <c r="A13" s="216">
        <v>4</v>
      </c>
      <c r="B13" s="217">
        <v>19</v>
      </c>
      <c r="C13" s="217">
        <v>8343858402.6300001</v>
      </c>
      <c r="D13" s="217">
        <v>15786820</v>
      </c>
      <c r="E13" s="217">
        <v>8328071582.6300001</v>
      </c>
      <c r="F13" s="217">
        <v>0</v>
      </c>
      <c r="G13" s="217">
        <v>8213248885</v>
      </c>
    </row>
    <row r="14" spans="1:7" x14ac:dyDescent="0.3">
      <c r="A14" s="215" t="s">
        <v>1338</v>
      </c>
      <c r="B14" s="217">
        <v>196</v>
      </c>
      <c r="C14" s="217">
        <v>126953947655.92999</v>
      </c>
      <c r="D14" s="217">
        <v>424158712.35219073</v>
      </c>
      <c r="E14" s="217">
        <v>36047969208.949997</v>
      </c>
      <c r="F14" s="217">
        <v>90481819734.667816</v>
      </c>
      <c r="G14" s="217">
        <v>101330578977.12103</v>
      </c>
    </row>
    <row r="15" spans="1:7" ht="15" thickBot="1" x14ac:dyDescent="0.35"/>
    <row r="16" spans="1:7" ht="28.8" x14ac:dyDescent="0.3">
      <c r="A16" s="304" t="s">
        <v>35</v>
      </c>
      <c r="B16" s="305" t="s">
        <v>1346</v>
      </c>
      <c r="C16" s="306" t="s">
        <v>1347</v>
      </c>
      <c r="D16" s="306" t="s">
        <v>33</v>
      </c>
      <c r="E16" s="305" t="s">
        <v>24</v>
      </c>
      <c r="F16" s="306" t="s">
        <v>1348</v>
      </c>
      <c r="G16" s="307" t="s">
        <v>1349</v>
      </c>
    </row>
    <row r="17" spans="1:16" x14ac:dyDescent="0.3">
      <c r="A17" s="308" t="s">
        <v>1350</v>
      </c>
      <c r="B17" s="284" t="s">
        <v>1351</v>
      </c>
      <c r="C17" s="309" t="s">
        <v>1352</v>
      </c>
      <c r="D17" s="309" t="s">
        <v>1353</v>
      </c>
      <c r="E17" s="284" t="s">
        <v>1354</v>
      </c>
      <c r="F17" s="309" t="s">
        <v>1355</v>
      </c>
      <c r="G17" s="310" t="s">
        <v>1356</v>
      </c>
    </row>
    <row r="18" spans="1:16" x14ac:dyDescent="0.3">
      <c r="A18" s="342" t="s">
        <v>416</v>
      </c>
      <c r="B18" s="29">
        <v>1</v>
      </c>
      <c r="C18" s="29">
        <v>13</v>
      </c>
      <c r="D18" s="30">
        <v>8173858704.1000004</v>
      </c>
      <c r="E18" s="30">
        <v>181430952.3521907</v>
      </c>
      <c r="F18" s="30">
        <v>2459906847.1199999</v>
      </c>
      <c r="G18" s="133">
        <f>D18-E18-F18</f>
        <v>5532520904.6278095</v>
      </c>
    </row>
    <row r="19" spans="1:16" x14ac:dyDescent="0.3">
      <c r="A19" s="342"/>
      <c r="B19" s="29">
        <v>2</v>
      </c>
      <c r="C19" s="29">
        <v>19</v>
      </c>
      <c r="D19" s="30">
        <v>18389922845.510002</v>
      </c>
      <c r="E19" s="30">
        <v>52993628</v>
      </c>
      <c r="F19" s="30">
        <v>4109095676.0900002</v>
      </c>
      <c r="G19" s="133">
        <f>D19-E19-F19</f>
        <v>14227833541.420002</v>
      </c>
    </row>
    <row r="20" spans="1:16" x14ac:dyDescent="0.3">
      <c r="A20" s="342"/>
      <c r="B20" s="29">
        <v>3</v>
      </c>
      <c r="C20" s="29">
        <v>13</v>
      </c>
      <c r="D20" s="30">
        <v>14180757336.119997</v>
      </c>
      <c r="E20" s="30">
        <v>39299</v>
      </c>
      <c r="F20" s="30">
        <v>1352891782.46</v>
      </c>
      <c r="G20" s="133">
        <f>D20-E20-F20</f>
        <v>12827826254.659996</v>
      </c>
    </row>
    <row r="21" spans="1:16" x14ac:dyDescent="0.3">
      <c r="A21" s="342"/>
      <c r="B21" s="29">
        <v>4</v>
      </c>
      <c r="C21" s="29">
        <v>75</v>
      </c>
      <c r="D21" s="30">
        <v>64763721151.970009</v>
      </c>
      <c r="E21" s="30">
        <v>109311391</v>
      </c>
      <c r="F21" s="30">
        <v>6760770727.0100002</v>
      </c>
      <c r="G21" s="133">
        <f>D21-E21-F21</f>
        <v>57893639033.960007</v>
      </c>
    </row>
    <row r="22" spans="1:16" x14ac:dyDescent="0.3">
      <c r="A22" s="343" t="s">
        <v>1345</v>
      </c>
      <c r="B22" s="344"/>
      <c r="C22" s="218">
        <f>SUM(C18:C21)</f>
        <v>120</v>
      </c>
      <c r="D22" s="219">
        <f>SUM(D18:D21)</f>
        <v>105508260037.70001</v>
      </c>
      <c r="E22" s="219">
        <f>SUM(E18:E21)</f>
        <v>343775270.35219073</v>
      </c>
      <c r="F22" s="219">
        <f>SUM(F18:F21)</f>
        <v>14682665032.68</v>
      </c>
      <c r="G22" s="220">
        <f>SUM(G18:G21)</f>
        <v>90481819734.667816</v>
      </c>
    </row>
    <row r="23" spans="1:16" x14ac:dyDescent="0.3">
      <c r="A23" s="342" t="s">
        <v>417</v>
      </c>
      <c r="B23" s="29">
        <v>1</v>
      </c>
      <c r="C23" s="29">
        <v>43</v>
      </c>
      <c r="D23" s="30">
        <v>6561002024.3199997</v>
      </c>
      <c r="E23" s="30">
        <v>64476662</v>
      </c>
      <c r="F23" s="30">
        <v>6496525362.3600016</v>
      </c>
      <c r="G23" s="133">
        <v>0</v>
      </c>
    </row>
    <row r="24" spans="1:16" x14ac:dyDescent="0.3">
      <c r="A24" s="342"/>
      <c r="B24" s="29">
        <v>2</v>
      </c>
      <c r="C24" s="29">
        <v>6</v>
      </c>
      <c r="D24" s="30">
        <v>2283424883</v>
      </c>
      <c r="E24" s="30">
        <v>56181</v>
      </c>
      <c r="F24" s="30">
        <v>2283368702</v>
      </c>
      <c r="G24" s="133">
        <f>D24-E24-F24</f>
        <v>0</v>
      </c>
    </row>
    <row r="25" spans="1:16" x14ac:dyDescent="0.3">
      <c r="A25" s="342"/>
      <c r="B25" s="29">
        <v>3</v>
      </c>
      <c r="C25" s="29">
        <v>8</v>
      </c>
      <c r="D25" s="30">
        <v>4257402308.2799997</v>
      </c>
      <c r="E25" s="30">
        <v>63779</v>
      </c>
      <c r="F25" s="30">
        <v>4257338529.2799997</v>
      </c>
      <c r="G25" s="133">
        <f>D25-E25-F25</f>
        <v>0</v>
      </c>
    </row>
    <row r="26" spans="1:16" x14ac:dyDescent="0.3">
      <c r="A26" s="342"/>
      <c r="B26" s="29">
        <v>4</v>
      </c>
      <c r="C26" s="29">
        <v>19</v>
      </c>
      <c r="D26" s="30">
        <v>8343858402.6300001</v>
      </c>
      <c r="E26" s="30">
        <v>15786820</v>
      </c>
      <c r="F26" s="30">
        <v>8328071582.6300001</v>
      </c>
      <c r="G26" s="133">
        <f>D26-E26-F26</f>
        <v>0</v>
      </c>
    </row>
    <row r="27" spans="1:16" x14ac:dyDescent="0.3">
      <c r="A27" s="343" t="s">
        <v>1345</v>
      </c>
      <c r="B27" s="344"/>
      <c r="C27" s="218">
        <f>SUM(C23:C26)</f>
        <v>76</v>
      </c>
      <c r="D27" s="219">
        <f>SUM(D23:D26)</f>
        <v>21445687618.23</v>
      </c>
      <c r="E27" s="219">
        <f>SUM(E23:E26)</f>
        <v>80383442</v>
      </c>
      <c r="F27" s="219">
        <f>SUM(F23:F26)</f>
        <v>21365304176.27</v>
      </c>
      <c r="G27" s="220">
        <f>SUM(G23:G26)</f>
        <v>0</v>
      </c>
    </row>
    <row r="28" spans="1:16" ht="15" thickBot="1" x14ac:dyDescent="0.35">
      <c r="A28" s="345" t="s">
        <v>1338</v>
      </c>
      <c r="B28" s="346"/>
      <c r="C28" s="286">
        <f>C22+C27</f>
        <v>196</v>
      </c>
      <c r="D28" s="287">
        <f>D22+D27</f>
        <v>126953947655.93001</v>
      </c>
      <c r="E28" s="287">
        <f>E22+E27</f>
        <v>424158712.35219073</v>
      </c>
      <c r="F28" s="287">
        <f>F22+F27</f>
        <v>36047969208.949997</v>
      </c>
      <c r="G28" s="288">
        <f>G22+G27</f>
        <v>90481819734.667816</v>
      </c>
    </row>
    <row r="30" spans="1:16" ht="15" thickBot="1" x14ac:dyDescent="0.35"/>
    <row r="31" spans="1:16" ht="28.8" x14ac:dyDescent="0.3">
      <c r="A31" s="214" t="s">
        <v>1337</v>
      </c>
      <c r="B31" t="s">
        <v>1339</v>
      </c>
      <c r="C31" t="s">
        <v>1340</v>
      </c>
      <c r="D31" t="s">
        <v>1341</v>
      </c>
      <c r="E31" t="s">
        <v>1342</v>
      </c>
      <c r="F31" t="s">
        <v>1343</v>
      </c>
      <c r="I31" s="311" t="s">
        <v>1346</v>
      </c>
      <c r="J31" s="312" t="s">
        <v>22</v>
      </c>
      <c r="K31" s="313" t="s">
        <v>23</v>
      </c>
      <c r="L31" s="314" t="s">
        <v>1347</v>
      </c>
      <c r="M31" s="315" t="s">
        <v>33</v>
      </c>
      <c r="N31" s="312" t="s">
        <v>24</v>
      </c>
      <c r="O31" s="315" t="s">
        <v>1348</v>
      </c>
      <c r="P31" s="316" t="s">
        <v>1349</v>
      </c>
    </row>
    <row r="32" spans="1:16" x14ac:dyDescent="0.3">
      <c r="A32" s="215" t="s">
        <v>416</v>
      </c>
      <c r="B32" s="217">
        <v>120</v>
      </c>
      <c r="C32" s="217">
        <v>105508260037.70001</v>
      </c>
      <c r="D32" s="217">
        <v>343775270.35219073</v>
      </c>
      <c r="E32" s="217">
        <v>14682665032.68</v>
      </c>
      <c r="F32" s="217">
        <v>90481819734.667801</v>
      </c>
      <c r="I32" s="308" t="s">
        <v>1350</v>
      </c>
      <c r="J32" s="284" t="s">
        <v>1351</v>
      </c>
      <c r="K32" s="284" t="s">
        <v>1352</v>
      </c>
      <c r="L32" s="309" t="s">
        <v>1353</v>
      </c>
      <c r="M32" s="309" t="s">
        <v>1354</v>
      </c>
      <c r="N32" s="284" t="s">
        <v>1355</v>
      </c>
      <c r="O32" s="309" t="s">
        <v>1357</v>
      </c>
      <c r="P32" s="310" t="s">
        <v>1358</v>
      </c>
    </row>
    <row r="33" spans="1:16" x14ac:dyDescent="0.3">
      <c r="A33" s="216">
        <v>1</v>
      </c>
      <c r="B33" s="217">
        <v>13</v>
      </c>
      <c r="C33" s="217">
        <v>8173858704.1000004</v>
      </c>
      <c r="D33" s="217">
        <v>181430952.3521907</v>
      </c>
      <c r="E33" s="217">
        <v>2459906847.1199999</v>
      </c>
      <c r="F33" s="217">
        <v>5532520904.6278105</v>
      </c>
      <c r="I33" s="337">
        <v>1</v>
      </c>
      <c r="J33" s="240" t="s">
        <v>409</v>
      </c>
      <c r="K33" s="240" t="s">
        <v>414</v>
      </c>
      <c r="L33" s="241">
        <v>1</v>
      </c>
      <c r="M33" s="242">
        <v>45345151.82</v>
      </c>
      <c r="N33" s="242">
        <v>63773</v>
      </c>
      <c r="O33" s="242">
        <v>12172098.119999999</v>
      </c>
      <c r="P33" s="243">
        <v>33109280.700000003</v>
      </c>
    </row>
    <row r="34" spans="1:16" x14ac:dyDescent="0.3">
      <c r="A34" s="221" t="s">
        <v>409</v>
      </c>
      <c r="B34" s="217">
        <v>1</v>
      </c>
      <c r="C34" s="217">
        <v>45345151.82</v>
      </c>
      <c r="D34" s="217">
        <v>63773</v>
      </c>
      <c r="E34" s="217">
        <v>12172098.119999999</v>
      </c>
      <c r="F34" s="217">
        <v>33109280.700000003</v>
      </c>
      <c r="I34" s="338"/>
      <c r="J34" s="28" t="s">
        <v>408</v>
      </c>
      <c r="K34" s="28" t="s">
        <v>412</v>
      </c>
      <c r="L34" s="29">
        <v>12</v>
      </c>
      <c r="M34" s="30">
        <v>8128513552.2799997</v>
      </c>
      <c r="N34" s="30">
        <v>181367179.3521907</v>
      </c>
      <c r="O34" s="30">
        <v>2447734749</v>
      </c>
      <c r="P34" s="133">
        <v>5499411623.9278097</v>
      </c>
    </row>
    <row r="35" spans="1:16" x14ac:dyDescent="0.3">
      <c r="A35" s="222" t="s">
        <v>414</v>
      </c>
      <c r="B35" s="217">
        <v>1</v>
      </c>
      <c r="C35" s="217">
        <v>45345151.82</v>
      </c>
      <c r="D35" s="217">
        <v>63773</v>
      </c>
      <c r="E35" s="217">
        <v>12172098.119999999</v>
      </c>
      <c r="F35" s="217">
        <v>33109280.700000003</v>
      </c>
      <c r="I35" s="223"/>
      <c r="J35" s="224"/>
      <c r="K35" s="224"/>
      <c r="L35" s="218">
        <f>SUM(L33:L34)</f>
        <v>13</v>
      </c>
      <c r="M35" s="219">
        <f>SUM(M33:M34)</f>
        <v>8173858704.0999994</v>
      </c>
      <c r="N35" s="219">
        <f>SUM(N33:N34)</f>
        <v>181430952.3521907</v>
      </c>
      <c r="O35" s="219">
        <f>SUM(O33:O34)</f>
        <v>2459906847.1199999</v>
      </c>
      <c r="P35" s="220">
        <f>SUM(P33:P34)</f>
        <v>5532520904.6278095</v>
      </c>
    </row>
    <row r="36" spans="1:16" x14ac:dyDescent="0.3">
      <c r="A36" s="221" t="s">
        <v>408</v>
      </c>
      <c r="B36" s="217">
        <v>12</v>
      </c>
      <c r="C36" s="217">
        <v>8128513552.2799997</v>
      </c>
      <c r="D36" s="217">
        <v>181367179.3521907</v>
      </c>
      <c r="E36" s="217">
        <v>2447734749</v>
      </c>
      <c r="F36" s="217">
        <v>5499411623.9278097</v>
      </c>
      <c r="I36" s="336">
        <v>2</v>
      </c>
      <c r="J36" s="28" t="s">
        <v>409</v>
      </c>
      <c r="K36" s="28" t="s">
        <v>414</v>
      </c>
      <c r="L36" s="29">
        <v>2</v>
      </c>
      <c r="M36" s="30">
        <v>25673024.129999999</v>
      </c>
      <c r="N36" s="30">
        <v>161902</v>
      </c>
      <c r="O36" s="30">
        <v>12110445</v>
      </c>
      <c r="P36" s="133">
        <v>13400677.129999999</v>
      </c>
    </row>
    <row r="37" spans="1:16" x14ac:dyDescent="0.3">
      <c r="A37" s="222" t="s">
        <v>412</v>
      </c>
      <c r="B37" s="217">
        <v>12</v>
      </c>
      <c r="C37" s="217">
        <v>8128513552.2799997</v>
      </c>
      <c r="D37" s="217">
        <v>181367179.3521907</v>
      </c>
      <c r="E37" s="217">
        <v>2447734749</v>
      </c>
      <c r="F37" s="217">
        <v>5499411623.9278097</v>
      </c>
      <c r="I37" s="337"/>
      <c r="J37" s="28" t="s">
        <v>410</v>
      </c>
      <c r="K37" s="28" t="s">
        <v>412</v>
      </c>
      <c r="L37" s="29">
        <v>2</v>
      </c>
      <c r="M37" s="30">
        <v>3218318048.8400002</v>
      </c>
      <c r="N37" s="30">
        <v>4904983</v>
      </c>
      <c r="O37" s="30">
        <v>2476212759</v>
      </c>
      <c r="P37" s="133">
        <v>737200306.84000003</v>
      </c>
    </row>
    <row r="38" spans="1:16" x14ac:dyDescent="0.3">
      <c r="A38" s="216">
        <v>2</v>
      </c>
      <c r="B38" s="217">
        <v>19</v>
      </c>
      <c r="C38" s="217">
        <v>18389922845.509998</v>
      </c>
      <c r="D38" s="217">
        <v>52993628</v>
      </c>
      <c r="E38" s="217">
        <v>4109095676.0900002</v>
      </c>
      <c r="F38" s="217">
        <v>14227833541.419998</v>
      </c>
      <c r="I38" s="337"/>
      <c r="J38" s="339" t="s">
        <v>408</v>
      </c>
      <c r="K38" s="28" t="s">
        <v>412</v>
      </c>
      <c r="L38" s="29">
        <v>10</v>
      </c>
      <c r="M38" s="30">
        <v>13265070200.970001</v>
      </c>
      <c r="N38" s="30">
        <v>47926743</v>
      </c>
      <c r="O38" s="30">
        <v>1620772472.0900002</v>
      </c>
      <c r="P38" s="133">
        <v>11596370985.880001</v>
      </c>
    </row>
    <row r="39" spans="1:16" x14ac:dyDescent="0.3">
      <c r="A39" s="221" t="s">
        <v>409</v>
      </c>
      <c r="B39" s="217">
        <v>2</v>
      </c>
      <c r="C39" s="217">
        <v>25673024.129999999</v>
      </c>
      <c r="D39" s="217">
        <v>161902</v>
      </c>
      <c r="E39" s="217">
        <v>12110445</v>
      </c>
      <c r="F39" s="217">
        <v>13400677.129999999</v>
      </c>
      <c r="I39" s="338"/>
      <c r="J39" s="340"/>
      <c r="K39" s="28" t="s">
        <v>414</v>
      </c>
      <c r="L39" s="29">
        <v>5</v>
      </c>
      <c r="M39" s="30">
        <v>1880861571.5700002</v>
      </c>
      <c r="N39" s="30">
        <v>0</v>
      </c>
      <c r="O39" s="30">
        <v>0</v>
      </c>
      <c r="P39" s="133">
        <v>1880861571.5700002</v>
      </c>
    </row>
    <row r="40" spans="1:16" x14ac:dyDescent="0.3">
      <c r="A40" s="222" t="s">
        <v>414</v>
      </c>
      <c r="B40" s="217">
        <v>2</v>
      </c>
      <c r="C40" s="217">
        <v>25673024.129999999</v>
      </c>
      <c r="D40" s="217">
        <v>161902</v>
      </c>
      <c r="E40" s="217">
        <v>12110445</v>
      </c>
      <c r="F40" s="217">
        <v>13400677.129999999</v>
      </c>
      <c r="I40" s="225"/>
      <c r="J40" s="226"/>
      <c r="K40" s="226"/>
      <c r="L40" s="218">
        <f>SUM(L36:L39)</f>
        <v>19</v>
      </c>
      <c r="M40" s="227">
        <f>SUM(M36:M39)</f>
        <v>18389922845.510002</v>
      </c>
      <c r="N40" s="227">
        <f>SUM(N36:N39)</f>
        <v>52993628</v>
      </c>
      <c r="O40" s="227">
        <f>SUM(O36:O39)</f>
        <v>4109095676.0900002</v>
      </c>
      <c r="P40" s="235">
        <f>SUM(P36:P39)</f>
        <v>14227833541.42</v>
      </c>
    </row>
    <row r="41" spans="1:16" x14ac:dyDescent="0.3">
      <c r="A41" s="221" t="s">
        <v>410</v>
      </c>
      <c r="B41" s="217">
        <v>2</v>
      </c>
      <c r="C41" s="217">
        <v>3218318048.8400002</v>
      </c>
      <c r="D41" s="217">
        <v>4904983</v>
      </c>
      <c r="E41" s="217">
        <v>2476212759</v>
      </c>
      <c r="F41" s="217">
        <v>737200306.84000003</v>
      </c>
      <c r="I41" s="336">
        <v>3</v>
      </c>
      <c r="J41" s="28" t="s">
        <v>408</v>
      </c>
      <c r="K41" s="28" t="s">
        <v>412</v>
      </c>
      <c r="L41" s="29">
        <v>10</v>
      </c>
      <c r="M41" s="30">
        <v>13667048267.219997</v>
      </c>
      <c r="N41" s="30">
        <v>39299</v>
      </c>
      <c r="O41" s="30">
        <v>1352891782.46</v>
      </c>
      <c r="P41" s="133">
        <v>12314117185.759998</v>
      </c>
    </row>
    <row r="42" spans="1:16" x14ac:dyDescent="0.3">
      <c r="A42" s="222" t="s">
        <v>412</v>
      </c>
      <c r="B42" s="217">
        <v>2</v>
      </c>
      <c r="C42" s="217">
        <v>3218318048.8400002</v>
      </c>
      <c r="D42" s="217">
        <v>4904983</v>
      </c>
      <c r="E42" s="217">
        <v>2476212759</v>
      </c>
      <c r="F42" s="217">
        <v>737200306.84000003</v>
      </c>
      <c r="I42" s="338"/>
      <c r="J42" s="28" t="s">
        <v>408</v>
      </c>
      <c r="K42" s="28" t="s">
        <v>414</v>
      </c>
      <c r="L42" s="29">
        <v>3</v>
      </c>
      <c r="M42" s="30">
        <v>513709068.89999998</v>
      </c>
      <c r="N42" s="30">
        <v>0</v>
      </c>
      <c r="O42" s="30">
        <v>0</v>
      </c>
      <c r="P42" s="133">
        <v>513709068.89999998</v>
      </c>
    </row>
    <row r="43" spans="1:16" x14ac:dyDescent="0.3">
      <c r="A43" s="221" t="s">
        <v>408</v>
      </c>
      <c r="B43" s="217">
        <v>15</v>
      </c>
      <c r="C43" s="217">
        <v>15145931772.540001</v>
      </c>
      <c r="D43" s="217">
        <v>47926743</v>
      </c>
      <c r="E43" s="217">
        <v>1620772472.0900002</v>
      </c>
      <c r="F43" s="217">
        <v>13477232557.450001</v>
      </c>
      <c r="I43" s="225"/>
      <c r="J43" s="226"/>
      <c r="K43" s="226"/>
      <c r="L43" s="218">
        <f>SUM(L41:L42)</f>
        <v>13</v>
      </c>
      <c r="M43" s="219">
        <f>SUM(M41:M42)</f>
        <v>14180757336.119997</v>
      </c>
      <c r="N43" s="219">
        <f>SUM(N41:N42)</f>
        <v>39299</v>
      </c>
      <c r="O43" s="219">
        <f>SUM(O41:O42)</f>
        <v>1352891782.46</v>
      </c>
      <c r="P43" s="220">
        <f>SUM(P41:P42)</f>
        <v>12827826254.659998</v>
      </c>
    </row>
    <row r="44" spans="1:16" x14ac:dyDescent="0.3">
      <c r="A44" s="222" t="s">
        <v>412</v>
      </c>
      <c r="B44" s="217">
        <v>10</v>
      </c>
      <c r="C44" s="217">
        <v>13265070200.970001</v>
      </c>
      <c r="D44" s="217">
        <v>47926743</v>
      </c>
      <c r="E44" s="217">
        <v>1620772472.0900002</v>
      </c>
      <c r="F44" s="217">
        <v>11596370985.880001</v>
      </c>
      <c r="I44" s="336">
        <v>4</v>
      </c>
      <c r="J44" s="28" t="s">
        <v>411</v>
      </c>
      <c r="K44" s="28" t="s">
        <v>414</v>
      </c>
      <c r="L44" s="29">
        <v>1</v>
      </c>
      <c r="M44" s="30">
        <v>598929955.62</v>
      </c>
      <c r="N44" s="30">
        <v>104230918</v>
      </c>
      <c r="O44" s="30">
        <v>0</v>
      </c>
      <c r="P44" s="133">
        <v>494699037.62</v>
      </c>
    </row>
    <row r="45" spans="1:16" x14ac:dyDescent="0.3">
      <c r="A45" s="222" t="s">
        <v>414</v>
      </c>
      <c r="B45" s="217">
        <v>5</v>
      </c>
      <c r="C45" s="217">
        <v>1880861571.5700002</v>
      </c>
      <c r="D45" s="217">
        <v>0</v>
      </c>
      <c r="E45" s="217">
        <v>0</v>
      </c>
      <c r="F45" s="217">
        <v>1880861571.5700002</v>
      </c>
      <c r="I45" s="337"/>
      <c r="J45" s="339" t="s">
        <v>410</v>
      </c>
      <c r="K45" s="28" t="s">
        <v>412</v>
      </c>
      <c r="L45" s="29">
        <v>2</v>
      </c>
      <c r="M45" s="30">
        <v>2289371360.6900001</v>
      </c>
      <c r="N45" s="30">
        <v>0</v>
      </c>
      <c r="O45" s="30">
        <v>526679600</v>
      </c>
      <c r="P45" s="133">
        <v>1762691760.6900001</v>
      </c>
    </row>
    <row r="46" spans="1:16" x14ac:dyDescent="0.3">
      <c r="A46" s="216">
        <v>3</v>
      </c>
      <c r="B46" s="217">
        <v>13</v>
      </c>
      <c r="C46" s="217">
        <v>14180757336.119997</v>
      </c>
      <c r="D46" s="217">
        <v>39299</v>
      </c>
      <c r="E46" s="217">
        <v>1352891782.46</v>
      </c>
      <c r="F46" s="217">
        <v>12827826254.659998</v>
      </c>
      <c r="I46" s="337"/>
      <c r="J46" s="340"/>
      <c r="K46" s="28" t="s">
        <v>414</v>
      </c>
      <c r="L46" s="29">
        <v>1</v>
      </c>
      <c r="M46" s="30">
        <v>1979443924.9100001</v>
      </c>
      <c r="N46" s="30">
        <v>0</v>
      </c>
      <c r="O46" s="30">
        <v>0</v>
      </c>
      <c r="P46" s="133">
        <v>1979443924.9100001</v>
      </c>
    </row>
    <row r="47" spans="1:16" x14ac:dyDescent="0.3">
      <c r="A47" s="221" t="s">
        <v>408</v>
      </c>
      <c r="B47" s="217">
        <v>13</v>
      </c>
      <c r="C47" s="217">
        <v>14180757336.119997</v>
      </c>
      <c r="D47" s="217">
        <v>39299</v>
      </c>
      <c r="E47" s="217">
        <v>1352891782.46</v>
      </c>
      <c r="F47" s="217">
        <v>12827826254.659998</v>
      </c>
      <c r="I47" s="337"/>
      <c r="J47" s="339" t="s">
        <v>408</v>
      </c>
      <c r="K47" s="28" t="s">
        <v>412</v>
      </c>
      <c r="L47" s="29">
        <v>48</v>
      </c>
      <c r="M47" s="30">
        <v>51132523134.609993</v>
      </c>
      <c r="N47" s="30">
        <v>5080473</v>
      </c>
      <c r="O47" s="30">
        <v>6193091127.0100002</v>
      </c>
      <c r="P47" s="133">
        <v>44934351534.599991</v>
      </c>
    </row>
    <row r="48" spans="1:16" x14ac:dyDescent="0.3">
      <c r="A48" s="222" t="s">
        <v>412</v>
      </c>
      <c r="B48" s="217">
        <v>10</v>
      </c>
      <c r="C48" s="217">
        <v>13667048267.219997</v>
      </c>
      <c r="D48" s="217">
        <v>39299</v>
      </c>
      <c r="E48" s="217">
        <v>1352891782.46</v>
      </c>
      <c r="F48" s="217">
        <v>12314117185.759998</v>
      </c>
      <c r="I48" s="337"/>
      <c r="J48" s="341"/>
      <c r="K48" s="28" t="s">
        <v>413</v>
      </c>
      <c r="L48" s="29">
        <v>1</v>
      </c>
      <c r="M48" s="30">
        <v>39474393.590000004</v>
      </c>
      <c r="N48" s="30">
        <v>0</v>
      </c>
      <c r="O48" s="30">
        <v>0</v>
      </c>
      <c r="P48" s="133">
        <v>39474393.590000004</v>
      </c>
    </row>
    <row r="49" spans="1:16" x14ac:dyDescent="0.3">
      <c r="A49" s="222" t="s">
        <v>414</v>
      </c>
      <c r="B49" s="217">
        <v>3</v>
      </c>
      <c r="C49" s="217">
        <v>513709068.89999998</v>
      </c>
      <c r="D49" s="217">
        <v>0</v>
      </c>
      <c r="E49" s="217">
        <v>0</v>
      </c>
      <c r="F49" s="217">
        <v>513709068.89999998</v>
      </c>
      <c r="I49" s="338"/>
      <c r="J49" s="340"/>
      <c r="K49" s="28" t="s">
        <v>414</v>
      </c>
      <c r="L49" s="29">
        <v>22</v>
      </c>
      <c r="M49" s="30">
        <v>8723978382.5499992</v>
      </c>
      <c r="N49" s="30">
        <v>0</v>
      </c>
      <c r="O49" s="30">
        <v>41000000</v>
      </c>
      <c r="P49" s="133">
        <v>8682978382.5499992</v>
      </c>
    </row>
    <row r="50" spans="1:16" ht="15" thickBot="1" x14ac:dyDescent="0.35">
      <c r="A50" s="216">
        <v>4</v>
      </c>
      <c r="B50" s="217">
        <v>75</v>
      </c>
      <c r="C50" s="217">
        <v>64763721151.969994</v>
      </c>
      <c r="D50" s="217">
        <v>109311391</v>
      </c>
      <c r="E50" s="217">
        <v>6760770727.0100002</v>
      </c>
      <c r="F50" s="217">
        <v>57893639033.959991</v>
      </c>
      <c r="I50" s="228"/>
      <c r="J50" s="229"/>
      <c r="K50" s="229"/>
      <c r="L50" s="238">
        <f>SUM(L44:L49)</f>
        <v>75</v>
      </c>
      <c r="M50" s="230">
        <f>SUM(M44:M49)</f>
        <v>64763721151.969986</v>
      </c>
      <c r="N50" s="230">
        <f>SUM(N44:N49)</f>
        <v>109311391</v>
      </c>
      <c r="O50" s="230">
        <f>SUM(O44:O49)</f>
        <v>6760770727.0100002</v>
      </c>
      <c r="P50" s="236">
        <f>SUM(P44:P49)</f>
        <v>57893639033.959991</v>
      </c>
    </row>
    <row r="51" spans="1:16" ht="15" thickBot="1" x14ac:dyDescent="0.35">
      <c r="A51" s="221" t="s">
        <v>411</v>
      </c>
      <c r="B51" s="217">
        <v>1</v>
      </c>
      <c r="C51" s="217">
        <v>598929955.62</v>
      </c>
      <c r="D51" s="217">
        <v>104230918</v>
      </c>
      <c r="E51" s="217">
        <v>0</v>
      </c>
      <c r="F51" s="217">
        <v>494699037.62</v>
      </c>
      <c r="I51" s="231"/>
      <c r="J51" s="232"/>
      <c r="K51" s="233"/>
      <c r="L51" s="239">
        <f>L50+L43+L40+L35</f>
        <v>120</v>
      </c>
      <c r="M51" s="234">
        <f>M50+M43+M40+M35</f>
        <v>105508260037.69998</v>
      </c>
      <c r="N51" s="234">
        <f>N50+N43+N40+N35</f>
        <v>343775270.35219073</v>
      </c>
      <c r="O51" s="234">
        <f>O50+O43+O40+O35</f>
        <v>14682665032.68</v>
      </c>
      <c r="P51" s="237">
        <f>P50+P43+P40+P35</f>
        <v>90481819734.667801</v>
      </c>
    </row>
    <row r="52" spans="1:16" x14ac:dyDescent="0.3">
      <c r="A52" s="222" t="s">
        <v>414</v>
      </c>
      <c r="B52" s="217">
        <v>1</v>
      </c>
      <c r="C52" s="217">
        <v>598929955.62</v>
      </c>
      <c r="D52" s="217">
        <v>104230918</v>
      </c>
      <c r="E52" s="217">
        <v>0</v>
      </c>
      <c r="F52" s="217">
        <v>494699037.62</v>
      </c>
    </row>
    <row r="53" spans="1:16" x14ac:dyDescent="0.3">
      <c r="A53" s="221" t="s">
        <v>410</v>
      </c>
      <c r="B53" s="217">
        <v>3</v>
      </c>
      <c r="C53" s="217">
        <v>4268815285.6000004</v>
      </c>
      <c r="D53" s="217">
        <v>0</v>
      </c>
      <c r="E53" s="217">
        <v>526679600</v>
      </c>
      <c r="F53" s="217">
        <v>3742135685.6000004</v>
      </c>
    </row>
    <row r="54" spans="1:16" x14ac:dyDescent="0.3">
      <c r="A54" s="222" t="s">
        <v>412</v>
      </c>
      <c r="B54" s="217">
        <v>2</v>
      </c>
      <c r="C54" s="217">
        <v>2289371360.6900001</v>
      </c>
      <c r="D54" s="217">
        <v>0</v>
      </c>
      <c r="E54" s="217">
        <v>526679600</v>
      </c>
      <c r="F54" s="217">
        <v>1762691760.6900001</v>
      </c>
    </row>
    <row r="55" spans="1:16" x14ac:dyDescent="0.3">
      <c r="A55" s="222" t="s">
        <v>414</v>
      </c>
      <c r="B55" s="217">
        <v>1</v>
      </c>
      <c r="C55" s="217">
        <v>1979443924.9100001</v>
      </c>
      <c r="D55" s="217">
        <v>0</v>
      </c>
      <c r="E55" s="217">
        <v>0</v>
      </c>
      <c r="F55" s="217">
        <v>1979443924.9100001</v>
      </c>
    </row>
    <row r="56" spans="1:16" x14ac:dyDescent="0.3">
      <c r="A56" s="221" t="s">
        <v>408</v>
      </c>
      <c r="B56" s="217">
        <v>71</v>
      </c>
      <c r="C56" s="217">
        <v>59895975910.749992</v>
      </c>
      <c r="D56" s="217">
        <v>5080473</v>
      </c>
      <c r="E56" s="217">
        <v>6234091127.0100002</v>
      </c>
      <c r="F56" s="217">
        <v>53656804310.73999</v>
      </c>
    </row>
    <row r="57" spans="1:16" x14ac:dyDescent="0.3">
      <c r="A57" s="222" t="s">
        <v>412</v>
      </c>
      <c r="B57" s="217">
        <v>48</v>
      </c>
      <c r="C57" s="217">
        <v>51132523134.609993</v>
      </c>
      <c r="D57" s="217">
        <v>5080473</v>
      </c>
      <c r="E57" s="217">
        <v>6193091127.0100002</v>
      </c>
      <c r="F57" s="217">
        <v>44934351534.599991</v>
      </c>
    </row>
    <row r="58" spans="1:16" x14ac:dyDescent="0.3">
      <c r="A58" s="222" t="s">
        <v>413</v>
      </c>
      <c r="B58" s="217">
        <v>1</v>
      </c>
      <c r="C58" s="217">
        <v>39474393.590000004</v>
      </c>
      <c r="D58" s="217">
        <v>0</v>
      </c>
      <c r="E58" s="217">
        <v>0</v>
      </c>
      <c r="F58" s="217">
        <v>39474393.590000004</v>
      </c>
    </row>
    <row r="59" spans="1:16" x14ac:dyDescent="0.3">
      <c r="A59" s="222" t="s">
        <v>414</v>
      </c>
      <c r="B59" s="217">
        <v>22</v>
      </c>
      <c r="C59" s="217">
        <v>8723978382.5499992</v>
      </c>
      <c r="D59" s="217">
        <v>0</v>
      </c>
      <c r="E59" s="217">
        <v>41000000</v>
      </c>
      <c r="F59" s="217">
        <v>8682978382.5499992</v>
      </c>
    </row>
    <row r="60" spans="1:16" x14ac:dyDescent="0.3">
      <c r="A60" s="215" t="s">
        <v>417</v>
      </c>
      <c r="B60" s="217">
        <v>76</v>
      </c>
      <c r="C60" s="217">
        <v>21445687618.229996</v>
      </c>
      <c r="D60" s="217">
        <v>80383442</v>
      </c>
      <c r="E60" s="217">
        <v>21365304176.269997</v>
      </c>
      <c r="F60" s="217">
        <v>0</v>
      </c>
    </row>
    <row r="61" spans="1:16" x14ac:dyDescent="0.3">
      <c r="A61" s="216">
        <v>1</v>
      </c>
      <c r="B61" s="217">
        <v>43</v>
      </c>
      <c r="C61" s="217">
        <v>6561002024.3199997</v>
      </c>
      <c r="D61" s="217">
        <v>64476662</v>
      </c>
      <c r="E61" s="217">
        <v>6496525362.3600016</v>
      </c>
      <c r="F61" s="217">
        <v>0</v>
      </c>
    </row>
    <row r="62" spans="1:16" x14ac:dyDescent="0.3">
      <c r="A62" s="221" t="s">
        <v>409</v>
      </c>
      <c r="B62" s="217">
        <v>10</v>
      </c>
      <c r="C62" s="217">
        <v>218888521.19</v>
      </c>
      <c r="D62" s="217">
        <v>409289</v>
      </c>
      <c r="E62" s="217">
        <v>218479232.62</v>
      </c>
      <c r="F62" s="217">
        <v>0</v>
      </c>
    </row>
    <row r="63" spans="1:16" x14ac:dyDescent="0.3">
      <c r="A63" s="222" t="s">
        <v>414</v>
      </c>
      <c r="B63" s="217">
        <v>10</v>
      </c>
      <c r="C63" s="217">
        <v>218888521.19</v>
      </c>
      <c r="D63" s="217">
        <v>409289</v>
      </c>
      <c r="E63" s="217">
        <v>218479232.62</v>
      </c>
      <c r="F63" s="217">
        <v>0</v>
      </c>
    </row>
    <row r="64" spans="1:16" x14ac:dyDescent="0.3">
      <c r="A64" s="221" t="s">
        <v>410</v>
      </c>
      <c r="B64" s="217">
        <v>1</v>
      </c>
      <c r="C64" s="217">
        <v>148119127.08000001</v>
      </c>
      <c r="D64" s="217">
        <v>0</v>
      </c>
      <c r="E64" s="217">
        <v>148119127.08000001</v>
      </c>
      <c r="F64" s="217">
        <v>0</v>
      </c>
    </row>
    <row r="65" spans="1:6" x14ac:dyDescent="0.3">
      <c r="A65" s="222" t="s">
        <v>412</v>
      </c>
      <c r="B65" s="217">
        <v>1</v>
      </c>
      <c r="C65" s="217">
        <v>148119127.08000001</v>
      </c>
      <c r="D65" s="217">
        <v>0</v>
      </c>
      <c r="E65" s="217">
        <v>148119127.08000001</v>
      </c>
      <c r="F65" s="217">
        <v>0</v>
      </c>
    </row>
    <row r="66" spans="1:6" x14ac:dyDescent="0.3">
      <c r="A66" s="221" t="s">
        <v>408</v>
      </c>
      <c r="B66" s="217">
        <v>32</v>
      </c>
      <c r="C66" s="217">
        <v>6193994376.0500002</v>
      </c>
      <c r="D66" s="217">
        <v>64067373</v>
      </c>
      <c r="E66" s="217">
        <v>6129927002.6600018</v>
      </c>
      <c r="F66" s="217">
        <v>0</v>
      </c>
    </row>
    <row r="67" spans="1:6" x14ac:dyDescent="0.3">
      <c r="A67" s="222" t="s">
        <v>412</v>
      </c>
      <c r="B67" s="217">
        <v>27</v>
      </c>
      <c r="C67" s="217">
        <v>5683615546.8599997</v>
      </c>
      <c r="D67" s="217">
        <v>63934924</v>
      </c>
      <c r="E67" s="217">
        <v>5619680622.6200008</v>
      </c>
      <c r="F67" s="217">
        <v>0</v>
      </c>
    </row>
    <row r="68" spans="1:6" x14ac:dyDescent="0.3">
      <c r="A68" s="222" t="s">
        <v>413</v>
      </c>
      <c r="B68" s="217">
        <v>2</v>
      </c>
      <c r="C68" s="217">
        <v>37429148.18</v>
      </c>
      <c r="D68" s="217">
        <v>0</v>
      </c>
      <c r="E68" s="217">
        <v>37429148.019999996</v>
      </c>
      <c r="F68" s="217">
        <v>0</v>
      </c>
    </row>
    <row r="69" spans="1:6" x14ac:dyDescent="0.3">
      <c r="A69" s="222" t="s">
        <v>414</v>
      </c>
      <c r="B69" s="217">
        <v>3</v>
      </c>
      <c r="C69" s="217">
        <v>472949681.00999999</v>
      </c>
      <c r="D69" s="217">
        <v>132449</v>
      </c>
      <c r="E69" s="217">
        <v>472817232.01999998</v>
      </c>
      <c r="F69" s="217">
        <v>0</v>
      </c>
    </row>
    <row r="70" spans="1:6" x14ac:dyDescent="0.3">
      <c r="A70" s="216">
        <v>2</v>
      </c>
      <c r="B70" s="217">
        <v>6</v>
      </c>
      <c r="C70" s="217">
        <v>2283424883</v>
      </c>
      <c r="D70" s="217">
        <v>56181</v>
      </c>
      <c r="E70" s="217">
        <v>2283368702</v>
      </c>
      <c r="F70" s="217">
        <v>0</v>
      </c>
    </row>
    <row r="71" spans="1:6" x14ac:dyDescent="0.3">
      <c r="A71" s="221" t="s">
        <v>409</v>
      </c>
      <c r="B71" s="217">
        <v>1</v>
      </c>
      <c r="C71" s="217">
        <v>71655792</v>
      </c>
      <c r="D71" s="217">
        <v>31047</v>
      </c>
      <c r="E71" s="217">
        <v>71624745</v>
      </c>
      <c r="F71" s="217">
        <v>0</v>
      </c>
    </row>
    <row r="72" spans="1:6" x14ac:dyDescent="0.3">
      <c r="A72" s="222" t="s">
        <v>414</v>
      </c>
      <c r="B72" s="217">
        <v>1</v>
      </c>
      <c r="C72" s="217">
        <v>71655792</v>
      </c>
      <c r="D72" s="217">
        <v>31047</v>
      </c>
      <c r="E72" s="217">
        <v>71624745</v>
      </c>
      <c r="F72" s="217">
        <v>0</v>
      </c>
    </row>
    <row r="73" spans="1:6" x14ac:dyDescent="0.3">
      <c r="A73" s="221" t="s">
        <v>410</v>
      </c>
      <c r="B73" s="217">
        <v>1</v>
      </c>
      <c r="C73" s="217">
        <v>125384008</v>
      </c>
      <c r="D73" s="217">
        <v>8051</v>
      </c>
      <c r="E73" s="217">
        <v>125375957</v>
      </c>
      <c r="F73" s="217">
        <v>0</v>
      </c>
    </row>
    <row r="74" spans="1:6" x14ac:dyDescent="0.3">
      <c r="A74" s="222" t="s">
        <v>412</v>
      </c>
      <c r="B74" s="217">
        <v>1</v>
      </c>
      <c r="C74" s="217">
        <v>125384008</v>
      </c>
      <c r="D74" s="217">
        <v>8051</v>
      </c>
      <c r="E74" s="217">
        <v>125375957</v>
      </c>
      <c r="F74" s="217">
        <v>0</v>
      </c>
    </row>
    <row r="75" spans="1:6" x14ac:dyDescent="0.3">
      <c r="A75" s="221" t="s">
        <v>408</v>
      </c>
      <c r="B75" s="217">
        <v>4</v>
      </c>
      <c r="C75" s="217">
        <v>2086385083</v>
      </c>
      <c r="D75" s="217">
        <v>17083</v>
      </c>
      <c r="E75" s="217">
        <v>2086368000</v>
      </c>
      <c r="F75" s="217">
        <v>0</v>
      </c>
    </row>
    <row r="76" spans="1:6" x14ac:dyDescent="0.3">
      <c r="A76" s="222" t="s">
        <v>412</v>
      </c>
      <c r="B76" s="217">
        <v>2</v>
      </c>
      <c r="C76" s="217">
        <v>2056893641</v>
      </c>
      <c r="D76" s="217">
        <v>9023</v>
      </c>
      <c r="E76" s="217">
        <v>2056884618</v>
      </c>
      <c r="F76" s="217">
        <v>0</v>
      </c>
    </row>
    <row r="77" spans="1:6" x14ac:dyDescent="0.3">
      <c r="A77" s="222" t="s">
        <v>414</v>
      </c>
      <c r="B77" s="217">
        <v>2</v>
      </c>
      <c r="C77" s="217">
        <v>29491442</v>
      </c>
      <c r="D77" s="217">
        <v>8060</v>
      </c>
      <c r="E77" s="217">
        <v>29483382</v>
      </c>
      <c r="F77" s="217">
        <v>0</v>
      </c>
    </row>
    <row r="78" spans="1:6" x14ac:dyDescent="0.3">
      <c r="A78" s="216">
        <v>3</v>
      </c>
      <c r="B78" s="217">
        <v>8</v>
      </c>
      <c r="C78" s="217">
        <v>4257402308.2800002</v>
      </c>
      <c r="D78" s="217">
        <v>63779</v>
      </c>
      <c r="E78" s="217">
        <v>4257338529.2800002</v>
      </c>
      <c r="F78" s="217">
        <v>0</v>
      </c>
    </row>
    <row r="79" spans="1:6" x14ac:dyDescent="0.3">
      <c r="A79" s="221" t="s">
        <v>410</v>
      </c>
      <c r="B79" s="217">
        <v>3</v>
      </c>
      <c r="C79" s="217">
        <v>1348860692.6700001</v>
      </c>
      <c r="D79" s="217">
        <v>48280</v>
      </c>
      <c r="E79" s="217">
        <v>1348812412.6700001</v>
      </c>
      <c r="F79" s="217">
        <v>0</v>
      </c>
    </row>
    <row r="80" spans="1:6" x14ac:dyDescent="0.3">
      <c r="A80" s="222" t="s">
        <v>412</v>
      </c>
      <c r="B80" s="217">
        <v>2</v>
      </c>
      <c r="C80" s="217">
        <v>1124440431.6700001</v>
      </c>
      <c r="D80" s="217">
        <v>48280</v>
      </c>
      <c r="E80" s="217">
        <v>1124392151.6700001</v>
      </c>
      <c r="F80" s="217">
        <v>0</v>
      </c>
    </row>
    <row r="81" spans="1:6" x14ac:dyDescent="0.3">
      <c r="A81" s="222" t="s">
        <v>414</v>
      </c>
      <c r="B81" s="217">
        <v>1</v>
      </c>
      <c r="C81" s="217">
        <v>224420261</v>
      </c>
      <c r="D81" s="217">
        <v>0</v>
      </c>
      <c r="E81" s="217">
        <v>224420261</v>
      </c>
      <c r="F81" s="217">
        <v>0</v>
      </c>
    </row>
    <row r="82" spans="1:6" x14ac:dyDescent="0.3">
      <c r="A82" s="221" t="s">
        <v>408</v>
      </c>
      <c r="B82" s="217">
        <v>5</v>
      </c>
      <c r="C82" s="217">
        <v>2908541615.6100001</v>
      </c>
      <c r="D82" s="217">
        <v>15499</v>
      </c>
      <c r="E82" s="217">
        <v>2908526116.6100001</v>
      </c>
      <c r="F82" s="217">
        <v>0</v>
      </c>
    </row>
    <row r="83" spans="1:6" x14ac:dyDescent="0.3">
      <c r="A83" s="222" t="s">
        <v>412</v>
      </c>
      <c r="B83" s="217">
        <v>3</v>
      </c>
      <c r="C83" s="217">
        <v>2284246302</v>
      </c>
      <c r="D83" s="217">
        <v>15499</v>
      </c>
      <c r="E83" s="217">
        <v>2284230803</v>
      </c>
      <c r="F83" s="217">
        <v>0</v>
      </c>
    </row>
    <row r="84" spans="1:6" x14ac:dyDescent="0.3">
      <c r="A84" s="222" t="s">
        <v>414</v>
      </c>
      <c r="B84" s="217">
        <v>2</v>
      </c>
      <c r="C84" s="217">
        <v>624295313.61000001</v>
      </c>
      <c r="D84" s="217">
        <v>0</v>
      </c>
      <c r="E84" s="217">
        <v>624295313.61000001</v>
      </c>
      <c r="F84" s="217">
        <v>0</v>
      </c>
    </row>
    <row r="85" spans="1:6" x14ac:dyDescent="0.3">
      <c r="A85" s="216">
        <v>4</v>
      </c>
      <c r="B85" s="217">
        <v>19</v>
      </c>
      <c r="C85" s="217">
        <v>8343858402.6299992</v>
      </c>
      <c r="D85" s="217">
        <v>15786820</v>
      </c>
      <c r="E85" s="217">
        <v>8328071582.6299992</v>
      </c>
      <c r="F85" s="217">
        <v>0</v>
      </c>
    </row>
    <row r="86" spans="1:6" x14ac:dyDescent="0.3">
      <c r="A86" s="221" t="s">
        <v>410</v>
      </c>
      <c r="B86" s="217">
        <v>1</v>
      </c>
      <c r="C86" s="217">
        <v>290021334</v>
      </c>
      <c r="D86" s="217">
        <v>15026616</v>
      </c>
      <c r="E86" s="217">
        <v>274994718</v>
      </c>
      <c r="F86" s="217">
        <v>0</v>
      </c>
    </row>
    <row r="87" spans="1:6" x14ac:dyDescent="0.3">
      <c r="A87" s="222" t="s">
        <v>412</v>
      </c>
      <c r="B87" s="217">
        <v>1</v>
      </c>
      <c r="C87" s="217">
        <v>290021334</v>
      </c>
      <c r="D87" s="217">
        <v>15026616</v>
      </c>
      <c r="E87" s="217">
        <v>274994718</v>
      </c>
      <c r="F87" s="217">
        <v>0</v>
      </c>
    </row>
    <row r="88" spans="1:6" x14ac:dyDescent="0.3">
      <c r="A88" s="221" t="s">
        <v>408</v>
      </c>
      <c r="B88" s="217">
        <v>18</v>
      </c>
      <c r="C88" s="217">
        <v>8053837068.6300001</v>
      </c>
      <c r="D88" s="217">
        <v>760204</v>
      </c>
      <c r="E88" s="217">
        <v>8053076864.6300001</v>
      </c>
      <c r="F88" s="217">
        <v>0</v>
      </c>
    </row>
    <row r="89" spans="1:6" x14ac:dyDescent="0.3">
      <c r="A89" s="222" t="s">
        <v>412</v>
      </c>
      <c r="B89" s="217">
        <v>16</v>
      </c>
      <c r="C89" s="217">
        <v>7067462472.6300001</v>
      </c>
      <c r="D89" s="217">
        <v>753124</v>
      </c>
      <c r="E89" s="217">
        <v>7066709348.6300001</v>
      </c>
      <c r="F89" s="217">
        <v>0</v>
      </c>
    </row>
    <row r="90" spans="1:6" x14ac:dyDescent="0.3">
      <c r="A90" s="222" t="s">
        <v>414</v>
      </c>
      <c r="B90" s="217">
        <v>2</v>
      </c>
      <c r="C90" s="217">
        <v>986374596</v>
      </c>
      <c r="D90" s="217">
        <v>7080</v>
      </c>
      <c r="E90" s="217">
        <v>986367516</v>
      </c>
      <c r="F90" s="217">
        <v>0</v>
      </c>
    </row>
    <row r="91" spans="1:6" x14ac:dyDescent="0.3">
      <c r="A91" s="215" t="s">
        <v>1338</v>
      </c>
      <c r="B91" s="217">
        <v>196</v>
      </c>
      <c r="C91" s="217">
        <v>126953947655.92999</v>
      </c>
      <c r="D91" s="217">
        <v>424158712.35219073</v>
      </c>
      <c r="E91" s="217">
        <v>36047969208.949997</v>
      </c>
      <c r="F91" s="217">
        <v>90481819734.667801</v>
      </c>
    </row>
  </sheetData>
  <mergeCells count="12">
    <mergeCell ref="I33:I34"/>
    <mergeCell ref="A18:A21"/>
    <mergeCell ref="A23:A26"/>
    <mergeCell ref="A22:B22"/>
    <mergeCell ref="A27:B27"/>
    <mergeCell ref="A28:B28"/>
    <mergeCell ref="I36:I39"/>
    <mergeCell ref="I41:I42"/>
    <mergeCell ref="I44:I49"/>
    <mergeCell ref="J45:J46"/>
    <mergeCell ref="J47:J49"/>
    <mergeCell ref="J38:J39"/>
  </mergeCells>
  <pageMargins left="0.7" right="0.7" top="0.75" bottom="0.75" header="0.3" footer="0.3"/>
  <customProperties>
    <customPr name="EpmWorksheetKeyString_GU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6608-FDF2-41C3-B6F0-0F397BCED5FB}">
  <dimension ref="A1:X56"/>
  <sheetViews>
    <sheetView zoomScale="80" zoomScaleNormal="80" workbookViewId="0">
      <selection activeCell="E4" sqref="E4"/>
    </sheetView>
  </sheetViews>
  <sheetFormatPr defaultRowHeight="14.4" x14ac:dyDescent="0.3"/>
  <cols>
    <col min="1" max="1" width="9.5546875" bestFit="1" customWidth="1"/>
    <col min="2" max="2" width="15.21875" bestFit="1" customWidth="1"/>
    <col min="3" max="3" width="54" bestFit="1" customWidth="1"/>
    <col min="4" max="4" width="17.77734375" bestFit="1" customWidth="1"/>
    <col min="5" max="5" width="15.109375" bestFit="1" customWidth="1"/>
    <col min="6" max="6" width="23.21875" bestFit="1" customWidth="1"/>
    <col min="7" max="7" width="25.5546875" bestFit="1" customWidth="1"/>
    <col min="8" max="8" width="26.33203125" bestFit="1" customWidth="1"/>
    <col min="9" max="9" width="22.33203125" bestFit="1" customWidth="1"/>
    <col min="10" max="10" width="18.44140625" bestFit="1" customWidth="1"/>
    <col min="11" max="11" width="6.5546875" bestFit="1" customWidth="1"/>
    <col min="12" max="12" width="6" bestFit="1" customWidth="1"/>
    <col min="13" max="13" width="7" bestFit="1" customWidth="1"/>
    <col min="14" max="14" width="6.77734375" bestFit="1" customWidth="1"/>
    <col min="15" max="15" width="6.5546875" bestFit="1" customWidth="1"/>
    <col min="16" max="16" width="7.109375" bestFit="1" customWidth="1"/>
    <col min="17" max="17" width="14.109375" bestFit="1" customWidth="1"/>
    <col min="18" max="18" width="6.44140625" bestFit="1" customWidth="1"/>
    <col min="19" max="19" width="6.77734375" bestFit="1" customWidth="1"/>
    <col min="20" max="20" width="7.109375" bestFit="1" customWidth="1"/>
    <col min="21" max="21" width="6.6640625" bestFit="1" customWidth="1"/>
    <col min="22" max="22" width="7.44140625" bestFit="1" customWidth="1"/>
    <col min="23" max="23" width="6.5546875" bestFit="1" customWidth="1"/>
    <col min="24" max="24" width="13.88671875" bestFit="1" customWidth="1"/>
  </cols>
  <sheetData>
    <row r="1" spans="1:24" ht="28.8" x14ac:dyDescent="0.3">
      <c r="A1" s="93" t="s">
        <v>32</v>
      </c>
      <c r="B1" s="94" t="s">
        <v>49</v>
      </c>
      <c r="C1" s="95" t="s">
        <v>43</v>
      </c>
      <c r="D1" s="95" t="s">
        <v>46</v>
      </c>
      <c r="E1" s="95" t="s">
        <v>449</v>
      </c>
      <c r="F1" s="95" t="s">
        <v>48</v>
      </c>
      <c r="G1" s="95" t="s">
        <v>1422</v>
      </c>
      <c r="H1" s="95" t="s">
        <v>47</v>
      </c>
      <c r="I1" s="94" t="s">
        <v>36</v>
      </c>
      <c r="J1" s="174" t="s">
        <v>415</v>
      </c>
      <c r="K1" s="184">
        <v>44348</v>
      </c>
      <c r="L1" s="121">
        <v>44378</v>
      </c>
      <c r="M1" s="121">
        <v>44409</v>
      </c>
      <c r="N1" s="121">
        <v>44440</v>
      </c>
      <c r="O1" s="121">
        <v>44470</v>
      </c>
      <c r="P1" s="121">
        <v>44501</v>
      </c>
      <c r="Q1" s="121">
        <v>44531</v>
      </c>
      <c r="R1" s="121">
        <v>44562</v>
      </c>
      <c r="S1" s="121">
        <v>44593</v>
      </c>
      <c r="T1" s="121">
        <v>44621</v>
      </c>
      <c r="U1" s="121">
        <v>44652</v>
      </c>
      <c r="V1" s="121">
        <v>44682</v>
      </c>
      <c r="W1" s="137">
        <v>44713</v>
      </c>
      <c r="X1" s="181" t="s">
        <v>34</v>
      </c>
    </row>
    <row r="2" spans="1:24" ht="28.8" x14ac:dyDescent="0.3">
      <c r="A2" s="157">
        <v>1</v>
      </c>
      <c r="B2" s="149"/>
      <c r="C2" s="172" t="s">
        <v>456</v>
      </c>
      <c r="D2" s="151">
        <v>10000000000</v>
      </c>
      <c r="E2" s="151">
        <v>11318100000</v>
      </c>
      <c r="F2" s="151">
        <v>0</v>
      </c>
      <c r="G2" s="151">
        <f>D2</f>
        <v>10000000000</v>
      </c>
      <c r="H2" s="149" t="s">
        <v>453</v>
      </c>
      <c r="I2" s="149" t="s">
        <v>458</v>
      </c>
      <c r="J2" s="175" t="s">
        <v>459</v>
      </c>
      <c r="K2" s="186"/>
      <c r="L2" s="150"/>
      <c r="M2" s="150"/>
      <c r="N2" s="150"/>
      <c r="O2" s="150"/>
      <c r="P2" s="150"/>
      <c r="Q2" s="151">
        <v>5763901874</v>
      </c>
      <c r="R2" s="150"/>
      <c r="S2" s="150"/>
      <c r="T2" s="150"/>
      <c r="U2" s="150"/>
      <c r="V2" s="150"/>
      <c r="W2" s="187"/>
      <c r="X2" s="182">
        <f>SUM(K2:W2)</f>
        <v>5763901874</v>
      </c>
    </row>
    <row r="3" spans="1:24" x14ac:dyDescent="0.3">
      <c r="A3" s="157">
        <v>2</v>
      </c>
      <c r="B3" s="29"/>
      <c r="C3" s="173" t="s">
        <v>457</v>
      </c>
      <c r="D3" s="151">
        <v>1210718850</v>
      </c>
      <c r="E3" s="151">
        <v>1089000000</v>
      </c>
      <c r="F3" s="30">
        <v>1177270000</v>
      </c>
      <c r="G3" s="30">
        <v>0</v>
      </c>
      <c r="H3" s="29" t="s">
        <v>452</v>
      </c>
      <c r="I3" s="29" t="s">
        <v>30</v>
      </c>
      <c r="J3" s="97"/>
      <c r="K3" s="186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87"/>
      <c r="X3" s="182">
        <f>SUM(K3:W3)</f>
        <v>0</v>
      </c>
    </row>
    <row r="4" spans="1:24" ht="15" thickBot="1" x14ac:dyDescent="0.35">
      <c r="A4" s="159"/>
      <c r="B4" s="160"/>
      <c r="C4" s="118"/>
      <c r="D4" s="176">
        <f>SUM(D2:D3)</f>
        <v>11210718850</v>
      </c>
      <c r="E4" s="176">
        <f>SUM(E2:E3)</f>
        <v>12407100000</v>
      </c>
      <c r="F4" s="176">
        <f>SUM(F2:F3)</f>
        <v>1177270000</v>
      </c>
      <c r="G4" s="176">
        <f>SUM(G2:G3)</f>
        <v>10000000000</v>
      </c>
      <c r="H4" s="160"/>
      <c r="I4" s="160"/>
      <c r="J4" s="119"/>
      <c r="K4" s="185">
        <f t="shared" ref="K4:W4" si="0">SUM(K2:K3)</f>
        <v>0</v>
      </c>
      <c r="L4" s="176">
        <f t="shared" si="0"/>
        <v>0</v>
      </c>
      <c r="M4" s="176">
        <f t="shared" si="0"/>
        <v>0</v>
      </c>
      <c r="N4" s="176">
        <f t="shared" si="0"/>
        <v>0</v>
      </c>
      <c r="O4" s="176">
        <f t="shared" si="0"/>
        <v>0</v>
      </c>
      <c r="P4" s="176">
        <f t="shared" si="0"/>
        <v>0</v>
      </c>
      <c r="Q4" s="176">
        <f t="shared" si="0"/>
        <v>5763901874</v>
      </c>
      <c r="R4" s="176">
        <f t="shared" si="0"/>
        <v>0</v>
      </c>
      <c r="S4" s="176">
        <f t="shared" si="0"/>
        <v>0</v>
      </c>
      <c r="T4" s="176">
        <f t="shared" si="0"/>
        <v>0</v>
      </c>
      <c r="U4" s="176">
        <f t="shared" si="0"/>
        <v>0</v>
      </c>
      <c r="V4" s="176">
        <f t="shared" si="0"/>
        <v>0</v>
      </c>
      <c r="W4" s="180">
        <f t="shared" si="0"/>
        <v>0</v>
      </c>
      <c r="X4" s="183">
        <f>SUM(K4:W4)</f>
        <v>5763901874</v>
      </c>
    </row>
    <row r="5" spans="1:24" x14ac:dyDescent="0.3">
      <c r="A5" s="36"/>
      <c r="B5" s="36"/>
      <c r="D5" s="52"/>
      <c r="E5" s="52"/>
      <c r="F5" s="52"/>
      <c r="G5" s="52"/>
      <c r="H5" s="36"/>
      <c r="I5" s="36"/>
    </row>
    <row r="6" spans="1:24" x14ac:dyDescent="0.3">
      <c r="A6" s="36"/>
      <c r="B6" s="36"/>
      <c r="D6" s="52"/>
      <c r="E6" s="52"/>
      <c r="F6" s="52"/>
      <c r="G6" s="52"/>
      <c r="H6" s="36"/>
      <c r="I6" s="36"/>
    </row>
    <row r="7" spans="1:24" x14ac:dyDescent="0.3">
      <c r="A7" s="36"/>
      <c r="B7" s="36"/>
      <c r="D7" s="52"/>
      <c r="E7" s="52"/>
      <c r="F7" s="52"/>
      <c r="G7" s="52"/>
      <c r="H7" s="36"/>
      <c r="I7" s="36"/>
    </row>
    <row r="8" spans="1:24" x14ac:dyDescent="0.3">
      <c r="A8" s="36"/>
      <c r="B8" s="36"/>
      <c r="D8" s="52"/>
      <c r="E8" s="52"/>
      <c r="F8" s="52"/>
      <c r="G8" s="52"/>
      <c r="H8" s="36"/>
      <c r="I8" s="36"/>
    </row>
    <row r="9" spans="1:24" x14ac:dyDescent="0.3">
      <c r="A9" s="36"/>
      <c r="B9" s="36"/>
      <c r="D9" s="52"/>
      <c r="E9" s="52"/>
      <c r="F9" s="52"/>
      <c r="G9" s="52"/>
      <c r="H9" s="36"/>
      <c r="I9" s="36"/>
    </row>
    <row r="10" spans="1:24" x14ac:dyDescent="0.3">
      <c r="A10" s="36"/>
      <c r="B10" s="36"/>
      <c r="D10" s="52"/>
      <c r="E10" s="52"/>
      <c r="F10" s="52"/>
      <c r="G10" s="52"/>
      <c r="H10" s="36"/>
      <c r="I10" s="36"/>
    </row>
    <row r="11" spans="1:24" x14ac:dyDescent="0.3">
      <c r="A11" s="36"/>
      <c r="B11" s="36"/>
      <c r="D11" s="52"/>
      <c r="E11" s="52"/>
      <c r="F11" s="52"/>
      <c r="G11" s="52"/>
      <c r="H11" s="36"/>
      <c r="I11" s="36"/>
    </row>
    <row r="12" spans="1:24" x14ac:dyDescent="0.3">
      <c r="A12" s="36"/>
      <c r="B12" s="36"/>
      <c r="D12" s="52"/>
      <c r="E12" s="52"/>
      <c r="F12" s="52"/>
      <c r="G12" s="52"/>
      <c r="H12" s="36"/>
      <c r="I12" s="36"/>
    </row>
    <row r="13" spans="1:24" x14ac:dyDescent="0.3">
      <c r="A13" s="36"/>
      <c r="B13" s="36"/>
      <c r="D13" s="52"/>
      <c r="E13" s="52"/>
      <c r="F13" s="52"/>
      <c r="G13" s="52"/>
      <c r="H13" s="36"/>
      <c r="I13" s="36"/>
    </row>
    <row r="14" spans="1:24" x14ac:dyDescent="0.3">
      <c r="A14" s="36"/>
      <c r="B14" s="36"/>
      <c r="D14" s="52"/>
      <c r="E14" s="52"/>
      <c r="F14" s="52"/>
      <c r="G14" s="52"/>
      <c r="H14" s="36"/>
      <c r="I14" s="36"/>
    </row>
    <row r="15" spans="1:24" x14ac:dyDescent="0.3">
      <c r="A15" s="36"/>
      <c r="B15" s="36"/>
      <c r="D15" s="52"/>
      <c r="E15" s="52"/>
      <c r="F15" s="52"/>
      <c r="G15" s="52"/>
      <c r="H15" s="36"/>
      <c r="I15" s="36"/>
    </row>
    <row r="16" spans="1:24" x14ac:dyDescent="0.3">
      <c r="A16" s="36"/>
      <c r="B16" s="36"/>
      <c r="D16" s="52"/>
      <c r="E16" s="52"/>
      <c r="F16" s="52"/>
      <c r="G16" s="52"/>
      <c r="H16" s="36"/>
      <c r="I16" s="36"/>
    </row>
    <row r="17" spans="1:9" x14ac:dyDescent="0.3">
      <c r="A17" s="36"/>
      <c r="B17" s="36"/>
      <c r="D17" s="52"/>
      <c r="E17" s="52"/>
      <c r="F17" s="52"/>
      <c r="G17" s="52"/>
      <c r="H17" s="36"/>
      <c r="I17" s="36"/>
    </row>
    <row r="18" spans="1:9" x14ac:dyDescent="0.3">
      <c r="A18" s="36"/>
      <c r="B18" s="36"/>
      <c r="D18" s="52"/>
      <c r="E18" s="52"/>
      <c r="F18" s="52"/>
      <c r="G18" s="52"/>
      <c r="H18" s="36"/>
      <c r="I18" s="36"/>
    </row>
    <row r="19" spans="1:9" x14ac:dyDescent="0.3">
      <c r="A19" s="36"/>
      <c r="B19" s="36"/>
      <c r="D19" s="52"/>
      <c r="E19" s="52"/>
      <c r="F19" s="52"/>
      <c r="G19" s="52"/>
      <c r="H19" s="36"/>
      <c r="I19" s="36"/>
    </row>
    <row r="20" spans="1:9" x14ac:dyDescent="0.3">
      <c r="A20" s="36"/>
      <c r="B20" s="36"/>
      <c r="D20" s="52"/>
      <c r="E20" s="52"/>
      <c r="F20" s="52"/>
      <c r="G20" s="52"/>
      <c r="H20" s="36"/>
      <c r="I20" s="36"/>
    </row>
    <row r="21" spans="1:9" x14ac:dyDescent="0.3">
      <c r="A21" s="36"/>
      <c r="B21" s="36"/>
      <c r="D21" s="52"/>
      <c r="E21" s="52"/>
      <c r="F21" s="52"/>
      <c r="G21" s="52"/>
      <c r="H21" s="36"/>
      <c r="I21" s="36"/>
    </row>
    <row r="22" spans="1:9" x14ac:dyDescent="0.3">
      <c r="A22" s="36"/>
      <c r="B22" s="36"/>
      <c r="D22" s="52"/>
      <c r="E22" s="52"/>
      <c r="F22" s="52"/>
      <c r="G22" s="52"/>
      <c r="H22" s="36"/>
      <c r="I22" s="36"/>
    </row>
    <row r="23" spans="1:9" x14ac:dyDescent="0.3">
      <c r="A23" s="36"/>
      <c r="B23" s="36"/>
      <c r="D23" s="52"/>
      <c r="E23" s="52"/>
      <c r="F23" s="52"/>
      <c r="G23" s="52"/>
      <c r="H23" s="36"/>
      <c r="I23" s="36"/>
    </row>
    <row r="24" spans="1:9" x14ac:dyDescent="0.3">
      <c r="A24" s="36"/>
      <c r="B24" s="36"/>
      <c r="D24" s="52"/>
      <c r="E24" s="52"/>
      <c r="F24" s="52"/>
      <c r="G24" s="52"/>
      <c r="H24" s="36"/>
      <c r="I24" s="36"/>
    </row>
    <row r="25" spans="1:9" x14ac:dyDescent="0.3">
      <c r="A25" s="36"/>
      <c r="B25" s="36"/>
      <c r="D25" s="52"/>
      <c r="E25" s="52"/>
      <c r="F25" s="52"/>
      <c r="G25" s="52"/>
      <c r="H25" s="36"/>
      <c r="I25" s="36"/>
    </row>
    <row r="26" spans="1:9" x14ac:dyDescent="0.3">
      <c r="A26" s="36"/>
      <c r="B26" s="36"/>
      <c r="D26" s="52"/>
      <c r="E26" s="52"/>
      <c r="F26" s="52"/>
      <c r="G26" s="52"/>
      <c r="H26" s="36"/>
      <c r="I26" s="36"/>
    </row>
    <row r="27" spans="1:9" x14ac:dyDescent="0.3">
      <c r="A27" s="36"/>
      <c r="B27" s="36"/>
      <c r="D27" s="52"/>
      <c r="E27" s="52"/>
      <c r="F27" s="52"/>
      <c r="G27" s="52"/>
      <c r="H27" s="36"/>
      <c r="I27" s="36"/>
    </row>
    <row r="28" spans="1:9" x14ac:dyDescent="0.3">
      <c r="A28" s="36"/>
      <c r="B28" s="36"/>
      <c r="D28" s="52"/>
      <c r="E28" s="52"/>
      <c r="F28" s="52"/>
      <c r="G28" s="52"/>
      <c r="H28" s="36"/>
      <c r="I28" s="36"/>
    </row>
    <row r="29" spans="1:9" x14ac:dyDescent="0.3">
      <c r="A29" s="36"/>
      <c r="B29" s="36"/>
      <c r="D29" s="52"/>
      <c r="E29" s="52"/>
      <c r="F29" s="52"/>
      <c r="G29" s="52"/>
      <c r="H29" s="36"/>
      <c r="I29" s="36"/>
    </row>
    <row r="30" spans="1:9" x14ac:dyDescent="0.3">
      <c r="A30" s="36"/>
      <c r="B30" s="36"/>
      <c r="D30" s="52"/>
      <c r="E30" s="52"/>
      <c r="F30" s="52"/>
      <c r="G30" s="52"/>
      <c r="H30" s="36"/>
      <c r="I30" s="36"/>
    </row>
    <row r="31" spans="1:9" x14ac:dyDescent="0.3">
      <c r="A31" s="36"/>
      <c r="B31" s="36"/>
      <c r="D31" s="52"/>
      <c r="E31" s="52"/>
      <c r="F31" s="52"/>
      <c r="G31" s="52"/>
      <c r="H31" s="36"/>
      <c r="I31" s="36"/>
    </row>
    <row r="32" spans="1:9" x14ac:dyDescent="0.3">
      <c r="A32" s="36"/>
      <c r="B32" s="36"/>
      <c r="D32" s="52"/>
      <c r="E32" s="52"/>
      <c r="F32" s="52"/>
      <c r="G32" s="52"/>
      <c r="H32" s="36"/>
      <c r="I32" s="36"/>
    </row>
    <row r="33" spans="1:9" x14ac:dyDescent="0.3">
      <c r="A33" s="36"/>
      <c r="B33" s="36"/>
      <c r="D33" s="52"/>
      <c r="E33" s="52"/>
      <c r="F33" s="52"/>
      <c r="G33" s="52"/>
      <c r="H33" s="36"/>
      <c r="I33" s="36"/>
    </row>
    <row r="34" spans="1:9" x14ac:dyDescent="0.3">
      <c r="A34" s="36"/>
      <c r="B34" s="36"/>
      <c r="D34" s="52"/>
      <c r="E34" s="52"/>
      <c r="F34" s="52"/>
      <c r="G34" s="52"/>
      <c r="H34" s="36"/>
      <c r="I34" s="36"/>
    </row>
    <row r="35" spans="1:9" x14ac:dyDescent="0.3">
      <c r="A35" s="36"/>
      <c r="B35" s="36"/>
      <c r="D35" s="52"/>
      <c r="E35" s="52"/>
      <c r="F35" s="52"/>
      <c r="G35" s="52"/>
      <c r="H35" s="36"/>
      <c r="I35" s="36"/>
    </row>
    <row r="36" spans="1:9" x14ac:dyDescent="0.3">
      <c r="A36" s="36"/>
      <c r="B36" s="36"/>
      <c r="D36" s="52"/>
      <c r="E36" s="52"/>
      <c r="F36" s="52"/>
      <c r="G36" s="52"/>
      <c r="H36" s="36"/>
      <c r="I36" s="36"/>
    </row>
    <row r="37" spans="1:9" x14ac:dyDescent="0.3">
      <c r="A37" s="36"/>
      <c r="B37" s="36"/>
      <c r="D37" s="52"/>
      <c r="E37" s="52"/>
      <c r="F37" s="52"/>
      <c r="G37" s="52"/>
      <c r="H37" s="36"/>
      <c r="I37" s="36"/>
    </row>
    <row r="38" spans="1:9" x14ac:dyDescent="0.3">
      <c r="A38" s="36"/>
      <c r="B38" s="36"/>
      <c r="D38" s="52"/>
      <c r="E38" s="52"/>
      <c r="F38" s="52"/>
      <c r="G38" s="52"/>
      <c r="H38" s="36"/>
      <c r="I38" s="36"/>
    </row>
    <row r="39" spans="1:9" x14ac:dyDescent="0.3">
      <c r="A39" s="36"/>
      <c r="B39" s="36"/>
      <c r="D39" s="52"/>
      <c r="E39" s="52"/>
      <c r="F39" s="52"/>
      <c r="G39" s="52"/>
      <c r="H39" s="36"/>
      <c r="I39" s="36"/>
    </row>
    <row r="40" spans="1:9" x14ac:dyDescent="0.3">
      <c r="A40" s="36"/>
      <c r="B40" s="36"/>
      <c r="D40" s="52"/>
      <c r="E40" s="52"/>
      <c r="F40" s="52"/>
      <c r="G40" s="52"/>
      <c r="H40" s="36"/>
      <c r="I40" s="36"/>
    </row>
    <row r="41" spans="1:9" x14ac:dyDescent="0.3">
      <c r="A41" s="36"/>
      <c r="B41" s="36"/>
      <c r="D41" s="52"/>
      <c r="E41" s="52"/>
      <c r="F41" s="52"/>
      <c r="G41" s="52"/>
      <c r="H41" s="36"/>
      <c r="I41" s="36"/>
    </row>
    <row r="42" spans="1:9" x14ac:dyDescent="0.3">
      <c r="A42" s="36"/>
      <c r="B42" s="36"/>
      <c r="D42" s="52"/>
      <c r="E42" s="52"/>
      <c r="F42" s="52"/>
      <c r="G42" s="52"/>
      <c r="H42" s="36"/>
      <c r="I42" s="36"/>
    </row>
    <row r="43" spans="1:9" x14ac:dyDescent="0.3">
      <c r="A43" s="36"/>
      <c r="B43" s="36"/>
      <c r="D43" s="52"/>
      <c r="E43" s="52"/>
      <c r="F43" s="52"/>
      <c r="G43" s="52"/>
      <c r="H43" s="36"/>
      <c r="I43" s="36"/>
    </row>
    <row r="44" spans="1:9" x14ac:dyDescent="0.3">
      <c r="A44" s="36"/>
      <c r="B44" s="36"/>
      <c r="D44" s="52"/>
      <c r="E44" s="52"/>
      <c r="F44" s="52"/>
      <c r="G44" s="52"/>
      <c r="H44" s="36"/>
      <c r="I44" s="36"/>
    </row>
    <row r="45" spans="1:9" x14ac:dyDescent="0.3">
      <c r="A45" s="36"/>
      <c r="B45" s="36"/>
      <c r="D45" s="52"/>
      <c r="E45" s="52"/>
      <c r="F45" s="52"/>
      <c r="G45" s="52"/>
      <c r="H45" s="36"/>
      <c r="I45" s="36"/>
    </row>
    <row r="46" spans="1:9" x14ac:dyDescent="0.3">
      <c r="A46" s="36"/>
      <c r="B46" s="36"/>
      <c r="D46" s="52"/>
      <c r="E46" s="52"/>
      <c r="F46" s="52"/>
      <c r="G46" s="52"/>
      <c r="H46" s="36"/>
      <c r="I46" s="36"/>
    </row>
    <row r="47" spans="1:9" x14ac:dyDescent="0.3">
      <c r="A47" s="36"/>
      <c r="B47" s="36"/>
      <c r="D47" s="52"/>
      <c r="E47" s="52"/>
      <c r="F47" s="52"/>
      <c r="G47" s="52"/>
      <c r="H47" s="36"/>
      <c r="I47" s="36"/>
    </row>
    <row r="48" spans="1:9" x14ac:dyDescent="0.3">
      <c r="A48" s="36"/>
      <c r="B48" s="36"/>
      <c r="D48" s="52"/>
      <c r="E48" s="52"/>
      <c r="F48" s="52"/>
      <c r="G48" s="52"/>
      <c r="H48" s="36"/>
      <c r="I48" s="36"/>
    </row>
    <row r="49" spans="1:9" x14ac:dyDescent="0.3">
      <c r="A49" s="36"/>
      <c r="B49" s="36"/>
      <c r="D49" s="52"/>
      <c r="E49" s="52"/>
      <c r="F49" s="52"/>
      <c r="G49" s="52"/>
      <c r="H49" s="36"/>
      <c r="I49" s="36"/>
    </row>
    <row r="50" spans="1:9" x14ac:dyDescent="0.3">
      <c r="A50" s="36"/>
      <c r="B50" s="36"/>
      <c r="D50" s="52"/>
      <c r="E50" s="52"/>
      <c r="F50" s="52"/>
      <c r="G50" s="52"/>
      <c r="H50" s="36"/>
      <c r="I50" s="36"/>
    </row>
    <row r="51" spans="1:9" x14ac:dyDescent="0.3">
      <c r="A51" s="36"/>
      <c r="B51" s="36"/>
      <c r="D51" s="52"/>
      <c r="E51" s="52"/>
      <c r="F51" s="52"/>
      <c r="G51" s="52"/>
      <c r="H51" s="36"/>
      <c r="I51" s="36"/>
    </row>
    <row r="52" spans="1:9" x14ac:dyDescent="0.3">
      <c r="A52" s="36"/>
      <c r="B52" s="36"/>
      <c r="D52" s="52"/>
      <c r="E52" s="52"/>
      <c r="F52" s="52"/>
      <c r="G52" s="52"/>
      <c r="H52" s="36"/>
      <c r="I52" s="36"/>
    </row>
    <row r="53" spans="1:9" x14ac:dyDescent="0.3">
      <c r="A53" s="36"/>
      <c r="B53" s="36"/>
      <c r="D53" s="52"/>
      <c r="E53" s="52"/>
      <c r="F53" s="52"/>
      <c r="G53" s="52"/>
      <c r="H53" s="36"/>
      <c r="I53" s="36"/>
    </row>
    <row r="54" spans="1:9" x14ac:dyDescent="0.3">
      <c r="A54" s="36"/>
      <c r="B54" s="36"/>
      <c r="D54" s="52"/>
      <c r="E54" s="52"/>
      <c r="F54" s="52"/>
      <c r="G54" s="52"/>
      <c r="H54" s="36"/>
      <c r="I54" s="36"/>
    </row>
    <row r="55" spans="1:9" x14ac:dyDescent="0.3">
      <c r="A55" s="36"/>
      <c r="B55" s="36"/>
      <c r="D55" s="52"/>
      <c r="E55" s="52"/>
      <c r="F55" s="52"/>
      <c r="G55" s="52"/>
      <c r="H55" s="36"/>
      <c r="I55" s="36"/>
    </row>
    <row r="56" spans="1:9" x14ac:dyDescent="0.3">
      <c r="A56" s="51"/>
      <c r="B56" s="51"/>
      <c r="C56" s="51"/>
      <c r="D56" s="53"/>
      <c r="E56" s="53"/>
      <c r="F56" s="53"/>
      <c r="G56" s="53"/>
      <c r="H56" s="51"/>
      <c r="I56" s="51"/>
    </row>
  </sheetData>
  <autoFilter ref="A1:I56" xr:uid="{6CFBC524-4DFC-416B-9428-CCA0CF8EDCE4}"/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K4:W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D8DD-ADA6-4E20-BE95-2AACFA38F78F}">
  <dimension ref="A1:X56"/>
  <sheetViews>
    <sheetView zoomScale="80" zoomScaleNormal="80" workbookViewId="0">
      <selection activeCell="D1" sqref="D1"/>
    </sheetView>
  </sheetViews>
  <sheetFormatPr defaultRowHeight="14.4" x14ac:dyDescent="0.3"/>
  <cols>
    <col min="1" max="1" width="9.5546875" bestFit="1" customWidth="1"/>
    <col min="2" max="2" width="15.21875" bestFit="1" customWidth="1"/>
    <col min="3" max="3" width="24.44140625" bestFit="1" customWidth="1"/>
    <col min="4" max="4" width="17.77734375" bestFit="1" customWidth="1"/>
    <col min="5" max="5" width="14.109375" bestFit="1" customWidth="1"/>
    <col min="6" max="6" width="35.21875" bestFit="1" customWidth="1"/>
    <col min="7" max="7" width="34.109375" bestFit="1" customWidth="1"/>
    <col min="8" max="8" width="26.33203125" bestFit="1" customWidth="1"/>
    <col min="9" max="9" width="22.33203125" bestFit="1" customWidth="1"/>
    <col min="10" max="10" width="17.109375" bestFit="1" customWidth="1"/>
    <col min="11" max="11" width="6.5546875" bestFit="1" customWidth="1"/>
    <col min="12" max="12" width="6" bestFit="1" customWidth="1"/>
    <col min="13" max="13" width="7" bestFit="1" customWidth="1"/>
    <col min="14" max="14" width="6.77734375" bestFit="1" customWidth="1"/>
    <col min="15" max="15" width="6.5546875" bestFit="1" customWidth="1"/>
    <col min="16" max="16" width="7.109375" bestFit="1" customWidth="1"/>
    <col min="17" max="17" width="6.77734375" bestFit="1" customWidth="1"/>
    <col min="18" max="18" width="6.44140625" bestFit="1" customWidth="1"/>
    <col min="19" max="19" width="6.77734375" bestFit="1" customWidth="1"/>
    <col min="20" max="20" width="11.44140625" bestFit="1" customWidth="1"/>
    <col min="21" max="21" width="6.6640625" bestFit="1" customWidth="1"/>
    <col min="22" max="22" width="7.44140625" bestFit="1" customWidth="1"/>
    <col min="23" max="23" width="6.5546875" bestFit="1" customWidth="1"/>
    <col min="24" max="24" width="11.44140625" bestFit="1" customWidth="1"/>
  </cols>
  <sheetData>
    <row r="1" spans="1:24" ht="28.8" x14ac:dyDescent="0.3">
      <c r="A1" s="93" t="s">
        <v>32</v>
      </c>
      <c r="B1" s="94" t="s">
        <v>49</v>
      </c>
      <c r="C1" s="95" t="s">
        <v>43</v>
      </c>
      <c r="D1" s="95" t="s">
        <v>46</v>
      </c>
      <c r="E1" s="95" t="s">
        <v>449</v>
      </c>
      <c r="F1" s="95" t="s">
        <v>451</v>
      </c>
      <c r="G1" s="95" t="s">
        <v>1422</v>
      </c>
      <c r="H1" s="95" t="s">
        <v>47</v>
      </c>
      <c r="I1" s="94" t="s">
        <v>36</v>
      </c>
      <c r="J1" s="179" t="s">
        <v>415</v>
      </c>
      <c r="K1" s="120">
        <v>44348</v>
      </c>
      <c r="L1" s="121">
        <v>44378</v>
      </c>
      <c r="M1" s="121">
        <v>44409</v>
      </c>
      <c r="N1" s="121">
        <v>44440</v>
      </c>
      <c r="O1" s="121">
        <v>44470</v>
      </c>
      <c r="P1" s="121">
        <v>44501</v>
      </c>
      <c r="Q1" s="121">
        <v>44531</v>
      </c>
      <c r="R1" s="121">
        <v>44562</v>
      </c>
      <c r="S1" s="121">
        <v>44593</v>
      </c>
      <c r="T1" s="121">
        <v>44621</v>
      </c>
      <c r="U1" s="121">
        <v>44652</v>
      </c>
      <c r="V1" s="121">
        <v>44682</v>
      </c>
      <c r="W1" s="121">
        <v>44713</v>
      </c>
      <c r="X1" s="154" t="s">
        <v>34</v>
      </c>
    </row>
    <row r="2" spans="1:24" x14ac:dyDescent="0.3">
      <c r="A2" s="155">
        <v>1</v>
      </c>
      <c r="B2" s="29"/>
      <c r="C2" s="28" t="s">
        <v>460</v>
      </c>
      <c r="D2" s="30">
        <v>490539000</v>
      </c>
      <c r="E2" s="30">
        <v>300000000</v>
      </c>
      <c r="F2" s="30">
        <v>300000000</v>
      </c>
      <c r="G2" s="30"/>
      <c r="H2" s="29" t="s">
        <v>452</v>
      </c>
      <c r="I2" s="29"/>
      <c r="J2" s="115"/>
      <c r="K2" s="11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133">
        <f>SUM(K2:W2)</f>
        <v>0</v>
      </c>
    </row>
    <row r="3" spans="1:24" x14ac:dyDescent="0.3">
      <c r="A3" s="155">
        <v>2</v>
      </c>
      <c r="B3" s="29"/>
      <c r="C3" s="28" t="s">
        <v>461</v>
      </c>
      <c r="D3" s="30">
        <v>361736601</v>
      </c>
      <c r="E3" s="30">
        <v>200000000</v>
      </c>
      <c r="F3" s="30">
        <v>200000000</v>
      </c>
      <c r="G3" s="30"/>
      <c r="H3" s="29" t="s">
        <v>452</v>
      </c>
      <c r="I3" s="29"/>
      <c r="J3" s="115"/>
      <c r="K3" s="117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133">
        <f t="shared" ref="X3:X15" si="0">SUM(K3:W3)</f>
        <v>0</v>
      </c>
    </row>
    <row r="4" spans="1:24" x14ac:dyDescent="0.3">
      <c r="A4" s="155">
        <v>3</v>
      </c>
      <c r="B4" s="29"/>
      <c r="C4" s="28" t="s">
        <v>462</v>
      </c>
      <c r="D4" s="30">
        <v>220250016</v>
      </c>
      <c r="E4" s="30">
        <v>117200000</v>
      </c>
      <c r="F4" s="30">
        <v>117200000</v>
      </c>
      <c r="G4" s="30"/>
      <c r="H4" s="29" t="s">
        <v>452</v>
      </c>
      <c r="I4" s="29"/>
      <c r="J4" s="115"/>
      <c r="K4" s="11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133">
        <f t="shared" si="0"/>
        <v>0</v>
      </c>
    </row>
    <row r="5" spans="1:24" x14ac:dyDescent="0.3">
      <c r="A5" s="155">
        <v>4</v>
      </c>
      <c r="B5" s="29"/>
      <c r="C5" s="28" t="s">
        <v>463</v>
      </c>
      <c r="D5" s="30">
        <v>271950000</v>
      </c>
      <c r="E5" s="30">
        <v>156000000</v>
      </c>
      <c r="F5" s="30">
        <v>156000000</v>
      </c>
      <c r="G5" s="30"/>
      <c r="H5" s="29" t="s">
        <v>452</v>
      </c>
      <c r="I5" s="29"/>
      <c r="J5" s="115"/>
      <c r="K5" s="11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133">
        <f t="shared" si="0"/>
        <v>0</v>
      </c>
    </row>
    <row r="6" spans="1:24" x14ac:dyDescent="0.3">
      <c r="A6" s="155">
        <v>5</v>
      </c>
      <c r="B6" s="29"/>
      <c r="C6" s="28" t="s">
        <v>463</v>
      </c>
      <c r="D6" s="30">
        <v>271950000</v>
      </c>
      <c r="E6" s="30">
        <v>156000000</v>
      </c>
      <c r="F6" s="30">
        <v>156000000</v>
      </c>
      <c r="G6" s="30"/>
      <c r="H6" s="29" t="s">
        <v>452</v>
      </c>
      <c r="I6" s="29"/>
      <c r="J6" s="115"/>
      <c r="K6" s="117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133">
        <f t="shared" si="0"/>
        <v>0</v>
      </c>
    </row>
    <row r="7" spans="1:24" x14ac:dyDescent="0.3">
      <c r="A7" s="155">
        <v>6</v>
      </c>
      <c r="B7" s="29"/>
      <c r="C7" s="28" t="s">
        <v>464</v>
      </c>
      <c r="D7" s="30">
        <v>174200000</v>
      </c>
      <c r="E7" s="30">
        <v>124000000</v>
      </c>
      <c r="F7" s="30">
        <v>124000000</v>
      </c>
      <c r="G7" s="30"/>
      <c r="H7" s="29" t="s">
        <v>452</v>
      </c>
      <c r="I7" s="29"/>
      <c r="J7" s="115"/>
      <c r="K7" s="117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133">
        <f t="shared" si="0"/>
        <v>0</v>
      </c>
    </row>
    <row r="8" spans="1:24" x14ac:dyDescent="0.3">
      <c r="A8" s="155">
        <v>7</v>
      </c>
      <c r="B8" s="29"/>
      <c r="C8" s="28" t="s">
        <v>464</v>
      </c>
      <c r="D8" s="30">
        <v>174200000</v>
      </c>
      <c r="E8" s="30">
        <v>124000000</v>
      </c>
      <c r="F8" s="30">
        <v>124000000</v>
      </c>
      <c r="G8" s="30"/>
      <c r="H8" s="29" t="s">
        <v>452</v>
      </c>
      <c r="I8" s="29"/>
      <c r="J8" s="115"/>
      <c r="K8" s="11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133">
        <f t="shared" si="0"/>
        <v>0</v>
      </c>
    </row>
    <row r="9" spans="1:24" x14ac:dyDescent="0.3">
      <c r="A9" s="155">
        <v>8</v>
      </c>
      <c r="B9" s="29"/>
      <c r="C9" s="28" t="s">
        <v>464</v>
      </c>
      <c r="D9" s="30">
        <v>174200000</v>
      </c>
      <c r="E9" s="30">
        <v>124000000</v>
      </c>
      <c r="F9" s="30">
        <v>124000000</v>
      </c>
      <c r="G9" s="30"/>
      <c r="H9" s="29" t="s">
        <v>452</v>
      </c>
      <c r="I9" s="29"/>
      <c r="J9" s="115"/>
      <c r="K9" s="11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133">
        <f t="shared" si="0"/>
        <v>0</v>
      </c>
    </row>
    <row r="10" spans="1:24" x14ac:dyDescent="0.3">
      <c r="A10" s="155">
        <v>9</v>
      </c>
      <c r="B10" s="29"/>
      <c r="C10" s="28" t="s">
        <v>464</v>
      </c>
      <c r="D10" s="30">
        <v>174200000</v>
      </c>
      <c r="E10" s="30">
        <v>85000000</v>
      </c>
      <c r="F10" s="30">
        <v>0</v>
      </c>
      <c r="G10" s="30">
        <f>D10</f>
        <v>174200000</v>
      </c>
      <c r="H10" s="29" t="s">
        <v>453</v>
      </c>
      <c r="I10" s="29" t="s">
        <v>458</v>
      </c>
      <c r="J10" s="115"/>
      <c r="K10" s="117"/>
      <c r="L10" s="28"/>
      <c r="M10" s="28"/>
      <c r="N10" s="28"/>
      <c r="O10" s="28"/>
      <c r="P10" s="28"/>
      <c r="Q10" s="28"/>
      <c r="R10" s="28"/>
      <c r="S10" s="28"/>
      <c r="T10" s="30">
        <v>85000000</v>
      </c>
      <c r="U10" s="28"/>
      <c r="V10" s="28"/>
      <c r="W10" s="28"/>
      <c r="X10" s="133">
        <f t="shared" si="0"/>
        <v>85000000</v>
      </c>
    </row>
    <row r="11" spans="1:24" x14ac:dyDescent="0.3">
      <c r="A11" s="155">
        <v>10</v>
      </c>
      <c r="B11" s="29"/>
      <c r="C11" s="28" t="s">
        <v>465</v>
      </c>
      <c r="D11" s="30">
        <v>12190000</v>
      </c>
      <c r="E11" s="30">
        <v>4150000</v>
      </c>
      <c r="F11" s="30">
        <v>4150000</v>
      </c>
      <c r="G11" s="30"/>
      <c r="H11" s="29" t="s">
        <v>452</v>
      </c>
      <c r="I11" s="29"/>
      <c r="J11" s="115"/>
      <c r="K11" s="11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133">
        <f t="shared" si="0"/>
        <v>0</v>
      </c>
    </row>
    <row r="12" spans="1:24" x14ac:dyDescent="0.3">
      <c r="A12" s="155">
        <v>11</v>
      </c>
      <c r="B12" s="29"/>
      <c r="C12" s="28" t="s">
        <v>466</v>
      </c>
      <c r="D12" s="30">
        <v>11940000</v>
      </c>
      <c r="E12" s="30">
        <v>4000000</v>
      </c>
      <c r="F12" s="30">
        <v>4000000</v>
      </c>
      <c r="G12" s="30"/>
      <c r="H12" s="29" t="s">
        <v>452</v>
      </c>
      <c r="I12" s="29"/>
      <c r="J12" s="115"/>
      <c r="K12" s="11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133">
        <f t="shared" si="0"/>
        <v>0</v>
      </c>
    </row>
    <row r="13" spans="1:24" x14ac:dyDescent="0.3">
      <c r="A13" s="155">
        <v>12</v>
      </c>
      <c r="B13" s="29"/>
      <c r="C13" s="28" t="s">
        <v>467</v>
      </c>
      <c r="D13" s="30">
        <v>14420000</v>
      </c>
      <c r="E13" s="30">
        <v>3750000</v>
      </c>
      <c r="F13" s="30">
        <v>3750000</v>
      </c>
      <c r="G13" s="30"/>
      <c r="H13" s="29" t="s">
        <v>452</v>
      </c>
      <c r="I13" s="29"/>
      <c r="J13" s="115"/>
      <c r="K13" s="11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133">
        <f t="shared" si="0"/>
        <v>0</v>
      </c>
    </row>
    <row r="14" spans="1:24" x14ac:dyDescent="0.3">
      <c r="A14" s="155">
        <v>13</v>
      </c>
      <c r="B14" s="29"/>
      <c r="C14" s="28" t="s">
        <v>468</v>
      </c>
      <c r="D14" s="30">
        <v>0</v>
      </c>
      <c r="E14" s="30">
        <v>5100000</v>
      </c>
      <c r="F14" s="30">
        <v>5100000</v>
      </c>
      <c r="G14" s="30"/>
      <c r="H14" s="29" t="s">
        <v>452</v>
      </c>
      <c r="I14" s="29"/>
      <c r="J14" s="115"/>
      <c r="K14" s="11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133">
        <f t="shared" si="0"/>
        <v>0</v>
      </c>
    </row>
    <row r="15" spans="1:24" ht="15" thickBot="1" x14ac:dyDescent="0.35">
      <c r="A15" s="177">
        <v>14</v>
      </c>
      <c r="B15" s="58"/>
      <c r="C15" s="57" t="s">
        <v>469</v>
      </c>
      <c r="D15" s="59">
        <v>0</v>
      </c>
      <c r="E15" s="59">
        <v>9166666.666666666</v>
      </c>
      <c r="F15" s="59">
        <v>0</v>
      </c>
      <c r="G15" s="59">
        <v>0</v>
      </c>
      <c r="H15" s="58" t="s">
        <v>453</v>
      </c>
      <c r="I15" s="58" t="s">
        <v>458</v>
      </c>
      <c r="J15" s="188"/>
      <c r="K15" s="190"/>
      <c r="L15" s="57"/>
      <c r="M15" s="57"/>
      <c r="N15" s="57"/>
      <c r="O15" s="57"/>
      <c r="P15" s="57"/>
      <c r="Q15" s="57"/>
      <c r="R15" s="57"/>
      <c r="S15" s="57"/>
      <c r="T15" s="59">
        <v>9200000</v>
      </c>
      <c r="U15" s="57"/>
      <c r="V15" s="57"/>
      <c r="W15" s="57"/>
      <c r="X15" s="133">
        <f t="shared" si="0"/>
        <v>9200000</v>
      </c>
    </row>
    <row r="16" spans="1:24" ht="15" thickBot="1" x14ac:dyDescent="0.35">
      <c r="A16" s="167"/>
      <c r="B16" s="170"/>
      <c r="C16" s="168"/>
      <c r="D16" s="178">
        <f>SUM(D2:D15)</f>
        <v>2351775617</v>
      </c>
      <c r="E16" s="178">
        <f>SUM(E2:E15)</f>
        <v>1412366666.6666667</v>
      </c>
      <c r="F16" s="178">
        <f>SUM(F2:F15)</f>
        <v>1318200000</v>
      </c>
      <c r="G16" s="178">
        <f>SUM(G2:G15)</f>
        <v>174200000</v>
      </c>
      <c r="H16" s="170"/>
      <c r="I16" s="170"/>
      <c r="J16" s="189"/>
      <c r="K16" s="192">
        <f t="shared" ref="K16:X16" si="1">SUM(K2:K15)</f>
        <v>0</v>
      </c>
      <c r="L16" s="178">
        <f t="shared" si="1"/>
        <v>0</v>
      </c>
      <c r="M16" s="178">
        <f t="shared" si="1"/>
        <v>0</v>
      </c>
      <c r="N16" s="178">
        <f t="shared" si="1"/>
        <v>0</v>
      </c>
      <c r="O16" s="178">
        <f t="shared" si="1"/>
        <v>0</v>
      </c>
      <c r="P16" s="178">
        <f t="shared" si="1"/>
        <v>0</v>
      </c>
      <c r="Q16" s="178">
        <f t="shared" si="1"/>
        <v>0</v>
      </c>
      <c r="R16" s="178">
        <f t="shared" si="1"/>
        <v>0</v>
      </c>
      <c r="S16" s="178">
        <f t="shared" si="1"/>
        <v>0</v>
      </c>
      <c r="T16" s="178">
        <f t="shared" si="1"/>
        <v>94200000</v>
      </c>
      <c r="U16" s="178">
        <f t="shared" si="1"/>
        <v>0</v>
      </c>
      <c r="V16" s="178">
        <f t="shared" si="1"/>
        <v>0</v>
      </c>
      <c r="W16" s="178">
        <f t="shared" si="1"/>
        <v>0</v>
      </c>
      <c r="X16" s="193">
        <f t="shared" si="1"/>
        <v>94200000</v>
      </c>
    </row>
    <row r="17" spans="1:9" x14ac:dyDescent="0.3">
      <c r="A17" s="36"/>
      <c r="B17" s="36"/>
      <c r="D17" s="52"/>
      <c r="E17" s="52"/>
      <c r="F17" s="52"/>
      <c r="G17" s="52"/>
      <c r="H17" s="36"/>
      <c r="I17" s="36"/>
    </row>
    <row r="18" spans="1:9" x14ac:dyDescent="0.3">
      <c r="A18" s="36"/>
      <c r="B18" s="36"/>
      <c r="D18" s="52"/>
      <c r="E18" s="52"/>
      <c r="F18" s="52"/>
      <c r="G18" s="52"/>
      <c r="H18" s="36"/>
      <c r="I18" s="36"/>
    </row>
    <row r="19" spans="1:9" x14ac:dyDescent="0.3">
      <c r="A19" s="36"/>
      <c r="B19" s="36"/>
      <c r="D19" s="52"/>
      <c r="E19" s="52"/>
      <c r="F19" s="52"/>
      <c r="G19" s="52"/>
      <c r="H19" s="36"/>
      <c r="I19" s="36"/>
    </row>
    <row r="20" spans="1:9" x14ac:dyDescent="0.3">
      <c r="A20" s="36"/>
      <c r="B20" s="36"/>
      <c r="D20" s="52"/>
      <c r="E20" s="52"/>
      <c r="F20" s="52"/>
      <c r="G20" s="52"/>
      <c r="H20" s="36"/>
      <c r="I20" s="36"/>
    </row>
    <row r="21" spans="1:9" x14ac:dyDescent="0.3">
      <c r="A21" s="36"/>
      <c r="B21" s="36"/>
      <c r="D21" s="52"/>
      <c r="E21" s="52"/>
      <c r="F21" s="52"/>
      <c r="G21" s="52"/>
      <c r="H21" s="36"/>
      <c r="I21" s="36"/>
    </row>
    <row r="22" spans="1:9" x14ac:dyDescent="0.3">
      <c r="A22" s="36"/>
      <c r="B22" s="36"/>
      <c r="D22" s="52"/>
      <c r="E22" s="52"/>
      <c r="F22" s="52"/>
      <c r="G22" s="52"/>
      <c r="H22" s="36"/>
      <c r="I22" s="36"/>
    </row>
    <row r="23" spans="1:9" x14ac:dyDescent="0.3">
      <c r="A23" s="36"/>
      <c r="B23" s="36"/>
      <c r="D23" s="52"/>
      <c r="E23" s="52"/>
      <c r="F23" s="52"/>
      <c r="G23" s="52"/>
      <c r="H23" s="36"/>
      <c r="I23" s="36"/>
    </row>
    <row r="24" spans="1:9" x14ac:dyDescent="0.3">
      <c r="A24" s="36"/>
      <c r="B24" s="36"/>
      <c r="D24" s="52"/>
      <c r="E24" s="52"/>
      <c r="F24" s="52"/>
      <c r="G24" s="52"/>
      <c r="H24" s="36"/>
      <c r="I24" s="36"/>
    </row>
    <row r="25" spans="1:9" x14ac:dyDescent="0.3">
      <c r="A25" s="36"/>
      <c r="B25" s="36"/>
      <c r="D25" s="52"/>
      <c r="E25" s="52"/>
      <c r="F25" s="52"/>
      <c r="G25" s="52"/>
      <c r="H25" s="36"/>
      <c r="I25" s="36"/>
    </row>
    <row r="26" spans="1:9" x14ac:dyDescent="0.3">
      <c r="A26" s="36"/>
      <c r="B26" s="36"/>
      <c r="D26" s="52"/>
      <c r="E26" s="52"/>
      <c r="F26" s="52"/>
      <c r="G26" s="52"/>
      <c r="H26" s="36"/>
      <c r="I26" s="36"/>
    </row>
    <row r="27" spans="1:9" x14ac:dyDescent="0.3">
      <c r="A27" s="36"/>
      <c r="B27" s="36"/>
      <c r="D27" s="52"/>
      <c r="E27" s="52"/>
      <c r="F27" s="52"/>
      <c r="G27" s="52"/>
      <c r="H27" s="36"/>
      <c r="I27" s="36"/>
    </row>
    <row r="28" spans="1:9" x14ac:dyDescent="0.3">
      <c r="A28" s="36"/>
      <c r="B28" s="36"/>
      <c r="D28" s="52"/>
      <c r="E28" s="52"/>
      <c r="F28" s="52"/>
      <c r="G28" s="52"/>
      <c r="H28" s="36"/>
      <c r="I28" s="36"/>
    </row>
    <row r="29" spans="1:9" x14ac:dyDescent="0.3">
      <c r="A29" s="36"/>
      <c r="B29" s="36"/>
      <c r="D29" s="52"/>
      <c r="E29" s="52"/>
      <c r="F29" s="52"/>
      <c r="G29" s="52"/>
      <c r="H29" s="36"/>
      <c r="I29" s="36"/>
    </row>
    <row r="30" spans="1:9" x14ac:dyDescent="0.3">
      <c r="A30" s="36"/>
      <c r="B30" s="36"/>
      <c r="D30" s="52"/>
      <c r="E30" s="52"/>
      <c r="F30" s="52"/>
      <c r="G30" s="52"/>
      <c r="H30" s="36"/>
      <c r="I30" s="36"/>
    </row>
    <row r="31" spans="1:9" x14ac:dyDescent="0.3">
      <c r="A31" s="36"/>
      <c r="B31" s="36"/>
      <c r="D31" s="52"/>
      <c r="E31" s="52"/>
      <c r="F31" s="52"/>
      <c r="G31" s="52"/>
      <c r="H31" s="36"/>
      <c r="I31" s="36"/>
    </row>
    <row r="32" spans="1:9" x14ac:dyDescent="0.3">
      <c r="A32" s="36"/>
      <c r="B32" s="36"/>
      <c r="D32" s="52"/>
      <c r="E32" s="52"/>
      <c r="F32" s="52"/>
      <c r="G32" s="52"/>
      <c r="H32" s="36"/>
      <c r="I32" s="36"/>
    </row>
    <row r="33" spans="1:9" x14ac:dyDescent="0.3">
      <c r="A33" s="36"/>
      <c r="B33" s="36"/>
      <c r="D33" s="52"/>
      <c r="E33" s="52"/>
      <c r="F33" s="52"/>
      <c r="G33" s="52"/>
      <c r="H33" s="36"/>
      <c r="I33" s="36"/>
    </row>
    <row r="34" spans="1:9" x14ac:dyDescent="0.3">
      <c r="A34" s="36"/>
      <c r="B34" s="36"/>
      <c r="D34" s="52"/>
      <c r="E34" s="52"/>
      <c r="F34" s="52"/>
      <c r="G34" s="52"/>
      <c r="H34" s="36"/>
      <c r="I34" s="36"/>
    </row>
    <row r="35" spans="1:9" x14ac:dyDescent="0.3">
      <c r="A35" s="36"/>
      <c r="B35" s="36"/>
      <c r="D35" s="52"/>
      <c r="E35" s="52"/>
      <c r="F35" s="52"/>
      <c r="G35" s="52"/>
      <c r="H35" s="36"/>
      <c r="I35" s="36"/>
    </row>
    <row r="36" spans="1:9" x14ac:dyDescent="0.3">
      <c r="A36" s="36"/>
      <c r="B36" s="36"/>
      <c r="D36" s="52"/>
      <c r="E36" s="52"/>
      <c r="F36" s="52"/>
      <c r="G36" s="52"/>
      <c r="H36" s="36"/>
      <c r="I36" s="36"/>
    </row>
    <row r="37" spans="1:9" x14ac:dyDescent="0.3">
      <c r="A37" s="36"/>
      <c r="B37" s="36"/>
      <c r="D37" s="52"/>
      <c r="E37" s="52"/>
      <c r="F37" s="52"/>
      <c r="G37" s="52"/>
      <c r="H37" s="36"/>
      <c r="I37" s="36"/>
    </row>
    <row r="38" spans="1:9" x14ac:dyDescent="0.3">
      <c r="A38" s="36"/>
      <c r="B38" s="36"/>
      <c r="D38" s="52"/>
      <c r="E38" s="52"/>
      <c r="F38" s="52"/>
      <c r="G38" s="52"/>
      <c r="H38" s="36"/>
      <c r="I38" s="36"/>
    </row>
    <row r="39" spans="1:9" x14ac:dyDescent="0.3">
      <c r="A39" s="36"/>
      <c r="B39" s="36"/>
      <c r="D39" s="52"/>
      <c r="E39" s="52"/>
      <c r="F39" s="52"/>
      <c r="G39" s="52"/>
      <c r="H39" s="36"/>
      <c r="I39" s="36"/>
    </row>
    <row r="40" spans="1:9" x14ac:dyDescent="0.3">
      <c r="A40" s="36"/>
      <c r="B40" s="36"/>
      <c r="D40" s="52"/>
      <c r="E40" s="52"/>
      <c r="F40" s="52"/>
      <c r="G40" s="52"/>
      <c r="H40" s="36"/>
      <c r="I40" s="36"/>
    </row>
    <row r="41" spans="1:9" x14ac:dyDescent="0.3">
      <c r="A41" s="36"/>
      <c r="B41" s="36"/>
      <c r="D41" s="52"/>
      <c r="E41" s="52"/>
      <c r="F41" s="52"/>
      <c r="G41" s="52"/>
      <c r="H41" s="36"/>
      <c r="I41" s="36"/>
    </row>
    <row r="42" spans="1:9" x14ac:dyDescent="0.3">
      <c r="A42" s="36"/>
      <c r="B42" s="36"/>
      <c r="D42" s="52"/>
      <c r="E42" s="52"/>
      <c r="F42" s="52"/>
      <c r="G42" s="52"/>
      <c r="H42" s="36"/>
      <c r="I42" s="36"/>
    </row>
    <row r="43" spans="1:9" x14ac:dyDescent="0.3">
      <c r="A43" s="36"/>
      <c r="B43" s="36"/>
      <c r="D43" s="52"/>
      <c r="E43" s="52"/>
      <c r="F43" s="52"/>
      <c r="G43" s="52"/>
      <c r="H43" s="36"/>
      <c r="I43" s="36"/>
    </row>
    <row r="44" spans="1:9" x14ac:dyDescent="0.3">
      <c r="A44" s="36"/>
      <c r="B44" s="36"/>
      <c r="D44" s="52"/>
      <c r="E44" s="52"/>
      <c r="F44" s="52"/>
      <c r="G44" s="52"/>
      <c r="H44" s="36"/>
      <c r="I44" s="36"/>
    </row>
    <row r="45" spans="1:9" x14ac:dyDescent="0.3">
      <c r="A45" s="36"/>
      <c r="B45" s="36"/>
      <c r="D45" s="52"/>
      <c r="E45" s="52"/>
      <c r="F45" s="52"/>
      <c r="G45" s="52"/>
      <c r="H45" s="36"/>
      <c r="I45" s="36"/>
    </row>
    <row r="46" spans="1:9" x14ac:dyDescent="0.3">
      <c r="A46" s="36"/>
      <c r="B46" s="36"/>
      <c r="D46" s="52"/>
      <c r="E46" s="52"/>
      <c r="F46" s="52"/>
      <c r="G46" s="52"/>
      <c r="H46" s="36"/>
      <c r="I46" s="36"/>
    </row>
    <row r="47" spans="1:9" x14ac:dyDescent="0.3">
      <c r="A47" s="36"/>
      <c r="B47" s="36"/>
      <c r="D47" s="52"/>
      <c r="E47" s="52"/>
      <c r="F47" s="52"/>
      <c r="G47" s="52"/>
      <c r="H47" s="36"/>
      <c r="I47" s="36"/>
    </row>
    <row r="48" spans="1:9" x14ac:dyDescent="0.3">
      <c r="A48" s="36"/>
      <c r="B48" s="36"/>
      <c r="D48" s="52"/>
      <c r="E48" s="52"/>
      <c r="F48" s="52"/>
      <c r="G48" s="52"/>
      <c r="H48" s="36"/>
      <c r="I48" s="36"/>
    </row>
    <row r="49" spans="1:9" x14ac:dyDescent="0.3">
      <c r="A49" s="36"/>
      <c r="B49" s="36"/>
      <c r="D49" s="52"/>
      <c r="E49" s="52"/>
      <c r="F49" s="52"/>
      <c r="G49" s="52"/>
      <c r="H49" s="36"/>
      <c r="I49" s="36"/>
    </row>
    <row r="50" spans="1:9" x14ac:dyDescent="0.3">
      <c r="A50" s="36"/>
      <c r="B50" s="36"/>
      <c r="D50" s="52"/>
      <c r="E50" s="52"/>
      <c r="F50" s="52"/>
      <c r="G50" s="52"/>
      <c r="H50" s="36"/>
      <c r="I50" s="36"/>
    </row>
    <row r="51" spans="1:9" x14ac:dyDescent="0.3">
      <c r="A51" s="36"/>
      <c r="B51" s="36"/>
      <c r="D51" s="52"/>
      <c r="E51" s="52"/>
      <c r="F51" s="52"/>
      <c r="G51" s="52"/>
      <c r="H51" s="36"/>
      <c r="I51" s="36"/>
    </row>
    <row r="52" spans="1:9" x14ac:dyDescent="0.3">
      <c r="A52" s="36"/>
      <c r="B52" s="36"/>
      <c r="D52" s="52"/>
      <c r="E52" s="52"/>
      <c r="F52" s="52"/>
      <c r="G52" s="52"/>
      <c r="H52" s="36"/>
      <c r="I52" s="36"/>
    </row>
    <row r="53" spans="1:9" x14ac:dyDescent="0.3">
      <c r="A53" s="36"/>
      <c r="B53" s="36"/>
      <c r="D53" s="52"/>
      <c r="E53" s="52"/>
      <c r="F53" s="52"/>
      <c r="G53" s="52"/>
      <c r="H53" s="36"/>
      <c r="I53" s="36"/>
    </row>
    <row r="54" spans="1:9" x14ac:dyDescent="0.3">
      <c r="A54" s="36"/>
      <c r="B54" s="36"/>
      <c r="D54" s="52"/>
      <c r="E54" s="52"/>
      <c r="F54" s="52"/>
      <c r="G54" s="52"/>
      <c r="H54" s="36"/>
      <c r="I54" s="36"/>
    </row>
    <row r="55" spans="1:9" x14ac:dyDescent="0.3">
      <c r="A55" s="36"/>
      <c r="B55" s="36"/>
      <c r="D55" s="52"/>
      <c r="E55" s="52"/>
      <c r="F55" s="52"/>
      <c r="G55" s="52"/>
      <c r="H55" s="36"/>
      <c r="I55" s="36"/>
    </row>
    <row r="56" spans="1:9" x14ac:dyDescent="0.3">
      <c r="A56" s="51"/>
      <c r="B56" s="51"/>
      <c r="C56" s="51"/>
      <c r="D56" s="53"/>
      <c r="E56" s="53"/>
      <c r="F56" s="53"/>
      <c r="G56" s="53"/>
      <c r="H56" s="51"/>
      <c r="I56" s="51"/>
    </row>
  </sheetData>
  <autoFilter ref="A1:I56" xr:uid="{6CFBC524-4DFC-416B-9428-CCA0CF8EDCE4}"/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K16:X16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7961-E9C2-4BCA-A6B7-C05F8AA261EB}">
  <dimension ref="A1:W970"/>
  <sheetViews>
    <sheetView zoomScale="80" zoomScaleNormal="80" workbookViewId="0">
      <pane xSplit="3" ySplit="1" topLeftCell="D303" activePane="bottomRight" state="frozen"/>
      <selection pane="topRight" activeCell="D1" sqref="D1"/>
      <selection pane="bottomLeft" activeCell="A2" sqref="A2"/>
      <selection pane="bottomRight" activeCell="I1" sqref="I1"/>
    </sheetView>
  </sheetViews>
  <sheetFormatPr defaultRowHeight="14.4" x14ac:dyDescent="0.3"/>
  <cols>
    <col min="1" max="1" width="9.5546875" bestFit="1" customWidth="1"/>
    <col min="2" max="2" width="15.21875" bestFit="1" customWidth="1"/>
    <col min="3" max="3" width="57.44140625" bestFit="1" customWidth="1"/>
    <col min="4" max="4" width="17.77734375" bestFit="1" customWidth="1"/>
    <col min="5" max="5" width="13.77734375" bestFit="1" customWidth="1"/>
    <col min="6" max="6" width="35.21875" bestFit="1" customWidth="1"/>
    <col min="7" max="7" width="34.109375" bestFit="1" customWidth="1"/>
    <col min="8" max="8" width="26.33203125" bestFit="1" customWidth="1"/>
    <col min="9" max="9" width="24.88671875" bestFit="1" customWidth="1"/>
    <col min="10" max="10" width="12.109375" bestFit="1" customWidth="1"/>
    <col min="11" max="11" width="11.5546875" bestFit="1" customWidth="1"/>
    <col min="12" max="12" width="12.44140625" bestFit="1" customWidth="1"/>
    <col min="13" max="13" width="12.33203125" bestFit="1" customWidth="1"/>
    <col min="14" max="14" width="12.44140625" bestFit="1" customWidth="1"/>
    <col min="15" max="15" width="12.6640625" bestFit="1" customWidth="1"/>
    <col min="16" max="16" width="12.33203125" bestFit="1" customWidth="1"/>
    <col min="17" max="17" width="11.88671875" bestFit="1" customWidth="1"/>
    <col min="18" max="18" width="12.33203125" bestFit="1" customWidth="1"/>
    <col min="19" max="19" width="12.6640625" bestFit="1" customWidth="1"/>
    <col min="20" max="20" width="12.21875" bestFit="1" customWidth="1"/>
    <col min="21" max="21" width="12.88671875" bestFit="1" customWidth="1"/>
    <col min="22" max="22" width="12.109375" bestFit="1" customWidth="1"/>
    <col min="23" max="23" width="12.44140625" bestFit="1" customWidth="1"/>
  </cols>
  <sheetData>
    <row r="1" spans="1:23" ht="28.8" x14ac:dyDescent="0.3">
      <c r="A1" s="93" t="s">
        <v>32</v>
      </c>
      <c r="B1" s="94" t="s">
        <v>49</v>
      </c>
      <c r="C1" s="95" t="s">
        <v>43</v>
      </c>
      <c r="D1" s="95" t="s">
        <v>46</v>
      </c>
      <c r="E1" s="95" t="s">
        <v>449</v>
      </c>
      <c r="F1" s="95" t="s">
        <v>451</v>
      </c>
      <c r="G1" s="95" t="s">
        <v>1422</v>
      </c>
      <c r="H1" s="95" t="s">
        <v>47</v>
      </c>
      <c r="I1" s="94" t="s">
        <v>36</v>
      </c>
      <c r="J1" s="121">
        <v>44348</v>
      </c>
      <c r="K1" s="121">
        <v>44378</v>
      </c>
      <c r="L1" s="121">
        <v>44409</v>
      </c>
      <c r="M1" s="121">
        <v>44440</v>
      </c>
      <c r="N1" s="121">
        <v>44470</v>
      </c>
      <c r="O1" s="121">
        <v>44501</v>
      </c>
      <c r="P1" s="121">
        <v>44531</v>
      </c>
      <c r="Q1" s="121">
        <v>44562</v>
      </c>
      <c r="R1" s="121">
        <v>44593</v>
      </c>
      <c r="S1" s="121">
        <v>44621</v>
      </c>
      <c r="T1" s="121">
        <v>44652</v>
      </c>
      <c r="U1" s="121">
        <v>44682</v>
      </c>
      <c r="V1" s="121">
        <v>44713</v>
      </c>
      <c r="W1" s="154" t="s">
        <v>34</v>
      </c>
    </row>
    <row r="2" spans="1:23" x14ac:dyDescent="0.3">
      <c r="A2" s="155">
        <v>1</v>
      </c>
      <c r="B2" s="29"/>
      <c r="C2" s="28" t="s">
        <v>470</v>
      </c>
      <c r="D2" s="194">
        <v>50000000</v>
      </c>
      <c r="E2" s="194">
        <v>3600000</v>
      </c>
      <c r="F2" s="194">
        <v>0</v>
      </c>
      <c r="G2" s="194">
        <f>D2</f>
        <v>50000000</v>
      </c>
      <c r="H2" s="29" t="s">
        <v>453</v>
      </c>
      <c r="I2" s="29" t="s">
        <v>631</v>
      </c>
      <c r="J2" s="30"/>
      <c r="K2" s="30"/>
      <c r="L2" s="30"/>
      <c r="M2" s="30"/>
      <c r="N2" s="30"/>
      <c r="O2" s="30">
        <v>3600000</v>
      </c>
      <c r="P2" s="30"/>
      <c r="Q2" s="30"/>
      <c r="R2" s="30"/>
      <c r="S2" s="30"/>
      <c r="T2" s="30"/>
      <c r="U2" s="30"/>
      <c r="V2" s="30"/>
      <c r="W2" s="197">
        <f>SUM(J2:V2)</f>
        <v>3600000</v>
      </c>
    </row>
    <row r="3" spans="1:23" x14ac:dyDescent="0.3">
      <c r="A3" s="155">
        <v>2</v>
      </c>
      <c r="B3" s="29"/>
      <c r="C3" s="28" t="s">
        <v>470</v>
      </c>
      <c r="D3" s="194">
        <v>50000000</v>
      </c>
      <c r="E3" s="194">
        <v>1575000</v>
      </c>
      <c r="F3" s="194">
        <v>0</v>
      </c>
      <c r="G3" s="194">
        <f t="shared" ref="G3:G8" si="0">D3</f>
        <v>50000000</v>
      </c>
      <c r="H3" s="29" t="s">
        <v>453</v>
      </c>
      <c r="I3" s="29" t="s">
        <v>631</v>
      </c>
      <c r="J3" s="30"/>
      <c r="K3" s="30"/>
      <c r="L3" s="30"/>
      <c r="M3" s="30"/>
      <c r="N3" s="30"/>
      <c r="O3" s="30">
        <v>1575000</v>
      </c>
      <c r="P3" s="30"/>
      <c r="Q3" s="30"/>
      <c r="R3" s="30"/>
      <c r="S3" s="30"/>
      <c r="T3" s="30"/>
      <c r="U3" s="30"/>
      <c r="V3" s="30"/>
      <c r="W3" s="197">
        <f t="shared" ref="W3:W8" si="1">SUM(J3:V3)</f>
        <v>1575000</v>
      </c>
    </row>
    <row r="4" spans="1:23" x14ac:dyDescent="0.3">
      <c r="A4" s="155">
        <v>3</v>
      </c>
      <c r="B4" s="29"/>
      <c r="C4" s="28" t="s">
        <v>470</v>
      </c>
      <c r="D4" s="194">
        <v>25000000</v>
      </c>
      <c r="E4" s="194">
        <v>1125000</v>
      </c>
      <c r="F4" s="194">
        <v>0</v>
      </c>
      <c r="G4" s="194">
        <f t="shared" si="0"/>
        <v>25000000</v>
      </c>
      <c r="H4" s="29" t="s">
        <v>453</v>
      </c>
      <c r="I4" s="29" t="s">
        <v>631</v>
      </c>
      <c r="J4" s="30"/>
      <c r="K4" s="30"/>
      <c r="L4" s="30"/>
      <c r="M4" s="30"/>
      <c r="N4" s="30"/>
      <c r="O4" s="30">
        <v>1125000</v>
      </c>
      <c r="P4" s="30"/>
      <c r="Q4" s="30"/>
      <c r="R4" s="30"/>
      <c r="S4" s="30"/>
      <c r="T4" s="30"/>
      <c r="U4" s="30"/>
      <c r="V4" s="30"/>
      <c r="W4" s="197">
        <f t="shared" si="1"/>
        <v>1125000</v>
      </c>
    </row>
    <row r="5" spans="1:23" x14ac:dyDescent="0.3">
      <c r="A5" s="155">
        <v>4</v>
      </c>
      <c r="B5" s="29"/>
      <c r="C5" s="28" t="s">
        <v>470</v>
      </c>
      <c r="D5" s="194">
        <v>10000000</v>
      </c>
      <c r="E5" s="194">
        <v>450000</v>
      </c>
      <c r="F5" s="194">
        <v>0</v>
      </c>
      <c r="G5" s="194">
        <f t="shared" si="0"/>
        <v>10000000</v>
      </c>
      <c r="H5" s="29" t="s">
        <v>453</v>
      </c>
      <c r="I5" s="29" t="s">
        <v>631</v>
      </c>
      <c r="J5" s="30"/>
      <c r="K5" s="30"/>
      <c r="L5" s="30"/>
      <c r="M5" s="30"/>
      <c r="N5" s="30"/>
      <c r="O5" s="30">
        <v>450000</v>
      </c>
      <c r="P5" s="30"/>
      <c r="Q5" s="30"/>
      <c r="R5" s="30"/>
      <c r="S5" s="30"/>
      <c r="T5" s="30"/>
      <c r="U5" s="30"/>
      <c r="V5" s="30"/>
      <c r="W5" s="197">
        <f t="shared" si="1"/>
        <v>450000</v>
      </c>
    </row>
    <row r="6" spans="1:23" x14ac:dyDescent="0.3">
      <c r="A6" s="155">
        <v>5</v>
      </c>
      <c r="B6" s="29"/>
      <c r="C6" s="28" t="s">
        <v>470</v>
      </c>
      <c r="D6" s="194">
        <v>15000000</v>
      </c>
      <c r="E6" s="194">
        <v>1125000</v>
      </c>
      <c r="F6" s="194">
        <v>0</v>
      </c>
      <c r="G6" s="194">
        <f t="shared" si="0"/>
        <v>15000000</v>
      </c>
      <c r="H6" s="29" t="s">
        <v>453</v>
      </c>
      <c r="I6" s="29" t="s">
        <v>631</v>
      </c>
      <c r="J6" s="30"/>
      <c r="K6" s="30"/>
      <c r="L6" s="30"/>
      <c r="M6" s="30"/>
      <c r="N6" s="30"/>
      <c r="O6" s="30">
        <v>1125000</v>
      </c>
      <c r="P6" s="30"/>
      <c r="Q6" s="30"/>
      <c r="R6" s="30"/>
      <c r="S6" s="30"/>
      <c r="T6" s="30"/>
      <c r="U6" s="30"/>
      <c r="V6" s="30"/>
      <c r="W6" s="197">
        <f t="shared" si="1"/>
        <v>1125000</v>
      </c>
    </row>
    <row r="7" spans="1:23" x14ac:dyDescent="0.3">
      <c r="A7" s="155">
        <v>6</v>
      </c>
      <c r="B7" s="29"/>
      <c r="C7" s="28" t="s">
        <v>471</v>
      </c>
      <c r="D7" s="194">
        <v>7000000</v>
      </c>
      <c r="E7" s="194">
        <v>900000</v>
      </c>
      <c r="F7" s="194">
        <v>0</v>
      </c>
      <c r="G7" s="194">
        <f t="shared" si="0"/>
        <v>7000000</v>
      </c>
      <c r="H7" s="29" t="s">
        <v>453</v>
      </c>
      <c r="I7" s="29" t="s">
        <v>631</v>
      </c>
      <c r="J7" s="30"/>
      <c r="K7" s="30"/>
      <c r="L7" s="30"/>
      <c r="M7" s="30"/>
      <c r="N7" s="30"/>
      <c r="O7" s="30">
        <v>900000</v>
      </c>
      <c r="P7" s="30"/>
      <c r="Q7" s="30"/>
      <c r="R7" s="30"/>
      <c r="S7" s="30"/>
      <c r="T7" s="30"/>
      <c r="U7" s="30"/>
      <c r="V7" s="30"/>
      <c r="W7" s="197">
        <f t="shared" si="1"/>
        <v>900000</v>
      </c>
    </row>
    <row r="8" spans="1:23" x14ac:dyDescent="0.3">
      <c r="A8" s="155">
        <v>7</v>
      </c>
      <c r="B8" s="29"/>
      <c r="C8" s="28" t="s">
        <v>472</v>
      </c>
      <c r="D8" s="194">
        <v>10000000</v>
      </c>
      <c r="E8" s="194">
        <v>450000</v>
      </c>
      <c r="F8" s="194">
        <v>0</v>
      </c>
      <c r="G8" s="194">
        <f t="shared" si="0"/>
        <v>10000000</v>
      </c>
      <c r="H8" s="29" t="s">
        <v>453</v>
      </c>
      <c r="I8" s="29" t="s">
        <v>631</v>
      </c>
      <c r="J8" s="30"/>
      <c r="K8" s="30"/>
      <c r="L8" s="30"/>
      <c r="M8" s="30"/>
      <c r="N8" s="30"/>
      <c r="O8" s="30">
        <v>450000</v>
      </c>
      <c r="P8" s="30"/>
      <c r="Q8" s="30"/>
      <c r="R8" s="30"/>
      <c r="S8" s="30"/>
      <c r="T8" s="30"/>
      <c r="U8" s="30"/>
      <c r="V8" s="30"/>
      <c r="W8" s="197">
        <f t="shared" si="1"/>
        <v>450000</v>
      </c>
    </row>
    <row r="9" spans="1:23" x14ac:dyDescent="0.3">
      <c r="A9" s="155">
        <v>8</v>
      </c>
      <c r="B9" s="29"/>
      <c r="C9" s="28" t="s">
        <v>473</v>
      </c>
      <c r="D9" s="194">
        <v>5000000</v>
      </c>
      <c r="E9" s="194">
        <v>280000</v>
      </c>
      <c r="F9" s="194">
        <v>300000</v>
      </c>
      <c r="G9" s="194"/>
      <c r="H9" s="29" t="s">
        <v>452</v>
      </c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97"/>
    </row>
    <row r="10" spans="1:23" x14ac:dyDescent="0.3">
      <c r="A10" s="155">
        <v>9</v>
      </c>
      <c r="B10" s="29"/>
      <c r="C10" s="28" t="s">
        <v>474</v>
      </c>
      <c r="D10" s="194">
        <v>5000000</v>
      </c>
      <c r="E10" s="194">
        <v>772000</v>
      </c>
      <c r="F10" s="194">
        <v>800000</v>
      </c>
      <c r="G10" s="194"/>
      <c r="H10" s="29" t="s">
        <v>452</v>
      </c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97"/>
    </row>
    <row r="11" spans="1:23" x14ac:dyDescent="0.3">
      <c r="A11" s="155">
        <v>10</v>
      </c>
      <c r="B11" s="29"/>
      <c r="C11" s="28" t="s">
        <v>475</v>
      </c>
      <c r="D11" s="194">
        <v>10000000</v>
      </c>
      <c r="E11" s="194">
        <v>495000</v>
      </c>
      <c r="F11" s="194">
        <v>0</v>
      </c>
      <c r="G11" s="194">
        <f t="shared" ref="G11:G13" si="2">D11</f>
        <v>10000000</v>
      </c>
      <c r="H11" s="29" t="s">
        <v>453</v>
      </c>
      <c r="I11" s="29" t="s">
        <v>631</v>
      </c>
      <c r="J11" s="30"/>
      <c r="K11" s="30"/>
      <c r="L11" s="30"/>
      <c r="M11" s="30"/>
      <c r="N11" s="30"/>
      <c r="O11" s="30">
        <v>495000</v>
      </c>
      <c r="P11" s="30"/>
      <c r="Q11" s="30"/>
      <c r="R11" s="30"/>
      <c r="S11" s="30"/>
      <c r="T11" s="30"/>
      <c r="U11" s="30"/>
      <c r="V11" s="30"/>
      <c r="W11" s="197">
        <f>SUM(J11:V11)</f>
        <v>495000</v>
      </c>
    </row>
    <row r="12" spans="1:23" x14ac:dyDescent="0.3">
      <c r="A12" s="155">
        <v>11</v>
      </c>
      <c r="B12" s="29"/>
      <c r="C12" s="28" t="s">
        <v>476</v>
      </c>
      <c r="D12" s="194">
        <v>4000000</v>
      </c>
      <c r="E12" s="194">
        <v>616000</v>
      </c>
      <c r="F12" s="194">
        <v>0</v>
      </c>
      <c r="G12" s="194">
        <f t="shared" si="2"/>
        <v>4000000</v>
      </c>
      <c r="H12" s="29" t="s">
        <v>453</v>
      </c>
      <c r="I12" s="29" t="s">
        <v>631</v>
      </c>
      <c r="J12" s="30"/>
      <c r="K12" s="30"/>
      <c r="L12" s="30"/>
      <c r="M12" s="30"/>
      <c r="N12" s="30"/>
      <c r="O12" s="30">
        <v>616000</v>
      </c>
      <c r="P12" s="30"/>
      <c r="Q12" s="30"/>
      <c r="R12" s="30"/>
      <c r="S12" s="30"/>
      <c r="T12" s="30"/>
      <c r="U12" s="30"/>
      <c r="V12" s="30"/>
      <c r="W12" s="197">
        <f>SUM(J12:V12)</f>
        <v>616000</v>
      </c>
    </row>
    <row r="13" spans="1:23" x14ac:dyDescent="0.3">
      <c r="A13" s="155">
        <v>12</v>
      </c>
      <c r="B13" s="29"/>
      <c r="C13" s="28" t="s">
        <v>477</v>
      </c>
      <c r="D13" s="194">
        <v>3500000</v>
      </c>
      <c r="E13" s="194">
        <v>540000</v>
      </c>
      <c r="F13" s="194">
        <v>0</v>
      </c>
      <c r="G13" s="194">
        <f t="shared" si="2"/>
        <v>3500000</v>
      </c>
      <c r="H13" s="29" t="s">
        <v>453</v>
      </c>
      <c r="I13" s="29" t="s">
        <v>631</v>
      </c>
      <c r="J13" s="30"/>
      <c r="K13" s="30"/>
      <c r="L13" s="30"/>
      <c r="M13" s="30"/>
      <c r="N13" s="30"/>
      <c r="O13" s="30">
        <v>540000</v>
      </c>
      <c r="P13" s="30"/>
      <c r="Q13" s="30"/>
      <c r="R13" s="30"/>
      <c r="S13" s="30"/>
      <c r="T13" s="30"/>
      <c r="U13" s="30"/>
      <c r="V13" s="30"/>
      <c r="W13" s="197">
        <f>SUM(J13:V13)</f>
        <v>540000</v>
      </c>
    </row>
    <row r="14" spans="1:23" x14ac:dyDescent="0.3">
      <c r="A14" s="155">
        <v>13</v>
      </c>
      <c r="B14" s="29"/>
      <c r="C14" s="28" t="s">
        <v>478</v>
      </c>
      <c r="D14" s="194">
        <v>5000000</v>
      </c>
      <c r="E14" s="194">
        <v>432000</v>
      </c>
      <c r="F14" s="194">
        <v>450000</v>
      </c>
      <c r="G14" s="194"/>
      <c r="H14" s="29" t="s">
        <v>452</v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97"/>
    </row>
    <row r="15" spans="1:23" x14ac:dyDescent="0.3">
      <c r="A15" s="155">
        <v>14</v>
      </c>
      <c r="B15" s="29"/>
      <c r="C15" s="28" t="s">
        <v>479</v>
      </c>
      <c r="D15" s="194">
        <v>5000000</v>
      </c>
      <c r="E15" s="194">
        <v>772000</v>
      </c>
      <c r="F15" s="194">
        <v>0</v>
      </c>
      <c r="G15" s="194">
        <f t="shared" ref="G15:G49" si="3">D15</f>
        <v>5000000</v>
      </c>
      <c r="H15" s="29" t="s">
        <v>453</v>
      </c>
      <c r="I15" s="29" t="s">
        <v>631</v>
      </c>
      <c r="J15" s="30"/>
      <c r="K15" s="30"/>
      <c r="L15" s="30"/>
      <c r="M15" s="30"/>
      <c r="N15" s="30"/>
      <c r="O15" s="30">
        <v>772000</v>
      </c>
      <c r="P15" s="30"/>
      <c r="Q15" s="30"/>
      <c r="R15" s="30"/>
      <c r="S15" s="30"/>
      <c r="T15" s="30"/>
      <c r="U15" s="30"/>
      <c r="V15" s="30"/>
      <c r="W15" s="197">
        <f t="shared" ref="W15:W49" si="4">SUM(J15:V15)</f>
        <v>772000</v>
      </c>
    </row>
    <row r="16" spans="1:23" x14ac:dyDescent="0.3">
      <c r="A16" s="155">
        <v>15</v>
      </c>
      <c r="B16" s="29"/>
      <c r="C16" s="28" t="s">
        <v>480</v>
      </c>
      <c r="D16" s="194">
        <v>1500000</v>
      </c>
      <c r="E16" s="194">
        <v>450000</v>
      </c>
      <c r="F16" s="194">
        <v>0</v>
      </c>
      <c r="G16" s="194">
        <f t="shared" si="3"/>
        <v>1500000</v>
      </c>
      <c r="H16" s="29" t="s">
        <v>453</v>
      </c>
      <c r="I16" s="29" t="s">
        <v>631</v>
      </c>
      <c r="J16" s="30"/>
      <c r="K16" s="30"/>
      <c r="L16" s="30"/>
      <c r="M16" s="30"/>
      <c r="N16" s="30"/>
      <c r="O16" s="30">
        <v>450000</v>
      </c>
      <c r="P16" s="30"/>
      <c r="Q16" s="30"/>
      <c r="R16" s="30"/>
      <c r="S16" s="30"/>
      <c r="T16" s="30"/>
      <c r="U16" s="30"/>
      <c r="V16" s="30"/>
      <c r="W16" s="197">
        <f t="shared" si="4"/>
        <v>450000</v>
      </c>
    </row>
    <row r="17" spans="1:23" x14ac:dyDescent="0.3">
      <c r="A17" s="155">
        <v>16</v>
      </c>
      <c r="B17" s="29"/>
      <c r="C17" s="28" t="s">
        <v>481</v>
      </c>
      <c r="D17" s="194">
        <v>3000000</v>
      </c>
      <c r="E17" s="194">
        <v>464000</v>
      </c>
      <c r="F17" s="194">
        <v>0</v>
      </c>
      <c r="G17" s="194">
        <f t="shared" si="3"/>
        <v>3000000</v>
      </c>
      <c r="H17" s="29" t="s">
        <v>453</v>
      </c>
      <c r="I17" s="29" t="s">
        <v>631</v>
      </c>
      <c r="J17" s="30"/>
      <c r="K17" s="30"/>
      <c r="L17" s="30"/>
      <c r="M17" s="30"/>
      <c r="N17" s="30"/>
      <c r="O17" s="30">
        <v>464000</v>
      </c>
      <c r="P17" s="30"/>
      <c r="Q17" s="30"/>
      <c r="R17" s="30"/>
      <c r="S17" s="30"/>
      <c r="T17" s="30"/>
      <c r="U17" s="30"/>
      <c r="V17" s="30"/>
      <c r="W17" s="197">
        <f t="shared" si="4"/>
        <v>464000</v>
      </c>
    </row>
    <row r="18" spans="1:23" x14ac:dyDescent="0.3">
      <c r="A18" s="155">
        <v>17</v>
      </c>
      <c r="B18" s="29"/>
      <c r="C18" s="28" t="s">
        <v>482</v>
      </c>
      <c r="D18" s="194">
        <v>2500000</v>
      </c>
      <c r="E18" s="194">
        <v>675000</v>
      </c>
      <c r="F18" s="194">
        <v>0</v>
      </c>
      <c r="G18" s="194">
        <f t="shared" si="3"/>
        <v>2500000</v>
      </c>
      <c r="H18" s="29" t="s">
        <v>453</v>
      </c>
      <c r="I18" s="29" t="s">
        <v>631</v>
      </c>
      <c r="J18" s="30"/>
      <c r="K18" s="30"/>
      <c r="L18" s="30"/>
      <c r="M18" s="30"/>
      <c r="N18" s="30"/>
      <c r="O18" s="30">
        <v>675000</v>
      </c>
      <c r="P18" s="30"/>
      <c r="Q18" s="30"/>
      <c r="R18" s="30"/>
      <c r="S18" s="30"/>
      <c r="T18" s="30"/>
      <c r="U18" s="30"/>
      <c r="V18" s="30"/>
      <c r="W18" s="197">
        <f t="shared" si="4"/>
        <v>675000</v>
      </c>
    </row>
    <row r="19" spans="1:23" x14ac:dyDescent="0.3">
      <c r="A19" s="155">
        <v>18</v>
      </c>
      <c r="B19" s="29"/>
      <c r="C19" s="28" t="s">
        <v>483</v>
      </c>
      <c r="D19" s="194">
        <v>5000000</v>
      </c>
      <c r="E19" s="194">
        <v>675000</v>
      </c>
      <c r="F19" s="194">
        <v>0</v>
      </c>
      <c r="G19" s="194">
        <f t="shared" si="3"/>
        <v>5000000</v>
      </c>
      <c r="H19" s="29" t="s">
        <v>453</v>
      </c>
      <c r="I19" s="29" t="s">
        <v>631</v>
      </c>
      <c r="J19" s="30"/>
      <c r="K19" s="30"/>
      <c r="L19" s="30"/>
      <c r="M19" s="30"/>
      <c r="N19" s="30"/>
      <c r="O19" s="30">
        <v>675000</v>
      </c>
      <c r="P19" s="30"/>
      <c r="Q19" s="30"/>
      <c r="R19" s="30"/>
      <c r="S19" s="30"/>
      <c r="T19" s="30"/>
      <c r="U19" s="30"/>
      <c r="V19" s="30"/>
      <c r="W19" s="197">
        <f t="shared" si="4"/>
        <v>675000</v>
      </c>
    </row>
    <row r="20" spans="1:23" x14ac:dyDescent="0.3">
      <c r="A20" s="155">
        <v>19</v>
      </c>
      <c r="B20" s="29"/>
      <c r="C20" s="28" t="s">
        <v>484</v>
      </c>
      <c r="D20" s="194">
        <v>1500000</v>
      </c>
      <c r="E20" s="194">
        <v>225000</v>
      </c>
      <c r="F20" s="194">
        <v>0</v>
      </c>
      <c r="G20" s="194">
        <f t="shared" si="3"/>
        <v>1500000</v>
      </c>
      <c r="H20" s="29" t="s">
        <v>453</v>
      </c>
      <c r="I20" s="29" t="s">
        <v>631</v>
      </c>
      <c r="J20" s="30"/>
      <c r="K20" s="30"/>
      <c r="L20" s="30"/>
      <c r="M20" s="30"/>
      <c r="N20" s="30"/>
      <c r="O20" s="30">
        <v>225000</v>
      </c>
      <c r="P20" s="30"/>
      <c r="Q20" s="30"/>
      <c r="R20" s="30"/>
      <c r="S20" s="30"/>
      <c r="T20" s="30"/>
      <c r="U20" s="30"/>
      <c r="V20" s="30"/>
      <c r="W20" s="197">
        <f t="shared" si="4"/>
        <v>225000</v>
      </c>
    </row>
    <row r="21" spans="1:23" x14ac:dyDescent="0.3">
      <c r="A21" s="155">
        <v>20</v>
      </c>
      <c r="B21" s="29"/>
      <c r="C21" s="28" t="s">
        <v>485</v>
      </c>
      <c r="D21" s="194">
        <v>1500000</v>
      </c>
      <c r="E21" s="194">
        <v>450000</v>
      </c>
      <c r="F21" s="194">
        <v>0</v>
      </c>
      <c r="G21" s="194">
        <f t="shared" si="3"/>
        <v>1500000</v>
      </c>
      <c r="H21" s="29" t="s">
        <v>453</v>
      </c>
      <c r="I21" s="29" t="s">
        <v>631</v>
      </c>
      <c r="J21" s="30"/>
      <c r="K21" s="30"/>
      <c r="L21" s="30"/>
      <c r="M21" s="30"/>
      <c r="N21" s="30"/>
      <c r="O21" s="30">
        <v>450000</v>
      </c>
      <c r="P21" s="30"/>
      <c r="Q21" s="30"/>
      <c r="R21" s="30"/>
      <c r="S21" s="30"/>
      <c r="T21" s="30"/>
      <c r="U21" s="30"/>
      <c r="V21" s="30"/>
      <c r="W21" s="197">
        <f t="shared" si="4"/>
        <v>450000</v>
      </c>
    </row>
    <row r="22" spans="1:23" x14ac:dyDescent="0.3">
      <c r="A22" s="155">
        <v>21</v>
      </c>
      <c r="B22" s="29"/>
      <c r="C22" s="28" t="s">
        <v>484</v>
      </c>
      <c r="D22" s="194">
        <v>3500000</v>
      </c>
      <c r="E22" s="194">
        <v>900000</v>
      </c>
      <c r="F22" s="194">
        <v>0</v>
      </c>
      <c r="G22" s="194">
        <f t="shared" si="3"/>
        <v>3500000</v>
      </c>
      <c r="H22" s="29" t="s">
        <v>453</v>
      </c>
      <c r="I22" s="29" t="s">
        <v>631</v>
      </c>
      <c r="J22" s="30"/>
      <c r="K22" s="30"/>
      <c r="L22" s="30"/>
      <c r="M22" s="30"/>
      <c r="N22" s="30"/>
      <c r="O22" s="30">
        <v>900000</v>
      </c>
      <c r="P22" s="30"/>
      <c r="Q22" s="30"/>
      <c r="R22" s="30"/>
      <c r="S22" s="30"/>
      <c r="T22" s="30"/>
      <c r="U22" s="30"/>
      <c r="V22" s="30"/>
      <c r="W22" s="197">
        <f t="shared" si="4"/>
        <v>900000</v>
      </c>
    </row>
    <row r="23" spans="1:23" x14ac:dyDescent="0.3">
      <c r="A23" s="155">
        <v>22</v>
      </c>
      <c r="B23" s="29"/>
      <c r="C23" s="28" t="s">
        <v>486</v>
      </c>
      <c r="D23" s="194">
        <v>55000000</v>
      </c>
      <c r="E23" s="194">
        <v>4950000</v>
      </c>
      <c r="F23" s="194">
        <v>0</v>
      </c>
      <c r="G23" s="194">
        <f t="shared" si="3"/>
        <v>55000000</v>
      </c>
      <c r="H23" s="29" t="s">
        <v>453</v>
      </c>
      <c r="I23" s="29" t="s">
        <v>631</v>
      </c>
      <c r="J23" s="30"/>
      <c r="K23" s="30"/>
      <c r="L23" s="30"/>
      <c r="M23" s="30"/>
      <c r="N23" s="30"/>
      <c r="O23" s="30">
        <v>4950000</v>
      </c>
      <c r="P23" s="30"/>
      <c r="Q23" s="30"/>
      <c r="R23" s="30"/>
      <c r="S23" s="30"/>
      <c r="T23" s="30"/>
      <c r="U23" s="30"/>
      <c r="V23" s="30"/>
      <c r="W23" s="197">
        <f t="shared" si="4"/>
        <v>4950000</v>
      </c>
    </row>
    <row r="24" spans="1:23" x14ac:dyDescent="0.3">
      <c r="A24" s="155">
        <v>23</v>
      </c>
      <c r="B24" s="29"/>
      <c r="C24" s="28" t="s">
        <v>487</v>
      </c>
      <c r="D24" s="194">
        <v>12000000</v>
      </c>
      <c r="E24" s="194">
        <v>2250000</v>
      </c>
      <c r="F24" s="194">
        <v>0</v>
      </c>
      <c r="G24" s="194">
        <f t="shared" si="3"/>
        <v>12000000</v>
      </c>
      <c r="H24" s="29" t="s">
        <v>453</v>
      </c>
      <c r="I24" s="29" t="s">
        <v>631</v>
      </c>
      <c r="J24" s="30"/>
      <c r="K24" s="30"/>
      <c r="L24" s="30"/>
      <c r="M24" s="30"/>
      <c r="N24" s="30"/>
      <c r="O24" s="30">
        <v>2250000</v>
      </c>
      <c r="P24" s="30"/>
      <c r="Q24" s="30"/>
      <c r="R24" s="30"/>
      <c r="S24" s="30"/>
      <c r="T24" s="30"/>
      <c r="U24" s="30"/>
      <c r="V24" s="30"/>
      <c r="W24" s="197">
        <f t="shared" si="4"/>
        <v>2250000</v>
      </c>
    </row>
    <row r="25" spans="1:23" x14ac:dyDescent="0.3">
      <c r="A25" s="155">
        <v>24</v>
      </c>
      <c r="B25" s="29"/>
      <c r="C25" s="28" t="s">
        <v>488</v>
      </c>
      <c r="D25" s="194">
        <v>25000000</v>
      </c>
      <c r="E25" s="194">
        <v>1350000</v>
      </c>
      <c r="F25" s="194">
        <v>0</v>
      </c>
      <c r="G25" s="194">
        <f t="shared" si="3"/>
        <v>25000000</v>
      </c>
      <c r="H25" s="29" t="s">
        <v>453</v>
      </c>
      <c r="I25" s="29" t="s">
        <v>631</v>
      </c>
      <c r="J25" s="30"/>
      <c r="K25" s="30"/>
      <c r="L25" s="30"/>
      <c r="M25" s="30"/>
      <c r="N25" s="30"/>
      <c r="O25" s="30">
        <v>1350000</v>
      </c>
      <c r="P25" s="30"/>
      <c r="Q25" s="30"/>
      <c r="R25" s="30"/>
      <c r="S25" s="30"/>
      <c r="T25" s="30"/>
      <c r="U25" s="30"/>
      <c r="V25" s="30"/>
      <c r="W25" s="197">
        <f t="shared" si="4"/>
        <v>1350000</v>
      </c>
    </row>
    <row r="26" spans="1:23" x14ac:dyDescent="0.3">
      <c r="A26" s="155">
        <v>25</v>
      </c>
      <c r="B26" s="29"/>
      <c r="C26" s="28" t="s">
        <v>489</v>
      </c>
      <c r="D26" s="194">
        <v>28000000</v>
      </c>
      <c r="E26" s="194">
        <v>900000</v>
      </c>
      <c r="F26" s="194">
        <v>0</v>
      </c>
      <c r="G26" s="194">
        <f t="shared" si="3"/>
        <v>28000000</v>
      </c>
      <c r="H26" s="29" t="s">
        <v>453</v>
      </c>
      <c r="I26" s="29" t="s">
        <v>631</v>
      </c>
      <c r="J26" s="30"/>
      <c r="K26" s="30"/>
      <c r="L26" s="30"/>
      <c r="M26" s="30"/>
      <c r="N26" s="30"/>
      <c r="O26" s="30">
        <v>900000</v>
      </c>
      <c r="P26" s="30"/>
      <c r="Q26" s="30"/>
      <c r="R26" s="30"/>
      <c r="S26" s="30"/>
      <c r="T26" s="30"/>
      <c r="U26" s="30"/>
      <c r="V26" s="30"/>
      <c r="W26" s="197">
        <f t="shared" si="4"/>
        <v>900000</v>
      </c>
    </row>
    <row r="27" spans="1:23" x14ac:dyDescent="0.3">
      <c r="A27" s="155">
        <v>26</v>
      </c>
      <c r="B27" s="29"/>
      <c r="C27" s="28" t="s">
        <v>490</v>
      </c>
      <c r="D27" s="194">
        <v>18000000</v>
      </c>
      <c r="E27" s="194">
        <v>3150000</v>
      </c>
      <c r="F27" s="194">
        <v>0</v>
      </c>
      <c r="G27" s="194">
        <f t="shared" si="3"/>
        <v>18000000</v>
      </c>
      <c r="H27" s="29" t="s">
        <v>453</v>
      </c>
      <c r="I27" s="29" t="s">
        <v>631</v>
      </c>
      <c r="J27" s="30"/>
      <c r="K27" s="30"/>
      <c r="L27" s="30"/>
      <c r="M27" s="30"/>
      <c r="N27" s="30"/>
      <c r="O27" s="30">
        <v>3150000</v>
      </c>
      <c r="P27" s="30"/>
      <c r="Q27" s="30"/>
      <c r="R27" s="30"/>
      <c r="S27" s="30"/>
      <c r="T27" s="30"/>
      <c r="U27" s="30"/>
      <c r="V27" s="30"/>
      <c r="W27" s="197">
        <f t="shared" si="4"/>
        <v>3150000</v>
      </c>
    </row>
    <row r="28" spans="1:23" x14ac:dyDescent="0.3">
      <c r="A28" s="155">
        <v>27</v>
      </c>
      <c r="B28" s="29"/>
      <c r="C28" s="28" t="s">
        <v>491</v>
      </c>
      <c r="D28" s="194">
        <v>50000000</v>
      </c>
      <c r="E28" s="194">
        <v>6750000</v>
      </c>
      <c r="F28" s="194">
        <v>0</v>
      </c>
      <c r="G28" s="194">
        <f t="shared" si="3"/>
        <v>50000000</v>
      </c>
      <c r="H28" s="29" t="s">
        <v>453</v>
      </c>
      <c r="I28" s="29" t="s">
        <v>631</v>
      </c>
      <c r="J28" s="30"/>
      <c r="K28" s="30"/>
      <c r="L28" s="30"/>
      <c r="M28" s="30"/>
      <c r="N28" s="30"/>
      <c r="O28" s="30">
        <v>6750000</v>
      </c>
      <c r="P28" s="30"/>
      <c r="Q28" s="30"/>
      <c r="R28" s="30"/>
      <c r="S28" s="30"/>
      <c r="T28" s="30"/>
      <c r="U28" s="30"/>
      <c r="V28" s="30"/>
      <c r="W28" s="197">
        <f t="shared" si="4"/>
        <v>6750000</v>
      </c>
    </row>
    <row r="29" spans="1:23" x14ac:dyDescent="0.3">
      <c r="A29" s="155">
        <v>28</v>
      </c>
      <c r="B29" s="29"/>
      <c r="C29" s="28" t="s">
        <v>492</v>
      </c>
      <c r="D29" s="194">
        <v>15000000</v>
      </c>
      <c r="E29" s="194">
        <v>3600000</v>
      </c>
      <c r="F29" s="194">
        <v>0</v>
      </c>
      <c r="G29" s="194">
        <f t="shared" si="3"/>
        <v>15000000</v>
      </c>
      <c r="H29" s="29" t="s">
        <v>453</v>
      </c>
      <c r="I29" s="29" t="s">
        <v>631</v>
      </c>
      <c r="J29" s="30"/>
      <c r="K29" s="30"/>
      <c r="L29" s="30"/>
      <c r="M29" s="30"/>
      <c r="N29" s="30"/>
      <c r="O29" s="30">
        <v>3600000</v>
      </c>
      <c r="P29" s="30"/>
      <c r="Q29" s="30"/>
      <c r="R29" s="30"/>
      <c r="S29" s="30"/>
      <c r="T29" s="30"/>
      <c r="U29" s="30"/>
      <c r="V29" s="30"/>
      <c r="W29" s="197">
        <f t="shared" si="4"/>
        <v>3600000</v>
      </c>
    </row>
    <row r="30" spans="1:23" x14ac:dyDescent="0.3">
      <c r="A30" s="155">
        <v>29</v>
      </c>
      <c r="B30" s="29"/>
      <c r="C30" s="28" t="s">
        <v>493</v>
      </c>
      <c r="D30" s="194">
        <v>5000000</v>
      </c>
      <c r="E30" s="194">
        <v>450000</v>
      </c>
      <c r="F30" s="194">
        <v>0</v>
      </c>
      <c r="G30" s="194">
        <f t="shared" si="3"/>
        <v>5000000</v>
      </c>
      <c r="H30" s="29" t="s">
        <v>453</v>
      </c>
      <c r="I30" s="29" t="s">
        <v>631</v>
      </c>
      <c r="J30" s="30"/>
      <c r="K30" s="30"/>
      <c r="L30" s="30"/>
      <c r="M30" s="30"/>
      <c r="N30" s="30"/>
      <c r="O30" s="30">
        <v>450000</v>
      </c>
      <c r="P30" s="30"/>
      <c r="Q30" s="30"/>
      <c r="R30" s="30"/>
      <c r="S30" s="30"/>
      <c r="T30" s="30"/>
      <c r="U30" s="30"/>
      <c r="V30" s="30"/>
      <c r="W30" s="197">
        <f t="shared" si="4"/>
        <v>450000</v>
      </c>
    </row>
    <row r="31" spans="1:23" x14ac:dyDescent="0.3">
      <c r="A31" s="155">
        <v>30</v>
      </c>
      <c r="B31" s="29"/>
      <c r="C31" s="28" t="s">
        <v>494</v>
      </c>
      <c r="D31" s="194">
        <v>50000000</v>
      </c>
      <c r="E31" s="194">
        <v>2700000</v>
      </c>
      <c r="F31" s="194">
        <v>0</v>
      </c>
      <c r="G31" s="194">
        <f t="shared" si="3"/>
        <v>50000000</v>
      </c>
      <c r="H31" s="29" t="s">
        <v>453</v>
      </c>
      <c r="I31" s="29" t="s">
        <v>631</v>
      </c>
      <c r="J31" s="30"/>
      <c r="K31" s="30"/>
      <c r="L31" s="30"/>
      <c r="M31" s="30"/>
      <c r="N31" s="30"/>
      <c r="O31" s="30">
        <v>2700000</v>
      </c>
      <c r="P31" s="30"/>
      <c r="Q31" s="30"/>
      <c r="R31" s="30"/>
      <c r="S31" s="30"/>
      <c r="T31" s="30"/>
      <c r="U31" s="30"/>
      <c r="V31" s="30"/>
      <c r="W31" s="197">
        <f t="shared" si="4"/>
        <v>2700000</v>
      </c>
    </row>
    <row r="32" spans="1:23" x14ac:dyDescent="0.3">
      <c r="A32" s="155">
        <v>31</v>
      </c>
      <c r="B32" s="29"/>
      <c r="C32" s="28" t="s">
        <v>495</v>
      </c>
      <c r="D32" s="194">
        <v>5000000</v>
      </c>
      <c r="E32" s="194">
        <v>772000</v>
      </c>
      <c r="F32" s="194">
        <v>0</v>
      </c>
      <c r="G32" s="194">
        <f t="shared" si="3"/>
        <v>5000000</v>
      </c>
      <c r="H32" s="29" t="s">
        <v>453</v>
      </c>
      <c r="I32" s="29" t="s">
        <v>631</v>
      </c>
      <c r="J32" s="30"/>
      <c r="K32" s="30"/>
      <c r="L32" s="30"/>
      <c r="M32" s="30"/>
      <c r="N32" s="30"/>
      <c r="O32" s="30">
        <v>772000</v>
      </c>
      <c r="P32" s="30"/>
      <c r="Q32" s="30"/>
      <c r="R32" s="30"/>
      <c r="S32" s="30"/>
      <c r="T32" s="30"/>
      <c r="U32" s="30"/>
      <c r="V32" s="30"/>
      <c r="W32" s="197">
        <f t="shared" si="4"/>
        <v>772000</v>
      </c>
    </row>
    <row r="33" spans="1:23" x14ac:dyDescent="0.3">
      <c r="A33" s="155">
        <v>32</v>
      </c>
      <c r="B33" s="29"/>
      <c r="C33" s="28" t="s">
        <v>496</v>
      </c>
      <c r="D33" s="194">
        <v>10000000</v>
      </c>
      <c r="E33" s="194">
        <v>1545333</v>
      </c>
      <c r="F33" s="194">
        <v>0</v>
      </c>
      <c r="G33" s="194">
        <f t="shared" si="3"/>
        <v>10000000</v>
      </c>
      <c r="H33" s="29" t="s">
        <v>453</v>
      </c>
      <c r="I33" s="29" t="s">
        <v>631</v>
      </c>
      <c r="J33" s="30"/>
      <c r="K33" s="30"/>
      <c r="L33" s="30"/>
      <c r="M33" s="30"/>
      <c r="N33" s="30"/>
      <c r="O33" s="30">
        <v>1545333</v>
      </c>
      <c r="P33" s="30"/>
      <c r="Q33" s="30"/>
      <c r="R33" s="30"/>
      <c r="S33" s="30"/>
      <c r="T33" s="30"/>
      <c r="U33" s="30"/>
      <c r="V33" s="30"/>
      <c r="W33" s="197">
        <f t="shared" si="4"/>
        <v>1545333</v>
      </c>
    </row>
    <row r="34" spans="1:23" x14ac:dyDescent="0.3">
      <c r="A34" s="155">
        <v>33</v>
      </c>
      <c r="B34" s="29"/>
      <c r="C34" s="28" t="s">
        <v>496</v>
      </c>
      <c r="D34" s="194">
        <v>10000000</v>
      </c>
      <c r="E34" s="194">
        <v>1545333</v>
      </c>
      <c r="F34" s="194">
        <v>0</v>
      </c>
      <c r="G34" s="194">
        <f t="shared" si="3"/>
        <v>10000000</v>
      </c>
      <c r="H34" s="29" t="s">
        <v>453</v>
      </c>
      <c r="I34" s="29" t="s">
        <v>631</v>
      </c>
      <c r="J34" s="30"/>
      <c r="K34" s="30"/>
      <c r="L34" s="30"/>
      <c r="M34" s="30"/>
      <c r="N34" s="30"/>
      <c r="O34" s="30">
        <v>1545333</v>
      </c>
      <c r="P34" s="30"/>
      <c r="Q34" s="30"/>
      <c r="R34" s="30"/>
      <c r="S34" s="30"/>
      <c r="T34" s="30"/>
      <c r="U34" s="30"/>
      <c r="V34" s="30"/>
      <c r="W34" s="197">
        <f t="shared" si="4"/>
        <v>1545333</v>
      </c>
    </row>
    <row r="35" spans="1:23" x14ac:dyDescent="0.3">
      <c r="A35" s="155">
        <v>34</v>
      </c>
      <c r="B35" s="29"/>
      <c r="C35" s="28" t="s">
        <v>496</v>
      </c>
      <c r="D35" s="194">
        <v>20000000</v>
      </c>
      <c r="E35" s="194">
        <v>3088000</v>
      </c>
      <c r="F35" s="194">
        <v>0</v>
      </c>
      <c r="G35" s="194">
        <f t="shared" si="3"/>
        <v>20000000</v>
      </c>
      <c r="H35" s="29" t="s">
        <v>453</v>
      </c>
      <c r="I35" s="29" t="s">
        <v>631</v>
      </c>
      <c r="J35" s="30"/>
      <c r="K35" s="30"/>
      <c r="L35" s="30"/>
      <c r="M35" s="30"/>
      <c r="N35" s="30"/>
      <c r="O35" s="30">
        <v>3088000</v>
      </c>
      <c r="P35" s="30"/>
      <c r="Q35" s="30"/>
      <c r="R35" s="30"/>
      <c r="S35" s="30"/>
      <c r="T35" s="30"/>
      <c r="U35" s="30"/>
      <c r="V35" s="30"/>
      <c r="W35" s="197">
        <f t="shared" si="4"/>
        <v>3088000</v>
      </c>
    </row>
    <row r="36" spans="1:23" x14ac:dyDescent="0.3">
      <c r="A36" s="155">
        <v>35</v>
      </c>
      <c r="B36" s="29"/>
      <c r="C36" s="28" t="s">
        <v>496</v>
      </c>
      <c r="D36" s="194">
        <v>15000000</v>
      </c>
      <c r="E36" s="194">
        <v>2316000</v>
      </c>
      <c r="F36" s="194">
        <v>0</v>
      </c>
      <c r="G36" s="194">
        <f t="shared" si="3"/>
        <v>15000000</v>
      </c>
      <c r="H36" s="29" t="s">
        <v>453</v>
      </c>
      <c r="I36" s="29" t="s">
        <v>631</v>
      </c>
      <c r="J36" s="30"/>
      <c r="K36" s="30"/>
      <c r="L36" s="30"/>
      <c r="M36" s="30"/>
      <c r="N36" s="30"/>
      <c r="O36" s="30">
        <v>2316000</v>
      </c>
      <c r="P36" s="30"/>
      <c r="Q36" s="30"/>
      <c r="R36" s="30"/>
      <c r="S36" s="30"/>
      <c r="T36" s="30"/>
      <c r="U36" s="30"/>
      <c r="V36" s="30"/>
      <c r="W36" s="197">
        <f t="shared" si="4"/>
        <v>2316000</v>
      </c>
    </row>
    <row r="37" spans="1:23" x14ac:dyDescent="0.3">
      <c r="A37" s="155">
        <v>36</v>
      </c>
      <c r="B37" s="29"/>
      <c r="C37" s="28" t="s">
        <v>496</v>
      </c>
      <c r="D37" s="194">
        <v>10000000</v>
      </c>
      <c r="E37" s="194">
        <v>1545334</v>
      </c>
      <c r="F37" s="194">
        <v>0</v>
      </c>
      <c r="G37" s="194">
        <f t="shared" si="3"/>
        <v>10000000</v>
      </c>
      <c r="H37" s="29" t="s">
        <v>453</v>
      </c>
      <c r="I37" s="29" t="s">
        <v>631</v>
      </c>
      <c r="J37" s="30"/>
      <c r="K37" s="30"/>
      <c r="L37" s="30"/>
      <c r="M37" s="30"/>
      <c r="N37" s="30"/>
      <c r="O37" s="30">
        <v>1545334</v>
      </c>
      <c r="P37" s="30"/>
      <c r="Q37" s="30"/>
      <c r="R37" s="30"/>
      <c r="S37" s="30"/>
      <c r="T37" s="30"/>
      <c r="U37" s="30"/>
      <c r="V37" s="30"/>
      <c r="W37" s="197">
        <f t="shared" si="4"/>
        <v>1545334</v>
      </c>
    </row>
    <row r="38" spans="1:23" x14ac:dyDescent="0.3">
      <c r="A38" s="155">
        <v>37</v>
      </c>
      <c r="B38" s="29"/>
      <c r="C38" s="28" t="s">
        <v>497</v>
      </c>
      <c r="D38" s="194">
        <v>3000000</v>
      </c>
      <c r="E38" s="194">
        <v>720000</v>
      </c>
      <c r="F38" s="194">
        <v>0</v>
      </c>
      <c r="G38" s="194">
        <f t="shared" si="3"/>
        <v>3000000</v>
      </c>
      <c r="H38" s="29" t="s">
        <v>453</v>
      </c>
      <c r="I38" s="29" t="s">
        <v>631</v>
      </c>
      <c r="J38" s="30"/>
      <c r="K38" s="30"/>
      <c r="L38" s="30"/>
      <c r="M38" s="30"/>
      <c r="N38" s="30"/>
      <c r="O38" s="30">
        <v>720000</v>
      </c>
      <c r="P38" s="30"/>
      <c r="Q38" s="30"/>
      <c r="R38" s="30"/>
      <c r="S38" s="30"/>
      <c r="T38" s="30"/>
      <c r="U38" s="30"/>
      <c r="V38" s="30"/>
      <c r="W38" s="197">
        <f t="shared" si="4"/>
        <v>720000</v>
      </c>
    </row>
    <row r="39" spans="1:23" x14ac:dyDescent="0.3">
      <c r="A39" s="155">
        <v>38</v>
      </c>
      <c r="B39" s="29"/>
      <c r="C39" s="28" t="s">
        <v>498</v>
      </c>
      <c r="D39" s="194">
        <v>5000000</v>
      </c>
      <c r="E39" s="194">
        <v>450000</v>
      </c>
      <c r="F39" s="194">
        <v>0</v>
      </c>
      <c r="G39" s="194">
        <f t="shared" si="3"/>
        <v>5000000</v>
      </c>
      <c r="H39" s="29" t="s">
        <v>453</v>
      </c>
      <c r="I39" s="29" t="s">
        <v>631</v>
      </c>
      <c r="J39" s="30"/>
      <c r="K39" s="30"/>
      <c r="L39" s="30"/>
      <c r="M39" s="30"/>
      <c r="N39" s="30"/>
      <c r="O39" s="30">
        <v>450000</v>
      </c>
      <c r="P39" s="30"/>
      <c r="Q39" s="30"/>
      <c r="R39" s="30"/>
      <c r="S39" s="30"/>
      <c r="T39" s="30"/>
      <c r="U39" s="30"/>
      <c r="V39" s="30"/>
      <c r="W39" s="197">
        <f t="shared" si="4"/>
        <v>450000</v>
      </c>
    </row>
    <row r="40" spans="1:23" x14ac:dyDescent="0.3">
      <c r="A40" s="155">
        <v>39</v>
      </c>
      <c r="B40" s="29"/>
      <c r="C40" s="28" t="s">
        <v>499</v>
      </c>
      <c r="D40" s="194">
        <v>35000000</v>
      </c>
      <c r="E40" s="194">
        <v>1575000</v>
      </c>
      <c r="F40" s="194">
        <v>0</v>
      </c>
      <c r="G40" s="194">
        <f t="shared" si="3"/>
        <v>35000000</v>
      </c>
      <c r="H40" s="29" t="s">
        <v>453</v>
      </c>
      <c r="I40" s="29" t="s">
        <v>631</v>
      </c>
      <c r="J40" s="30"/>
      <c r="K40" s="30"/>
      <c r="L40" s="30"/>
      <c r="M40" s="30"/>
      <c r="N40" s="30"/>
      <c r="O40" s="30">
        <v>1575000</v>
      </c>
      <c r="P40" s="30"/>
      <c r="Q40" s="30"/>
      <c r="R40" s="30"/>
      <c r="S40" s="30"/>
      <c r="T40" s="30"/>
      <c r="U40" s="30"/>
      <c r="V40" s="30"/>
      <c r="W40" s="197">
        <f t="shared" si="4"/>
        <v>1575000</v>
      </c>
    </row>
    <row r="41" spans="1:23" x14ac:dyDescent="0.3">
      <c r="A41" s="155">
        <v>40</v>
      </c>
      <c r="B41" s="29"/>
      <c r="C41" s="28" t="s">
        <v>500</v>
      </c>
      <c r="D41" s="194">
        <v>1800000</v>
      </c>
      <c r="E41" s="194">
        <v>280000</v>
      </c>
      <c r="F41" s="194">
        <v>0</v>
      </c>
      <c r="G41" s="194">
        <f t="shared" si="3"/>
        <v>1800000</v>
      </c>
      <c r="H41" s="29" t="s">
        <v>453</v>
      </c>
      <c r="I41" s="29" t="s">
        <v>631</v>
      </c>
      <c r="J41" s="30"/>
      <c r="K41" s="30"/>
      <c r="L41" s="30"/>
      <c r="M41" s="30"/>
      <c r="N41" s="30"/>
      <c r="O41" s="30">
        <v>280000</v>
      </c>
      <c r="P41" s="30"/>
      <c r="Q41" s="30"/>
      <c r="R41" s="30"/>
      <c r="S41" s="30"/>
      <c r="T41" s="30"/>
      <c r="U41" s="30"/>
      <c r="V41" s="30"/>
      <c r="W41" s="197">
        <f t="shared" si="4"/>
        <v>280000</v>
      </c>
    </row>
    <row r="42" spans="1:23" x14ac:dyDescent="0.3">
      <c r="A42" s="155">
        <v>41</v>
      </c>
      <c r="B42" s="29"/>
      <c r="C42" s="28" t="s">
        <v>501</v>
      </c>
      <c r="D42" s="194">
        <v>1500000</v>
      </c>
      <c r="E42" s="194">
        <v>216000</v>
      </c>
      <c r="F42" s="194">
        <v>0</v>
      </c>
      <c r="G42" s="194">
        <f t="shared" si="3"/>
        <v>1500000</v>
      </c>
      <c r="H42" s="29" t="s">
        <v>453</v>
      </c>
      <c r="I42" s="29" t="s">
        <v>631</v>
      </c>
      <c r="J42" s="30"/>
      <c r="K42" s="30"/>
      <c r="L42" s="30"/>
      <c r="M42" s="30"/>
      <c r="N42" s="30"/>
      <c r="O42" s="30">
        <v>216000</v>
      </c>
      <c r="P42" s="30"/>
      <c r="Q42" s="30"/>
      <c r="R42" s="30"/>
      <c r="S42" s="30"/>
      <c r="T42" s="30"/>
      <c r="U42" s="30"/>
      <c r="V42" s="30"/>
      <c r="W42" s="197">
        <f t="shared" si="4"/>
        <v>216000</v>
      </c>
    </row>
    <row r="43" spans="1:23" x14ac:dyDescent="0.3">
      <c r="A43" s="155">
        <v>42</v>
      </c>
      <c r="B43" s="29"/>
      <c r="C43" s="28" t="s">
        <v>502</v>
      </c>
      <c r="D43" s="194">
        <v>2000000</v>
      </c>
      <c r="E43" s="194">
        <v>308000</v>
      </c>
      <c r="F43" s="194">
        <v>0</v>
      </c>
      <c r="G43" s="194">
        <f t="shared" si="3"/>
        <v>2000000</v>
      </c>
      <c r="H43" s="29" t="s">
        <v>453</v>
      </c>
      <c r="I43" s="29" t="s">
        <v>631</v>
      </c>
      <c r="J43" s="30"/>
      <c r="K43" s="30"/>
      <c r="L43" s="30"/>
      <c r="M43" s="30"/>
      <c r="N43" s="30"/>
      <c r="O43" s="30">
        <v>308000</v>
      </c>
      <c r="P43" s="30"/>
      <c r="Q43" s="30"/>
      <c r="R43" s="30"/>
      <c r="S43" s="30"/>
      <c r="T43" s="30"/>
      <c r="U43" s="30"/>
      <c r="V43" s="30"/>
      <c r="W43" s="197">
        <f t="shared" si="4"/>
        <v>308000</v>
      </c>
    </row>
    <row r="44" spans="1:23" x14ac:dyDescent="0.3">
      <c r="A44" s="155">
        <v>43</v>
      </c>
      <c r="B44" s="29"/>
      <c r="C44" s="28" t="s">
        <v>503</v>
      </c>
      <c r="D44" s="194">
        <v>500000</v>
      </c>
      <c r="E44" s="194">
        <v>76000</v>
      </c>
      <c r="F44" s="194">
        <v>0</v>
      </c>
      <c r="G44" s="194">
        <f t="shared" si="3"/>
        <v>500000</v>
      </c>
      <c r="H44" s="29" t="s">
        <v>453</v>
      </c>
      <c r="I44" s="29" t="s">
        <v>631</v>
      </c>
      <c r="J44" s="30"/>
      <c r="K44" s="30"/>
      <c r="L44" s="30"/>
      <c r="M44" s="30"/>
      <c r="N44" s="30"/>
      <c r="O44" s="30">
        <v>76000</v>
      </c>
      <c r="P44" s="30"/>
      <c r="Q44" s="30"/>
      <c r="R44" s="30"/>
      <c r="S44" s="30"/>
      <c r="T44" s="30"/>
      <c r="U44" s="30"/>
      <c r="V44" s="30"/>
      <c r="W44" s="197">
        <f t="shared" si="4"/>
        <v>76000</v>
      </c>
    </row>
    <row r="45" spans="1:23" x14ac:dyDescent="0.3">
      <c r="A45" s="155">
        <v>44</v>
      </c>
      <c r="B45" s="29"/>
      <c r="C45" s="28" t="s">
        <v>504</v>
      </c>
      <c r="D45" s="194">
        <v>2000000</v>
      </c>
      <c r="E45" s="194">
        <v>308000</v>
      </c>
      <c r="F45" s="194">
        <v>0</v>
      </c>
      <c r="G45" s="194">
        <f t="shared" si="3"/>
        <v>2000000</v>
      </c>
      <c r="H45" s="29" t="s">
        <v>453</v>
      </c>
      <c r="I45" s="29" t="s">
        <v>631</v>
      </c>
      <c r="J45" s="30"/>
      <c r="K45" s="30"/>
      <c r="L45" s="30"/>
      <c r="M45" s="30"/>
      <c r="N45" s="30"/>
      <c r="O45" s="30">
        <v>308000</v>
      </c>
      <c r="P45" s="30"/>
      <c r="Q45" s="30"/>
      <c r="R45" s="30"/>
      <c r="S45" s="30"/>
      <c r="T45" s="30"/>
      <c r="U45" s="30"/>
      <c r="V45" s="30"/>
      <c r="W45" s="197">
        <f t="shared" si="4"/>
        <v>308000</v>
      </c>
    </row>
    <row r="46" spans="1:23" x14ac:dyDescent="0.3">
      <c r="A46" s="155">
        <v>45</v>
      </c>
      <c r="B46" s="29"/>
      <c r="C46" s="28" t="s">
        <v>505</v>
      </c>
      <c r="D46" s="194">
        <v>1500000</v>
      </c>
      <c r="E46" s="194">
        <v>232000</v>
      </c>
      <c r="F46" s="194">
        <v>0</v>
      </c>
      <c r="G46" s="194">
        <f t="shared" si="3"/>
        <v>1500000</v>
      </c>
      <c r="H46" s="29" t="s">
        <v>453</v>
      </c>
      <c r="I46" s="29" t="s">
        <v>631</v>
      </c>
      <c r="J46" s="30"/>
      <c r="K46" s="30"/>
      <c r="L46" s="30"/>
      <c r="M46" s="30"/>
      <c r="N46" s="30"/>
      <c r="O46" s="30">
        <v>232000</v>
      </c>
      <c r="P46" s="30"/>
      <c r="Q46" s="30"/>
      <c r="R46" s="30"/>
      <c r="S46" s="30"/>
      <c r="T46" s="30"/>
      <c r="U46" s="30"/>
      <c r="V46" s="30"/>
      <c r="W46" s="197">
        <f t="shared" si="4"/>
        <v>232000</v>
      </c>
    </row>
    <row r="47" spans="1:23" x14ac:dyDescent="0.3">
      <c r="A47" s="155">
        <v>46</v>
      </c>
      <c r="B47" s="29"/>
      <c r="C47" s="28" t="s">
        <v>506</v>
      </c>
      <c r="D47" s="194">
        <v>1500000</v>
      </c>
      <c r="E47" s="194">
        <v>232000</v>
      </c>
      <c r="F47" s="194">
        <v>0</v>
      </c>
      <c r="G47" s="194">
        <f t="shared" si="3"/>
        <v>1500000</v>
      </c>
      <c r="H47" s="29" t="s">
        <v>453</v>
      </c>
      <c r="I47" s="29" t="s">
        <v>631</v>
      </c>
      <c r="J47" s="30"/>
      <c r="K47" s="30"/>
      <c r="L47" s="30"/>
      <c r="M47" s="30"/>
      <c r="N47" s="30"/>
      <c r="O47" s="30">
        <v>232000</v>
      </c>
      <c r="P47" s="30"/>
      <c r="Q47" s="30"/>
      <c r="R47" s="30"/>
      <c r="S47" s="30"/>
      <c r="T47" s="30"/>
      <c r="U47" s="30"/>
      <c r="V47" s="30"/>
      <c r="W47" s="197">
        <f t="shared" si="4"/>
        <v>232000</v>
      </c>
    </row>
    <row r="48" spans="1:23" x14ac:dyDescent="0.3">
      <c r="A48" s="155">
        <v>47</v>
      </c>
      <c r="B48" s="29"/>
      <c r="C48" s="28" t="s">
        <v>507</v>
      </c>
      <c r="D48" s="194">
        <v>750000</v>
      </c>
      <c r="E48" s="194">
        <v>116000</v>
      </c>
      <c r="F48" s="194">
        <v>0</v>
      </c>
      <c r="G48" s="194">
        <f t="shared" si="3"/>
        <v>750000</v>
      </c>
      <c r="H48" s="29" t="s">
        <v>453</v>
      </c>
      <c r="I48" s="29" t="s">
        <v>631</v>
      </c>
      <c r="J48" s="30"/>
      <c r="K48" s="30"/>
      <c r="L48" s="30"/>
      <c r="M48" s="30"/>
      <c r="N48" s="30"/>
      <c r="O48" s="30">
        <v>116000</v>
      </c>
      <c r="P48" s="30"/>
      <c r="Q48" s="30"/>
      <c r="R48" s="30"/>
      <c r="S48" s="30"/>
      <c r="T48" s="30"/>
      <c r="U48" s="30"/>
      <c r="V48" s="30"/>
      <c r="W48" s="197">
        <f t="shared" si="4"/>
        <v>116000</v>
      </c>
    </row>
    <row r="49" spans="1:23" x14ac:dyDescent="0.3">
      <c r="A49" s="155">
        <v>48</v>
      </c>
      <c r="B49" s="29"/>
      <c r="C49" s="28" t="s">
        <v>508</v>
      </c>
      <c r="D49" s="194">
        <v>3000000</v>
      </c>
      <c r="E49" s="194">
        <v>464000</v>
      </c>
      <c r="F49" s="194">
        <v>0</v>
      </c>
      <c r="G49" s="194">
        <f t="shared" si="3"/>
        <v>3000000</v>
      </c>
      <c r="H49" s="29" t="s">
        <v>453</v>
      </c>
      <c r="I49" s="29" t="s">
        <v>631</v>
      </c>
      <c r="J49" s="30"/>
      <c r="K49" s="30"/>
      <c r="L49" s="30"/>
      <c r="M49" s="30"/>
      <c r="N49" s="30"/>
      <c r="O49" s="30">
        <v>464000</v>
      </c>
      <c r="P49" s="30"/>
      <c r="Q49" s="30"/>
      <c r="R49" s="30"/>
      <c r="S49" s="30"/>
      <c r="T49" s="30"/>
      <c r="U49" s="30"/>
      <c r="V49" s="30"/>
      <c r="W49" s="197">
        <f t="shared" si="4"/>
        <v>464000</v>
      </c>
    </row>
    <row r="50" spans="1:23" x14ac:dyDescent="0.3">
      <c r="A50" s="155">
        <v>49</v>
      </c>
      <c r="B50" s="29"/>
      <c r="C50" s="28" t="s">
        <v>509</v>
      </c>
      <c r="D50" s="194">
        <v>3000000</v>
      </c>
      <c r="E50" s="194">
        <v>464000</v>
      </c>
      <c r="F50" s="194">
        <v>470000</v>
      </c>
      <c r="G50" s="194"/>
      <c r="H50" s="29" t="s">
        <v>452</v>
      </c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97"/>
    </row>
    <row r="51" spans="1:23" x14ac:dyDescent="0.3">
      <c r="A51" s="155">
        <v>50</v>
      </c>
      <c r="B51" s="29"/>
      <c r="C51" s="28" t="s">
        <v>510</v>
      </c>
      <c r="D51" s="194">
        <v>2500000</v>
      </c>
      <c r="E51" s="194">
        <v>388000</v>
      </c>
      <c r="F51" s="194">
        <v>0</v>
      </c>
      <c r="G51" s="194">
        <f t="shared" ref="G51:G52" si="5">D51</f>
        <v>2500000</v>
      </c>
      <c r="H51" s="29" t="s">
        <v>453</v>
      </c>
      <c r="I51" s="29" t="s">
        <v>631</v>
      </c>
      <c r="J51" s="30"/>
      <c r="K51" s="30"/>
      <c r="L51" s="30"/>
      <c r="M51" s="30"/>
      <c r="N51" s="30"/>
      <c r="O51" s="30">
        <v>388000</v>
      </c>
      <c r="P51" s="30"/>
      <c r="Q51" s="30"/>
      <c r="R51" s="30"/>
      <c r="S51" s="30"/>
      <c r="T51" s="30"/>
      <c r="U51" s="30"/>
      <c r="V51" s="30"/>
      <c r="W51" s="197">
        <f>SUM(J51:V51)</f>
        <v>388000</v>
      </c>
    </row>
    <row r="52" spans="1:23" x14ac:dyDescent="0.3">
      <c r="A52" s="155">
        <v>51</v>
      </c>
      <c r="B52" s="29"/>
      <c r="C52" s="28" t="s">
        <v>511</v>
      </c>
      <c r="D52" s="194">
        <v>5000000</v>
      </c>
      <c r="E52" s="194">
        <v>772000</v>
      </c>
      <c r="F52" s="194">
        <v>0</v>
      </c>
      <c r="G52" s="194">
        <f t="shared" si="5"/>
        <v>5000000</v>
      </c>
      <c r="H52" s="29" t="s">
        <v>453</v>
      </c>
      <c r="I52" s="29" t="s">
        <v>631</v>
      </c>
      <c r="J52" s="30"/>
      <c r="K52" s="30"/>
      <c r="L52" s="30"/>
      <c r="M52" s="30"/>
      <c r="N52" s="30"/>
      <c r="O52" s="30">
        <v>772000</v>
      </c>
      <c r="P52" s="30"/>
      <c r="Q52" s="30"/>
      <c r="R52" s="30"/>
      <c r="S52" s="30"/>
      <c r="T52" s="30"/>
      <c r="U52" s="30"/>
      <c r="V52" s="30"/>
      <c r="W52" s="197">
        <f>SUM(J52:V52)</f>
        <v>772000</v>
      </c>
    </row>
    <row r="53" spans="1:23" x14ac:dyDescent="0.3">
      <c r="A53" s="155">
        <v>52</v>
      </c>
      <c r="B53" s="29"/>
      <c r="C53" s="28" t="s">
        <v>512</v>
      </c>
      <c r="D53" s="194">
        <v>3000000</v>
      </c>
      <c r="E53" s="194">
        <v>464000</v>
      </c>
      <c r="F53" s="194">
        <v>475000</v>
      </c>
      <c r="G53" s="194"/>
      <c r="H53" s="29" t="s">
        <v>452</v>
      </c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97"/>
    </row>
    <row r="54" spans="1:23" x14ac:dyDescent="0.3">
      <c r="A54" s="155">
        <v>53</v>
      </c>
      <c r="B54" s="29"/>
      <c r="C54" s="28" t="s">
        <v>513</v>
      </c>
      <c r="D54" s="194">
        <v>25000000</v>
      </c>
      <c r="E54" s="194">
        <v>3860000</v>
      </c>
      <c r="F54" s="194">
        <v>0</v>
      </c>
      <c r="G54" s="194">
        <f t="shared" ref="G54:G55" si="6">D54</f>
        <v>25000000</v>
      </c>
      <c r="H54" s="29" t="s">
        <v>453</v>
      </c>
      <c r="I54" s="29" t="s">
        <v>631</v>
      </c>
      <c r="J54" s="30"/>
      <c r="K54" s="30"/>
      <c r="L54" s="30"/>
      <c r="M54" s="30"/>
      <c r="N54" s="30"/>
      <c r="O54" s="194">
        <v>3860000</v>
      </c>
      <c r="P54" s="30"/>
      <c r="Q54" s="30"/>
      <c r="R54" s="30"/>
      <c r="S54" s="30"/>
      <c r="T54" s="30"/>
      <c r="U54" s="30"/>
      <c r="V54" s="30"/>
      <c r="W54" s="197">
        <f>SUM(J54:V54)</f>
        <v>3860000</v>
      </c>
    </row>
    <row r="55" spans="1:23" x14ac:dyDescent="0.3">
      <c r="A55" s="155">
        <v>54</v>
      </c>
      <c r="B55" s="29"/>
      <c r="C55" s="28" t="s">
        <v>514</v>
      </c>
      <c r="D55" s="194">
        <v>8000000</v>
      </c>
      <c r="E55" s="194">
        <v>1236000</v>
      </c>
      <c r="F55" s="194">
        <v>0</v>
      </c>
      <c r="G55" s="194">
        <f t="shared" si="6"/>
        <v>8000000</v>
      </c>
      <c r="H55" s="29" t="s">
        <v>453</v>
      </c>
      <c r="I55" s="29" t="s">
        <v>631</v>
      </c>
      <c r="J55" s="30"/>
      <c r="K55" s="30"/>
      <c r="L55" s="30"/>
      <c r="M55" s="30"/>
      <c r="N55" s="30"/>
      <c r="O55" s="30">
        <v>1236000</v>
      </c>
      <c r="P55" s="30"/>
      <c r="Q55" s="30"/>
      <c r="R55" s="30"/>
      <c r="S55" s="30"/>
      <c r="T55" s="30"/>
      <c r="U55" s="30"/>
      <c r="V55" s="30"/>
      <c r="W55" s="197">
        <f>SUM(J55:V55)</f>
        <v>1236000</v>
      </c>
    </row>
    <row r="56" spans="1:23" x14ac:dyDescent="0.3">
      <c r="A56" s="155">
        <v>55</v>
      </c>
      <c r="B56" s="195"/>
      <c r="C56" s="55" t="s">
        <v>515</v>
      </c>
      <c r="D56" s="194">
        <v>100000000</v>
      </c>
      <c r="E56" s="194">
        <v>15448000</v>
      </c>
      <c r="F56" s="194">
        <v>16000000</v>
      </c>
      <c r="G56" s="194"/>
      <c r="H56" s="54" t="s">
        <v>452</v>
      </c>
      <c r="I56" s="195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97"/>
    </row>
    <row r="57" spans="1:23" x14ac:dyDescent="0.3">
      <c r="A57" s="155">
        <v>56</v>
      </c>
      <c r="B57" s="28"/>
      <c r="C57" s="28" t="s">
        <v>516</v>
      </c>
      <c r="D57" s="194">
        <v>35000000</v>
      </c>
      <c r="E57" s="194">
        <v>3600000</v>
      </c>
      <c r="F57" s="194">
        <v>0</v>
      </c>
      <c r="G57" s="194">
        <f t="shared" ref="G57:G73" si="7">D57</f>
        <v>35000000</v>
      </c>
      <c r="H57" s="29" t="s">
        <v>453</v>
      </c>
      <c r="I57" s="29" t="s">
        <v>631</v>
      </c>
      <c r="J57" s="30"/>
      <c r="K57" s="30"/>
      <c r="L57" s="30"/>
      <c r="M57" s="30"/>
      <c r="N57" s="30"/>
      <c r="O57" s="30">
        <v>3600000</v>
      </c>
      <c r="P57" s="30"/>
      <c r="Q57" s="30"/>
      <c r="R57" s="30"/>
      <c r="S57" s="30"/>
      <c r="T57" s="30"/>
      <c r="U57" s="30"/>
      <c r="V57" s="30"/>
      <c r="W57" s="197">
        <f t="shared" ref="W57:W73" si="8">SUM(J57:V57)</f>
        <v>3600000</v>
      </c>
    </row>
    <row r="58" spans="1:23" x14ac:dyDescent="0.3">
      <c r="A58" s="155">
        <v>57</v>
      </c>
      <c r="B58" s="28"/>
      <c r="C58" s="28" t="s">
        <v>517</v>
      </c>
      <c r="D58" s="194">
        <v>10000000</v>
      </c>
      <c r="E58" s="194">
        <v>1544000</v>
      </c>
      <c r="F58" s="194">
        <v>0</v>
      </c>
      <c r="G58" s="194">
        <f t="shared" si="7"/>
        <v>10000000</v>
      </c>
      <c r="H58" s="29" t="s">
        <v>453</v>
      </c>
      <c r="I58" s="29" t="s">
        <v>631</v>
      </c>
      <c r="J58" s="30"/>
      <c r="K58" s="30"/>
      <c r="L58" s="30"/>
      <c r="M58" s="30"/>
      <c r="N58" s="30"/>
      <c r="O58" s="30">
        <v>1544000</v>
      </c>
      <c r="P58" s="30"/>
      <c r="Q58" s="30"/>
      <c r="R58" s="30"/>
      <c r="S58" s="30"/>
      <c r="T58" s="30"/>
      <c r="U58" s="30"/>
      <c r="V58" s="30"/>
      <c r="W58" s="197">
        <f t="shared" si="8"/>
        <v>1544000</v>
      </c>
    </row>
    <row r="59" spans="1:23" x14ac:dyDescent="0.3">
      <c r="A59" s="155">
        <v>58</v>
      </c>
      <c r="B59" s="28"/>
      <c r="C59" s="28" t="s">
        <v>518</v>
      </c>
      <c r="D59" s="194">
        <v>9000000</v>
      </c>
      <c r="E59" s="194">
        <v>1392000</v>
      </c>
      <c r="F59" s="194">
        <v>0</v>
      </c>
      <c r="G59" s="194">
        <f t="shared" si="7"/>
        <v>9000000</v>
      </c>
      <c r="H59" s="29" t="s">
        <v>453</v>
      </c>
      <c r="I59" s="29" t="s">
        <v>631</v>
      </c>
      <c r="J59" s="30"/>
      <c r="K59" s="30"/>
      <c r="L59" s="30"/>
      <c r="M59" s="30"/>
      <c r="N59" s="30"/>
      <c r="O59" s="30">
        <v>1392000</v>
      </c>
      <c r="P59" s="30"/>
      <c r="Q59" s="30"/>
      <c r="R59" s="30"/>
      <c r="S59" s="30"/>
      <c r="T59" s="30"/>
      <c r="U59" s="30"/>
      <c r="V59" s="30"/>
      <c r="W59" s="197">
        <f t="shared" si="8"/>
        <v>1392000</v>
      </c>
    </row>
    <row r="60" spans="1:23" x14ac:dyDescent="0.3">
      <c r="A60" s="155">
        <v>59</v>
      </c>
      <c r="B60" s="28"/>
      <c r="C60" s="28" t="s">
        <v>519</v>
      </c>
      <c r="D60" s="194">
        <v>9000000</v>
      </c>
      <c r="E60" s="194">
        <v>1392000</v>
      </c>
      <c r="F60" s="194">
        <v>0</v>
      </c>
      <c r="G60" s="194">
        <f t="shared" si="7"/>
        <v>9000000</v>
      </c>
      <c r="H60" s="29" t="s">
        <v>453</v>
      </c>
      <c r="I60" s="29" t="s">
        <v>631</v>
      </c>
      <c r="J60" s="30"/>
      <c r="K60" s="30"/>
      <c r="L60" s="30"/>
      <c r="M60" s="30"/>
      <c r="N60" s="30"/>
      <c r="O60" s="30">
        <v>1392000</v>
      </c>
      <c r="P60" s="30"/>
      <c r="Q60" s="30"/>
      <c r="R60" s="30"/>
      <c r="S60" s="30"/>
      <c r="T60" s="30"/>
      <c r="U60" s="30"/>
      <c r="V60" s="30"/>
      <c r="W60" s="197">
        <f t="shared" si="8"/>
        <v>1392000</v>
      </c>
    </row>
    <row r="61" spans="1:23" x14ac:dyDescent="0.3">
      <c r="A61" s="155">
        <v>60</v>
      </c>
      <c r="B61" s="28"/>
      <c r="C61" s="28" t="s">
        <v>520</v>
      </c>
      <c r="D61" s="194">
        <v>12000000</v>
      </c>
      <c r="E61" s="194">
        <v>1852000</v>
      </c>
      <c r="F61" s="194">
        <v>0</v>
      </c>
      <c r="G61" s="194">
        <f t="shared" si="7"/>
        <v>12000000</v>
      </c>
      <c r="H61" s="29" t="s">
        <v>453</v>
      </c>
      <c r="I61" s="29" t="s">
        <v>631</v>
      </c>
      <c r="J61" s="30"/>
      <c r="K61" s="30"/>
      <c r="L61" s="30"/>
      <c r="M61" s="30"/>
      <c r="N61" s="30"/>
      <c r="O61" s="30">
        <v>1852000</v>
      </c>
      <c r="P61" s="30"/>
      <c r="Q61" s="30"/>
      <c r="R61" s="30"/>
      <c r="S61" s="30"/>
      <c r="T61" s="30"/>
      <c r="U61" s="30"/>
      <c r="V61" s="30"/>
      <c r="W61" s="197">
        <f t="shared" si="8"/>
        <v>1852000</v>
      </c>
    </row>
    <row r="62" spans="1:23" x14ac:dyDescent="0.3">
      <c r="A62" s="155">
        <v>61</v>
      </c>
      <c r="B62" s="28"/>
      <c r="C62" s="28" t="s">
        <v>521</v>
      </c>
      <c r="D62" s="194">
        <v>10000000</v>
      </c>
      <c r="E62" s="194">
        <v>1544000</v>
      </c>
      <c r="F62" s="194">
        <v>0</v>
      </c>
      <c r="G62" s="194">
        <f t="shared" si="7"/>
        <v>10000000</v>
      </c>
      <c r="H62" s="29" t="s">
        <v>453</v>
      </c>
      <c r="I62" s="29" t="s">
        <v>631</v>
      </c>
      <c r="J62" s="30"/>
      <c r="K62" s="30"/>
      <c r="L62" s="30"/>
      <c r="M62" s="30"/>
      <c r="N62" s="30"/>
      <c r="O62" s="30">
        <v>1544000</v>
      </c>
      <c r="P62" s="30"/>
      <c r="Q62" s="30"/>
      <c r="R62" s="30"/>
      <c r="S62" s="30"/>
      <c r="T62" s="30"/>
      <c r="U62" s="30"/>
      <c r="V62" s="30"/>
      <c r="W62" s="197">
        <f t="shared" si="8"/>
        <v>1544000</v>
      </c>
    </row>
    <row r="63" spans="1:23" x14ac:dyDescent="0.3">
      <c r="A63" s="155">
        <v>62</v>
      </c>
      <c r="B63" s="28"/>
      <c r="C63" s="28" t="s">
        <v>522</v>
      </c>
      <c r="D63" s="194">
        <v>7000000</v>
      </c>
      <c r="E63" s="194">
        <v>1080000</v>
      </c>
      <c r="F63" s="194">
        <v>0</v>
      </c>
      <c r="G63" s="194">
        <f t="shared" si="7"/>
        <v>7000000</v>
      </c>
      <c r="H63" s="29" t="s">
        <v>453</v>
      </c>
      <c r="I63" s="29" t="s">
        <v>631</v>
      </c>
      <c r="J63" s="30"/>
      <c r="K63" s="30"/>
      <c r="L63" s="30"/>
      <c r="M63" s="30"/>
      <c r="N63" s="30"/>
      <c r="O63" s="30">
        <v>1080000</v>
      </c>
      <c r="P63" s="30"/>
      <c r="Q63" s="30"/>
      <c r="R63" s="30"/>
      <c r="S63" s="30"/>
      <c r="T63" s="30"/>
      <c r="U63" s="30"/>
      <c r="V63" s="30"/>
      <c r="W63" s="197">
        <f t="shared" si="8"/>
        <v>1080000</v>
      </c>
    </row>
    <row r="64" spans="1:23" x14ac:dyDescent="0.3">
      <c r="A64" s="155">
        <v>63</v>
      </c>
      <c r="B64" s="28"/>
      <c r="C64" s="28" t="s">
        <v>523</v>
      </c>
      <c r="D64" s="194">
        <v>3500000</v>
      </c>
      <c r="E64" s="194">
        <v>540000</v>
      </c>
      <c r="F64" s="194">
        <v>0</v>
      </c>
      <c r="G64" s="194">
        <f t="shared" si="7"/>
        <v>3500000</v>
      </c>
      <c r="H64" s="29" t="s">
        <v>453</v>
      </c>
      <c r="I64" s="29" t="s">
        <v>631</v>
      </c>
      <c r="J64" s="30"/>
      <c r="K64" s="30"/>
      <c r="L64" s="30"/>
      <c r="M64" s="30"/>
      <c r="N64" s="30"/>
      <c r="O64" s="30">
        <v>540000</v>
      </c>
      <c r="P64" s="30"/>
      <c r="Q64" s="30"/>
      <c r="R64" s="30"/>
      <c r="S64" s="30"/>
      <c r="T64" s="30"/>
      <c r="U64" s="30"/>
      <c r="V64" s="30"/>
      <c r="W64" s="197">
        <f t="shared" si="8"/>
        <v>540000</v>
      </c>
    </row>
    <row r="65" spans="1:23" x14ac:dyDescent="0.3">
      <c r="A65" s="155">
        <v>64</v>
      </c>
      <c r="B65" s="28"/>
      <c r="C65" s="28" t="s">
        <v>524</v>
      </c>
      <c r="D65" s="194">
        <v>1500000</v>
      </c>
      <c r="E65" s="194">
        <v>232000</v>
      </c>
      <c r="F65" s="194">
        <v>0</v>
      </c>
      <c r="G65" s="194">
        <f t="shared" si="7"/>
        <v>1500000</v>
      </c>
      <c r="H65" s="29" t="s">
        <v>453</v>
      </c>
      <c r="I65" s="29" t="s">
        <v>631</v>
      </c>
      <c r="J65" s="30"/>
      <c r="K65" s="30"/>
      <c r="L65" s="30"/>
      <c r="M65" s="30"/>
      <c r="N65" s="30"/>
      <c r="O65" s="30">
        <v>232000</v>
      </c>
      <c r="P65" s="30"/>
      <c r="Q65" s="30"/>
      <c r="R65" s="30"/>
      <c r="S65" s="30"/>
      <c r="T65" s="30"/>
      <c r="U65" s="30"/>
      <c r="V65" s="30"/>
      <c r="W65" s="197">
        <f t="shared" si="8"/>
        <v>232000</v>
      </c>
    </row>
    <row r="66" spans="1:23" x14ac:dyDescent="0.3">
      <c r="A66" s="155">
        <v>65</v>
      </c>
      <c r="B66" s="28"/>
      <c r="C66" s="28" t="s">
        <v>525</v>
      </c>
      <c r="D66" s="194">
        <v>7500000</v>
      </c>
      <c r="E66" s="194">
        <v>1160000</v>
      </c>
      <c r="F66" s="194">
        <v>0</v>
      </c>
      <c r="G66" s="194">
        <f t="shared" si="7"/>
        <v>7500000</v>
      </c>
      <c r="H66" s="29" t="s">
        <v>453</v>
      </c>
      <c r="I66" s="29" t="s">
        <v>631</v>
      </c>
      <c r="J66" s="30"/>
      <c r="K66" s="30"/>
      <c r="L66" s="30"/>
      <c r="M66" s="30"/>
      <c r="N66" s="30"/>
      <c r="O66" s="30">
        <v>1160000</v>
      </c>
      <c r="P66" s="30"/>
      <c r="Q66" s="30"/>
      <c r="R66" s="30"/>
      <c r="S66" s="30"/>
      <c r="T66" s="30"/>
      <c r="U66" s="30"/>
      <c r="V66" s="30"/>
      <c r="W66" s="197">
        <f t="shared" si="8"/>
        <v>1160000</v>
      </c>
    </row>
    <row r="67" spans="1:23" x14ac:dyDescent="0.3">
      <c r="A67" s="155">
        <v>66</v>
      </c>
      <c r="B67" s="28"/>
      <c r="C67" s="28" t="s">
        <v>526</v>
      </c>
      <c r="D67" s="194">
        <v>50000000</v>
      </c>
      <c r="E67" s="194">
        <v>1125000</v>
      </c>
      <c r="F67" s="194">
        <v>0</v>
      </c>
      <c r="G67" s="194">
        <f t="shared" si="7"/>
        <v>50000000</v>
      </c>
      <c r="H67" s="29" t="s">
        <v>453</v>
      </c>
      <c r="I67" s="29" t="s">
        <v>631</v>
      </c>
      <c r="J67" s="30"/>
      <c r="K67" s="30"/>
      <c r="L67" s="30"/>
      <c r="M67" s="30"/>
      <c r="N67" s="30"/>
      <c r="O67" s="30">
        <v>1125000</v>
      </c>
      <c r="P67" s="30"/>
      <c r="Q67" s="30"/>
      <c r="R67" s="30"/>
      <c r="S67" s="30"/>
      <c r="T67" s="30"/>
      <c r="U67" s="30"/>
      <c r="V67" s="30"/>
      <c r="W67" s="197">
        <f t="shared" si="8"/>
        <v>1125000</v>
      </c>
    </row>
    <row r="68" spans="1:23" x14ac:dyDescent="0.3">
      <c r="A68" s="155">
        <v>67</v>
      </c>
      <c r="B68" s="28"/>
      <c r="C68" s="28" t="s">
        <v>527</v>
      </c>
      <c r="D68" s="194">
        <v>40000000</v>
      </c>
      <c r="E68" s="194">
        <v>1350000</v>
      </c>
      <c r="F68" s="194">
        <v>0</v>
      </c>
      <c r="G68" s="194">
        <f t="shared" si="7"/>
        <v>40000000</v>
      </c>
      <c r="H68" s="29" t="s">
        <v>453</v>
      </c>
      <c r="I68" s="29" t="s">
        <v>631</v>
      </c>
      <c r="J68" s="30"/>
      <c r="K68" s="30"/>
      <c r="L68" s="30"/>
      <c r="M68" s="30"/>
      <c r="N68" s="30"/>
      <c r="O68" s="30">
        <v>1350000</v>
      </c>
      <c r="P68" s="30"/>
      <c r="Q68" s="30"/>
      <c r="R68" s="30"/>
      <c r="S68" s="30"/>
      <c r="T68" s="30"/>
      <c r="U68" s="30"/>
      <c r="V68" s="30"/>
      <c r="W68" s="197">
        <f t="shared" si="8"/>
        <v>1350000</v>
      </c>
    </row>
    <row r="69" spans="1:23" x14ac:dyDescent="0.3">
      <c r="A69" s="155">
        <v>68</v>
      </c>
      <c r="B69" s="28"/>
      <c r="C69" s="28" t="s">
        <v>528</v>
      </c>
      <c r="D69" s="194">
        <v>40000000</v>
      </c>
      <c r="E69" s="194">
        <v>3150000</v>
      </c>
      <c r="F69" s="194">
        <v>0</v>
      </c>
      <c r="G69" s="194">
        <f t="shared" si="7"/>
        <v>40000000</v>
      </c>
      <c r="H69" s="29" t="s">
        <v>453</v>
      </c>
      <c r="I69" s="29" t="s">
        <v>631</v>
      </c>
      <c r="J69" s="30"/>
      <c r="K69" s="30"/>
      <c r="L69" s="30"/>
      <c r="M69" s="30"/>
      <c r="N69" s="30"/>
      <c r="O69" s="30">
        <v>3150000</v>
      </c>
      <c r="P69" s="30"/>
      <c r="Q69" s="30"/>
      <c r="R69" s="30"/>
      <c r="S69" s="30"/>
      <c r="T69" s="30"/>
      <c r="U69" s="30"/>
      <c r="V69" s="30"/>
      <c r="W69" s="197">
        <f t="shared" si="8"/>
        <v>3150000</v>
      </c>
    </row>
    <row r="70" spans="1:23" x14ac:dyDescent="0.3">
      <c r="A70" s="155">
        <v>69</v>
      </c>
      <c r="B70" s="28"/>
      <c r="C70" s="28" t="s">
        <v>529</v>
      </c>
      <c r="D70" s="194">
        <v>5000000</v>
      </c>
      <c r="E70" s="194">
        <v>450000</v>
      </c>
      <c r="F70" s="194">
        <v>0</v>
      </c>
      <c r="G70" s="194">
        <f t="shared" si="7"/>
        <v>5000000</v>
      </c>
      <c r="H70" s="29" t="s">
        <v>453</v>
      </c>
      <c r="I70" s="29" t="s">
        <v>631</v>
      </c>
      <c r="J70" s="30"/>
      <c r="K70" s="30"/>
      <c r="L70" s="30"/>
      <c r="M70" s="30"/>
      <c r="N70" s="30"/>
      <c r="O70" s="30">
        <v>450000</v>
      </c>
      <c r="P70" s="30"/>
      <c r="Q70" s="30"/>
      <c r="R70" s="30"/>
      <c r="S70" s="30"/>
      <c r="T70" s="30"/>
      <c r="U70" s="30"/>
      <c r="V70" s="30"/>
      <c r="W70" s="197">
        <f t="shared" si="8"/>
        <v>450000</v>
      </c>
    </row>
    <row r="71" spans="1:23" x14ac:dyDescent="0.3">
      <c r="A71" s="155">
        <v>70</v>
      </c>
      <c r="B71" s="28"/>
      <c r="C71" s="28" t="s">
        <v>530</v>
      </c>
      <c r="D71" s="194">
        <v>7500000</v>
      </c>
      <c r="E71" s="194">
        <v>675000</v>
      </c>
      <c r="F71" s="194">
        <v>0</v>
      </c>
      <c r="G71" s="194">
        <f t="shared" si="7"/>
        <v>7500000</v>
      </c>
      <c r="H71" s="29" t="s">
        <v>453</v>
      </c>
      <c r="I71" s="29" t="s">
        <v>631</v>
      </c>
      <c r="J71" s="30"/>
      <c r="K71" s="30"/>
      <c r="L71" s="30"/>
      <c r="M71" s="30"/>
      <c r="N71" s="30"/>
      <c r="O71" s="30">
        <v>675000</v>
      </c>
      <c r="P71" s="30"/>
      <c r="Q71" s="30"/>
      <c r="R71" s="30"/>
      <c r="S71" s="30"/>
      <c r="T71" s="30"/>
      <c r="U71" s="30"/>
      <c r="V71" s="30"/>
      <c r="W71" s="197">
        <f t="shared" si="8"/>
        <v>675000</v>
      </c>
    </row>
    <row r="72" spans="1:23" x14ac:dyDescent="0.3">
      <c r="A72" s="155">
        <v>71</v>
      </c>
      <c r="B72" s="28"/>
      <c r="C72" s="28" t="s">
        <v>531</v>
      </c>
      <c r="D72" s="194">
        <v>10000000</v>
      </c>
      <c r="E72" s="194">
        <v>1125000</v>
      </c>
      <c r="F72" s="194">
        <v>0</v>
      </c>
      <c r="G72" s="194">
        <f t="shared" si="7"/>
        <v>10000000</v>
      </c>
      <c r="H72" s="29" t="s">
        <v>453</v>
      </c>
      <c r="I72" s="29" t="s">
        <v>631</v>
      </c>
      <c r="J72" s="30"/>
      <c r="K72" s="30"/>
      <c r="L72" s="30"/>
      <c r="M72" s="30"/>
      <c r="N72" s="30"/>
      <c r="O72" s="30">
        <v>1125000</v>
      </c>
      <c r="P72" s="30"/>
      <c r="Q72" s="30"/>
      <c r="R72" s="30"/>
      <c r="S72" s="30"/>
      <c r="T72" s="30"/>
      <c r="U72" s="30"/>
      <c r="V72" s="30"/>
      <c r="W72" s="197">
        <f t="shared" si="8"/>
        <v>1125000</v>
      </c>
    </row>
    <row r="73" spans="1:23" x14ac:dyDescent="0.3">
      <c r="A73" s="155">
        <v>72</v>
      </c>
      <c r="B73" s="28"/>
      <c r="C73" s="28" t="s">
        <v>532</v>
      </c>
      <c r="D73" s="194">
        <v>12500000</v>
      </c>
      <c r="E73" s="194">
        <v>900000</v>
      </c>
      <c r="F73" s="194">
        <v>0</v>
      </c>
      <c r="G73" s="194">
        <f t="shared" si="7"/>
        <v>12500000</v>
      </c>
      <c r="H73" s="29" t="s">
        <v>453</v>
      </c>
      <c r="I73" s="29" t="s">
        <v>631</v>
      </c>
      <c r="J73" s="30"/>
      <c r="K73" s="30"/>
      <c r="L73" s="30"/>
      <c r="M73" s="30"/>
      <c r="N73" s="30"/>
      <c r="O73" s="30">
        <v>900000</v>
      </c>
      <c r="P73" s="30"/>
      <c r="Q73" s="30"/>
      <c r="R73" s="30"/>
      <c r="S73" s="30"/>
      <c r="T73" s="30"/>
      <c r="U73" s="30"/>
      <c r="V73" s="30"/>
      <c r="W73" s="197">
        <f t="shared" si="8"/>
        <v>900000</v>
      </c>
    </row>
    <row r="74" spans="1:23" x14ac:dyDescent="0.3">
      <c r="A74" s="155">
        <v>73</v>
      </c>
      <c r="B74" s="28"/>
      <c r="C74" s="28" t="s">
        <v>533</v>
      </c>
      <c r="D74" s="194">
        <v>10000000</v>
      </c>
      <c r="E74" s="194">
        <v>1544000</v>
      </c>
      <c r="F74" s="194">
        <v>1550000</v>
      </c>
      <c r="G74" s="194"/>
      <c r="H74" s="29" t="s">
        <v>452</v>
      </c>
      <c r="I74" s="28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97"/>
    </row>
    <row r="75" spans="1:23" x14ac:dyDescent="0.3">
      <c r="A75" s="155">
        <v>74</v>
      </c>
      <c r="B75" s="28"/>
      <c r="C75" s="28" t="s">
        <v>534</v>
      </c>
      <c r="D75" s="194">
        <v>9000000</v>
      </c>
      <c r="E75" s="194">
        <v>928000</v>
      </c>
      <c r="F75" s="194">
        <v>0</v>
      </c>
      <c r="G75" s="194">
        <f t="shared" ref="G75:G76" si="9">D75</f>
        <v>9000000</v>
      </c>
      <c r="H75" s="29" t="s">
        <v>453</v>
      </c>
      <c r="I75" s="29" t="s">
        <v>631</v>
      </c>
      <c r="J75" s="30"/>
      <c r="K75" s="30"/>
      <c r="L75" s="30"/>
      <c r="M75" s="30"/>
      <c r="N75" s="30"/>
      <c r="O75" s="30">
        <v>928000</v>
      </c>
      <c r="P75" s="30"/>
      <c r="Q75" s="30"/>
      <c r="R75" s="30"/>
      <c r="S75" s="30"/>
      <c r="T75" s="30"/>
      <c r="U75" s="30"/>
      <c r="V75" s="30"/>
      <c r="W75" s="197">
        <f>SUM(J75:V75)</f>
        <v>928000</v>
      </c>
    </row>
    <row r="76" spans="1:23" x14ac:dyDescent="0.3">
      <c r="A76" s="155">
        <v>75</v>
      </c>
      <c r="B76" s="28"/>
      <c r="C76" s="28" t="s">
        <v>535</v>
      </c>
      <c r="D76" s="194">
        <v>12000000</v>
      </c>
      <c r="E76" s="194">
        <v>1852000</v>
      </c>
      <c r="F76" s="194">
        <v>0</v>
      </c>
      <c r="G76" s="194">
        <f t="shared" si="9"/>
        <v>12000000</v>
      </c>
      <c r="H76" s="29" t="s">
        <v>453</v>
      </c>
      <c r="I76" s="29" t="s">
        <v>631</v>
      </c>
      <c r="J76" s="30"/>
      <c r="K76" s="30"/>
      <c r="L76" s="30"/>
      <c r="M76" s="30"/>
      <c r="N76" s="30"/>
      <c r="O76" s="30">
        <v>1852000</v>
      </c>
      <c r="P76" s="30"/>
      <c r="Q76" s="30"/>
      <c r="R76" s="30"/>
      <c r="S76" s="30"/>
      <c r="T76" s="30"/>
      <c r="U76" s="30"/>
      <c r="V76" s="30"/>
      <c r="W76" s="197">
        <f>SUM(J76:V76)</f>
        <v>1852000</v>
      </c>
    </row>
    <row r="77" spans="1:23" x14ac:dyDescent="0.3">
      <c r="A77" s="155">
        <v>76</v>
      </c>
      <c r="B77" s="28"/>
      <c r="C77" s="28" t="s">
        <v>536</v>
      </c>
      <c r="D77" s="194">
        <v>7500000</v>
      </c>
      <c r="E77" s="194">
        <v>1160000</v>
      </c>
      <c r="F77" s="194">
        <v>1175000</v>
      </c>
      <c r="G77" s="194"/>
      <c r="H77" s="29" t="s">
        <v>452</v>
      </c>
      <c r="I77" s="28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97"/>
    </row>
    <row r="78" spans="1:23" x14ac:dyDescent="0.3">
      <c r="A78" s="155">
        <v>77</v>
      </c>
      <c r="B78" s="28"/>
      <c r="C78" s="28" t="s">
        <v>537</v>
      </c>
      <c r="D78" s="194">
        <v>2500000</v>
      </c>
      <c r="E78" s="194">
        <v>388000</v>
      </c>
      <c r="F78" s="194">
        <v>0</v>
      </c>
      <c r="G78" s="194">
        <f t="shared" ref="G78:G82" si="10">D78</f>
        <v>2500000</v>
      </c>
      <c r="H78" s="29" t="s">
        <v>453</v>
      </c>
      <c r="I78" s="29" t="s">
        <v>631</v>
      </c>
      <c r="J78" s="30"/>
      <c r="K78" s="30"/>
      <c r="L78" s="30"/>
      <c r="M78" s="30"/>
      <c r="N78" s="30"/>
      <c r="O78" s="30">
        <v>388000</v>
      </c>
      <c r="P78" s="30"/>
      <c r="Q78" s="30"/>
      <c r="R78" s="30"/>
      <c r="S78" s="30"/>
      <c r="T78" s="30"/>
      <c r="U78" s="30"/>
      <c r="V78" s="30"/>
      <c r="W78" s="197">
        <f>SUM(J78:V78)</f>
        <v>388000</v>
      </c>
    </row>
    <row r="79" spans="1:23" x14ac:dyDescent="0.3">
      <c r="A79" s="155">
        <v>78</v>
      </c>
      <c r="B79" s="28"/>
      <c r="C79" s="28" t="s">
        <v>538</v>
      </c>
      <c r="D79" s="194">
        <v>5000000</v>
      </c>
      <c r="E79" s="194">
        <v>450000</v>
      </c>
      <c r="F79" s="194">
        <v>0</v>
      </c>
      <c r="G79" s="194">
        <f t="shared" si="10"/>
        <v>5000000</v>
      </c>
      <c r="H79" s="29" t="s">
        <v>453</v>
      </c>
      <c r="I79" s="29" t="s">
        <v>631</v>
      </c>
      <c r="J79" s="30"/>
      <c r="K79" s="30"/>
      <c r="L79" s="30"/>
      <c r="M79" s="30"/>
      <c r="N79" s="30"/>
      <c r="O79" s="30">
        <v>450000</v>
      </c>
      <c r="P79" s="30"/>
      <c r="Q79" s="30"/>
      <c r="R79" s="30"/>
      <c r="S79" s="30"/>
      <c r="T79" s="30"/>
      <c r="U79" s="30"/>
      <c r="V79" s="30"/>
      <c r="W79" s="197">
        <f>SUM(J79:V79)</f>
        <v>450000</v>
      </c>
    </row>
    <row r="80" spans="1:23" x14ac:dyDescent="0.3">
      <c r="A80" s="155">
        <v>79</v>
      </c>
      <c r="B80" s="28"/>
      <c r="C80" s="28" t="s">
        <v>539</v>
      </c>
      <c r="D80" s="194">
        <v>18000000</v>
      </c>
      <c r="E80" s="194">
        <v>2250000</v>
      </c>
      <c r="F80" s="194">
        <v>0</v>
      </c>
      <c r="G80" s="194">
        <f t="shared" si="10"/>
        <v>18000000</v>
      </c>
      <c r="H80" s="29" t="s">
        <v>453</v>
      </c>
      <c r="I80" s="29" t="s">
        <v>631</v>
      </c>
      <c r="J80" s="30"/>
      <c r="K80" s="30"/>
      <c r="L80" s="30"/>
      <c r="M80" s="30"/>
      <c r="N80" s="30"/>
      <c r="O80" s="30">
        <v>2250000</v>
      </c>
      <c r="P80" s="30"/>
      <c r="Q80" s="30"/>
      <c r="R80" s="30"/>
      <c r="S80" s="30"/>
      <c r="T80" s="30"/>
      <c r="U80" s="30"/>
      <c r="V80" s="30"/>
      <c r="W80" s="197">
        <f>SUM(J80:V80)</f>
        <v>2250000</v>
      </c>
    </row>
    <row r="81" spans="1:23" x14ac:dyDescent="0.3">
      <c r="A81" s="155">
        <v>80</v>
      </c>
      <c r="B81" s="28"/>
      <c r="C81" s="28" t="s">
        <v>540</v>
      </c>
      <c r="D81" s="194">
        <v>8500000</v>
      </c>
      <c r="E81" s="194">
        <v>1312000</v>
      </c>
      <c r="F81" s="194">
        <v>0</v>
      </c>
      <c r="G81" s="194">
        <f t="shared" si="10"/>
        <v>8500000</v>
      </c>
      <c r="H81" s="29" t="s">
        <v>453</v>
      </c>
      <c r="I81" s="29" t="s">
        <v>631</v>
      </c>
      <c r="J81" s="30"/>
      <c r="K81" s="30"/>
      <c r="L81" s="30"/>
      <c r="M81" s="30"/>
      <c r="N81" s="30"/>
      <c r="O81" s="30">
        <v>1312000</v>
      </c>
      <c r="P81" s="30"/>
      <c r="Q81" s="30"/>
      <c r="R81" s="30"/>
      <c r="S81" s="30"/>
      <c r="T81" s="30"/>
      <c r="U81" s="30"/>
      <c r="V81" s="30"/>
      <c r="W81" s="197">
        <f>SUM(J81:V81)</f>
        <v>1312000</v>
      </c>
    </row>
    <row r="82" spans="1:23" x14ac:dyDescent="0.3">
      <c r="A82" s="155">
        <v>81</v>
      </c>
      <c r="B82" s="28"/>
      <c r="C82" s="28" t="s">
        <v>541</v>
      </c>
      <c r="D82" s="194">
        <v>4000000</v>
      </c>
      <c r="E82" s="194">
        <v>616000</v>
      </c>
      <c r="F82" s="194">
        <v>0</v>
      </c>
      <c r="G82" s="194">
        <f t="shared" si="10"/>
        <v>4000000</v>
      </c>
      <c r="H82" s="29" t="s">
        <v>453</v>
      </c>
      <c r="I82" s="29" t="s">
        <v>631</v>
      </c>
      <c r="J82" s="30"/>
      <c r="K82" s="30"/>
      <c r="L82" s="30"/>
      <c r="M82" s="30"/>
      <c r="N82" s="30"/>
      <c r="O82" s="30">
        <v>616000</v>
      </c>
      <c r="P82" s="30"/>
      <c r="Q82" s="30"/>
      <c r="R82" s="30"/>
      <c r="S82" s="30"/>
      <c r="T82" s="30"/>
      <c r="U82" s="30"/>
      <c r="V82" s="30"/>
      <c r="W82" s="197">
        <f>SUM(J82:V82)</f>
        <v>616000</v>
      </c>
    </row>
    <row r="83" spans="1:23" x14ac:dyDescent="0.3">
      <c r="A83" s="155">
        <v>82</v>
      </c>
      <c r="B83" s="28"/>
      <c r="C83" s="28" t="s">
        <v>542</v>
      </c>
      <c r="D83" s="194">
        <v>5000000</v>
      </c>
      <c r="E83" s="194">
        <v>772000</v>
      </c>
      <c r="F83" s="194">
        <v>785000</v>
      </c>
      <c r="G83" s="194"/>
      <c r="H83" s="29" t="s">
        <v>452</v>
      </c>
      <c r="I83" s="28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97"/>
    </row>
    <row r="84" spans="1:23" x14ac:dyDescent="0.3">
      <c r="A84" s="155">
        <v>83</v>
      </c>
      <c r="B84" s="28"/>
      <c r="C84" s="28" t="s">
        <v>543</v>
      </c>
      <c r="D84" s="194">
        <v>5000000</v>
      </c>
      <c r="E84" s="194">
        <v>772000</v>
      </c>
      <c r="F84" s="194">
        <v>0</v>
      </c>
      <c r="G84" s="194">
        <f t="shared" ref="G84:G93" si="11">D84</f>
        <v>5000000</v>
      </c>
      <c r="H84" s="29" t="s">
        <v>453</v>
      </c>
      <c r="I84" s="29" t="s">
        <v>631</v>
      </c>
      <c r="J84" s="30"/>
      <c r="K84" s="30"/>
      <c r="L84" s="30"/>
      <c r="M84" s="30"/>
      <c r="N84" s="30"/>
      <c r="O84" s="30">
        <v>772000</v>
      </c>
      <c r="P84" s="30"/>
      <c r="Q84" s="30"/>
      <c r="R84" s="30"/>
      <c r="S84" s="30"/>
      <c r="T84" s="30"/>
      <c r="U84" s="30"/>
      <c r="V84" s="30"/>
      <c r="W84" s="197">
        <f t="shared" ref="W84:W93" si="12">SUM(J84:V84)</f>
        <v>772000</v>
      </c>
    </row>
    <row r="85" spans="1:23" x14ac:dyDescent="0.3">
      <c r="A85" s="155">
        <v>84</v>
      </c>
      <c r="B85" s="28"/>
      <c r="C85" s="28" t="s">
        <v>544</v>
      </c>
      <c r="D85" s="194">
        <v>3500000</v>
      </c>
      <c r="E85" s="194">
        <v>540000</v>
      </c>
      <c r="F85" s="194">
        <v>0</v>
      </c>
      <c r="G85" s="194">
        <f t="shared" si="11"/>
        <v>3500000</v>
      </c>
      <c r="H85" s="29" t="s">
        <v>453</v>
      </c>
      <c r="I85" s="29" t="s">
        <v>631</v>
      </c>
      <c r="J85" s="30"/>
      <c r="K85" s="30"/>
      <c r="L85" s="30"/>
      <c r="M85" s="30"/>
      <c r="N85" s="30"/>
      <c r="O85" s="30">
        <v>540000</v>
      </c>
      <c r="P85" s="30"/>
      <c r="Q85" s="30"/>
      <c r="R85" s="30"/>
      <c r="S85" s="30"/>
      <c r="T85" s="30"/>
      <c r="U85" s="30"/>
      <c r="V85" s="30"/>
      <c r="W85" s="197">
        <f t="shared" si="12"/>
        <v>540000</v>
      </c>
    </row>
    <row r="86" spans="1:23" x14ac:dyDescent="0.3">
      <c r="A86" s="155">
        <v>85</v>
      </c>
      <c r="B86" s="28"/>
      <c r="C86" s="28" t="s">
        <v>545</v>
      </c>
      <c r="D86" s="194">
        <v>6500000</v>
      </c>
      <c r="E86" s="194">
        <v>1004000</v>
      </c>
      <c r="F86" s="194">
        <v>0</v>
      </c>
      <c r="G86" s="194">
        <f t="shared" si="11"/>
        <v>6500000</v>
      </c>
      <c r="H86" s="29" t="s">
        <v>453</v>
      </c>
      <c r="I86" s="29" t="s">
        <v>631</v>
      </c>
      <c r="J86" s="30"/>
      <c r="K86" s="30"/>
      <c r="L86" s="30"/>
      <c r="M86" s="30"/>
      <c r="N86" s="30"/>
      <c r="O86" s="30">
        <v>1004000</v>
      </c>
      <c r="P86" s="30"/>
      <c r="Q86" s="30"/>
      <c r="R86" s="30"/>
      <c r="S86" s="30"/>
      <c r="T86" s="30"/>
      <c r="U86" s="30"/>
      <c r="V86" s="30"/>
      <c r="W86" s="197">
        <f t="shared" si="12"/>
        <v>1004000</v>
      </c>
    </row>
    <row r="87" spans="1:23" x14ac:dyDescent="0.3">
      <c r="A87" s="155">
        <v>86</v>
      </c>
      <c r="B87" s="28"/>
      <c r="C87" s="28" t="s">
        <v>546</v>
      </c>
      <c r="D87" s="194">
        <v>7000000</v>
      </c>
      <c r="E87" s="194">
        <v>1080000</v>
      </c>
      <c r="F87" s="194">
        <v>0</v>
      </c>
      <c r="G87" s="194">
        <f t="shared" si="11"/>
        <v>7000000</v>
      </c>
      <c r="H87" s="29" t="s">
        <v>453</v>
      </c>
      <c r="I87" s="29" t="s">
        <v>631</v>
      </c>
      <c r="J87" s="30"/>
      <c r="K87" s="30"/>
      <c r="L87" s="30"/>
      <c r="M87" s="30"/>
      <c r="N87" s="30"/>
      <c r="O87" s="30">
        <v>1080000</v>
      </c>
      <c r="P87" s="30"/>
      <c r="Q87" s="30"/>
      <c r="R87" s="30"/>
      <c r="S87" s="30"/>
      <c r="T87" s="30"/>
      <c r="U87" s="30"/>
      <c r="V87" s="30"/>
      <c r="W87" s="197">
        <f t="shared" si="12"/>
        <v>1080000</v>
      </c>
    </row>
    <row r="88" spans="1:23" x14ac:dyDescent="0.3">
      <c r="A88" s="155">
        <v>87</v>
      </c>
      <c r="B88" s="28"/>
      <c r="C88" s="28" t="s">
        <v>547</v>
      </c>
      <c r="D88" s="194">
        <v>7000000</v>
      </c>
      <c r="E88" s="194">
        <v>1080000</v>
      </c>
      <c r="F88" s="194">
        <v>0</v>
      </c>
      <c r="G88" s="194">
        <f t="shared" si="11"/>
        <v>7000000</v>
      </c>
      <c r="H88" s="29" t="s">
        <v>453</v>
      </c>
      <c r="I88" s="29" t="s">
        <v>631</v>
      </c>
      <c r="J88" s="30"/>
      <c r="K88" s="30"/>
      <c r="L88" s="30"/>
      <c r="M88" s="30"/>
      <c r="N88" s="30"/>
      <c r="O88" s="30">
        <v>1080000</v>
      </c>
      <c r="P88" s="30"/>
      <c r="Q88" s="30"/>
      <c r="R88" s="30"/>
      <c r="S88" s="30"/>
      <c r="T88" s="30"/>
      <c r="U88" s="30"/>
      <c r="V88" s="30"/>
      <c r="W88" s="197">
        <f t="shared" si="12"/>
        <v>1080000</v>
      </c>
    </row>
    <row r="89" spans="1:23" x14ac:dyDescent="0.3">
      <c r="A89" s="155">
        <v>88</v>
      </c>
      <c r="B89" s="28"/>
      <c r="C89" s="28" t="s">
        <v>548</v>
      </c>
      <c r="D89" s="194">
        <v>15000000</v>
      </c>
      <c r="E89" s="194">
        <v>1852000</v>
      </c>
      <c r="F89" s="194">
        <v>0</v>
      </c>
      <c r="G89" s="194">
        <f t="shared" si="11"/>
        <v>15000000</v>
      </c>
      <c r="H89" s="29" t="s">
        <v>453</v>
      </c>
      <c r="I89" s="29" t="s">
        <v>631</v>
      </c>
      <c r="J89" s="30"/>
      <c r="K89" s="30"/>
      <c r="L89" s="30"/>
      <c r="M89" s="30"/>
      <c r="N89" s="30"/>
      <c r="O89" s="30">
        <v>1852000</v>
      </c>
      <c r="P89" s="30"/>
      <c r="Q89" s="30"/>
      <c r="R89" s="30"/>
      <c r="S89" s="30"/>
      <c r="T89" s="30"/>
      <c r="U89" s="30"/>
      <c r="V89" s="30"/>
      <c r="W89" s="197">
        <f t="shared" si="12"/>
        <v>1852000</v>
      </c>
    </row>
    <row r="90" spans="1:23" x14ac:dyDescent="0.3">
      <c r="A90" s="155">
        <v>89</v>
      </c>
      <c r="B90" s="28"/>
      <c r="C90" s="28" t="s">
        <v>549</v>
      </c>
      <c r="D90" s="194">
        <v>15000000</v>
      </c>
      <c r="E90" s="194">
        <v>1852000</v>
      </c>
      <c r="F90" s="194">
        <v>0</v>
      </c>
      <c r="G90" s="194">
        <f t="shared" si="11"/>
        <v>15000000</v>
      </c>
      <c r="H90" s="29" t="s">
        <v>453</v>
      </c>
      <c r="I90" s="29" t="s">
        <v>631</v>
      </c>
      <c r="J90" s="30"/>
      <c r="K90" s="30"/>
      <c r="L90" s="30"/>
      <c r="M90" s="30"/>
      <c r="N90" s="30"/>
      <c r="O90" s="30">
        <v>1852000</v>
      </c>
      <c r="P90" s="30"/>
      <c r="Q90" s="30"/>
      <c r="R90" s="30"/>
      <c r="S90" s="30"/>
      <c r="T90" s="30"/>
      <c r="U90" s="30"/>
      <c r="V90" s="30"/>
      <c r="W90" s="197">
        <f t="shared" si="12"/>
        <v>1852000</v>
      </c>
    </row>
    <row r="91" spans="1:23" x14ac:dyDescent="0.3">
      <c r="A91" s="155">
        <v>90</v>
      </c>
      <c r="B91" s="28"/>
      <c r="C91" s="28" t="s">
        <v>550</v>
      </c>
      <c r="D91" s="194">
        <v>5000000</v>
      </c>
      <c r="E91" s="194">
        <v>772000</v>
      </c>
      <c r="F91" s="194">
        <v>0</v>
      </c>
      <c r="G91" s="194">
        <f t="shared" si="11"/>
        <v>5000000</v>
      </c>
      <c r="H91" s="29" t="s">
        <v>453</v>
      </c>
      <c r="I91" s="29" t="s">
        <v>631</v>
      </c>
      <c r="J91" s="30"/>
      <c r="K91" s="30"/>
      <c r="L91" s="30"/>
      <c r="M91" s="30"/>
      <c r="N91" s="30"/>
      <c r="O91" s="30">
        <v>772000</v>
      </c>
      <c r="P91" s="30"/>
      <c r="Q91" s="30"/>
      <c r="R91" s="30"/>
      <c r="S91" s="30"/>
      <c r="T91" s="30"/>
      <c r="U91" s="30"/>
      <c r="V91" s="30"/>
      <c r="W91" s="197">
        <f t="shared" si="12"/>
        <v>772000</v>
      </c>
    </row>
    <row r="92" spans="1:23" x14ac:dyDescent="0.3">
      <c r="A92" s="155">
        <v>91</v>
      </c>
      <c r="B92" s="28"/>
      <c r="C92" s="28" t="s">
        <v>551</v>
      </c>
      <c r="D92" s="194">
        <v>3500000</v>
      </c>
      <c r="E92" s="194">
        <v>540000</v>
      </c>
      <c r="F92" s="194">
        <v>0</v>
      </c>
      <c r="G92" s="194">
        <f t="shared" si="11"/>
        <v>3500000</v>
      </c>
      <c r="H92" s="29" t="s">
        <v>453</v>
      </c>
      <c r="I92" s="29" t="s">
        <v>631</v>
      </c>
      <c r="J92" s="30"/>
      <c r="K92" s="30"/>
      <c r="L92" s="30"/>
      <c r="M92" s="30"/>
      <c r="N92" s="30"/>
      <c r="O92" s="30">
        <v>540000</v>
      </c>
      <c r="P92" s="30"/>
      <c r="Q92" s="30"/>
      <c r="R92" s="30"/>
      <c r="S92" s="30"/>
      <c r="T92" s="30"/>
      <c r="U92" s="30"/>
      <c r="V92" s="30"/>
      <c r="W92" s="197">
        <f t="shared" si="12"/>
        <v>540000</v>
      </c>
    </row>
    <row r="93" spans="1:23" x14ac:dyDescent="0.3">
      <c r="A93" s="155">
        <v>92</v>
      </c>
      <c r="B93" s="28"/>
      <c r="C93" s="28" t="s">
        <v>552</v>
      </c>
      <c r="D93" s="194">
        <v>3500000</v>
      </c>
      <c r="E93" s="194">
        <v>540000</v>
      </c>
      <c r="F93" s="194">
        <v>0</v>
      </c>
      <c r="G93" s="194">
        <f t="shared" si="11"/>
        <v>3500000</v>
      </c>
      <c r="H93" s="29" t="s">
        <v>453</v>
      </c>
      <c r="I93" s="29" t="s">
        <v>631</v>
      </c>
      <c r="J93" s="30"/>
      <c r="K93" s="30"/>
      <c r="L93" s="30"/>
      <c r="M93" s="30"/>
      <c r="N93" s="30"/>
      <c r="O93" s="30">
        <v>540000</v>
      </c>
      <c r="P93" s="30"/>
      <c r="Q93" s="30"/>
      <c r="R93" s="30"/>
      <c r="S93" s="30"/>
      <c r="T93" s="30"/>
      <c r="U93" s="30"/>
      <c r="V93" s="30"/>
      <c r="W93" s="197">
        <f t="shared" si="12"/>
        <v>540000</v>
      </c>
    </row>
    <row r="94" spans="1:23" x14ac:dyDescent="0.3">
      <c r="A94" s="155">
        <v>93</v>
      </c>
      <c r="B94" s="28"/>
      <c r="C94" s="28" t="s">
        <v>553</v>
      </c>
      <c r="D94" s="194">
        <v>2000000</v>
      </c>
      <c r="E94" s="194">
        <v>308000</v>
      </c>
      <c r="F94" s="194">
        <v>350000</v>
      </c>
      <c r="G94" s="194"/>
      <c r="H94" s="29" t="s">
        <v>452</v>
      </c>
      <c r="I94" s="28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97"/>
    </row>
    <row r="95" spans="1:23" x14ac:dyDescent="0.3">
      <c r="A95" s="155">
        <v>94</v>
      </c>
      <c r="B95" s="28"/>
      <c r="C95" s="28" t="s">
        <v>554</v>
      </c>
      <c r="D95" s="194">
        <v>5000000</v>
      </c>
      <c r="E95" s="194">
        <v>772000</v>
      </c>
      <c r="F95" s="194">
        <v>0</v>
      </c>
      <c r="G95" s="194">
        <f t="shared" ref="G95:G108" si="13">D95</f>
        <v>5000000</v>
      </c>
      <c r="H95" s="29" t="s">
        <v>453</v>
      </c>
      <c r="I95" s="29" t="s">
        <v>631</v>
      </c>
      <c r="J95" s="30"/>
      <c r="K95" s="30"/>
      <c r="L95" s="30"/>
      <c r="M95" s="30"/>
      <c r="N95" s="30"/>
      <c r="O95" s="30">
        <v>772000</v>
      </c>
      <c r="P95" s="30"/>
      <c r="Q95" s="30"/>
      <c r="R95" s="30"/>
      <c r="S95" s="30"/>
      <c r="T95" s="30"/>
      <c r="U95" s="30"/>
      <c r="V95" s="30"/>
      <c r="W95" s="197">
        <f t="shared" ref="W95:W108" si="14">SUM(J95:V95)</f>
        <v>772000</v>
      </c>
    </row>
    <row r="96" spans="1:23" x14ac:dyDescent="0.3">
      <c r="A96" s="155">
        <v>95</v>
      </c>
      <c r="B96" s="28"/>
      <c r="C96" s="28" t="s">
        <v>555</v>
      </c>
      <c r="D96" s="194">
        <v>4500000</v>
      </c>
      <c r="E96" s="194">
        <v>696000</v>
      </c>
      <c r="F96" s="194">
        <v>0</v>
      </c>
      <c r="G96" s="194">
        <f t="shared" si="13"/>
        <v>4500000</v>
      </c>
      <c r="H96" s="29" t="s">
        <v>453</v>
      </c>
      <c r="I96" s="29" t="s">
        <v>631</v>
      </c>
      <c r="J96" s="30"/>
      <c r="K96" s="30"/>
      <c r="L96" s="30"/>
      <c r="M96" s="30"/>
      <c r="N96" s="30"/>
      <c r="O96" s="30">
        <v>696000</v>
      </c>
      <c r="P96" s="30"/>
      <c r="Q96" s="30"/>
      <c r="R96" s="30"/>
      <c r="S96" s="30"/>
      <c r="T96" s="30"/>
      <c r="U96" s="30"/>
      <c r="V96" s="30"/>
      <c r="W96" s="197">
        <f t="shared" si="14"/>
        <v>696000</v>
      </c>
    </row>
    <row r="97" spans="1:23" x14ac:dyDescent="0.3">
      <c r="A97" s="155">
        <v>96</v>
      </c>
      <c r="B97" s="28"/>
      <c r="C97" s="28" t="s">
        <v>556</v>
      </c>
      <c r="D97" s="194">
        <v>4500000</v>
      </c>
      <c r="E97" s="194">
        <v>696000</v>
      </c>
      <c r="F97" s="194">
        <v>0</v>
      </c>
      <c r="G97" s="194">
        <f t="shared" si="13"/>
        <v>4500000</v>
      </c>
      <c r="H97" s="29" t="s">
        <v>453</v>
      </c>
      <c r="I97" s="29" t="s">
        <v>631</v>
      </c>
      <c r="J97" s="30"/>
      <c r="K97" s="30"/>
      <c r="L97" s="30"/>
      <c r="M97" s="30"/>
      <c r="N97" s="30"/>
      <c r="O97" s="30">
        <v>696000</v>
      </c>
      <c r="P97" s="30"/>
      <c r="Q97" s="30"/>
      <c r="R97" s="30"/>
      <c r="S97" s="30"/>
      <c r="T97" s="30"/>
      <c r="U97" s="30"/>
      <c r="V97" s="30"/>
      <c r="W97" s="197">
        <f t="shared" si="14"/>
        <v>696000</v>
      </c>
    </row>
    <row r="98" spans="1:23" x14ac:dyDescent="0.3">
      <c r="A98" s="155">
        <v>97</v>
      </c>
      <c r="B98" s="28"/>
      <c r="C98" s="28" t="s">
        <v>557</v>
      </c>
      <c r="D98" s="194">
        <v>3500000</v>
      </c>
      <c r="E98" s="194">
        <v>540000</v>
      </c>
      <c r="F98" s="194">
        <v>0</v>
      </c>
      <c r="G98" s="194">
        <f t="shared" si="13"/>
        <v>3500000</v>
      </c>
      <c r="H98" s="29" t="s">
        <v>453</v>
      </c>
      <c r="I98" s="29" t="s">
        <v>631</v>
      </c>
      <c r="J98" s="30"/>
      <c r="K98" s="30"/>
      <c r="L98" s="30"/>
      <c r="M98" s="30"/>
      <c r="N98" s="30"/>
      <c r="O98" s="30">
        <v>540000</v>
      </c>
      <c r="P98" s="30"/>
      <c r="Q98" s="30"/>
      <c r="R98" s="30"/>
      <c r="S98" s="30"/>
      <c r="T98" s="30"/>
      <c r="U98" s="30"/>
      <c r="V98" s="30"/>
      <c r="W98" s="197">
        <f t="shared" si="14"/>
        <v>540000</v>
      </c>
    </row>
    <row r="99" spans="1:23" x14ac:dyDescent="0.3">
      <c r="A99" s="155">
        <v>98</v>
      </c>
      <c r="B99" s="28"/>
      <c r="C99" s="28" t="s">
        <v>558</v>
      </c>
      <c r="D99" s="194">
        <v>6500000</v>
      </c>
      <c r="E99" s="194">
        <v>1004000</v>
      </c>
      <c r="F99" s="194">
        <v>0</v>
      </c>
      <c r="G99" s="194">
        <f t="shared" si="13"/>
        <v>6500000</v>
      </c>
      <c r="H99" s="29" t="s">
        <v>453</v>
      </c>
      <c r="I99" s="29" t="s">
        <v>631</v>
      </c>
      <c r="J99" s="30"/>
      <c r="K99" s="30"/>
      <c r="L99" s="30"/>
      <c r="M99" s="30"/>
      <c r="N99" s="30"/>
      <c r="O99" s="30">
        <v>1004000</v>
      </c>
      <c r="P99" s="30"/>
      <c r="Q99" s="30"/>
      <c r="R99" s="30"/>
      <c r="S99" s="30"/>
      <c r="T99" s="30"/>
      <c r="U99" s="30"/>
      <c r="V99" s="30"/>
      <c r="W99" s="197">
        <f t="shared" si="14"/>
        <v>1004000</v>
      </c>
    </row>
    <row r="100" spans="1:23" x14ac:dyDescent="0.3">
      <c r="A100" s="155">
        <v>99</v>
      </c>
      <c r="B100" s="28"/>
      <c r="C100" s="28" t="s">
        <v>559</v>
      </c>
      <c r="D100" s="194">
        <v>4000000</v>
      </c>
      <c r="E100" s="194">
        <v>616000</v>
      </c>
      <c r="F100" s="194">
        <v>0</v>
      </c>
      <c r="G100" s="194">
        <f t="shared" si="13"/>
        <v>4000000</v>
      </c>
      <c r="H100" s="29" t="s">
        <v>453</v>
      </c>
      <c r="I100" s="29" t="s">
        <v>631</v>
      </c>
      <c r="J100" s="30"/>
      <c r="K100" s="30"/>
      <c r="L100" s="30"/>
      <c r="M100" s="30"/>
      <c r="N100" s="30"/>
      <c r="O100" s="30">
        <v>616000</v>
      </c>
      <c r="P100" s="30"/>
      <c r="Q100" s="30"/>
      <c r="R100" s="30"/>
      <c r="S100" s="30"/>
      <c r="T100" s="30"/>
      <c r="U100" s="30"/>
      <c r="V100" s="30"/>
      <c r="W100" s="197">
        <f t="shared" si="14"/>
        <v>616000</v>
      </c>
    </row>
    <row r="101" spans="1:23" x14ac:dyDescent="0.3">
      <c r="A101" s="155">
        <v>100</v>
      </c>
      <c r="B101" s="28"/>
      <c r="C101" s="28" t="s">
        <v>560</v>
      </c>
      <c r="D101" s="194">
        <v>35000000</v>
      </c>
      <c r="E101" s="194">
        <v>5408000</v>
      </c>
      <c r="F101" s="194">
        <v>0</v>
      </c>
      <c r="G101" s="194">
        <f t="shared" si="13"/>
        <v>35000000</v>
      </c>
      <c r="H101" s="29" t="s">
        <v>453</v>
      </c>
      <c r="I101" s="29" t="s">
        <v>631</v>
      </c>
      <c r="J101" s="30"/>
      <c r="K101" s="30"/>
      <c r="L101" s="30"/>
      <c r="M101" s="30"/>
      <c r="N101" s="30"/>
      <c r="O101" s="30">
        <v>5408000</v>
      </c>
      <c r="P101" s="30"/>
      <c r="Q101" s="30"/>
      <c r="R101" s="30"/>
      <c r="S101" s="30"/>
      <c r="T101" s="30"/>
      <c r="U101" s="30"/>
      <c r="V101" s="30"/>
      <c r="W101" s="197">
        <f t="shared" si="14"/>
        <v>5408000</v>
      </c>
    </row>
    <row r="102" spans="1:23" x14ac:dyDescent="0.3">
      <c r="A102" s="155">
        <v>101</v>
      </c>
      <c r="B102" s="28"/>
      <c r="C102" s="28" t="s">
        <v>561</v>
      </c>
      <c r="D102" s="194">
        <v>10000000</v>
      </c>
      <c r="E102" s="194">
        <v>1544000</v>
      </c>
      <c r="F102" s="194">
        <v>0</v>
      </c>
      <c r="G102" s="194">
        <f t="shared" si="13"/>
        <v>10000000</v>
      </c>
      <c r="H102" s="29" t="s">
        <v>453</v>
      </c>
      <c r="I102" s="29" t="s">
        <v>631</v>
      </c>
      <c r="J102" s="30"/>
      <c r="K102" s="30"/>
      <c r="L102" s="30"/>
      <c r="M102" s="30"/>
      <c r="N102" s="30"/>
      <c r="O102" s="30">
        <v>1544000</v>
      </c>
      <c r="P102" s="30"/>
      <c r="Q102" s="30"/>
      <c r="R102" s="30"/>
      <c r="S102" s="30"/>
      <c r="T102" s="30"/>
      <c r="U102" s="30"/>
      <c r="V102" s="30"/>
      <c r="W102" s="197">
        <f t="shared" si="14"/>
        <v>1544000</v>
      </c>
    </row>
    <row r="103" spans="1:23" x14ac:dyDescent="0.3">
      <c r="A103" s="155">
        <v>102</v>
      </c>
      <c r="B103" s="28"/>
      <c r="C103" s="28" t="s">
        <v>562</v>
      </c>
      <c r="D103" s="194">
        <v>15000000</v>
      </c>
      <c r="E103" s="194">
        <v>2316000</v>
      </c>
      <c r="F103" s="194">
        <v>0</v>
      </c>
      <c r="G103" s="194">
        <f t="shared" si="13"/>
        <v>15000000</v>
      </c>
      <c r="H103" s="29" t="s">
        <v>453</v>
      </c>
      <c r="I103" s="29" t="s">
        <v>631</v>
      </c>
      <c r="J103" s="30"/>
      <c r="K103" s="30"/>
      <c r="L103" s="30"/>
      <c r="M103" s="30"/>
      <c r="N103" s="30"/>
      <c r="O103" s="30">
        <v>2316000</v>
      </c>
      <c r="P103" s="30"/>
      <c r="Q103" s="30"/>
      <c r="R103" s="30"/>
      <c r="S103" s="30"/>
      <c r="T103" s="30"/>
      <c r="U103" s="30"/>
      <c r="V103" s="30"/>
      <c r="W103" s="197">
        <f t="shared" si="14"/>
        <v>2316000</v>
      </c>
    </row>
    <row r="104" spans="1:23" x14ac:dyDescent="0.3">
      <c r="A104" s="155">
        <v>103</v>
      </c>
      <c r="B104" s="28"/>
      <c r="C104" s="28" t="s">
        <v>563</v>
      </c>
      <c r="D104" s="194">
        <v>25000000</v>
      </c>
      <c r="E104" s="194">
        <v>3860000</v>
      </c>
      <c r="F104" s="194">
        <v>0</v>
      </c>
      <c r="G104" s="194">
        <f t="shared" si="13"/>
        <v>25000000</v>
      </c>
      <c r="H104" s="29" t="s">
        <v>453</v>
      </c>
      <c r="I104" s="29" t="s">
        <v>631</v>
      </c>
      <c r="J104" s="30"/>
      <c r="K104" s="30"/>
      <c r="L104" s="30"/>
      <c r="M104" s="30"/>
      <c r="N104" s="30"/>
      <c r="O104" s="30">
        <v>3860000</v>
      </c>
      <c r="P104" s="30"/>
      <c r="Q104" s="30"/>
      <c r="R104" s="30"/>
      <c r="S104" s="30"/>
      <c r="T104" s="30"/>
      <c r="U104" s="30"/>
      <c r="V104" s="30"/>
      <c r="W104" s="197">
        <f t="shared" si="14"/>
        <v>3860000</v>
      </c>
    </row>
    <row r="105" spans="1:23" x14ac:dyDescent="0.3">
      <c r="A105" s="155">
        <v>104</v>
      </c>
      <c r="B105" s="28"/>
      <c r="C105" s="28" t="s">
        <v>564</v>
      </c>
      <c r="D105" s="194">
        <v>25000000</v>
      </c>
      <c r="E105" s="194">
        <v>3860000</v>
      </c>
      <c r="F105" s="194">
        <v>0</v>
      </c>
      <c r="G105" s="194">
        <f t="shared" si="13"/>
        <v>25000000</v>
      </c>
      <c r="H105" s="29" t="s">
        <v>453</v>
      </c>
      <c r="I105" s="29" t="s">
        <v>631</v>
      </c>
      <c r="J105" s="30"/>
      <c r="K105" s="30"/>
      <c r="L105" s="30"/>
      <c r="M105" s="30"/>
      <c r="N105" s="30"/>
      <c r="O105" s="30">
        <v>3860000</v>
      </c>
      <c r="P105" s="30"/>
      <c r="Q105" s="30"/>
      <c r="R105" s="30"/>
      <c r="S105" s="30"/>
      <c r="T105" s="30"/>
      <c r="U105" s="30"/>
      <c r="V105" s="30"/>
      <c r="W105" s="197">
        <f t="shared" si="14"/>
        <v>3860000</v>
      </c>
    </row>
    <row r="106" spans="1:23" x14ac:dyDescent="0.3">
      <c r="A106" s="155">
        <v>105</v>
      </c>
      <c r="B106" s="28"/>
      <c r="C106" s="28" t="s">
        <v>565</v>
      </c>
      <c r="D106" s="194">
        <v>3500000</v>
      </c>
      <c r="E106" s="194">
        <v>540000</v>
      </c>
      <c r="F106" s="194">
        <v>0</v>
      </c>
      <c r="G106" s="194">
        <f t="shared" si="13"/>
        <v>3500000</v>
      </c>
      <c r="H106" s="29" t="s">
        <v>453</v>
      </c>
      <c r="I106" s="29" t="s">
        <v>631</v>
      </c>
      <c r="J106" s="30"/>
      <c r="K106" s="30"/>
      <c r="L106" s="30"/>
      <c r="M106" s="30"/>
      <c r="N106" s="30"/>
      <c r="O106" s="30">
        <v>540000</v>
      </c>
      <c r="P106" s="30"/>
      <c r="Q106" s="30"/>
      <c r="R106" s="30"/>
      <c r="S106" s="30"/>
      <c r="T106" s="30"/>
      <c r="U106" s="30"/>
      <c r="V106" s="30"/>
      <c r="W106" s="197">
        <f t="shared" si="14"/>
        <v>540000</v>
      </c>
    </row>
    <row r="107" spans="1:23" x14ac:dyDescent="0.3">
      <c r="A107" s="155">
        <v>106</v>
      </c>
      <c r="B107" s="28"/>
      <c r="C107" s="28" t="s">
        <v>566</v>
      </c>
      <c r="D107" s="194">
        <v>3500000</v>
      </c>
      <c r="E107" s="194">
        <v>540000</v>
      </c>
      <c r="F107" s="194">
        <v>0</v>
      </c>
      <c r="G107" s="194">
        <f t="shared" si="13"/>
        <v>3500000</v>
      </c>
      <c r="H107" s="29" t="s">
        <v>453</v>
      </c>
      <c r="I107" s="29" t="s">
        <v>631</v>
      </c>
      <c r="J107" s="30"/>
      <c r="K107" s="30"/>
      <c r="L107" s="30"/>
      <c r="M107" s="30"/>
      <c r="N107" s="30"/>
      <c r="O107" s="30">
        <v>540000</v>
      </c>
      <c r="P107" s="30"/>
      <c r="Q107" s="30"/>
      <c r="R107" s="30"/>
      <c r="S107" s="30"/>
      <c r="T107" s="30"/>
      <c r="U107" s="30"/>
      <c r="V107" s="30"/>
      <c r="W107" s="197">
        <f t="shared" si="14"/>
        <v>540000</v>
      </c>
    </row>
    <row r="108" spans="1:23" x14ac:dyDescent="0.3">
      <c r="A108" s="155">
        <v>107</v>
      </c>
      <c r="B108" s="28"/>
      <c r="C108" s="28" t="s">
        <v>567</v>
      </c>
      <c r="D108" s="194">
        <v>10000000</v>
      </c>
      <c r="E108" s="194">
        <v>1544000</v>
      </c>
      <c r="F108" s="194">
        <v>0</v>
      </c>
      <c r="G108" s="194">
        <f t="shared" si="13"/>
        <v>10000000</v>
      </c>
      <c r="H108" s="29" t="s">
        <v>453</v>
      </c>
      <c r="I108" s="29" t="s">
        <v>631</v>
      </c>
      <c r="J108" s="30"/>
      <c r="K108" s="30"/>
      <c r="L108" s="30"/>
      <c r="M108" s="30"/>
      <c r="N108" s="30"/>
      <c r="O108" s="30">
        <v>1544000</v>
      </c>
      <c r="P108" s="30"/>
      <c r="Q108" s="30"/>
      <c r="R108" s="30"/>
      <c r="S108" s="30"/>
      <c r="T108" s="30"/>
      <c r="U108" s="30"/>
      <c r="V108" s="30"/>
      <c r="W108" s="197">
        <f t="shared" si="14"/>
        <v>1544000</v>
      </c>
    </row>
    <row r="109" spans="1:23" x14ac:dyDescent="0.3">
      <c r="A109" s="155">
        <v>108</v>
      </c>
      <c r="B109" s="28"/>
      <c r="C109" s="28" t="s">
        <v>568</v>
      </c>
      <c r="D109" s="194">
        <v>25000000</v>
      </c>
      <c r="E109" s="194">
        <v>3860000</v>
      </c>
      <c r="F109" s="194">
        <v>3875000</v>
      </c>
      <c r="G109" s="194"/>
      <c r="H109" s="29" t="s">
        <v>452</v>
      </c>
      <c r="I109" s="28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97"/>
    </row>
    <row r="110" spans="1:23" x14ac:dyDescent="0.3">
      <c r="A110" s="155">
        <v>109</v>
      </c>
      <c r="B110" s="28"/>
      <c r="C110" s="28" t="s">
        <v>569</v>
      </c>
      <c r="D110" s="194">
        <v>10000000</v>
      </c>
      <c r="E110" s="194">
        <v>928000</v>
      </c>
      <c r="F110" s="194">
        <v>0</v>
      </c>
      <c r="G110" s="194">
        <f t="shared" ref="G110:G112" si="15">D110</f>
        <v>10000000</v>
      </c>
      <c r="H110" s="29" t="s">
        <v>453</v>
      </c>
      <c r="I110" s="29" t="s">
        <v>631</v>
      </c>
      <c r="J110" s="30"/>
      <c r="K110" s="30"/>
      <c r="L110" s="30"/>
      <c r="M110" s="30"/>
      <c r="N110" s="30"/>
      <c r="O110" s="30">
        <v>928000</v>
      </c>
      <c r="P110" s="30"/>
      <c r="Q110" s="30"/>
      <c r="R110" s="30"/>
      <c r="S110" s="30"/>
      <c r="T110" s="30"/>
      <c r="U110" s="30"/>
      <c r="V110" s="30"/>
      <c r="W110" s="197">
        <f>SUM(J110:V110)</f>
        <v>928000</v>
      </c>
    </row>
    <row r="111" spans="1:23" x14ac:dyDescent="0.3">
      <c r="A111" s="155">
        <v>110</v>
      </c>
      <c r="B111" s="28"/>
      <c r="C111" s="28" t="s">
        <v>570</v>
      </c>
      <c r="D111" s="194">
        <v>20000000</v>
      </c>
      <c r="E111" s="194">
        <v>3088000</v>
      </c>
      <c r="F111" s="194">
        <v>0</v>
      </c>
      <c r="G111" s="194">
        <f t="shared" si="15"/>
        <v>20000000</v>
      </c>
      <c r="H111" s="29" t="s">
        <v>453</v>
      </c>
      <c r="I111" s="29" t="s">
        <v>631</v>
      </c>
      <c r="J111" s="30"/>
      <c r="K111" s="30"/>
      <c r="L111" s="30"/>
      <c r="M111" s="30"/>
      <c r="N111" s="30"/>
      <c r="O111" s="30">
        <v>3088000</v>
      </c>
      <c r="P111" s="30"/>
      <c r="Q111" s="30"/>
      <c r="R111" s="30"/>
      <c r="S111" s="30"/>
      <c r="T111" s="30"/>
      <c r="U111" s="30"/>
      <c r="V111" s="30"/>
      <c r="W111" s="197">
        <f>SUM(J111:V111)</f>
        <v>3088000</v>
      </c>
    </row>
    <row r="112" spans="1:23" x14ac:dyDescent="0.3">
      <c r="A112" s="155">
        <v>111</v>
      </c>
      <c r="B112" s="28"/>
      <c r="C112" s="28" t="s">
        <v>571</v>
      </c>
      <c r="D112" s="194">
        <v>4000000</v>
      </c>
      <c r="E112" s="194">
        <v>616000</v>
      </c>
      <c r="F112" s="194">
        <v>0</v>
      </c>
      <c r="G112" s="194">
        <f t="shared" si="15"/>
        <v>4000000</v>
      </c>
      <c r="H112" s="29" t="s">
        <v>453</v>
      </c>
      <c r="I112" s="29" t="s">
        <v>631</v>
      </c>
      <c r="J112" s="30"/>
      <c r="K112" s="30"/>
      <c r="L112" s="30"/>
      <c r="M112" s="30"/>
      <c r="N112" s="30"/>
      <c r="O112" s="30">
        <v>616000</v>
      </c>
      <c r="P112" s="30"/>
      <c r="Q112" s="30"/>
      <c r="R112" s="30"/>
      <c r="S112" s="30"/>
      <c r="T112" s="30"/>
      <c r="U112" s="30"/>
      <c r="V112" s="30"/>
      <c r="W112" s="197">
        <f>SUM(J112:V112)</f>
        <v>616000</v>
      </c>
    </row>
    <row r="113" spans="1:23" x14ac:dyDescent="0.3">
      <c r="A113" s="155">
        <v>112</v>
      </c>
      <c r="B113" s="28"/>
      <c r="C113" s="28" t="s">
        <v>572</v>
      </c>
      <c r="D113" s="194">
        <v>55000000</v>
      </c>
      <c r="E113" s="194">
        <v>464000</v>
      </c>
      <c r="F113" s="194">
        <v>475000</v>
      </c>
      <c r="G113" s="194"/>
      <c r="H113" s="29" t="s">
        <v>452</v>
      </c>
      <c r="I113" s="28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97"/>
    </row>
    <row r="114" spans="1:23" x14ac:dyDescent="0.3">
      <c r="A114" s="155">
        <v>113</v>
      </c>
      <c r="B114" s="28"/>
      <c r="C114" s="28" t="s">
        <v>573</v>
      </c>
      <c r="D114" s="194">
        <v>6000000</v>
      </c>
      <c r="E114" s="194">
        <v>308000</v>
      </c>
      <c r="F114" s="194">
        <v>315000</v>
      </c>
      <c r="G114" s="194"/>
      <c r="H114" s="29" t="s">
        <v>452</v>
      </c>
      <c r="I114" s="28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97"/>
    </row>
    <row r="115" spans="1:23" x14ac:dyDescent="0.3">
      <c r="A115" s="155">
        <v>114</v>
      </c>
      <c r="B115" s="28"/>
      <c r="C115" s="28" t="s">
        <v>574</v>
      </c>
      <c r="D115" s="194">
        <v>7500000</v>
      </c>
      <c r="E115" s="194">
        <v>308000</v>
      </c>
      <c r="F115" s="194">
        <v>350000</v>
      </c>
      <c r="G115" s="194"/>
      <c r="H115" s="29" t="s">
        <v>452</v>
      </c>
      <c r="I115" s="28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97"/>
    </row>
    <row r="116" spans="1:23" x14ac:dyDescent="0.3">
      <c r="A116" s="155">
        <v>115</v>
      </c>
      <c r="B116" s="28"/>
      <c r="C116" s="28" t="s">
        <v>575</v>
      </c>
      <c r="D116" s="194">
        <v>60000000</v>
      </c>
      <c r="E116" s="194">
        <v>3600000</v>
      </c>
      <c r="F116" s="194">
        <v>0</v>
      </c>
      <c r="G116" s="194">
        <f t="shared" ref="G116:G120" si="16">D116</f>
        <v>60000000</v>
      </c>
      <c r="H116" s="29" t="s">
        <v>453</v>
      </c>
      <c r="I116" s="29" t="s">
        <v>631</v>
      </c>
      <c r="J116" s="30"/>
      <c r="K116" s="30"/>
      <c r="L116" s="30"/>
      <c r="M116" s="30"/>
      <c r="N116" s="30"/>
      <c r="O116" s="30">
        <v>3600000</v>
      </c>
      <c r="P116" s="30"/>
      <c r="Q116" s="30"/>
      <c r="R116" s="30"/>
      <c r="S116" s="30"/>
      <c r="T116" s="30"/>
      <c r="U116" s="30"/>
      <c r="V116" s="30"/>
      <c r="W116" s="197">
        <f>SUM(J116:V116)</f>
        <v>3600000</v>
      </c>
    </row>
    <row r="117" spans="1:23" x14ac:dyDescent="0.3">
      <c r="A117" s="155">
        <v>116</v>
      </c>
      <c r="B117" s="28"/>
      <c r="C117" s="28" t="s">
        <v>576</v>
      </c>
      <c r="D117" s="194">
        <v>130000000</v>
      </c>
      <c r="E117" s="194">
        <v>3150000</v>
      </c>
      <c r="F117" s="194">
        <v>0</v>
      </c>
      <c r="G117" s="194">
        <f t="shared" si="16"/>
        <v>130000000</v>
      </c>
      <c r="H117" s="29" t="s">
        <v>453</v>
      </c>
      <c r="I117" s="29" t="s">
        <v>631</v>
      </c>
      <c r="J117" s="30"/>
      <c r="K117" s="30"/>
      <c r="L117" s="30"/>
      <c r="M117" s="30"/>
      <c r="N117" s="30"/>
      <c r="O117" s="30">
        <v>3150000</v>
      </c>
      <c r="P117" s="30"/>
      <c r="Q117" s="30"/>
      <c r="R117" s="30"/>
      <c r="S117" s="30"/>
      <c r="T117" s="30"/>
      <c r="U117" s="30"/>
      <c r="V117" s="30"/>
      <c r="W117" s="197">
        <f>SUM(J117:V117)</f>
        <v>3150000</v>
      </c>
    </row>
    <row r="118" spans="1:23" x14ac:dyDescent="0.3">
      <c r="A118" s="155">
        <v>117</v>
      </c>
      <c r="B118" s="28"/>
      <c r="C118" s="28" t="s">
        <v>577</v>
      </c>
      <c r="D118" s="194">
        <v>26000000</v>
      </c>
      <c r="E118" s="194">
        <v>156000</v>
      </c>
      <c r="F118" s="194">
        <v>0</v>
      </c>
      <c r="G118" s="194">
        <f t="shared" si="16"/>
        <v>26000000</v>
      </c>
      <c r="H118" s="29" t="s">
        <v>453</v>
      </c>
      <c r="I118" s="29" t="s">
        <v>631</v>
      </c>
      <c r="J118" s="30"/>
      <c r="K118" s="30"/>
      <c r="L118" s="30"/>
      <c r="M118" s="30"/>
      <c r="N118" s="30"/>
      <c r="O118" s="30">
        <v>156000</v>
      </c>
      <c r="P118" s="30"/>
      <c r="Q118" s="30"/>
      <c r="R118" s="30"/>
      <c r="S118" s="30"/>
      <c r="T118" s="30"/>
      <c r="U118" s="30"/>
      <c r="V118" s="30"/>
      <c r="W118" s="197">
        <f>SUM(J118:V118)</f>
        <v>156000</v>
      </c>
    </row>
    <row r="119" spans="1:23" x14ac:dyDescent="0.3">
      <c r="A119" s="155">
        <v>118</v>
      </c>
      <c r="B119" s="28"/>
      <c r="C119" s="28" t="s">
        <v>578</v>
      </c>
      <c r="D119" s="194">
        <v>2000000</v>
      </c>
      <c r="E119" s="194">
        <v>308000</v>
      </c>
      <c r="F119" s="194">
        <v>0</v>
      </c>
      <c r="G119" s="194">
        <f t="shared" si="16"/>
        <v>2000000</v>
      </c>
      <c r="H119" s="29" t="s">
        <v>453</v>
      </c>
      <c r="I119" s="29" t="s">
        <v>631</v>
      </c>
      <c r="J119" s="30"/>
      <c r="K119" s="30"/>
      <c r="L119" s="30"/>
      <c r="M119" s="30"/>
      <c r="N119" s="30"/>
      <c r="O119" s="30">
        <v>308000</v>
      </c>
      <c r="P119" s="30"/>
      <c r="Q119" s="30"/>
      <c r="R119" s="30"/>
      <c r="S119" s="30"/>
      <c r="T119" s="30"/>
      <c r="U119" s="30"/>
      <c r="V119" s="30"/>
      <c r="W119" s="197">
        <f>SUM(J119:V119)</f>
        <v>308000</v>
      </c>
    </row>
    <row r="120" spans="1:23" x14ac:dyDescent="0.3">
      <c r="A120" s="155">
        <v>119</v>
      </c>
      <c r="B120" s="28"/>
      <c r="C120" s="28" t="s">
        <v>579</v>
      </c>
      <c r="D120" s="194">
        <v>1000000</v>
      </c>
      <c r="E120" s="194">
        <v>156000</v>
      </c>
      <c r="F120" s="194">
        <v>0</v>
      </c>
      <c r="G120" s="194">
        <f t="shared" si="16"/>
        <v>1000000</v>
      </c>
      <c r="H120" s="29" t="s">
        <v>453</v>
      </c>
      <c r="I120" s="29" t="s">
        <v>631</v>
      </c>
      <c r="J120" s="30"/>
      <c r="K120" s="30"/>
      <c r="L120" s="30"/>
      <c r="M120" s="30"/>
      <c r="N120" s="30"/>
      <c r="O120" s="30">
        <v>156000</v>
      </c>
      <c r="P120" s="30"/>
      <c r="Q120" s="30"/>
      <c r="R120" s="30"/>
      <c r="S120" s="30"/>
      <c r="T120" s="30"/>
      <c r="U120" s="30"/>
      <c r="V120" s="30"/>
      <c r="W120" s="197">
        <f>SUM(J120:V120)</f>
        <v>156000</v>
      </c>
    </row>
    <row r="121" spans="1:23" x14ac:dyDescent="0.3">
      <c r="A121" s="155">
        <v>120</v>
      </c>
      <c r="B121" s="28"/>
      <c r="C121" s="28" t="s">
        <v>580</v>
      </c>
      <c r="D121" s="194">
        <v>4500000</v>
      </c>
      <c r="E121" s="194">
        <v>696000</v>
      </c>
      <c r="F121" s="194">
        <v>725000</v>
      </c>
      <c r="G121" s="194"/>
      <c r="H121" s="29" t="s">
        <v>452</v>
      </c>
      <c r="I121" s="28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97"/>
    </row>
    <row r="122" spans="1:23" x14ac:dyDescent="0.3">
      <c r="A122" s="155">
        <v>121</v>
      </c>
      <c r="B122" s="28"/>
      <c r="C122" s="28" t="s">
        <v>581</v>
      </c>
      <c r="D122" s="194">
        <v>2000000</v>
      </c>
      <c r="E122" s="194">
        <v>36000</v>
      </c>
      <c r="F122" s="194">
        <v>45000</v>
      </c>
      <c r="G122" s="194"/>
      <c r="H122" s="29" t="s">
        <v>452</v>
      </c>
      <c r="I122" s="28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97"/>
    </row>
    <row r="123" spans="1:23" x14ac:dyDescent="0.3">
      <c r="A123" s="155">
        <v>122</v>
      </c>
      <c r="B123" s="28"/>
      <c r="C123" s="28" t="s">
        <v>582</v>
      </c>
      <c r="D123" s="194">
        <v>4000000</v>
      </c>
      <c r="E123" s="194">
        <v>616000</v>
      </c>
      <c r="F123" s="194">
        <v>0</v>
      </c>
      <c r="G123" s="194">
        <f>D123</f>
        <v>4000000</v>
      </c>
      <c r="H123" s="29" t="s">
        <v>453</v>
      </c>
      <c r="I123" s="28" t="s">
        <v>631</v>
      </c>
      <c r="J123" s="30"/>
      <c r="K123" s="30"/>
      <c r="L123" s="30"/>
      <c r="M123" s="30"/>
      <c r="N123" s="30"/>
      <c r="O123" s="30">
        <v>616000</v>
      </c>
      <c r="P123" s="30"/>
      <c r="Q123" s="30"/>
      <c r="R123" s="30"/>
      <c r="S123" s="30"/>
      <c r="T123" s="30"/>
      <c r="U123" s="30"/>
      <c r="V123" s="30"/>
      <c r="W123" s="197">
        <f>SUM(J123:V123)</f>
        <v>616000</v>
      </c>
    </row>
    <row r="124" spans="1:23" x14ac:dyDescent="0.3">
      <c r="A124" s="155">
        <v>123</v>
      </c>
      <c r="B124" s="28"/>
      <c r="C124" s="28" t="s">
        <v>583</v>
      </c>
      <c r="D124" s="194">
        <v>3500000</v>
      </c>
      <c r="E124" s="194">
        <v>540000</v>
      </c>
      <c r="F124" s="194">
        <v>550000</v>
      </c>
      <c r="G124" s="194"/>
      <c r="H124" s="29" t="s">
        <v>452</v>
      </c>
      <c r="I124" s="28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97"/>
    </row>
    <row r="125" spans="1:23" x14ac:dyDescent="0.3">
      <c r="A125" s="155">
        <v>124</v>
      </c>
      <c r="B125" s="28"/>
      <c r="C125" s="28" t="s">
        <v>584</v>
      </c>
      <c r="D125" s="194">
        <v>1000000</v>
      </c>
      <c r="E125" s="194">
        <v>156000</v>
      </c>
      <c r="F125" s="194">
        <v>0</v>
      </c>
      <c r="G125" s="194">
        <f t="shared" ref="G125:G126" si="17">D125</f>
        <v>1000000</v>
      </c>
      <c r="H125" s="29" t="s">
        <v>453</v>
      </c>
      <c r="I125" s="28" t="s">
        <v>631</v>
      </c>
      <c r="J125" s="30"/>
      <c r="K125" s="30"/>
      <c r="L125" s="30"/>
      <c r="M125" s="30"/>
      <c r="N125" s="30"/>
      <c r="O125" s="30">
        <v>156000</v>
      </c>
      <c r="P125" s="30"/>
      <c r="Q125" s="30"/>
      <c r="R125" s="30"/>
      <c r="S125" s="30"/>
      <c r="T125" s="30"/>
      <c r="U125" s="30"/>
      <c r="V125" s="30"/>
      <c r="W125" s="197">
        <f>SUM(J125:V125)</f>
        <v>156000</v>
      </c>
    </row>
    <row r="126" spans="1:23" x14ac:dyDescent="0.3">
      <c r="A126" s="155">
        <v>125</v>
      </c>
      <c r="B126" s="28"/>
      <c r="C126" s="28" t="s">
        <v>585</v>
      </c>
      <c r="D126" s="194">
        <v>1000000</v>
      </c>
      <c r="E126" s="194">
        <v>156000</v>
      </c>
      <c r="F126" s="194">
        <v>0</v>
      </c>
      <c r="G126" s="194">
        <f t="shared" si="17"/>
        <v>1000000</v>
      </c>
      <c r="H126" s="29" t="s">
        <v>453</v>
      </c>
      <c r="I126" s="28" t="s">
        <v>631</v>
      </c>
      <c r="J126" s="30"/>
      <c r="K126" s="30"/>
      <c r="L126" s="30"/>
      <c r="M126" s="30"/>
      <c r="N126" s="30"/>
      <c r="O126" s="30">
        <v>156000</v>
      </c>
      <c r="P126" s="30"/>
      <c r="Q126" s="30"/>
      <c r="R126" s="30"/>
      <c r="S126" s="30"/>
      <c r="T126" s="30"/>
      <c r="U126" s="30"/>
      <c r="V126" s="30"/>
      <c r="W126" s="197">
        <f>SUM(J126:V126)</f>
        <v>156000</v>
      </c>
    </row>
    <row r="127" spans="1:23" x14ac:dyDescent="0.3">
      <c r="A127" s="155">
        <v>126</v>
      </c>
      <c r="B127" s="28"/>
      <c r="C127" s="28" t="s">
        <v>586</v>
      </c>
      <c r="D127" s="194">
        <v>2000000</v>
      </c>
      <c r="E127" s="194">
        <v>308000</v>
      </c>
      <c r="F127" s="194">
        <v>350000</v>
      </c>
      <c r="G127" s="194"/>
      <c r="H127" s="29" t="s">
        <v>452</v>
      </c>
      <c r="I127" s="28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97"/>
    </row>
    <row r="128" spans="1:23" x14ac:dyDescent="0.3">
      <c r="A128" s="155">
        <v>127</v>
      </c>
      <c r="B128" s="28"/>
      <c r="C128" s="28" t="s">
        <v>587</v>
      </c>
      <c r="D128" s="194">
        <v>2000000</v>
      </c>
      <c r="E128" s="194">
        <v>308000</v>
      </c>
      <c r="F128" s="194">
        <v>315000</v>
      </c>
      <c r="G128" s="194"/>
      <c r="H128" s="29" t="s">
        <v>452</v>
      </c>
      <c r="I128" s="28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97"/>
    </row>
    <row r="129" spans="1:23" x14ac:dyDescent="0.3">
      <c r="A129" s="155">
        <v>128</v>
      </c>
      <c r="B129" s="28"/>
      <c r="C129" s="28" t="s">
        <v>588</v>
      </c>
      <c r="D129" s="194">
        <v>8000000</v>
      </c>
      <c r="E129" s="194">
        <v>772000</v>
      </c>
      <c r="F129" s="194">
        <v>0</v>
      </c>
      <c r="G129" s="194">
        <f t="shared" ref="G129:G139" si="18">D129</f>
        <v>8000000</v>
      </c>
      <c r="H129" s="29" t="s">
        <v>453</v>
      </c>
      <c r="I129" s="28" t="s">
        <v>631</v>
      </c>
      <c r="J129" s="30"/>
      <c r="K129" s="30"/>
      <c r="L129" s="30"/>
      <c r="M129" s="30"/>
      <c r="N129" s="30"/>
      <c r="O129" s="30">
        <v>772000</v>
      </c>
      <c r="P129" s="30"/>
      <c r="Q129" s="30"/>
      <c r="R129" s="30"/>
      <c r="S129" s="30"/>
      <c r="T129" s="30"/>
      <c r="U129" s="30"/>
      <c r="V129" s="30"/>
      <c r="W129" s="197">
        <f t="shared" ref="W129:W139" si="19">SUM(J129:V129)</f>
        <v>772000</v>
      </c>
    </row>
    <row r="130" spans="1:23" x14ac:dyDescent="0.3">
      <c r="A130" s="155">
        <v>129</v>
      </c>
      <c r="B130" s="28"/>
      <c r="C130" s="28" t="s">
        <v>589</v>
      </c>
      <c r="D130" s="194">
        <v>7500000</v>
      </c>
      <c r="E130" s="194">
        <v>1160000</v>
      </c>
      <c r="F130" s="194">
        <v>0</v>
      </c>
      <c r="G130" s="194">
        <f t="shared" si="18"/>
        <v>7500000</v>
      </c>
      <c r="H130" s="29" t="s">
        <v>453</v>
      </c>
      <c r="I130" s="28" t="s">
        <v>631</v>
      </c>
      <c r="J130" s="30"/>
      <c r="K130" s="30"/>
      <c r="L130" s="30"/>
      <c r="M130" s="30"/>
      <c r="N130" s="30"/>
      <c r="O130" s="30">
        <v>1160000</v>
      </c>
      <c r="P130" s="30"/>
      <c r="Q130" s="30"/>
      <c r="R130" s="30"/>
      <c r="S130" s="30"/>
      <c r="T130" s="30"/>
      <c r="U130" s="30"/>
      <c r="V130" s="30"/>
      <c r="W130" s="197">
        <f t="shared" si="19"/>
        <v>1160000</v>
      </c>
    </row>
    <row r="131" spans="1:23" x14ac:dyDescent="0.3">
      <c r="A131" s="155">
        <v>130</v>
      </c>
      <c r="B131" s="28"/>
      <c r="C131" s="28" t="s">
        <v>590</v>
      </c>
      <c r="D131" s="194">
        <v>3000000</v>
      </c>
      <c r="E131" s="194">
        <v>156000</v>
      </c>
      <c r="F131" s="194">
        <v>0</v>
      </c>
      <c r="G131" s="194">
        <f t="shared" si="18"/>
        <v>3000000</v>
      </c>
      <c r="H131" s="29" t="s">
        <v>453</v>
      </c>
      <c r="I131" s="28" t="s">
        <v>631</v>
      </c>
      <c r="J131" s="30"/>
      <c r="K131" s="30"/>
      <c r="L131" s="30"/>
      <c r="M131" s="30"/>
      <c r="N131" s="30"/>
      <c r="O131" s="30">
        <v>156000</v>
      </c>
      <c r="P131" s="30"/>
      <c r="Q131" s="30"/>
      <c r="R131" s="30"/>
      <c r="S131" s="30"/>
      <c r="T131" s="30"/>
      <c r="U131" s="30"/>
      <c r="V131" s="30"/>
      <c r="W131" s="197">
        <f t="shared" si="19"/>
        <v>156000</v>
      </c>
    </row>
    <row r="132" spans="1:23" x14ac:dyDescent="0.3">
      <c r="A132" s="155">
        <v>131</v>
      </c>
      <c r="B132" s="28"/>
      <c r="C132" s="28" t="s">
        <v>591</v>
      </c>
      <c r="D132" s="194">
        <v>2000000</v>
      </c>
      <c r="E132" s="194">
        <v>156000</v>
      </c>
      <c r="F132" s="194">
        <v>0</v>
      </c>
      <c r="G132" s="194">
        <f t="shared" si="18"/>
        <v>2000000</v>
      </c>
      <c r="H132" s="29" t="s">
        <v>453</v>
      </c>
      <c r="I132" s="28" t="s">
        <v>631</v>
      </c>
      <c r="J132" s="30"/>
      <c r="K132" s="30"/>
      <c r="L132" s="30"/>
      <c r="M132" s="30"/>
      <c r="N132" s="30"/>
      <c r="O132" s="30">
        <v>156000</v>
      </c>
      <c r="P132" s="30"/>
      <c r="Q132" s="30"/>
      <c r="R132" s="30"/>
      <c r="S132" s="30"/>
      <c r="T132" s="30"/>
      <c r="U132" s="30"/>
      <c r="V132" s="30"/>
      <c r="W132" s="197">
        <f t="shared" si="19"/>
        <v>156000</v>
      </c>
    </row>
    <row r="133" spans="1:23" x14ac:dyDescent="0.3">
      <c r="A133" s="155">
        <v>132</v>
      </c>
      <c r="B133" s="28"/>
      <c r="C133" s="28" t="s">
        <v>592</v>
      </c>
      <c r="D133" s="194">
        <v>2500000</v>
      </c>
      <c r="E133" s="194">
        <v>156000</v>
      </c>
      <c r="F133" s="194">
        <v>0</v>
      </c>
      <c r="G133" s="194">
        <f t="shared" si="18"/>
        <v>2500000</v>
      </c>
      <c r="H133" s="29" t="s">
        <v>453</v>
      </c>
      <c r="I133" s="28" t="s">
        <v>631</v>
      </c>
      <c r="J133" s="30"/>
      <c r="K133" s="30"/>
      <c r="L133" s="30"/>
      <c r="M133" s="30"/>
      <c r="N133" s="30"/>
      <c r="O133" s="30">
        <v>156000</v>
      </c>
      <c r="P133" s="30"/>
      <c r="Q133" s="30"/>
      <c r="R133" s="30"/>
      <c r="S133" s="30"/>
      <c r="T133" s="30"/>
      <c r="U133" s="30"/>
      <c r="V133" s="30"/>
      <c r="W133" s="197">
        <f t="shared" si="19"/>
        <v>156000</v>
      </c>
    </row>
    <row r="134" spans="1:23" x14ac:dyDescent="0.3">
      <c r="A134" s="155">
        <v>133</v>
      </c>
      <c r="B134" s="28"/>
      <c r="C134" s="28" t="s">
        <v>593</v>
      </c>
      <c r="D134" s="194">
        <v>2500000</v>
      </c>
      <c r="E134" s="194">
        <v>156000</v>
      </c>
      <c r="F134" s="194">
        <v>0</v>
      </c>
      <c r="G134" s="194">
        <f t="shared" si="18"/>
        <v>2500000</v>
      </c>
      <c r="H134" s="29" t="s">
        <v>453</v>
      </c>
      <c r="I134" s="28" t="s">
        <v>631</v>
      </c>
      <c r="J134" s="30"/>
      <c r="K134" s="30"/>
      <c r="L134" s="30"/>
      <c r="M134" s="30"/>
      <c r="N134" s="30"/>
      <c r="O134" s="30">
        <v>156000</v>
      </c>
      <c r="P134" s="30"/>
      <c r="Q134" s="30"/>
      <c r="R134" s="30"/>
      <c r="S134" s="30"/>
      <c r="T134" s="30"/>
      <c r="U134" s="30"/>
      <c r="V134" s="30"/>
      <c r="W134" s="197">
        <f t="shared" si="19"/>
        <v>156000</v>
      </c>
    </row>
    <row r="135" spans="1:23" x14ac:dyDescent="0.3">
      <c r="A135" s="155">
        <v>134</v>
      </c>
      <c r="B135" s="28"/>
      <c r="C135" s="28" t="s">
        <v>594</v>
      </c>
      <c r="D135" s="194">
        <v>2500000</v>
      </c>
      <c r="E135" s="194">
        <v>156000</v>
      </c>
      <c r="F135" s="194">
        <v>0</v>
      </c>
      <c r="G135" s="194">
        <f t="shared" si="18"/>
        <v>2500000</v>
      </c>
      <c r="H135" s="29" t="s">
        <v>453</v>
      </c>
      <c r="I135" s="28" t="s">
        <v>631</v>
      </c>
      <c r="J135" s="30"/>
      <c r="K135" s="30"/>
      <c r="L135" s="30"/>
      <c r="M135" s="30"/>
      <c r="N135" s="30"/>
      <c r="O135" s="30">
        <v>156000</v>
      </c>
      <c r="P135" s="30"/>
      <c r="Q135" s="30"/>
      <c r="R135" s="30"/>
      <c r="S135" s="30"/>
      <c r="T135" s="30"/>
      <c r="U135" s="30"/>
      <c r="V135" s="30"/>
      <c r="W135" s="197">
        <f t="shared" si="19"/>
        <v>156000</v>
      </c>
    </row>
    <row r="136" spans="1:23" x14ac:dyDescent="0.3">
      <c r="A136" s="155">
        <v>135</v>
      </c>
      <c r="B136" s="28"/>
      <c r="C136" s="28" t="s">
        <v>595</v>
      </c>
      <c r="D136" s="194">
        <v>2500000</v>
      </c>
      <c r="E136" s="194">
        <v>156000</v>
      </c>
      <c r="F136" s="194">
        <v>0</v>
      </c>
      <c r="G136" s="194">
        <f t="shared" si="18"/>
        <v>2500000</v>
      </c>
      <c r="H136" s="29" t="s">
        <v>453</v>
      </c>
      <c r="I136" s="28" t="s">
        <v>631</v>
      </c>
      <c r="J136" s="30"/>
      <c r="K136" s="30"/>
      <c r="L136" s="30"/>
      <c r="M136" s="30"/>
      <c r="N136" s="30"/>
      <c r="O136" s="30">
        <v>156000</v>
      </c>
      <c r="P136" s="30"/>
      <c r="Q136" s="30"/>
      <c r="R136" s="30"/>
      <c r="S136" s="30"/>
      <c r="T136" s="30"/>
      <c r="U136" s="30"/>
      <c r="V136" s="30"/>
      <c r="W136" s="197">
        <f t="shared" si="19"/>
        <v>156000</v>
      </c>
    </row>
    <row r="137" spans="1:23" x14ac:dyDescent="0.3">
      <c r="A137" s="155">
        <v>136</v>
      </c>
      <c r="B137" s="28"/>
      <c r="C137" s="28" t="s">
        <v>596</v>
      </c>
      <c r="D137" s="194">
        <v>2500000</v>
      </c>
      <c r="E137" s="194">
        <v>156000</v>
      </c>
      <c r="F137" s="194">
        <v>0</v>
      </c>
      <c r="G137" s="194">
        <f t="shared" si="18"/>
        <v>2500000</v>
      </c>
      <c r="H137" s="29" t="s">
        <v>453</v>
      </c>
      <c r="I137" s="28" t="s">
        <v>631</v>
      </c>
      <c r="J137" s="30"/>
      <c r="K137" s="30"/>
      <c r="L137" s="30"/>
      <c r="M137" s="30"/>
      <c r="N137" s="30"/>
      <c r="O137" s="30">
        <v>156000</v>
      </c>
      <c r="P137" s="30"/>
      <c r="Q137" s="30"/>
      <c r="R137" s="30"/>
      <c r="S137" s="30"/>
      <c r="T137" s="30"/>
      <c r="U137" s="30"/>
      <c r="V137" s="30"/>
      <c r="W137" s="197">
        <f t="shared" si="19"/>
        <v>156000</v>
      </c>
    </row>
    <row r="138" spans="1:23" x14ac:dyDescent="0.3">
      <c r="A138" s="155">
        <v>137</v>
      </c>
      <c r="B138" s="28"/>
      <c r="C138" s="28" t="s">
        <v>597</v>
      </c>
      <c r="D138" s="194">
        <v>2500000</v>
      </c>
      <c r="E138" s="194">
        <v>156000</v>
      </c>
      <c r="F138" s="194">
        <v>0</v>
      </c>
      <c r="G138" s="194">
        <f t="shared" si="18"/>
        <v>2500000</v>
      </c>
      <c r="H138" s="29" t="s">
        <v>453</v>
      </c>
      <c r="I138" s="28" t="s">
        <v>631</v>
      </c>
      <c r="J138" s="30"/>
      <c r="K138" s="30"/>
      <c r="L138" s="30"/>
      <c r="M138" s="30"/>
      <c r="N138" s="30"/>
      <c r="O138" s="30">
        <v>156000</v>
      </c>
      <c r="P138" s="30"/>
      <c r="Q138" s="30"/>
      <c r="R138" s="30"/>
      <c r="S138" s="30"/>
      <c r="T138" s="30"/>
      <c r="U138" s="30"/>
      <c r="V138" s="30"/>
      <c r="W138" s="197">
        <f t="shared" si="19"/>
        <v>156000</v>
      </c>
    </row>
    <row r="139" spans="1:23" x14ac:dyDescent="0.3">
      <c r="A139" s="155">
        <v>138</v>
      </c>
      <c r="B139" s="28"/>
      <c r="C139" s="28" t="s">
        <v>598</v>
      </c>
      <c r="D139" s="194">
        <v>5000000</v>
      </c>
      <c r="E139" s="194">
        <v>156000</v>
      </c>
      <c r="F139" s="194">
        <v>0</v>
      </c>
      <c r="G139" s="194">
        <f t="shared" si="18"/>
        <v>5000000</v>
      </c>
      <c r="H139" s="29" t="s">
        <v>453</v>
      </c>
      <c r="I139" s="28" t="s">
        <v>631</v>
      </c>
      <c r="J139" s="30"/>
      <c r="K139" s="30"/>
      <c r="L139" s="30"/>
      <c r="M139" s="30"/>
      <c r="N139" s="30"/>
      <c r="O139" s="30">
        <v>156000</v>
      </c>
      <c r="P139" s="30"/>
      <c r="Q139" s="30"/>
      <c r="R139" s="30"/>
      <c r="S139" s="30"/>
      <c r="T139" s="30"/>
      <c r="U139" s="30"/>
      <c r="V139" s="30"/>
      <c r="W139" s="197">
        <f t="shared" si="19"/>
        <v>156000</v>
      </c>
    </row>
    <row r="140" spans="1:23" x14ac:dyDescent="0.3">
      <c r="A140" s="155">
        <v>139</v>
      </c>
      <c r="B140" s="28"/>
      <c r="C140" s="28" t="s">
        <v>599</v>
      </c>
      <c r="D140" s="194">
        <v>6000000</v>
      </c>
      <c r="E140" s="194">
        <v>156000</v>
      </c>
      <c r="F140" s="194">
        <v>200000</v>
      </c>
      <c r="G140" s="194"/>
      <c r="H140" s="29" t="s">
        <v>452</v>
      </c>
      <c r="I140" s="28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97"/>
    </row>
    <row r="141" spans="1:23" x14ac:dyDescent="0.3">
      <c r="A141" s="155">
        <v>140</v>
      </c>
      <c r="B141" s="28"/>
      <c r="C141" s="28" t="s">
        <v>600</v>
      </c>
      <c r="D141" s="194">
        <v>4000000</v>
      </c>
      <c r="E141" s="194">
        <v>156000</v>
      </c>
      <c r="F141" s="194">
        <v>0</v>
      </c>
      <c r="G141" s="194">
        <f t="shared" ref="G141:G154" si="20">D141</f>
        <v>4000000</v>
      </c>
      <c r="H141" s="29" t="s">
        <v>453</v>
      </c>
      <c r="I141" s="28" t="s">
        <v>631</v>
      </c>
      <c r="J141" s="30"/>
      <c r="K141" s="30"/>
      <c r="L141" s="30"/>
      <c r="M141" s="30"/>
      <c r="N141" s="30"/>
      <c r="O141" s="30">
        <v>156000</v>
      </c>
      <c r="P141" s="30"/>
      <c r="Q141" s="30"/>
      <c r="R141" s="30"/>
      <c r="S141" s="30"/>
      <c r="T141" s="30"/>
      <c r="U141" s="30"/>
      <c r="V141" s="30"/>
      <c r="W141" s="197">
        <f t="shared" ref="W141:W154" si="21">SUM(J141:V141)</f>
        <v>156000</v>
      </c>
    </row>
    <row r="142" spans="1:23" x14ac:dyDescent="0.3">
      <c r="A142" s="155">
        <v>141</v>
      </c>
      <c r="B142" s="28"/>
      <c r="C142" s="28" t="s">
        <v>601</v>
      </c>
      <c r="D142" s="194">
        <v>3000000</v>
      </c>
      <c r="E142" s="194">
        <v>156000</v>
      </c>
      <c r="F142" s="194">
        <v>0</v>
      </c>
      <c r="G142" s="194">
        <f t="shared" si="20"/>
        <v>3000000</v>
      </c>
      <c r="H142" s="29" t="s">
        <v>453</v>
      </c>
      <c r="I142" s="28" t="s">
        <v>631</v>
      </c>
      <c r="J142" s="30"/>
      <c r="K142" s="30"/>
      <c r="L142" s="30"/>
      <c r="M142" s="30"/>
      <c r="N142" s="30"/>
      <c r="O142" s="30">
        <v>156000</v>
      </c>
      <c r="P142" s="30"/>
      <c r="Q142" s="30"/>
      <c r="R142" s="30"/>
      <c r="S142" s="30"/>
      <c r="T142" s="30"/>
      <c r="U142" s="30"/>
      <c r="V142" s="30"/>
      <c r="W142" s="197">
        <f t="shared" si="21"/>
        <v>156000</v>
      </c>
    </row>
    <row r="143" spans="1:23" x14ac:dyDescent="0.3">
      <c r="A143" s="155">
        <v>142</v>
      </c>
      <c r="B143" s="28"/>
      <c r="C143" s="28" t="s">
        <v>602</v>
      </c>
      <c r="D143" s="194">
        <v>1500000</v>
      </c>
      <c r="E143" s="194">
        <v>156000</v>
      </c>
      <c r="F143" s="194">
        <v>0</v>
      </c>
      <c r="G143" s="194">
        <f t="shared" si="20"/>
        <v>1500000</v>
      </c>
      <c r="H143" s="29" t="s">
        <v>453</v>
      </c>
      <c r="I143" s="28" t="s">
        <v>631</v>
      </c>
      <c r="J143" s="30"/>
      <c r="K143" s="30"/>
      <c r="L143" s="30"/>
      <c r="M143" s="30"/>
      <c r="N143" s="30"/>
      <c r="O143" s="30">
        <v>156000</v>
      </c>
      <c r="P143" s="30"/>
      <c r="Q143" s="30"/>
      <c r="R143" s="30"/>
      <c r="S143" s="30"/>
      <c r="T143" s="30"/>
      <c r="U143" s="30"/>
      <c r="V143" s="30"/>
      <c r="W143" s="197">
        <f t="shared" si="21"/>
        <v>156000</v>
      </c>
    </row>
    <row r="144" spans="1:23" x14ac:dyDescent="0.3">
      <c r="A144" s="155">
        <v>143</v>
      </c>
      <c r="B144" s="28"/>
      <c r="C144" s="28" t="s">
        <v>603</v>
      </c>
      <c r="D144" s="194">
        <v>2500000</v>
      </c>
      <c r="E144" s="194">
        <v>156000</v>
      </c>
      <c r="F144" s="194">
        <v>0</v>
      </c>
      <c r="G144" s="194">
        <f t="shared" si="20"/>
        <v>2500000</v>
      </c>
      <c r="H144" s="29" t="s">
        <v>453</v>
      </c>
      <c r="I144" s="28" t="s">
        <v>631</v>
      </c>
      <c r="J144" s="30"/>
      <c r="K144" s="30"/>
      <c r="L144" s="30"/>
      <c r="M144" s="30"/>
      <c r="N144" s="30"/>
      <c r="O144" s="30">
        <v>156000</v>
      </c>
      <c r="P144" s="30"/>
      <c r="Q144" s="30"/>
      <c r="R144" s="30"/>
      <c r="S144" s="30"/>
      <c r="T144" s="30"/>
      <c r="U144" s="30"/>
      <c r="V144" s="30"/>
      <c r="W144" s="197">
        <f t="shared" si="21"/>
        <v>156000</v>
      </c>
    </row>
    <row r="145" spans="1:23" x14ac:dyDescent="0.3">
      <c r="A145" s="155">
        <v>144</v>
      </c>
      <c r="B145" s="28"/>
      <c r="C145" s="28" t="s">
        <v>604</v>
      </c>
      <c r="D145" s="194">
        <v>1000000</v>
      </c>
      <c r="E145" s="194">
        <v>156000</v>
      </c>
      <c r="F145" s="194">
        <v>0</v>
      </c>
      <c r="G145" s="194">
        <f t="shared" si="20"/>
        <v>1000000</v>
      </c>
      <c r="H145" s="29" t="s">
        <v>453</v>
      </c>
      <c r="I145" s="28" t="s">
        <v>631</v>
      </c>
      <c r="J145" s="30"/>
      <c r="K145" s="30"/>
      <c r="L145" s="30"/>
      <c r="M145" s="30"/>
      <c r="N145" s="30"/>
      <c r="O145" s="30">
        <v>156000</v>
      </c>
      <c r="P145" s="30"/>
      <c r="Q145" s="30"/>
      <c r="R145" s="30"/>
      <c r="S145" s="30"/>
      <c r="T145" s="30"/>
      <c r="U145" s="30"/>
      <c r="V145" s="30"/>
      <c r="W145" s="197">
        <f t="shared" si="21"/>
        <v>156000</v>
      </c>
    </row>
    <row r="146" spans="1:23" x14ac:dyDescent="0.3">
      <c r="A146" s="155">
        <v>145</v>
      </c>
      <c r="B146" s="28"/>
      <c r="C146" s="28" t="s">
        <v>605</v>
      </c>
      <c r="D146" s="194">
        <v>1000000</v>
      </c>
      <c r="E146" s="194">
        <v>156000</v>
      </c>
      <c r="F146" s="194">
        <v>0</v>
      </c>
      <c r="G146" s="194">
        <f t="shared" si="20"/>
        <v>1000000</v>
      </c>
      <c r="H146" s="29" t="s">
        <v>453</v>
      </c>
      <c r="I146" s="28" t="s">
        <v>631</v>
      </c>
      <c r="J146" s="30"/>
      <c r="K146" s="30"/>
      <c r="L146" s="30"/>
      <c r="M146" s="30"/>
      <c r="N146" s="30"/>
      <c r="O146" s="30">
        <v>156000</v>
      </c>
      <c r="P146" s="30"/>
      <c r="Q146" s="30"/>
      <c r="R146" s="30"/>
      <c r="S146" s="30"/>
      <c r="T146" s="30"/>
      <c r="U146" s="30"/>
      <c r="V146" s="30"/>
      <c r="W146" s="197">
        <f t="shared" si="21"/>
        <v>156000</v>
      </c>
    </row>
    <row r="147" spans="1:23" x14ac:dyDescent="0.3">
      <c r="A147" s="155">
        <v>146</v>
      </c>
      <c r="B147" s="28"/>
      <c r="C147" s="28" t="s">
        <v>606</v>
      </c>
      <c r="D147" s="194">
        <v>1500000</v>
      </c>
      <c r="E147" s="194">
        <v>156000</v>
      </c>
      <c r="F147" s="194">
        <v>0</v>
      </c>
      <c r="G147" s="194">
        <f t="shared" si="20"/>
        <v>1500000</v>
      </c>
      <c r="H147" s="29" t="s">
        <v>453</v>
      </c>
      <c r="I147" s="28" t="s">
        <v>631</v>
      </c>
      <c r="J147" s="30"/>
      <c r="K147" s="30"/>
      <c r="L147" s="30"/>
      <c r="M147" s="30"/>
      <c r="N147" s="30"/>
      <c r="O147" s="30">
        <v>156000</v>
      </c>
      <c r="P147" s="30"/>
      <c r="Q147" s="30"/>
      <c r="R147" s="30"/>
      <c r="S147" s="30"/>
      <c r="T147" s="30"/>
      <c r="U147" s="30"/>
      <c r="V147" s="30"/>
      <c r="W147" s="197">
        <f t="shared" si="21"/>
        <v>156000</v>
      </c>
    </row>
    <row r="148" spans="1:23" x14ac:dyDescent="0.3">
      <c r="A148" s="155">
        <v>147</v>
      </c>
      <c r="B148" s="28"/>
      <c r="C148" s="28" t="s">
        <v>607</v>
      </c>
      <c r="D148" s="194">
        <v>1500000</v>
      </c>
      <c r="E148" s="194">
        <v>156000</v>
      </c>
      <c r="F148" s="194">
        <v>0</v>
      </c>
      <c r="G148" s="194">
        <f t="shared" si="20"/>
        <v>1500000</v>
      </c>
      <c r="H148" s="29" t="s">
        <v>453</v>
      </c>
      <c r="I148" s="28" t="s">
        <v>631</v>
      </c>
      <c r="J148" s="30"/>
      <c r="K148" s="30"/>
      <c r="L148" s="30"/>
      <c r="M148" s="30"/>
      <c r="N148" s="30"/>
      <c r="O148" s="30">
        <v>156000</v>
      </c>
      <c r="P148" s="30"/>
      <c r="Q148" s="30"/>
      <c r="R148" s="30"/>
      <c r="S148" s="30"/>
      <c r="T148" s="30"/>
      <c r="U148" s="30"/>
      <c r="V148" s="30"/>
      <c r="W148" s="197">
        <f t="shared" si="21"/>
        <v>156000</v>
      </c>
    </row>
    <row r="149" spans="1:23" x14ac:dyDescent="0.3">
      <c r="A149" s="155">
        <v>148</v>
      </c>
      <c r="B149" s="28"/>
      <c r="C149" s="28" t="s">
        <v>608</v>
      </c>
      <c r="D149" s="194">
        <v>1500000</v>
      </c>
      <c r="E149" s="194">
        <v>156000</v>
      </c>
      <c r="F149" s="194">
        <v>0</v>
      </c>
      <c r="G149" s="194">
        <f t="shared" si="20"/>
        <v>1500000</v>
      </c>
      <c r="H149" s="29" t="s">
        <v>453</v>
      </c>
      <c r="I149" s="28" t="s">
        <v>631</v>
      </c>
      <c r="J149" s="30"/>
      <c r="K149" s="30"/>
      <c r="L149" s="30"/>
      <c r="M149" s="30"/>
      <c r="N149" s="30"/>
      <c r="O149" s="30">
        <v>156000</v>
      </c>
      <c r="P149" s="30"/>
      <c r="Q149" s="30"/>
      <c r="R149" s="30"/>
      <c r="S149" s="30"/>
      <c r="T149" s="30"/>
      <c r="U149" s="30"/>
      <c r="V149" s="30"/>
      <c r="W149" s="197">
        <f t="shared" si="21"/>
        <v>156000</v>
      </c>
    </row>
    <row r="150" spans="1:23" x14ac:dyDescent="0.3">
      <c r="A150" s="155">
        <v>149</v>
      </c>
      <c r="B150" s="28"/>
      <c r="C150" s="28" t="s">
        <v>609</v>
      </c>
      <c r="D150" s="194">
        <v>3000000</v>
      </c>
      <c r="E150" s="194">
        <v>156000</v>
      </c>
      <c r="F150" s="194">
        <v>0</v>
      </c>
      <c r="G150" s="194">
        <f t="shared" si="20"/>
        <v>3000000</v>
      </c>
      <c r="H150" s="29" t="s">
        <v>453</v>
      </c>
      <c r="I150" s="28" t="s">
        <v>631</v>
      </c>
      <c r="J150" s="30"/>
      <c r="K150" s="30"/>
      <c r="L150" s="30"/>
      <c r="M150" s="30"/>
      <c r="N150" s="30"/>
      <c r="O150" s="30">
        <v>156000</v>
      </c>
      <c r="P150" s="30"/>
      <c r="Q150" s="30"/>
      <c r="R150" s="30"/>
      <c r="S150" s="30"/>
      <c r="T150" s="30"/>
      <c r="U150" s="30"/>
      <c r="V150" s="30"/>
      <c r="W150" s="197">
        <f t="shared" si="21"/>
        <v>156000</v>
      </c>
    </row>
    <row r="151" spans="1:23" x14ac:dyDescent="0.3">
      <c r="A151" s="155">
        <v>150</v>
      </c>
      <c r="B151" s="28"/>
      <c r="C151" s="28" t="s">
        <v>610</v>
      </c>
      <c r="D151" s="194">
        <v>1000000</v>
      </c>
      <c r="E151" s="194">
        <v>156000</v>
      </c>
      <c r="F151" s="194">
        <v>0</v>
      </c>
      <c r="G151" s="194">
        <f t="shared" si="20"/>
        <v>1000000</v>
      </c>
      <c r="H151" s="29" t="s">
        <v>453</v>
      </c>
      <c r="I151" s="28" t="s">
        <v>631</v>
      </c>
      <c r="J151" s="30"/>
      <c r="K151" s="30"/>
      <c r="L151" s="30"/>
      <c r="M151" s="30"/>
      <c r="N151" s="30"/>
      <c r="O151" s="30">
        <v>156000</v>
      </c>
      <c r="P151" s="30"/>
      <c r="Q151" s="30"/>
      <c r="R151" s="30"/>
      <c r="S151" s="30"/>
      <c r="T151" s="30"/>
      <c r="U151" s="30"/>
      <c r="V151" s="30"/>
      <c r="W151" s="197">
        <f t="shared" si="21"/>
        <v>156000</v>
      </c>
    </row>
    <row r="152" spans="1:23" x14ac:dyDescent="0.3">
      <c r="A152" s="155">
        <v>151</v>
      </c>
      <c r="B152" s="28"/>
      <c r="C152" s="28" t="s">
        <v>611</v>
      </c>
      <c r="D152" s="194">
        <v>1500000</v>
      </c>
      <c r="E152" s="194">
        <v>156000</v>
      </c>
      <c r="F152" s="194">
        <v>0</v>
      </c>
      <c r="G152" s="194">
        <f t="shared" si="20"/>
        <v>1500000</v>
      </c>
      <c r="H152" s="29" t="s">
        <v>453</v>
      </c>
      <c r="I152" s="28" t="s">
        <v>631</v>
      </c>
      <c r="J152" s="30"/>
      <c r="K152" s="30"/>
      <c r="L152" s="30"/>
      <c r="M152" s="30"/>
      <c r="N152" s="30"/>
      <c r="O152" s="30">
        <v>156000</v>
      </c>
      <c r="P152" s="30"/>
      <c r="Q152" s="30"/>
      <c r="R152" s="30"/>
      <c r="S152" s="30"/>
      <c r="T152" s="30"/>
      <c r="U152" s="30"/>
      <c r="V152" s="30"/>
      <c r="W152" s="197">
        <f t="shared" si="21"/>
        <v>156000</v>
      </c>
    </row>
    <row r="153" spans="1:23" x14ac:dyDescent="0.3">
      <c r="A153" s="155">
        <v>152</v>
      </c>
      <c r="B153" s="28"/>
      <c r="C153" s="28" t="s">
        <v>612</v>
      </c>
      <c r="D153" s="194">
        <v>2000000</v>
      </c>
      <c r="E153" s="194">
        <v>156000</v>
      </c>
      <c r="F153" s="194">
        <v>0</v>
      </c>
      <c r="G153" s="194">
        <f t="shared" si="20"/>
        <v>2000000</v>
      </c>
      <c r="H153" s="29" t="s">
        <v>453</v>
      </c>
      <c r="I153" s="28" t="s">
        <v>631</v>
      </c>
      <c r="J153" s="30"/>
      <c r="K153" s="30"/>
      <c r="L153" s="30"/>
      <c r="M153" s="30"/>
      <c r="N153" s="30"/>
      <c r="O153" s="30">
        <v>156000</v>
      </c>
      <c r="P153" s="30"/>
      <c r="Q153" s="30"/>
      <c r="R153" s="30"/>
      <c r="S153" s="30"/>
      <c r="T153" s="30"/>
      <c r="U153" s="30"/>
      <c r="V153" s="30"/>
      <c r="W153" s="197">
        <f t="shared" si="21"/>
        <v>156000</v>
      </c>
    </row>
    <row r="154" spans="1:23" x14ac:dyDescent="0.3">
      <c r="A154" s="155">
        <v>153</v>
      </c>
      <c r="B154" s="28"/>
      <c r="C154" s="28" t="s">
        <v>613</v>
      </c>
      <c r="D154" s="194">
        <v>2000000</v>
      </c>
      <c r="E154" s="194">
        <v>156000</v>
      </c>
      <c r="F154" s="194">
        <v>0</v>
      </c>
      <c r="G154" s="194">
        <f t="shared" si="20"/>
        <v>2000000</v>
      </c>
      <c r="H154" s="29" t="s">
        <v>453</v>
      </c>
      <c r="I154" s="28" t="s">
        <v>631</v>
      </c>
      <c r="J154" s="30"/>
      <c r="K154" s="30"/>
      <c r="L154" s="30"/>
      <c r="M154" s="30"/>
      <c r="N154" s="30"/>
      <c r="O154" s="30">
        <v>156000</v>
      </c>
      <c r="P154" s="30"/>
      <c r="Q154" s="30"/>
      <c r="R154" s="30"/>
      <c r="S154" s="30"/>
      <c r="T154" s="30"/>
      <c r="U154" s="30"/>
      <c r="V154" s="30"/>
      <c r="W154" s="197">
        <f t="shared" si="21"/>
        <v>156000</v>
      </c>
    </row>
    <row r="155" spans="1:23" x14ac:dyDescent="0.3">
      <c r="A155" s="155">
        <v>154</v>
      </c>
      <c r="B155" s="28"/>
      <c r="C155" s="28" t="s">
        <v>614</v>
      </c>
      <c r="D155" s="194">
        <v>2000000</v>
      </c>
      <c r="E155" s="194">
        <v>308000</v>
      </c>
      <c r="F155" s="194">
        <v>320000</v>
      </c>
      <c r="G155" s="194"/>
      <c r="H155" s="29" t="s">
        <v>452</v>
      </c>
      <c r="I155" s="28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97"/>
    </row>
    <row r="156" spans="1:23" x14ac:dyDescent="0.3">
      <c r="A156" s="155">
        <v>155</v>
      </c>
      <c r="B156" s="28"/>
      <c r="C156" s="28" t="s">
        <v>615</v>
      </c>
      <c r="D156" s="194">
        <v>2000000</v>
      </c>
      <c r="E156" s="194">
        <v>156000</v>
      </c>
      <c r="F156" s="194">
        <v>0</v>
      </c>
      <c r="G156" s="194">
        <f t="shared" ref="G156:G160" si="22">D156</f>
        <v>2000000</v>
      </c>
      <c r="H156" s="29" t="s">
        <v>453</v>
      </c>
      <c r="I156" s="28" t="s">
        <v>631</v>
      </c>
      <c r="J156" s="30"/>
      <c r="K156" s="30"/>
      <c r="L156" s="30"/>
      <c r="M156" s="30"/>
      <c r="N156" s="30"/>
      <c r="O156" s="30">
        <v>156000</v>
      </c>
      <c r="P156" s="30"/>
      <c r="Q156" s="30"/>
      <c r="R156" s="30"/>
      <c r="S156" s="30"/>
      <c r="T156" s="30"/>
      <c r="U156" s="30"/>
      <c r="V156" s="30"/>
      <c r="W156" s="197">
        <f>SUM(J156:V156)</f>
        <v>156000</v>
      </c>
    </row>
    <row r="157" spans="1:23" x14ac:dyDescent="0.3">
      <c r="A157" s="155">
        <v>156</v>
      </c>
      <c r="B157" s="28"/>
      <c r="C157" s="28" t="s">
        <v>616</v>
      </c>
      <c r="D157" s="194">
        <v>1000000</v>
      </c>
      <c r="E157" s="194">
        <v>156000</v>
      </c>
      <c r="F157" s="194">
        <v>0</v>
      </c>
      <c r="G157" s="194">
        <f t="shared" si="22"/>
        <v>1000000</v>
      </c>
      <c r="H157" s="29" t="s">
        <v>453</v>
      </c>
      <c r="I157" s="28" t="s">
        <v>631</v>
      </c>
      <c r="J157" s="30"/>
      <c r="K157" s="30"/>
      <c r="L157" s="30"/>
      <c r="M157" s="30"/>
      <c r="N157" s="30"/>
      <c r="O157" s="30">
        <v>156000</v>
      </c>
      <c r="P157" s="30"/>
      <c r="Q157" s="30"/>
      <c r="R157" s="30"/>
      <c r="S157" s="30"/>
      <c r="T157" s="30"/>
      <c r="U157" s="30"/>
      <c r="V157" s="30"/>
      <c r="W157" s="197">
        <f>SUM(J157:V157)</f>
        <v>156000</v>
      </c>
    </row>
    <row r="158" spans="1:23" x14ac:dyDescent="0.3">
      <c r="A158" s="155">
        <v>157</v>
      </c>
      <c r="B158" s="28"/>
      <c r="C158" s="28" t="s">
        <v>617</v>
      </c>
      <c r="D158" s="194">
        <v>1000000</v>
      </c>
      <c r="E158" s="194">
        <v>156000</v>
      </c>
      <c r="F158" s="194">
        <v>0</v>
      </c>
      <c r="G158" s="194">
        <f t="shared" si="22"/>
        <v>1000000</v>
      </c>
      <c r="H158" s="29" t="s">
        <v>453</v>
      </c>
      <c r="I158" s="28" t="s">
        <v>631</v>
      </c>
      <c r="J158" s="30"/>
      <c r="K158" s="30"/>
      <c r="L158" s="30"/>
      <c r="M158" s="30"/>
      <c r="N158" s="30"/>
      <c r="O158" s="30">
        <v>156000</v>
      </c>
      <c r="P158" s="30"/>
      <c r="Q158" s="30"/>
      <c r="R158" s="30"/>
      <c r="S158" s="30"/>
      <c r="T158" s="30"/>
      <c r="U158" s="30"/>
      <c r="V158" s="30"/>
      <c r="W158" s="197">
        <f>SUM(J158:V158)</f>
        <v>156000</v>
      </c>
    </row>
    <row r="159" spans="1:23" x14ac:dyDescent="0.3">
      <c r="A159" s="155">
        <v>158</v>
      </c>
      <c r="B159" s="28"/>
      <c r="C159" s="28" t="s">
        <v>618</v>
      </c>
      <c r="D159" s="194">
        <v>1500000</v>
      </c>
      <c r="E159" s="194">
        <v>156000</v>
      </c>
      <c r="F159" s="194">
        <v>0</v>
      </c>
      <c r="G159" s="194">
        <f t="shared" si="22"/>
        <v>1500000</v>
      </c>
      <c r="H159" s="29" t="s">
        <v>453</v>
      </c>
      <c r="I159" s="28" t="s">
        <v>631</v>
      </c>
      <c r="J159" s="30"/>
      <c r="K159" s="30"/>
      <c r="L159" s="30"/>
      <c r="M159" s="30"/>
      <c r="N159" s="30"/>
      <c r="O159" s="30">
        <v>156000</v>
      </c>
      <c r="P159" s="30"/>
      <c r="Q159" s="30"/>
      <c r="R159" s="30"/>
      <c r="S159" s="30"/>
      <c r="T159" s="30"/>
      <c r="U159" s="30"/>
      <c r="V159" s="30"/>
      <c r="W159" s="197">
        <f>SUM(J159:V159)</f>
        <v>156000</v>
      </c>
    </row>
    <row r="160" spans="1:23" x14ac:dyDescent="0.3">
      <c r="A160" s="155">
        <v>159</v>
      </c>
      <c r="B160" s="28"/>
      <c r="C160" s="28" t="s">
        <v>619</v>
      </c>
      <c r="D160" s="194">
        <v>1000000</v>
      </c>
      <c r="E160" s="194">
        <v>156000</v>
      </c>
      <c r="F160" s="194">
        <v>0</v>
      </c>
      <c r="G160" s="194">
        <f t="shared" si="22"/>
        <v>1000000</v>
      </c>
      <c r="H160" s="29" t="s">
        <v>453</v>
      </c>
      <c r="I160" s="28" t="s">
        <v>631</v>
      </c>
      <c r="J160" s="30"/>
      <c r="K160" s="30"/>
      <c r="L160" s="30"/>
      <c r="M160" s="30"/>
      <c r="N160" s="30"/>
      <c r="O160" s="30">
        <v>156000</v>
      </c>
      <c r="P160" s="30"/>
      <c r="Q160" s="30"/>
      <c r="R160" s="30"/>
      <c r="S160" s="30"/>
      <c r="T160" s="30"/>
      <c r="U160" s="30"/>
      <c r="V160" s="30"/>
      <c r="W160" s="197">
        <f>SUM(J160:V160)</f>
        <v>156000</v>
      </c>
    </row>
    <row r="161" spans="1:23" x14ac:dyDescent="0.3">
      <c r="A161" s="155">
        <v>160</v>
      </c>
      <c r="B161" s="28"/>
      <c r="C161" s="28" t="s">
        <v>620</v>
      </c>
      <c r="D161" s="194">
        <v>9757500</v>
      </c>
      <c r="E161" s="194">
        <v>176000</v>
      </c>
      <c r="F161" s="194">
        <v>200000</v>
      </c>
      <c r="G161" s="194"/>
      <c r="H161" s="29" t="s">
        <v>452</v>
      </c>
      <c r="I161" s="28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97"/>
    </row>
    <row r="162" spans="1:23" x14ac:dyDescent="0.3">
      <c r="A162" s="155">
        <v>161</v>
      </c>
      <c r="B162" s="28"/>
      <c r="C162" s="28" t="s">
        <v>621</v>
      </c>
      <c r="D162" s="194">
        <v>5145000</v>
      </c>
      <c r="E162" s="194">
        <v>796000</v>
      </c>
      <c r="F162" s="194">
        <v>0</v>
      </c>
      <c r="G162" s="194">
        <f t="shared" ref="G162:G163" si="23">D162</f>
        <v>5145000</v>
      </c>
      <c r="H162" s="29" t="s">
        <v>453</v>
      </c>
      <c r="I162" s="28" t="s">
        <v>631</v>
      </c>
      <c r="J162" s="30"/>
      <c r="K162" s="30"/>
      <c r="L162" s="30"/>
      <c r="M162" s="30"/>
      <c r="N162" s="30"/>
      <c r="O162" s="30">
        <v>796000</v>
      </c>
      <c r="P162" s="30"/>
      <c r="Q162" s="30"/>
      <c r="R162" s="30"/>
      <c r="S162" s="30"/>
      <c r="T162" s="30"/>
      <c r="U162" s="30"/>
      <c r="V162" s="30"/>
      <c r="W162" s="197">
        <f>SUM(J162:V162)</f>
        <v>796000</v>
      </c>
    </row>
    <row r="163" spans="1:23" x14ac:dyDescent="0.3">
      <c r="A163" s="155">
        <v>162</v>
      </c>
      <c r="B163" s="28"/>
      <c r="C163" s="28" t="s">
        <v>622</v>
      </c>
      <c r="D163" s="194">
        <v>11800000</v>
      </c>
      <c r="E163" s="194">
        <v>1824000</v>
      </c>
      <c r="F163" s="194">
        <v>0</v>
      </c>
      <c r="G163" s="194">
        <f t="shared" si="23"/>
        <v>11800000</v>
      </c>
      <c r="H163" s="29" t="s">
        <v>453</v>
      </c>
      <c r="I163" s="28" t="s">
        <v>631</v>
      </c>
      <c r="J163" s="30"/>
      <c r="K163" s="30"/>
      <c r="L163" s="30"/>
      <c r="M163" s="30"/>
      <c r="N163" s="30"/>
      <c r="O163" s="30">
        <v>1824000</v>
      </c>
      <c r="P163" s="30"/>
      <c r="Q163" s="30"/>
      <c r="R163" s="30"/>
      <c r="S163" s="30"/>
      <c r="T163" s="30"/>
      <c r="U163" s="30"/>
      <c r="V163" s="30"/>
      <c r="W163" s="197">
        <f>SUM(J163:V163)</f>
        <v>1824000</v>
      </c>
    </row>
    <row r="164" spans="1:23" x14ac:dyDescent="0.3">
      <c r="A164" s="155">
        <v>163</v>
      </c>
      <c r="B164" s="28"/>
      <c r="C164" s="28" t="s">
        <v>623</v>
      </c>
      <c r="D164" s="194">
        <v>13000000</v>
      </c>
      <c r="E164" s="194">
        <v>2008000</v>
      </c>
      <c r="F164" s="194">
        <v>2100000</v>
      </c>
      <c r="G164" s="194"/>
      <c r="H164" s="29" t="s">
        <v>452</v>
      </c>
      <c r="I164" s="28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97"/>
    </row>
    <row r="165" spans="1:23" x14ac:dyDescent="0.3">
      <c r="A165" s="155">
        <v>164</v>
      </c>
      <c r="B165" s="28"/>
      <c r="C165" s="28" t="s">
        <v>624</v>
      </c>
      <c r="D165" s="194">
        <v>4930000</v>
      </c>
      <c r="E165" s="194">
        <v>760000</v>
      </c>
      <c r="F165" s="194">
        <v>800000</v>
      </c>
      <c r="G165" s="194"/>
      <c r="H165" s="29" t="s">
        <v>452</v>
      </c>
      <c r="I165" s="28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97"/>
    </row>
    <row r="166" spans="1:23" x14ac:dyDescent="0.3">
      <c r="A166" s="155">
        <v>165</v>
      </c>
      <c r="B166" s="28"/>
      <c r="C166" s="28" t="s">
        <v>625</v>
      </c>
      <c r="D166" s="194">
        <v>6020000</v>
      </c>
      <c r="E166" s="194">
        <v>928000</v>
      </c>
      <c r="F166" s="194">
        <v>0</v>
      </c>
      <c r="G166" s="194">
        <f t="shared" ref="G166:G207" si="24">D166</f>
        <v>6020000</v>
      </c>
      <c r="H166" s="29" t="s">
        <v>453</v>
      </c>
      <c r="I166" s="28" t="s">
        <v>631</v>
      </c>
      <c r="J166" s="30"/>
      <c r="K166" s="30"/>
      <c r="L166" s="30"/>
      <c r="M166" s="30"/>
      <c r="N166" s="30"/>
      <c r="O166" s="194">
        <v>928000</v>
      </c>
      <c r="P166" s="30"/>
      <c r="Q166" s="30"/>
      <c r="R166" s="30"/>
      <c r="S166" s="30"/>
      <c r="T166" s="30"/>
      <c r="U166" s="30"/>
      <c r="V166" s="30"/>
      <c r="W166" s="197">
        <f t="shared" ref="W166:W207" si="25">SUM(J166:V166)</f>
        <v>928000</v>
      </c>
    </row>
    <row r="167" spans="1:23" x14ac:dyDescent="0.3">
      <c r="A167" s="155">
        <v>166</v>
      </c>
      <c r="B167" s="28"/>
      <c r="C167" s="28" t="s">
        <v>626</v>
      </c>
      <c r="D167" s="194">
        <v>15000000</v>
      </c>
      <c r="E167" s="194">
        <v>675000</v>
      </c>
      <c r="F167" s="194">
        <v>0</v>
      </c>
      <c r="G167" s="194">
        <f t="shared" si="24"/>
        <v>15000000</v>
      </c>
      <c r="H167" s="29" t="s">
        <v>453</v>
      </c>
      <c r="I167" s="28" t="s">
        <v>631</v>
      </c>
      <c r="J167" s="30"/>
      <c r="K167" s="30"/>
      <c r="L167" s="30"/>
      <c r="M167" s="30"/>
      <c r="N167" s="30"/>
      <c r="O167" s="30">
        <v>675000</v>
      </c>
      <c r="P167" s="30"/>
      <c r="Q167" s="30"/>
      <c r="R167" s="30"/>
      <c r="S167" s="30"/>
      <c r="T167" s="30"/>
      <c r="U167" s="30"/>
      <c r="V167" s="30"/>
      <c r="W167" s="197">
        <f t="shared" si="25"/>
        <v>675000</v>
      </c>
    </row>
    <row r="168" spans="1:23" x14ac:dyDescent="0.3">
      <c r="A168" s="155">
        <v>167</v>
      </c>
      <c r="B168" s="28"/>
      <c r="C168" s="28" t="s">
        <v>627</v>
      </c>
      <c r="D168" s="194">
        <v>10000000</v>
      </c>
      <c r="E168" s="194">
        <v>900000</v>
      </c>
      <c r="F168" s="194">
        <v>0</v>
      </c>
      <c r="G168" s="194">
        <f t="shared" si="24"/>
        <v>10000000</v>
      </c>
      <c r="H168" s="29" t="s">
        <v>453</v>
      </c>
      <c r="I168" s="28" t="s">
        <v>631</v>
      </c>
      <c r="J168" s="30"/>
      <c r="K168" s="30"/>
      <c r="L168" s="30"/>
      <c r="M168" s="30"/>
      <c r="N168" s="30"/>
      <c r="O168" s="30">
        <v>900000</v>
      </c>
      <c r="P168" s="30"/>
      <c r="Q168" s="30"/>
      <c r="R168" s="30"/>
      <c r="S168" s="30"/>
      <c r="T168" s="30"/>
      <c r="U168" s="30"/>
      <c r="V168" s="30"/>
      <c r="W168" s="197">
        <f t="shared" si="25"/>
        <v>900000</v>
      </c>
    </row>
    <row r="169" spans="1:23" x14ac:dyDescent="0.3">
      <c r="A169" s="155">
        <v>168</v>
      </c>
      <c r="B169" s="28"/>
      <c r="C169" s="28" t="s">
        <v>628</v>
      </c>
      <c r="D169" s="194">
        <v>10000000</v>
      </c>
      <c r="E169" s="194">
        <v>1125000</v>
      </c>
      <c r="F169" s="194">
        <v>0</v>
      </c>
      <c r="G169" s="194">
        <f t="shared" si="24"/>
        <v>10000000</v>
      </c>
      <c r="H169" s="29" t="s">
        <v>453</v>
      </c>
      <c r="I169" s="28" t="s">
        <v>631</v>
      </c>
      <c r="J169" s="30"/>
      <c r="K169" s="30"/>
      <c r="L169" s="30"/>
      <c r="M169" s="30"/>
      <c r="N169" s="30"/>
      <c r="O169" s="30">
        <v>1125000</v>
      </c>
      <c r="P169" s="30"/>
      <c r="Q169" s="30"/>
      <c r="R169" s="30"/>
      <c r="S169" s="30"/>
      <c r="T169" s="30"/>
      <c r="U169" s="30"/>
      <c r="V169" s="30"/>
      <c r="W169" s="197">
        <f t="shared" si="25"/>
        <v>1125000</v>
      </c>
    </row>
    <row r="170" spans="1:23" x14ac:dyDescent="0.3">
      <c r="A170" s="155">
        <v>169</v>
      </c>
      <c r="B170" s="28"/>
      <c r="C170" s="28" t="s">
        <v>629</v>
      </c>
      <c r="D170" s="194">
        <v>40000000</v>
      </c>
      <c r="E170" s="194">
        <v>2250000</v>
      </c>
      <c r="F170" s="194">
        <v>0</v>
      </c>
      <c r="G170" s="194">
        <f t="shared" si="24"/>
        <v>40000000</v>
      </c>
      <c r="H170" s="29" t="s">
        <v>453</v>
      </c>
      <c r="I170" s="28" t="s">
        <v>631</v>
      </c>
      <c r="J170" s="30"/>
      <c r="K170" s="30"/>
      <c r="L170" s="30"/>
      <c r="M170" s="30"/>
      <c r="N170" s="30"/>
      <c r="O170" s="30">
        <v>2250000</v>
      </c>
      <c r="P170" s="30"/>
      <c r="Q170" s="30"/>
      <c r="R170" s="30"/>
      <c r="S170" s="30"/>
      <c r="T170" s="30"/>
      <c r="U170" s="30"/>
      <c r="V170" s="30"/>
      <c r="W170" s="197">
        <f t="shared" si="25"/>
        <v>2250000</v>
      </c>
    </row>
    <row r="171" spans="1:23" x14ac:dyDescent="0.3">
      <c r="A171" s="155">
        <v>170</v>
      </c>
      <c r="B171" s="28"/>
      <c r="C171" s="28" t="s">
        <v>630</v>
      </c>
      <c r="D171" s="194">
        <v>12000000</v>
      </c>
      <c r="E171" s="194">
        <v>1236000</v>
      </c>
      <c r="F171" s="194">
        <v>0</v>
      </c>
      <c r="G171" s="194">
        <f t="shared" si="24"/>
        <v>12000000</v>
      </c>
      <c r="H171" s="29" t="s">
        <v>453</v>
      </c>
      <c r="I171" s="28" t="s">
        <v>631</v>
      </c>
      <c r="J171" s="30"/>
      <c r="K171" s="30"/>
      <c r="L171" s="30"/>
      <c r="M171" s="30"/>
      <c r="N171" s="30"/>
      <c r="O171" s="30">
        <v>1236000</v>
      </c>
      <c r="P171" s="30"/>
      <c r="Q171" s="30"/>
      <c r="R171" s="30"/>
      <c r="S171" s="30"/>
      <c r="T171" s="30"/>
      <c r="U171" s="30"/>
      <c r="V171" s="30"/>
      <c r="W171" s="197">
        <f t="shared" si="25"/>
        <v>1236000</v>
      </c>
    </row>
    <row r="172" spans="1:23" x14ac:dyDescent="0.3">
      <c r="A172" s="155">
        <v>171</v>
      </c>
      <c r="B172" s="28"/>
      <c r="C172" s="28" t="s">
        <v>632</v>
      </c>
      <c r="D172" s="194">
        <v>498800</v>
      </c>
      <c r="E172" s="194">
        <v>76000</v>
      </c>
      <c r="F172" s="194">
        <v>0</v>
      </c>
      <c r="G172" s="194">
        <f t="shared" si="24"/>
        <v>498800</v>
      </c>
      <c r="H172" s="29" t="s">
        <v>453</v>
      </c>
      <c r="I172" s="28" t="s">
        <v>631</v>
      </c>
      <c r="J172" s="30"/>
      <c r="K172" s="30"/>
      <c r="L172" s="30"/>
      <c r="M172" s="30"/>
      <c r="N172" s="30"/>
      <c r="O172" s="30">
        <v>76000</v>
      </c>
      <c r="P172" s="30"/>
      <c r="Q172" s="30"/>
      <c r="R172" s="30"/>
      <c r="S172" s="30"/>
      <c r="T172" s="30"/>
      <c r="U172" s="30"/>
      <c r="V172" s="30"/>
      <c r="W172" s="197">
        <f t="shared" si="25"/>
        <v>76000</v>
      </c>
    </row>
    <row r="173" spans="1:23" x14ac:dyDescent="0.3">
      <c r="A173" s="155">
        <v>172</v>
      </c>
      <c r="B173" s="28"/>
      <c r="C173" s="28" t="s">
        <v>633</v>
      </c>
      <c r="D173" s="194">
        <v>2040000</v>
      </c>
      <c r="E173" s="194">
        <v>31600</v>
      </c>
      <c r="F173" s="194">
        <v>0</v>
      </c>
      <c r="G173" s="194">
        <f t="shared" si="24"/>
        <v>2040000</v>
      </c>
      <c r="H173" s="29" t="s">
        <v>453</v>
      </c>
      <c r="I173" s="28" t="s">
        <v>631</v>
      </c>
      <c r="J173" s="30"/>
      <c r="K173" s="30"/>
      <c r="L173" s="30"/>
      <c r="M173" s="30"/>
      <c r="N173" s="30"/>
      <c r="O173" s="194">
        <v>31600</v>
      </c>
      <c r="P173" s="30"/>
      <c r="Q173" s="30"/>
      <c r="R173" s="30"/>
      <c r="S173" s="30"/>
      <c r="T173" s="30"/>
      <c r="U173" s="30"/>
      <c r="V173" s="30"/>
      <c r="W173" s="197">
        <f t="shared" si="25"/>
        <v>31600</v>
      </c>
    </row>
    <row r="174" spans="1:23" x14ac:dyDescent="0.3">
      <c r="A174" s="155">
        <v>173</v>
      </c>
      <c r="B174" s="28"/>
      <c r="C174" s="28" t="s">
        <v>634</v>
      </c>
      <c r="D174" s="194">
        <v>1725000</v>
      </c>
      <c r="E174" s="194">
        <v>268000</v>
      </c>
      <c r="F174" s="194">
        <v>0</v>
      </c>
      <c r="G174" s="194">
        <f t="shared" si="24"/>
        <v>1725000</v>
      </c>
      <c r="H174" s="29" t="s">
        <v>453</v>
      </c>
      <c r="I174" s="28" t="s">
        <v>631</v>
      </c>
      <c r="J174" s="30"/>
      <c r="K174" s="30"/>
      <c r="L174" s="30"/>
      <c r="M174" s="30"/>
      <c r="N174" s="30"/>
      <c r="O174" s="30">
        <v>268000</v>
      </c>
      <c r="P174" s="30"/>
      <c r="Q174" s="30"/>
      <c r="R174" s="30"/>
      <c r="S174" s="30"/>
      <c r="T174" s="30"/>
      <c r="U174" s="30"/>
      <c r="V174" s="30"/>
      <c r="W174" s="197">
        <f t="shared" si="25"/>
        <v>268000</v>
      </c>
    </row>
    <row r="175" spans="1:23" x14ac:dyDescent="0.3">
      <c r="A175" s="155">
        <v>174</v>
      </c>
      <c r="B175" s="28"/>
      <c r="C175" s="28" t="s">
        <v>635</v>
      </c>
      <c r="D175" s="194">
        <v>1185000</v>
      </c>
      <c r="E175" s="194">
        <v>184000</v>
      </c>
      <c r="F175" s="194">
        <v>0</v>
      </c>
      <c r="G175" s="194">
        <f t="shared" si="24"/>
        <v>1185000</v>
      </c>
      <c r="H175" s="29" t="s">
        <v>453</v>
      </c>
      <c r="I175" s="28" t="s">
        <v>631</v>
      </c>
      <c r="J175" s="30"/>
      <c r="K175" s="30"/>
      <c r="L175" s="30"/>
      <c r="M175" s="30"/>
      <c r="N175" s="30"/>
      <c r="O175" s="30">
        <v>184000</v>
      </c>
      <c r="P175" s="30"/>
      <c r="Q175" s="30"/>
      <c r="R175" s="30"/>
      <c r="S175" s="30"/>
      <c r="T175" s="30"/>
      <c r="U175" s="30"/>
      <c r="V175" s="30"/>
      <c r="W175" s="197">
        <f t="shared" si="25"/>
        <v>184000</v>
      </c>
    </row>
    <row r="176" spans="1:23" x14ac:dyDescent="0.3">
      <c r="A176" s="155">
        <v>175</v>
      </c>
      <c r="B176" s="28"/>
      <c r="C176" s="28" t="s">
        <v>636</v>
      </c>
      <c r="D176" s="194">
        <v>1900000</v>
      </c>
      <c r="E176" s="194">
        <v>292000</v>
      </c>
      <c r="F176" s="194">
        <v>0</v>
      </c>
      <c r="G176" s="194">
        <f t="shared" si="24"/>
        <v>1900000</v>
      </c>
      <c r="H176" s="29" t="s">
        <v>453</v>
      </c>
      <c r="I176" s="28" t="s">
        <v>631</v>
      </c>
      <c r="J176" s="30"/>
      <c r="K176" s="30"/>
      <c r="L176" s="30"/>
      <c r="M176" s="30"/>
      <c r="N176" s="30"/>
      <c r="O176" s="30">
        <v>292000</v>
      </c>
      <c r="P176" s="30"/>
      <c r="Q176" s="30"/>
      <c r="R176" s="30"/>
      <c r="S176" s="30"/>
      <c r="T176" s="30"/>
      <c r="U176" s="30"/>
      <c r="V176" s="30"/>
      <c r="W176" s="197">
        <f t="shared" si="25"/>
        <v>292000</v>
      </c>
    </row>
    <row r="177" spans="1:23" x14ac:dyDescent="0.3">
      <c r="A177" s="155">
        <v>176</v>
      </c>
      <c r="B177" s="28"/>
      <c r="C177" s="28" t="s">
        <v>637</v>
      </c>
      <c r="D177" s="194">
        <v>5100000</v>
      </c>
      <c r="E177" s="194">
        <v>788000</v>
      </c>
      <c r="F177" s="194">
        <v>0</v>
      </c>
      <c r="G177" s="194">
        <f t="shared" si="24"/>
        <v>5100000</v>
      </c>
      <c r="H177" s="29" t="s">
        <v>453</v>
      </c>
      <c r="I177" s="28" t="s">
        <v>631</v>
      </c>
      <c r="J177" s="30"/>
      <c r="K177" s="30"/>
      <c r="L177" s="30"/>
      <c r="M177" s="30"/>
      <c r="N177" s="30"/>
      <c r="O177" s="30">
        <v>788000</v>
      </c>
      <c r="P177" s="30"/>
      <c r="Q177" s="30"/>
      <c r="R177" s="30"/>
      <c r="S177" s="30"/>
      <c r="T177" s="30"/>
      <c r="U177" s="30"/>
      <c r="V177" s="30"/>
      <c r="W177" s="197">
        <f t="shared" si="25"/>
        <v>788000</v>
      </c>
    </row>
    <row r="178" spans="1:23" x14ac:dyDescent="0.3">
      <c r="A178" s="155">
        <v>177</v>
      </c>
      <c r="B178" s="28"/>
      <c r="C178" s="28" t="s">
        <v>638</v>
      </c>
      <c r="D178" s="194">
        <v>2100000</v>
      </c>
      <c r="E178" s="194">
        <v>298000</v>
      </c>
      <c r="F178" s="194">
        <v>0</v>
      </c>
      <c r="G178" s="194">
        <f t="shared" si="24"/>
        <v>2100000</v>
      </c>
      <c r="H178" s="29" t="s">
        <v>453</v>
      </c>
      <c r="I178" s="28" t="s">
        <v>631</v>
      </c>
      <c r="J178" s="30"/>
      <c r="K178" s="30"/>
      <c r="L178" s="30"/>
      <c r="M178" s="30"/>
      <c r="N178" s="30"/>
      <c r="O178" s="194">
        <v>298000</v>
      </c>
      <c r="P178" s="30"/>
      <c r="Q178" s="30"/>
      <c r="R178" s="30"/>
      <c r="S178" s="30"/>
      <c r="T178" s="30"/>
      <c r="U178" s="30"/>
      <c r="V178" s="30"/>
      <c r="W178" s="197">
        <f t="shared" si="25"/>
        <v>298000</v>
      </c>
    </row>
    <row r="179" spans="1:23" x14ac:dyDescent="0.3">
      <c r="A179" s="155">
        <v>178</v>
      </c>
      <c r="B179" s="28"/>
      <c r="C179" s="28" t="s">
        <v>639</v>
      </c>
      <c r="D179" s="194">
        <v>3300000</v>
      </c>
      <c r="E179" s="194">
        <v>508000</v>
      </c>
      <c r="F179" s="194">
        <v>0</v>
      </c>
      <c r="G179" s="194">
        <f t="shared" si="24"/>
        <v>3300000</v>
      </c>
      <c r="H179" s="29" t="s">
        <v>453</v>
      </c>
      <c r="I179" s="28" t="s">
        <v>631</v>
      </c>
      <c r="J179" s="30"/>
      <c r="K179" s="30"/>
      <c r="L179" s="30"/>
      <c r="M179" s="30"/>
      <c r="N179" s="30"/>
      <c r="O179" s="30">
        <v>508000</v>
      </c>
      <c r="P179" s="30"/>
      <c r="Q179" s="30"/>
      <c r="R179" s="30"/>
      <c r="S179" s="30"/>
      <c r="T179" s="30"/>
      <c r="U179" s="30"/>
      <c r="V179" s="30"/>
      <c r="W179" s="197">
        <f t="shared" si="25"/>
        <v>508000</v>
      </c>
    </row>
    <row r="180" spans="1:23" x14ac:dyDescent="0.3">
      <c r="A180" s="155">
        <v>179</v>
      </c>
      <c r="B180" s="28"/>
      <c r="C180" s="28" t="s">
        <v>640</v>
      </c>
      <c r="D180" s="194">
        <v>735000</v>
      </c>
      <c r="E180" s="194">
        <v>112000</v>
      </c>
      <c r="F180" s="194">
        <v>0</v>
      </c>
      <c r="G180" s="194">
        <f t="shared" si="24"/>
        <v>735000</v>
      </c>
      <c r="H180" s="29" t="s">
        <v>453</v>
      </c>
      <c r="I180" s="28" t="s">
        <v>631</v>
      </c>
      <c r="J180" s="30"/>
      <c r="K180" s="30"/>
      <c r="L180" s="30"/>
      <c r="M180" s="30"/>
      <c r="N180" s="30"/>
      <c r="O180" s="30">
        <v>112000</v>
      </c>
      <c r="P180" s="30"/>
      <c r="Q180" s="30"/>
      <c r="R180" s="30"/>
      <c r="S180" s="30"/>
      <c r="T180" s="30"/>
      <c r="U180" s="30"/>
      <c r="V180" s="30"/>
      <c r="W180" s="197">
        <f t="shared" si="25"/>
        <v>112000</v>
      </c>
    </row>
    <row r="181" spans="1:23" x14ac:dyDescent="0.3">
      <c r="A181" s="155">
        <v>180</v>
      </c>
      <c r="B181" s="28"/>
      <c r="C181" s="28" t="s">
        <v>641</v>
      </c>
      <c r="D181" s="194">
        <v>15717037</v>
      </c>
      <c r="E181" s="194">
        <v>88200</v>
      </c>
      <c r="F181" s="194">
        <v>0</v>
      </c>
      <c r="G181" s="194">
        <f t="shared" si="24"/>
        <v>15717037</v>
      </c>
      <c r="H181" s="29" t="s">
        <v>453</v>
      </c>
      <c r="I181" s="28" t="s">
        <v>631</v>
      </c>
      <c r="J181" s="30"/>
      <c r="K181" s="30"/>
      <c r="L181" s="30"/>
      <c r="M181" s="30"/>
      <c r="N181" s="30"/>
      <c r="O181" s="30">
        <v>88200</v>
      </c>
      <c r="P181" s="30"/>
      <c r="Q181" s="30"/>
      <c r="R181" s="30"/>
      <c r="S181" s="30"/>
      <c r="T181" s="30"/>
      <c r="U181" s="30"/>
      <c r="V181" s="30"/>
      <c r="W181" s="197">
        <f t="shared" si="25"/>
        <v>88200</v>
      </c>
    </row>
    <row r="182" spans="1:23" x14ac:dyDescent="0.3">
      <c r="A182" s="155">
        <v>181</v>
      </c>
      <c r="B182" s="28"/>
      <c r="C182" s="28" t="s">
        <v>642</v>
      </c>
      <c r="D182" s="194">
        <v>7500000</v>
      </c>
      <c r="E182" s="194">
        <v>928000</v>
      </c>
      <c r="F182" s="194">
        <v>0</v>
      </c>
      <c r="G182" s="194">
        <f t="shared" si="24"/>
        <v>7500000</v>
      </c>
      <c r="H182" s="29" t="s">
        <v>453</v>
      </c>
      <c r="I182" s="28" t="s">
        <v>631</v>
      </c>
      <c r="J182" s="30"/>
      <c r="K182" s="30"/>
      <c r="L182" s="30"/>
      <c r="M182" s="30"/>
      <c r="N182" s="30"/>
      <c r="O182" s="194">
        <v>928000</v>
      </c>
      <c r="P182" s="30"/>
      <c r="Q182" s="30"/>
      <c r="R182" s="30"/>
      <c r="S182" s="30"/>
      <c r="T182" s="30"/>
      <c r="U182" s="30"/>
      <c r="V182" s="30"/>
      <c r="W182" s="197">
        <f t="shared" si="25"/>
        <v>928000</v>
      </c>
    </row>
    <row r="183" spans="1:23" x14ac:dyDescent="0.3">
      <c r="A183" s="155">
        <v>182</v>
      </c>
      <c r="B183" s="28"/>
      <c r="C183" s="28" t="s">
        <v>643</v>
      </c>
      <c r="D183" s="194">
        <v>680000</v>
      </c>
      <c r="E183" s="194">
        <v>10400</v>
      </c>
      <c r="F183" s="194">
        <v>0</v>
      </c>
      <c r="G183" s="194">
        <f t="shared" si="24"/>
        <v>680000</v>
      </c>
      <c r="H183" s="29" t="s">
        <v>453</v>
      </c>
      <c r="I183" s="28" t="s">
        <v>631</v>
      </c>
      <c r="J183" s="30"/>
      <c r="K183" s="30"/>
      <c r="L183" s="30"/>
      <c r="M183" s="30"/>
      <c r="N183" s="30"/>
      <c r="O183" s="194">
        <v>10400</v>
      </c>
      <c r="P183" s="30"/>
      <c r="Q183" s="30"/>
      <c r="R183" s="30"/>
      <c r="S183" s="30"/>
      <c r="T183" s="30"/>
      <c r="U183" s="30"/>
      <c r="V183" s="30"/>
      <c r="W183" s="197">
        <f t="shared" si="25"/>
        <v>10400</v>
      </c>
    </row>
    <row r="184" spans="1:23" x14ac:dyDescent="0.3">
      <c r="A184" s="155">
        <v>183</v>
      </c>
      <c r="B184" s="28"/>
      <c r="C184" s="28" t="s">
        <v>644</v>
      </c>
      <c r="D184" s="194">
        <v>600000</v>
      </c>
      <c r="E184" s="194">
        <v>92000</v>
      </c>
      <c r="F184" s="194">
        <v>0</v>
      </c>
      <c r="G184" s="194">
        <f t="shared" si="24"/>
        <v>600000</v>
      </c>
      <c r="H184" s="29" t="s">
        <v>453</v>
      </c>
      <c r="I184" s="28" t="s">
        <v>631</v>
      </c>
      <c r="J184" s="30"/>
      <c r="K184" s="30"/>
      <c r="L184" s="30"/>
      <c r="M184" s="30"/>
      <c r="N184" s="30"/>
      <c r="O184" s="30">
        <v>92000</v>
      </c>
      <c r="P184" s="30"/>
      <c r="Q184" s="30"/>
      <c r="R184" s="30"/>
      <c r="S184" s="30"/>
      <c r="T184" s="30"/>
      <c r="U184" s="30"/>
      <c r="V184" s="30"/>
      <c r="W184" s="197">
        <f t="shared" si="25"/>
        <v>92000</v>
      </c>
    </row>
    <row r="185" spans="1:23" x14ac:dyDescent="0.3">
      <c r="A185" s="155">
        <v>184</v>
      </c>
      <c r="B185" s="28"/>
      <c r="C185" s="28" t="s">
        <v>645</v>
      </c>
      <c r="D185" s="194">
        <v>12000000</v>
      </c>
      <c r="E185" s="194">
        <v>1508000</v>
      </c>
      <c r="F185" s="194">
        <v>0</v>
      </c>
      <c r="G185" s="194">
        <f t="shared" si="24"/>
        <v>12000000</v>
      </c>
      <c r="H185" s="29" t="s">
        <v>453</v>
      </c>
      <c r="I185" s="28" t="s">
        <v>631</v>
      </c>
      <c r="J185" s="30"/>
      <c r="K185" s="30"/>
      <c r="L185" s="30"/>
      <c r="M185" s="30"/>
      <c r="N185" s="30"/>
      <c r="O185" s="194">
        <v>1508000</v>
      </c>
      <c r="P185" s="30"/>
      <c r="Q185" s="30"/>
      <c r="R185" s="30"/>
      <c r="S185" s="30"/>
      <c r="T185" s="30"/>
      <c r="U185" s="30"/>
      <c r="V185" s="30"/>
      <c r="W185" s="197">
        <f t="shared" si="25"/>
        <v>1508000</v>
      </c>
    </row>
    <row r="186" spans="1:23" x14ac:dyDescent="0.3">
      <c r="A186" s="155">
        <v>185</v>
      </c>
      <c r="B186" s="28"/>
      <c r="C186" s="28" t="s">
        <v>646</v>
      </c>
      <c r="D186" s="194">
        <v>2985000</v>
      </c>
      <c r="E186" s="194">
        <v>460000</v>
      </c>
      <c r="F186" s="194">
        <v>0</v>
      </c>
      <c r="G186" s="194">
        <f t="shared" si="24"/>
        <v>2985000</v>
      </c>
      <c r="H186" s="29" t="s">
        <v>453</v>
      </c>
      <c r="I186" s="28" t="s">
        <v>631</v>
      </c>
      <c r="J186" s="30"/>
      <c r="K186" s="30"/>
      <c r="L186" s="30"/>
      <c r="M186" s="30"/>
      <c r="N186" s="30"/>
      <c r="O186" s="30">
        <v>460000</v>
      </c>
      <c r="P186" s="30"/>
      <c r="Q186" s="30"/>
      <c r="R186" s="30"/>
      <c r="S186" s="30"/>
      <c r="T186" s="30"/>
      <c r="U186" s="30"/>
      <c r="V186" s="30"/>
      <c r="W186" s="197">
        <f t="shared" si="25"/>
        <v>460000</v>
      </c>
    </row>
    <row r="187" spans="1:23" x14ac:dyDescent="0.3">
      <c r="A187" s="155">
        <v>186</v>
      </c>
      <c r="B187" s="28"/>
      <c r="C187" s="28" t="s">
        <v>647</v>
      </c>
      <c r="D187" s="194">
        <v>370000</v>
      </c>
      <c r="E187" s="194">
        <v>56000</v>
      </c>
      <c r="F187" s="194">
        <v>0</v>
      </c>
      <c r="G187" s="194">
        <f t="shared" si="24"/>
        <v>370000</v>
      </c>
      <c r="H187" s="29" t="s">
        <v>453</v>
      </c>
      <c r="I187" s="28" t="s">
        <v>631</v>
      </c>
      <c r="J187" s="30"/>
      <c r="K187" s="30"/>
      <c r="L187" s="30"/>
      <c r="M187" s="30"/>
      <c r="N187" s="30"/>
      <c r="O187" s="30">
        <v>56000</v>
      </c>
      <c r="P187" s="30"/>
      <c r="Q187" s="30"/>
      <c r="R187" s="30"/>
      <c r="S187" s="30"/>
      <c r="T187" s="30"/>
      <c r="U187" s="30"/>
      <c r="V187" s="30"/>
      <c r="W187" s="197">
        <f t="shared" si="25"/>
        <v>56000</v>
      </c>
    </row>
    <row r="188" spans="1:23" x14ac:dyDescent="0.3">
      <c r="A188" s="155">
        <v>187</v>
      </c>
      <c r="B188" s="28"/>
      <c r="C188" s="28" t="s">
        <v>641</v>
      </c>
      <c r="D188" s="194">
        <v>2541600</v>
      </c>
      <c r="E188" s="194">
        <v>39200</v>
      </c>
      <c r="F188" s="194">
        <v>0</v>
      </c>
      <c r="G188" s="194">
        <f t="shared" si="24"/>
        <v>2541600</v>
      </c>
      <c r="H188" s="29" t="s">
        <v>453</v>
      </c>
      <c r="I188" s="28" t="s">
        <v>631</v>
      </c>
      <c r="J188" s="30"/>
      <c r="K188" s="30"/>
      <c r="L188" s="30"/>
      <c r="M188" s="30"/>
      <c r="N188" s="30"/>
      <c r="O188" s="30">
        <v>39200</v>
      </c>
      <c r="P188" s="30"/>
      <c r="Q188" s="30"/>
      <c r="R188" s="30"/>
      <c r="S188" s="30"/>
      <c r="T188" s="30"/>
      <c r="U188" s="30"/>
      <c r="V188" s="30"/>
      <c r="W188" s="197">
        <f t="shared" si="25"/>
        <v>39200</v>
      </c>
    </row>
    <row r="189" spans="1:23" x14ac:dyDescent="0.3">
      <c r="A189" s="155">
        <v>188</v>
      </c>
      <c r="B189" s="28"/>
      <c r="C189" s="28" t="s">
        <v>648</v>
      </c>
      <c r="D189" s="194">
        <v>499500</v>
      </c>
      <c r="E189" s="194">
        <v>76000</v>
      </c>
      <c r="F189" s="194">
        <v>0</v>
      </c>
      <c r="G189" s="194">
        <f t="shared" si="24"/>
        <v>499500</v>
      </c>
      <c r="H189" s="29" t="s">
        <v>453</v>
      </c>
      <c r="I189" s="28" t="s">
        <v>631</v>
      </c>
      <c r="J189" s="30"/>
      <c r="K189" s="30"/>
      <c r="L189" s="30"/>
      <c r="M189" s="30"/>
      <c r="N189" s="30"/>
      <c r="O189" s="30">
        <v>76000</v>
      </c>
      <c r="P189" s="30"/>
      <c r="Q189" s="30"/>
      <c r="R189" s="30"/>
      <c r="S189" s="30"/>
      <c r="T189" s="30"/>
      <c r="U189" s="30"/>
      <c r="V189" s="30"/>
      <c r="W189" s="197">
        <f t="shared" si="25"/>
        <v>76000</v>
      </c>
    </row>
    <row r="190" spans="1:23" x14ac:dyDescent="0.3">
      <c r="A190" s="155">
        <v>189</v>
      </c>
      <c r="B190" s="28"/>
      <c r="C190" s="28" t="s">
        <v>649</v>
      </c>
      <c r="D190" s="194">
        <v>10260800</v>
      </c>
      <c r="E190" s="194">
        <v>1584000</v>
      </c>
      <c r="F190" s="194">
        <v>0</v>
      </c>
      <c r="G190" s="194">
        <f t="shared" si="24"/>
        <v>10260800</v>
      </c>
      <c r="H190" s="29" t="s">
        <v>453</v>
      </c>
      <c r="I190" s="28" t="s">
        <v>631</v>
      </c>
      <c r="J190" s="30"/>
      <c r="K190" s="30"/>
      <c r="L190" s="30"/>
      <c r="M190" s="30"/>
      <c r="N190" s="30"/>
      <c r="O190" s="30">
        <v>1584000</v>
      </c>
      <c r="P190" s="30"/>
      <c r="Q190" s="30"/>
      <c r="R190" s="30"/>
      <c r="S190" s="30"/>
      <c r="T190" s="30"/>
      <c r="U190" s="30"/>
      <c r="V190" s="30"/>
      <c r="W190" s="197">
        <f t="shared" si="25"/>
        <v>1584000</v>
      </c>
    </row>
    <row r="191" spans="1:23" x14ac:dyDescent="0.3">
      <c r="A191" s="155">
        <v>190</v>
      </c>
      <c r="B191" s="28"/>
      <c r="C191" s="28" t="s">
        <v>650</v>
      </c>
      <c r="D191" s="194">
        <v>660000</v>
      </c>
      <c r="E191" s="194">
        <v>10000</v>
      </c>
      <c r="F191" s="194">
        <v>0</v>
      </c>
      <c r="G191" s="194">
        <f t="shared" si="24"/>
        <v>660000</v>
      </c>
      <c r="H191" s="29" t="s">
        <v>453</v>
      </c>
      <c r="I191" s="28" t="s">
        <v>631</v>
      </c>
      <c r="J191" s="30"/>
      <c r="K191" s="30"/>
      <c r="L191" s="30"/>
      <c r="M191" s="30"/>
      <c r="N191" s="30"/>
      <c r="O191" s="194">
        <v>10000</v>
      </c>
      <c r="P191" s="30"/>
      <c r="Q191" s="30"/>
      <c r="R191" s="30"/>
      <c r="S191" s="30"/>
      <c r="T191" s="30"/>
      <c r="U191" s="30"/>
      <c r="V191" s="30"/>
      <c r="W191" s="197">
        <f t="shared" si="25"/>
        <v>10000</v>
      </c>
    </row>
    <row r="192" spans="1:23" x14ac:dyDescent="0.3">
      <c r="A192" s="155">
        <v>191</v>
      </c>
      <c r="B192" s="28"/>
      <c r="C192" s="28" t="s">
        <v>645</v>
      </c>
      <c r="D192" s="194">
        <v>49200000</v>
      </c>
      <c r="E192" s="194">
        <v>6024000</v>
      </c>
      <c r="F192" s="194">
        <v>0</v>
      </c>
      <c r="G192" s="194">
        <f t="shared" si="24"/>
        <v>49200000</v>
      </c>
      <c r="H192" s="29" t="s">
        <v>453</v>
      </c>
      <c r="I192" s="28" t="s">
        <v>631</v>
      </c>
      <c r="J192" s="30"/>
      <c r="K192" s="30"/>
      <c r="L192" s="30"/>
      <c r="M192" s="30"/>
      <c r="N192" s="30"/>
      <c r="O192" s="194">
        <v>6024000</v>
      </c>
      <c r="P192" s="30"/>
      <c r="Q192" s="30"/>
      <c r="R192" s="30"/>
      <c r="S192" s="30"/>
      <c r="T192" s="30"/>
      <c r="U192" s="30"/>
      <c r="V192" s="30"/>
      <c r="W192" s="197">
        <f t="shared" si="25"/>
        <v>6024000</v>
      </c>
    </row>
    <row r="193" spans="1:23" x14ac:dyDescent="0.3">
      <c r="A193" s="155">
        <v>192</v>
      </c>
      <c r="B193" s="28"/>
      <c r="C193" s="28" t="s">
        <v>651</v>
      </c>
      <c r="D193" s="194">
        <v>4080000</v>
      </c>
      <c r="E193" s="194">
        <v>632000</v>
      </c>
      <c r="F193" s="194">
        <v>0</v>
      </c>
      <c r="G193" s="194">
        <f t="shared" si="24"/>
        <v>4080000</v>
      </c>
      <c r="H193" s="29" t="s">
        <v>453</v>
      </c>
      <c r="I193" s="28" t="s">
        <v>631</v>
      </c>
      <c r="J193" s="30"/>
      <c r="K193" s="30"/>
      <c r="L193" s="30"/>
      <c r="M193" s="30"/>
      <c r="N193" s="30"/>
      <c r="O193" s="30">
        <v>632000</v>
      </c>
      <c r="P193" s="30"/>
      <c r="Q193" s="30"/>
      <c r="R193" s="30"/>
      <c r="S193" s="30"/>
      <c r="T193" s="30"/>
      <c r="U193" s="30"/>
      <c r="V193" s="30"/>
      <c r="W193" s="197">
        <f t="shared" si="25"/>
        <v>632000</v>
      </c>
    </row>
    <row r="194" spans="1:23" x14ac:dyDescent="0.3">
      <c r="A194" s="155">
        <v>193</v>
      </c>
      <c r="B194" s="28"/>
      <c r="C194" s="28" t="s">
        <v>652</v>
      </c>
      <c r="D194" s="194">
        <v>3800000</v>
      </c>
      <c r="E194" s="194">
        <v>58800</v>
      </c>
      <c r="F194" s="194">
        <v>0</v>
      </c>
      <c r="G194" s="194">
        <f t="shared" si="24"/>
        <v>3800000</v>
      </c>
      <c r="H194" s="29" t="s">
        <v>453</v>
      </c>
      <c r="I194" s="28" t="s">
        <v>631</v>
      </c>
      <c r="J194" s="30"/>
      <c r="K194" s="30"/>
      <c r="L194" s="30"/>
      <c r="M194" s="30"/>
      <c r="N194" s="30"/>
      <c r="O194" s="194">
        <v>58800</v>
      </c>
      <c r="P194" s="30"/>
      <c r="Q194" s="30"/>
      <c r="R194" s="30"/>
      <c r="S194" s="30"/>
      <c r="T194" s="30"/>
      <c r="U194" s="30"/>
      <c r="V194" s="30"/>
      <c r="W194" s="197">
        <f t="shared" si="25"/>
        <v>58800</v>
      </c>
    </row>
    <row r="195" spans="1:23" x14ac:dyDescent="0.3">
      <c r="A195" s="155">
        <v>194</v>
      </c>
      <c r="B195" s="28"/>
      <c r="C195" s="28" t="s">
        <v>653</v>
      </c>
      <c r="D195" s="194">
        <v>4750000</v>
      </c>
      <c r="E195" s="194">
        <v>512400</v>
      </c>
      <c r="F195" s="194">
        <v>0</v>
      </c>
      <c r="G195" s="194">
        <f t="shared" si="24"/>
        <v>4750000</v>
      </c>
      <c r="H195" s="29" t="s">
        <v>453</v>
      </c>
      <c r="I195" s="28" t="s">
        <v>631</v>
      </c>
      <c r="J195" s="30"/>
      <c r="K195" s="30"/>
      <c r="L195" s="30"/>
      <c r="M195" s="30"/>
      <c r="N195" s="30"/>
      <c r="O195" s="194">
        <v>512400</v>
      </c>
      <c r="P195" s="30"/>
      <c r="Q195" s="30"/>
      <c r="R195" s="30"/>
      <c r="S195" s="30"/>
      <c r="T195" s="30"/>
      <c r="U195" s="30"/>
      <c r="V195" s="30"/>
      <c r="W195" s="197">
        <f t="shared" si="25"/>
        <v>512400</v>
      </c>
    </row>
    <row r="196" spans="1:23" x14ac:dyDescent="0.3">
      <c r="A196" s="155">
        <v>195</v>
      </c>
      <c r="B196" s="28"/>
      <c r="C196" s="28" t="s">
        <v>654</v>
      </c>
      <c r="D196" s="194">
        <v>5122500</v>
      </c>
      <c r="E196" s="194">
        <v>520000</v>
      </c>
      <c r="F196" s="194">
        <v>0</v>
      </c>
      <c r="G196" s="194">
        <f t="shared" si="24"/>
        <v>5122500</v>
      </c>
      <c r="H196" s="29" t="s">
        <v>453</v>
      </c>
      <c r="I196" s="28" t="s">
        <v>631</v>
      </c>
      <c r="J196" s="30"/>
      <c r="K196" s="30"/>
      <c r="L196" s="30"/>
      <c r="M196" s="30"/>
      <c r="N196" s="30"/>
      <c r="O196" s="30">
        <v>520000</v>
      </c>
      <c r="P196" s="30"/>
      <c r="Q196" s="30"/>
      <c r="R196" s="30"/>
      <c r="S196" s="30"/>
      <c r="T196" s="30"/>
      <c r="U196" s="30"/>
      <c r="V196" s="30"/>
      <c r="W196" s="197">
        <f t="shared" si="25"/>
        <v>520000</v>
      </c>
    </row>
    <row r="197" spans="1:23" x14ac:dyDescent="0.3">
      <c r="A197" s="155">
        <v>196</v>
      </c>
      <c r="B197" s="28"/>
      <c r="C197" s="28" t="s">
        <v>655</v>
      </c>
      <c r="D197" s="194">
        <v>10525000</v>
      </c>
      <c r="E197" s="194">
        <v>162400</v>
      </c>
      <c r="F197" s="194">
        <v>0</v>
      </c>
      <c r="G197" s="194">
        <f t="shared" si="24"/>
        <v>10525000</v>
      </c>
      <c r="H197" s="29" t="s">
        <v>453</v>
      </c>
      <c r="I197" s="28" t="s">
        <v>631</v>
      </c>
      <c r="J197" s="30"/>
      <c r="K197" s="30"/>
      <c r="L197" s="30"/>
      <c r="M197" s="30"/>
      <c r="N197" s="30"/>
      <c r="O197" s="30">
        <v>162400</v>
      </c>
      <c r="P197" s="30"/>
      <c r="Q197" s="30"/>
      <c r="R197" s="30"/>
      <c r="S197" s="30"/>
      <c r="T197" s="30"/>
      <c r="U197" s="30"/>
      <c r="V197" s="30"/>
      <c r="W197" s="197">
        <f t="shared" si="25"/>
        <v>162400</v>
      </c>
    </row>
    <row r="198" spans="1:23" x14ac:dyDescent="0.3">
      <c r="A198" s="155">
        <v>197</v>
      </c>
      <c r="B198" s="28"/>
      <c r="C198" s="28" t="s">
        <v>656</v>
      </c>
      <c r="D198" s="194">
        <v>950000</v>
      </c>
      <c r="E198" s="194">
        <v>148000</v>
      </c>
      <c r="F198" s="194">
        <v>0</v>
      </c>
      <c r="G198" s="194">
        <f t="shared" si="24"/>
        <v>950000</v>
      </c>
      <c r="H198" s="29" t="s">
        <v>453</v>
      </c>
      <c r="I198" s="28" t="s">
        <v>631</v>
      </c>
      <c r="J198" s="30"/>
      <c r="K198" s="30"/>
      <c r="L198" s="30"/>
      <c r="M198" s="30"/>
      <c r="N198" s="30"/>
      <c r="O198" s="30">
        <v>148000</v>
      </c>
      <c r="P198" s="30"/>
      <c r="Q198" s="30"/>
      <c r="R198" s="30"/>
      <c r="S198" s="30"/>
      <c r="T198" s="30"/>
      <c r="U198" s="30"/>
      <c r="V198" s="30"/>
      <c r="W198" s="197">
        <f t="shared" si="25"/>
        <v>148000</v>
      </c>
    </row>
    <row r="199" spans="1:23" x14ac:dyDescent="0.3">
      <c r="A199" s="155">
        <v>198</v>
      </c>
      <c r="B199" s="28"/>
      <c r="C199" s="28" t="s">
        <v>657</v>
      </c>
      <c r="D199" s="194">
        <v>750000</v>
      </c>
      <c r="E199" s="194">
        <v>116000</v>
      </c>
      <c r="F199" s="194">
        <v>0</v>
      </c>
      <c r="G199" s="194">
        <f t="shared" si="24"/>
        <v>750000</v>
      </c>
      <c r="H199" s="29" t="s">
        <v>453</v>
      </c>
      <c r="I199" s="28" t="s">
        <v>631</v>
      </c>
      <c r="J199" s="30"/>
      <c r="K199" s="30"/>
      <c r="L199" s="30"/>
      <c r="M199" s="30"/>
      <c r="N199" s="30"/>
      <c r="O199" s="30">
        <v>116000</v>
      </c>
      <c r="P199" s="30"/>
      <c r="Q199" s="30"/>
      <c r="R199" s="30"/>
      <c r="S199" s="30"/>
      <c r="T199" s="30"/>
      <c r="U199" s="30"/>
      <c r="V199" s="30"/>
      <c r="W199" s="197">
        <f t="shared" si="25"/>
        <v>116000</v>
      </c>
    </row>
    <row r="200" spans="1:23" x14ac:dyDescent="0.3">
      <c r="A200" s="155">
        <v>199</v>
      </c>
      <c r="B200" s="28"/>
      <c r="C200" s="28" t="s">
        <v>658</v>
      </c>
      <c r="D200" s="194">
        <v>2946600</v>
      </c>
      <c r="E200" s="194">
        <v>456000</v>
      </c>
      <c r="F200" s="194">
        <v>0</v>
      </c>
      <c r="G200" s="194">
        <f t="shared" si="24"/>
        <v>2946600</v>
      </c>
      <c r="H200" s="29" t="s">
        <v>453</v>
      </c>
      <c r="I200" s="28" t="s">
        <v>631</v>
      </c>
      <c r="J200" s="30"/>
      <c r="K200" s="30"/>
      <c r="L200" s="30"/>
      <c r="M200" s="30"/>
      <c r="N200" s="30"/>
      <c r="O200" s="30">
        <v>456000</v>
      </c>
      <c r="P200" s="30"/>
      <c r="Q200" s="30"/>
      <c r="R200" s="30"/>
      <c r="S200" s="30"/>
      <c r="T200" s="30"/>
      <c r="U200" s="30"/>
      <c r="V200" s="30"/>
      <c r="W200" s="197">
        <f t="shared" si="25"/>
        <v>456000</v>
      </c>
    </row>
    <row r="201" spans="1:23" x14ac:dyDescent="0.3">
      <c r="A201" s="155">
        <v>200</v>
      </c>
      <c r="B201" s="28"/>
      <c r="C201" s="28" t="s">
        <v>659</v>
      </c>
      <c r="D201" s="194">
        <v>111100000</v>
      </c>
      <c r="E201" s="194">
        <v>9385200</v>
      </c>
      <c r="F201" s="194">
        <v>0</v>
      </c>
      <c r="G201" s="194">
        <f t="shared" si="24"/>
        <v>111100000</v>
      </c>
      <c r="H201" s="29" t="s">
        <v>453</v>
      </c>
      <c r="I201" s="28" t="s">
        <v>631</v>
      </c>
      <c r="J201" s="30"/>
      <c r="K201" s="30"/>
      <c r="L201" s="30"/>
      <c r="M201" s="30"/>
      <c r="N201" s="30"/>
      <c r="O201" s="194">
        <v>9385200</v>
      </c>
      <c r="P201" s="30"/>
      <c r="Q201" s="30"/>
      <c r="R201" s="30"/>
      <c r="S201" s="30"/>
      <c r="T201" s="30"/>
      <c r="U201" s="30"/>
      <c r="V201" s="30"/>
      <c r="W201" s="197">
        <f t="shared" si="25"/>
        <v>9385200</v>
      </c>
    </row>
    <row r="202" spans="1:23" x14ac:dyDescent="0.3">
      <c r="A202" s="155">
        <v>201</v>
      </c>
      <c r="B202" s="28"/>
      <c r="C202" s="28" t="s">
        <v>660</v>
      </c>
      <c r="D202" s="194">
        <v>750000</v>
      </c>
      <c r="E202" s="194">
        <v>232000</v>
      </c>
      <c r="F202" s="194">
        <v>0</v>
      </c>
      <c r="G202" s="194">
        <f t="shared" si="24"/>
        <v>750000</v>
      </c>
      <c r="H202" s="29" t="s">
        <v>453</v>
      </c>
      <c r="I202" s="28" t="s">
        <v>631</v>
      </c>
      <c r="J202" s="30"/>
      <c r="K202" s="30"/>
      <c r="L202" s="30"/>
      <c r="M202" s="30"/>
      <c r="N202" s="30"/>
      <c r="O202" s="30">
        <v>232000</v>
      </c>
      <c r="P202" s="30"/>
      <c r="Q202" s="30"/>
      <c r="R202" s="30"/>
      <c r="S202" s="30"/>
      <c r="T202" s="30"/>
      <c r="U202" s="30"/>
      <c r="V202" s="30"/>
      <c r="W202" s="197">
        <f t="shared" si="25"/>
        <v>232000</v>
      </c>
    </row>
    <row r="203" spans="1:23" x14ac:dyDescent="0.3">
      <c r="A203" s="155">
        <v>202</v>
      </c>
      <c r="B203" s="28"/>
      <c r="C203" s="28" t="s">
        <v>661</v>
      </c>
      <c r="D203" s="194">
        <v>12280800</v>
      </c>
      <c r="E203" s="194">
        <v>1896000</v>
      </c>
      <c r="F203" s="194">
        <v>0</v>
      </c>
      <c r="G203" s="194">
        <f t="shared" si="24"/>
        <v>12280800</v>
      </c>
      <c r="H203" s="29" t="s">
        <v>453</v>
      </c>
      <c r="I203" s="28" t="s">
        <v>631</v>
      </c>
      <c r="J203" s="30"/>
      <c r="K203" s="30"/>
      <c r="L203" s="30"/>
      <c r="M203" s="30"/>
      <c r="N203" s="30"/>
      <c r="O203" s="30">
        <v>1896000</v>
      </c>
      <c r="P203" s="30"/>
      <c r="Q203" s="30"/>
      <c r="R203" s="30"/>
      <c r="S203" s="30"/>
      <c r="T203" s="30"/>
      <c r="U203" s="30"/>
      <c r="V203" s="30"/>
      <c r="W203" s="197">
        <f t="shared" si="25"/>
        <v>1896000</v>
      </c>
    </row>
    <row r="204" spans="1:23" x14ac:dyDescent="0.3">
      <c r="A204" s="155">
        <v>203</v>
      </c>
      <c r="B204" s="28"/>
      <c r="C204" s="28" t="s">
        <v>662</v>
      </c>
      <c r="D204" s="194">
        <v>5280000</v>
      </c>
      <c r="E204" s="194">
        <v>81600</v>
      </c>
      <c r="F204" s="194">
        <v>0</v>
      </c>
      <c r="G204" s="194">
        <f t="shared" si="24"/>
        <v>5280000</v>
      </c>
      <c r="H204" s="29" t="s">
        <v>453</v>
      </c>
      <c r="I204" s="28" t="s">
        <v>631</v>
      </c>
      <c r="J204" s="30"/>
      <c r="K204" s="30"/>
      <c r="L204" s="30"/>
      <c r="M204" s="30"/>
      <c r="N204" s="30"/>
      <c r="O204" s="194">
        <v>81600</v>
      </c>
      <c r="P204" s="30"/>
      <c r="Q204" s="30"/>
      <c r="R204" s="30"/>
      <c r="S204" s="30"/>
      <c r="T204" s="30"/>
      <c r="U204" s="30"/>
      <c r="V204" s="30"/>
      <c r="W204" s="197">
        <f t="shared" si="25"/>
        <v>81600</v>
      </c>
    </row>
    <row r="205" spans="1:23" x14ac:dyDescent="0.3">
      <c r="A205" s="155">
        <v>204</v>
      </c>
      <c r="B205" s="28"/>
      <c r="C205" s="28" t="s">
        <v>663</v>
      </c>
      <c r="D205" s="194">
        <v>16489000</v>
      </c>
      <c r="E205" s="194">
        <v>2548000</v>
      </c>
      <c r="F205" s="194">
        <v>0</v>
      </c>
      <c r="G205" s="194">
        <f t="shared" si="24"/>
        <v>16489000</v>
      </c>
      <c r="H205" s="29" t="s">
        <v>453</v>
      </c>
      <c r="I205" s="28" t="s">
        <v>631</v>
      </c>
      <c r="J205" s="30"/>
      <c r="K205" s="30"/>
      <c r="L205" s="30"/>
      <c r="M205" s="30"/>
      <c r="N205" s="30"/>
      <c r="O205" s="30">
        <v>2548000</v>
      </c>
      <c r="P205" s="30"/>
      <c r="Q205" s="30"/>
      <c r="R205" s="30"/>
      <c r="S205" s="30"/>
      <c r="T205" s="30"/>
      <c r="U205" s="30"/>
      <c r="V205" s="30"/>
      <c r="W205" s="197">
        <f t="shared" si="25"/>
        <v>2548000</v>
      </c>
    </row>
    <row r="206" spans="1:23" x14ac:dyDescent="0.3">
      <c r="A206" s="155">
        <v>205</v>
      </c>
      <c r="B206" s="28"/>
      <c r="C206" s="28" t="s">
        <v>664</v>
      </c>
      <c r="D206" s="194">
        <v>6207300</v>
      </c>
      <c r="E206" s="194">
        <v>96000</v>
      </c>
      <c r="F206" s="194">
        <v>0</v>
      </c>
      <c r="G206" s="194">
        <f t="shared" si="24"/>
        <v>6207300</v>
      </c>
      <c r="H206" s="29" t="s">
        <v>453</v>
      </c>
      <c r="I206" s="28" t="s">
        <v>631</v>
      </c>
      <c r="J206" s="30"/>
      <c r="K206" s="30"/>
      <c r="L206" s="30"/>
      <c r="M206" s="30"/>
      <c r="N206" s="30"/>
      <c r="O206" s="194">
        <v>96000</v>
      </c>
      <c r="P206" s="30"/>
      <c r="Q206" s="30"/>
      <c r="R206" s="30"/>
      <c r="S206" s="30"/>
      <c r="T206" s="30"/>
      <c r="U206" s="30"/>
      <c r="V206" s="30"/>
      <c r="W206" s="197">
        <f t="shared" si="25"/>
        <v>96000</v>
      </c>
    </row>
    <row r="207" spans="1:23" x14ac:dyDescent="0.3">
      <c r="A207" s="155">
        <v>206</v>
      </c>
      <c r="B207" s="28"/>
      <c r="C207" s="28" t="s">
        <v>665</v>
      </c>
      <c r="D207" s="194">
        <v>1256900</v>
      </c>
      <c r="E207" s="194">
        <v>196000</v>
      </c>
      <c r="F207" s="194">
        <v>0</v>
      </c>
      <c r="G207" s="194">
        <f t="shared" si="24"/>
        <v>1256900</v>
      </c>
      <c r="H207" s="29" t="s">
        <v>453</v>
      </c>
      <c r="I207" s="28" t="s">
        <v>631</v>
      </c>
      <c r="J207" s="30"/>
      <c r="K207" s="30"/>
      <c r="L207" s="30"/>
      <c r="M207" s="30"/>
      <c r="N207" s="30"/>
      <c r="O207" s="30">
        <v>196000</v>
      </c>
      <c r="P207" s="30"/>
      <c r="Q207" s="30"/>
      <c r="R207" s="30"/>
      <c r="S207" s="30"/>
      <c r="T207" s="30"/>
      <c r="U207" s="30"/>
      <c r="V207" s="30"/>
      <c r="W207" s="197">
        <f t="shared" si="25"/>
        <v>196000</v>
      </c>
    </row>
    <row r="208" spans="1:23" x14ac:dyDescent="0.3">
      <c r="A208" s="155">
        <v>207</v>
      </c>
      <c r="B208" s="28"/>
      <c r="C208" s="28" t="s">
        <v>666</v>
      </c>
      <c r="D208" s="194">
        <v>8513000</v>
      </c>
      <c r="E208" s="194">
        <v>772000</v>
      </c>
      <c r="F208" s="194">
        <v>800000</v>
      </c>
      <c r="G208" s="194"/>
      <c r="H208" s="29" t="s">
        <v>452</v>
      </c>
      <c r="I208" s="28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97"/>
    </row>
    <row r="209" spans="1:23" x14ac:dyDescent="0.3">
      <c r="A209" s="155">
        <v>208</v>
      </c>
      <c r="B209" s="28"/>
      <c r="C209" s="28" t="s">
        <v>667</v>
      </c>
      <c r="D209" s="194">
        <v>53790300</v>
      </c>
      <c r="E209" s="194">
        <v>8308000</v>
      </c>
      <c r="F209" s="194">
        <v>0</v>
      </c>
      <c r="G209" s="194">
        <f t="shared" ref="G209:G212" si="26">D209</f>
        <v>53790300</v>
      </c>
      <c r="H209" s="29" t="s">
        <v>453</v>
      </c>
      <c r="I209" s="28" t="s">
        <v>631</v>
      </c>
      <c r="J209" s="30"/>
      <c r="K209" s="30"/>
      <c r="L209" s="30"/>
      <c r="M209" s="30"/>
      <c r="N209" s="30"/>
      <c r="O209" s="30">
        <v>8308000</v>
      </c>
      <c r="P209" s="30"/>
      <c r="Q209" s="30"/>
      <c r="R209" s="30"/>
      <c r="S209" s="30"/>
      <c r="T209" s="30"/>
      <c r="U209" s="30"/>
      <c r="V209" s="30"/>
      <c r="W209" s="197">
        <f>SUM(J209:V209)</f>
        <v>8308000</v>
      </c>
    </row>
    <row r="210" spans="1:23" x14ac:dyDescent="0.3">
      <c r="A210" s="155">
        <v>209</v>
      </c>
      <c r="B210" s="28"/>
      <c r="C210" s="28" t="s">
        <v>668</v>
      </c>
      <c r="D210" s="194">
        <v>15055630</v>
      </c>
      <c r="E210" s="194">
        <v>1236000</v>
      </c>
      <c r="F210" s="194">
        <v>0</v>
      </c>
      <c r="G210" s="194">
        <f t="shared" si="26"/>
        <v>15055630</v>
      </c>
      <c r="H210" s="29" t="s">
        <v>453</v>
      </c>
      <c r="I210" s="28" t="s">
        <v>631</v>
      </c>
      <c r="J210" s="30"/>
      <c r="K210" s="30"/>
      <c r="L210" s="30"/>
      <c r="M210" s="30"/>
      <c r="N210" s="30"/>
      <c r="O210" s="30">
        <v>1236000</v>
      </c>
      <c r="P210" s="30"/>
      <c r="Q210" s="30"/>
      <c r="R210" s="30"/>
      <c r="S210" s="30"/>
      <c r="T210" s="30"/>
      <c r="U210" s="30"/>
      <c r="V210" s="30"/>
      <c r="W210" s="197">
        <f>SUM(J210:V210)</f>
        <v>1236000</v>
      </c>
    </row>
    <row r="211" spans="1:23" x14ac:dyDescent="0.3">
      <c r="A211" s="155">
        <v>210</v>
      </c>
      <c r="B211" s="28"/>
      <c r="C211" s="28" t="s">
        <v>658</v>
      </c>
      <c r="D211" s="194">
        <v>34351550</v>
      </c>
      <c r="E211" s="194">
        <v>1512000</v>
      </c>
      <c r="F211" s="194">
        <v>0</v>
      </c>
      <c r="G211" s="194">
        <f t="shared" si="26"/>
        <v>34351550</v>
      </c>
      <c r="H211" s="29" t="s">
        <v>453</v>
      </c>
      <c r="I211" s="28" t="s">
        <v>631</v>
      </c>
      <c r="J211" s="30"/>
      <c r="K211" s="30"/>
      <c r="L211" s="30"/>
      <c r="M211" s="30"/>
      <c r="N211" s="30"/>
      <c r="O211" s="30">
        <v>1512000</v>
      </c>
      <c r="P211" s="30"/>
      <c r="Q211" s="30"/>
      <c r="R211" s="30"/>
      <c r="S211" s="30"/>
      <c r="T211" s="30"/>
      <c r="U211" s="30"/>
      <c r="V211" s="30"/>
      <c r="W211" s="197">
        <f>SUM(J211:V211)</f>
        <v>1512000</v>
      </c>
    </row>
    <row r="212" spans="1:23" x14ac:dyDescent="0.3">
      <c r="A212" s="155">
        <v>211</v>
      </c>
      <c r="B212" s="28"/>
      <c r="C212" s="28" t="s">
        <v>669</v>
      </c>
      <c r="D212" s="194">
        <v>3857000</v>
      </c>
      <c r="E212" s="194">
        <v>596000</v>
      </c>
      <c r="F212" s="194">
        <v>0</v>
      </c>
      <c r="G212" s="194">
        <f t="shared" si="26"/>
        <v>3857000</v>
      </c>
      <c r="H212" s="29" t="s">
        <v>453</v>
      </c>
      <c r="I212" s="28" t="s">
        <v>631</v>
      </c>
      <c r="J212" s="30"/>
      <c r="K212" s="30"/>
      <c r="L212" s="30"/>
      <c r="M212" s="30"/>
      <c r="N212" s="30"/>
      <c r="O212" s="30">
        <v>596000</v>
      </c>
      <c r="P212" s="30"/>
      <c r="Q212" s="30"/>
      <c r="R212" s="30"/>
      <c r="S212" s="30"/>
      <c r="T212" s="30"/>
      <c r="U212" s="30"/>
      <c r="V212" s="30"/>
      <c r="W212" s="197">
        <f>SUM(J212:V212)</f>
        <v>596000</v>
      </c>
    </row>
    <row r="213" spans="1:23" x14ac:dyDescent="0.3">
      <c r="A213" s="155">
        <v>212</v>
      </c>
      <c r="B213" s="28"/>
      <c r="C213" s="28" t="s">
        <v>670</v>
      </c>
      <c r="D213" s="194">
        <v>4309000</v>
      </c>
      <c r="E213" s="194">
        <v>664000</v>
      </c>
      <c r="F213" s="194">
        <v>675000</v>
      </c>
      <c r="G213" s="194"/>
      <c r="H213" s="29" t="s">
        <v>452</v>
      </c>
      <c r="I213" s="28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97"/>
    </row>
    <row r="214" spans="1:23" x14ac:dyDescent="0.3">
      <c r="A214" s="155">
        <v>213</v>
      </c>
      <c r="B214" s="28"/>
      <c r="C214" s="28" t="s">
        <v>671</v>
      </c>
      <c r="D214" s="194">
        <v>48432250</v>
      </c>
      <c r="E214" s="194">
        <v>7480000</v>
      </c>
      <c r="F214" s="194">
        <v>0</v>
      </c>
      <c r="G214" s="194">
        <f t="shared" ref="G214:G215" si="27">D214</f>
        <v>48432250</v>
      </c>
      <c r="H214" s="29" t="s">
        <v>453</v>
      </c>
      <c r="I214" s="28" t="s">
        <v>631</v>
      </c>
      <c r="J214" s="30"/>
      <c r="K214" s="30"/>
      <c r="L214" s="30"/>
      <c r="M214" s="30"/>
      <c r="N214" s="30"/>
      <c r="O214" s="30">
        <v>7480000</v>
      </c>
      <c r="P214" s="30"/>
      <c r="Q214" s="30"/>
      <c r="R214" s="30"/>
      <c r="S214" s="30"/>
      <c r="T214" s="30"/>
      <c r="U214" s="30"/>
      <c r="V214" s="30"/>
      <c r="W214" s="197">
        <f>SUM(J214:V214)</f>
        <v>7480000</v>
      </c>
    </row>
    <row r="215" spans="1:23" x14ac:dyDescent="0.3">
      <c r="A215" s="155">
        <v>214</v>
      </c>
      <c r="B215" s="28"/>
      <c r="C215" s="28" t="s">
        <v>672</v>
      </c>
      <c r="D215" s="194">
        <v>3144500</v>
      </c>
      <c r="E215" s="194">
        <v>484000</v>
      </c>
      <c r="F215" s="194">
        <v>0</v>
      </c>
      <c r="G215" s="194">
        <f t="shared" si="27"/>
        <v>3144500</v>
      </c>
      <c r="H215" s="29" t="s">
        <v>453</v>
      </c>
      <c r="I215" s="28" t="s">
        <v>631</v>
      </c>
      <c r="J215" s="30"/>
      <c r="K215" s="30"/>
      <c r="L215" s="30"/>
      <c r="M215" s="30"/>
      <c r="N215" s="30"/>
      <c r="O215" s="30">
        <v>484000</v>
      </c>
      <c r="P215" s="30"/>
      <c r="Q215" s="30"/>
      <c r="R215" s="30"/>
      <c r="S215" s="30"/>
      <c r="T215" s="30"/>
      <c r="U215" s="30"/>
      <c r="V215" s="30"/>
      <c r="W215" s="197">
        <f>SUM(J215:V215)</f>
        <v>484000</v>
      </c>
    </row>
    <row r="216" spans="1:23" x14ac:dyDescent="0.3">
      <c r="A216" s="155">
        <v>215</v>
      </c>
      <c r="B216" s="28"/>
      <c r="C216" s="28" t="s">
        <v>673</v>
      </c>
      <c r="D216" s="194">
        <v>9236000</v>
      </c>
      <c r="E216" s="194">
        <v>1080000</v>
      </c>
      <c r="F216" s="194">
        <v>1100000</v>
      </c>
      <c r="G216" s="194"/>
      <c r="H216" s="29" t="s">
        <v>452</v>
      </c>
      <c r="I216" s="28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97"/>
    </row>
    <row r="217" spans="1:23" x14ac:dyDescent="0.3">
      <c r="A217" s="155">
        <v>216</v>
      </c>
      <c r="B217" s="28"/>
      <c r="C217" s="28" t="s">
        <v>674</v>
      </c>
      <c r="D217" s="194">
        <v>5663400</v>
      </c>
      <c r="E217" s="194">
        <v>372000</v>
      </c>
      <c r="F217" s="194">
        <v>0</v>
      </c>
      <c r="G217" s="194">
        <f t="shared" ref="G217:G225" si="28">D217</f>
        <v>5663400</v>
      </c>
      <c r="H217" s="29" t="s">
        <v>453</v>
      </c>
      <c r="I217" s="28" t="s">
        <v>631</v>
      </c>
      <c r="J217" s="30"/>
      <c r="K217" s="30"/>
      <c r="L217" s="30"/>
      <c r="M217" s="30"/>
      <c r="N217" s="30"/>
      <c r="O217" s="30">
        <v>372000</v>
      </c>
      <c r="P217" s="30"/>
      <c r="Q217" s="30"/>
      <c r="R217" s="30"/>
      <c r="S217" s="30"/>
      <c r="T217" s="30"/>
      <c r="U217" s="30"/>
      <c r="V217" s="30"/>
      <c r="W217" s="197">
        <f t="shared" ref="W217:W225" si="29">SUM(J217:V217)</f>
        <v>372000</v>
      </c>
    </row>
    <row r="218" spans="1:23" x14ac:dyDescent="0.3">
      <c r="A218" s="155">
        <v>217</v>
      </c>
      <c r="B218" s="28"/>
      <c r="C218" s="28" t="s">
        <v>675</v>
      </c>
      <c r="D218" s="194">
        <v>15749000</v>
      </c>
      <c r="E218" s="194">
        <v>172000</v>
      </c>
      <c r="F218" s="194">
        <v>0</v>
      </c>
      <c r="G218" s="194">
        <f t="shared" si="28"/>
        <v>15749000</v>
      </c>
      <c r="H218" s="29" t="s">
        <v>453</v>
      </c>
      <c r="I218" s="28" t="s">
        <v>631</v>
      </c>
      <c r="J218" s="30"/>
      <c r="K218" s="30"/>
      <c r="L218" s="30"/>
      <c r="M218" s="30"/>
      <c r="N218" s="30"/>
      <c r="O218" s="30">
        <v>172000</v>
      </c>
      <c r="P218" s="30"/>
      <c r="Q218" s="30"/>
      <c r="R218" s="30"/>
      <c r="S218" s="30"/>
      <c r="T218" s="30"/>
      <c r="U218" s="30"/>
      <c r="V218" s="30"/>
      <c r="W218" s="197">
        <f t="shared" si="29"/>
        <v>172000</v>
      </c>
    </row>
    <row r="219" spans="1:23" x14ac:dyDescent="0.3">
      <c r="A219" s="155">
        <v>218</v>
      </c>
      <c r="B219" s="28"/>
      <c r="C219" s="28" t="s">
        <v>676</v>
      </c>
      <c r="D219" s="194">
        <v>11237500</v>
      </c>
      <c r="E219" s="194">
        <v>136400</v>
      </c>
      <c r="F219" s="194">
        <v>0</v>
      </c>
      <c r="G219" s="194">
        <f t="shared" si="28"/>
        <v>11237500</v>
      </c>
      <c r="H219" s="29" t="s">
        <v>453</v>
      </c>
      <c r="I219" s="28" t="s">
        <v>631</v>
      </c>
      <c r="J219" s="30"/>
      <c r="K219" s="30"/>
      <c r="L219" s="30"/>
      <c r="M219" s="30"/>
      <c r="N219" s="30"/>
      <c r="O219" s="30">
        <v>136400</v>
      </c>
      <c r="P219" s="30"/>
      <c r="Q219" s="30"/>
      <c r="R219" s="30"/>
      <c r="S219" s="30"/>
      <c r="T219" s="30"/>
      <c r="U219" s="30"/>
      <c r="V219" s="30"/>
      <c r="W219" s="197">
        <f t="shared" si="29"/>
        <v>136400</v>
      </c>
    </row>
    <row r="220" spans="1:23" x14ac:dyDescent="0.3">
      <c r="A220" s="155">
        <v>219</v>
      </c>
      <c r="B220" s="28"/>
      <c r="C220" s="28" t="s">
        <v>677</v>
      </c>
      <c r="D220" s="194">
        <v>6401000</v>
      </c>
      <c r="E220" s="194">
        <v>6615000</v>
      </c>
      <c r="F220" s="194">
        <v>0</v>
      </c>
      <c r="G220" s="194">
        <f t="shared" si="28"/>
        <v>6401000</v>
      </c>
      <c r="H220" s="29" t="s">
        <v>453</v>
      </c>
      <c r="I220" s="28" t="s">
        <v>631</v>
      </c>
      <c r="J220" s="30"/>
      <c r="K220" s="30"/>
      <c r="L220" s="30"/>
      <c r="M220" s="30"/>
      <c r="N220" s="30"/>
      <c r="O220" s="30">
        <v>6615000</v>
      </c>
      <c r="P220" s="30"/>
      <c r="Q220" s="30"/>
      <c r="R220" s="30"/>
      <c r="S220" s="30"/>
      <c r="T220" s="30"/>
      <c r="U220" s="30"/>
      <c r="V220" s="30"/>
      <c r="W220" s="197">
        <f t="shared" si="29"/>
        <v>6615000</v>
      </c>
    </row>
    <row r="221" spans="1:23" x14ac:dyDescent="0.3">
      <c r="A221" s="155">
        <v>220</v>
      </c>
      <c r="B221" s="28"/>
      <c r="C221" s="28" t="s">
        <v>678</v>
      </c>
      <c r="D221" s="194">
        <v>5050000</v>
      </c>
      <c r="E221" s="194">
        <v>78000</v>
      </c>
      <c r="F221" s="194">
        <v>0</v>
      </c>
      <c r="G221" s="194">
        <f t="shared" si="28"/>
        <v>5050000</v>
      </c>
      <c r="H221" s="29" t="s">
        <v>453</v>
      </c>
      <c r="I221" s="28" t="s">
        <v>631</v>
      </c>
      <c r="J221" s="30"/>
      <c r="K221" s="30"/>
      <c r="L221" s="30"/>
      <c r="M221" s="30"/>
      <c r="N221" s="30"/>
      <c r="O221" s="194">
        <v>78000</v>
      </c>
      <c r="P221" s="30"/>
      <c r="Q221" s="30"/>
      <c r="R221" s="30"/>
      <c r="S221" s="30"/>
      <c r="T221" s="30"/>
      <c r="U221" s="30"/>
      <c r="V221" s="30"/>
      <c r="W221" s="197">
        <f t="shared" si="29"/>
        <v>78000</v>
      </c>
    </row>
    <row r="222" spans="1:23" x14ac:dyDescent="0.3">
      <c r="A222" s="155">
        <v>221</v>
      </c>
      <c r="B222" s="28"/>
      <c r="C222" s="28" t="s">
        <v>679</v>
      </c>
      <c r="D222" s="194">
        <v>4661538</v>
      </c>
      <c r="E222" s="194">
        <v>72000</v>
      </c>
      <c r="F222" s="194">
        <v>0</v>
      </c>
      <c r="G222" s="194">
        <f t="shared" si="28"/>
        <v>4661538</v>
      </c>
      <c r="H222" s="29" t="s">
        <v>453</v>
      </c>
      <c r="I222" s="28" t="s">
        <v>631</v>
      </c>
      <c r="J222" s="30"/>
      <c r="K222" s="30"/>
      <c r="L222" s="30"/>
      <c r="M222" s="30"/>
      <c r="N222" s="30"/>
      <c r="O222" s="194">
        <v>72000</v>
      </c>
      <c r="P222" s="30"/>
      <c r="Q222" s="30"/>
      <c r="R222" s="30"/>
      <c r="S222" s="30"/>
      <c r="T222" s="30"/>
      <c r="U222" s="30"/>
      <c r="V222" s="30"/>
      <c r="W222" s="197">
        <f t="shared" si="29"/>
        <v>72000</v>
      </c>
    </row>
    <row r="223" spans="1:23" x14ac:dyDescent="0.3">
      <c r="A223" s="155">
        <v>222</v>
      </c>
      <c r="B223" s="28"/>
      <c r="C223" s="28" t="s">
        <v>680</v>
      </c>
      <c r="D223" s="194">
        <v>1100000</v>
      </c>
      <c r="E223" s="194">
        <v>16800</v>
      </c>
      <c r="F223" s="194">
        <v>0</v>
      </c>
      <c r="G223" s="194">
        <f t="shared" si="28"/>
        <v>1100000</v>
      </c>
      <c r="H223" s="29" t="s">
        <v>453</v>
      </c>
      <c r="I223" s="28" t="s">
        <v>631</v>
      </c>
      <c r="J223" s="30"/>
      <c r="K223" s="30"/>
      <c r="L223" s="30"/>
      <c r="M223" s="30"/>
      <c r="N223" s="30"/>
      <c r="O223" s="30">
        <v>16800</v>
      </c>
      <c r="P223" s="30"/>
      <c r="Q223" s="30"/>
      <c r="R223" s="30"/>
      <c r="S223" s="30"/>
      <c r="T223" s="30"/>
      <c r="U223" s="30"/>
      <c r="V223" s="30"/>
      <c r="W223" s="197">
        <f t="shared" si="29"/>
        <v>16800</v>
      </c>
    </row>
    <row r="224" spans="1:23" x14ac:dyDescent="0.3">
      <c r="A224" s="155">
        <v>223</v>
      </c>
      <c r="B224" s="28"/>
      <c r="C224" s="28" t="s">
        <v>681</v>
      </c>
      <c r="D224" s="194">
        <v>650000</v>
      </c>
      <c r="E224" s="194">
        <v>10000</v>
      </c>
      <c r="F224" s="194">
        <v>0</v>
      </c>
      <c r="G224" s="194">
        <f t="shared" si="28"/>
        <v>650000</v>
      </c>
      <c r="H224" s="29" t="s">
        <v>453</v>
      </c>
      <c r="I224" s="28" t="s">
        <v>631</v>
      </c>
      <c r="J224" s="30"/>
      <c r="K224" s="30"/>
      <c r="L224" s="30"/>
      <c r="M224" s="30"/>
      <c r="N224" s="30"/>
      <c r="O224" s="30">
        <v>10000</v>
      </c>
      <c r="P224" s="30"/>
      <c r="Q224" s="30"/>
      <c r="R224" s="30"/>
      <c r="S224" s="30"/>
      <c r="T224" s="30"/>
      <c r="U224" s="30"/>
      <c r="V224" s="30"/>
      <c r="W224" s="197">
        <f t="shared" si="29"/>
        <v>10000</v>
      </c>
    </row>
    <row r="225" spans="1:23" x14ac:dyDescent="0.3">
      <c r="A225" s="155">
        <v>224</v>
      </c>
      <c r="B225" s="28"/>
      <c r="C225" s="28" t="s">
        <v>682</v>
      </c>
      <c r="D225" s="194">
        <v>4130000</v>
      </c>
      <c r="E225" s="194">
        <v>63600</v>
      </c>
      <c r="F225" s="194">
        <v>0</v>
      </c>
      <c r="G225" s="194">
        <f t="shared" si="28"/>
        <v>4130000</v>
      </c>
      <c r="H225" s="29" t="s">
        <v>453</v>
      </c>
      <c r="I225" s="28" t="s">
        <v>631</v>
      </c>
      <c r="J225" s="30"/>
      <c r="K225" s="30"/>
      <c r="L225" s="30"/>
      <c r="M225" s="30"/>
      <c r="N225" s="30"/>
      <c r="O225" s="30">
        <v>63600</v>
      </c>
      <c r="P225" s="30"/>
      <c r="Q225" s="30"/>
      <c r="R225" s="30"/>
      <c r="S225" s="30"/>
      <c r="T225" s="30"/>
      <c r="U225" s="30"/>
      <c r="V225" s="30"/>
      <c r="W225" s="197">
        <f t="shared" si="29"/>
        <v>63600</v>
      </c>
    </row>
    <row r="226" spans="1:23" x14ac:dyDescent="0.3">
      <c r="A226" s="155">
        <v>225</v>
      </c>
      <c r="B226" s="28"/>
      <c r="C226" s="28" t="s">
        <v>683</v>
      </c>
      <c r="D226" s="194">
        <v>8513000</v>
      </c>
      <c r="E226" s="194">
        <v>772000</v>
      </c>
      <c r="F226" s="194">
        <v>800000</v>
      </c>
      <c r="G226" s="194"/>
      <c r="H226" s="29" t="s">
        <v>452</v>
      </c>
      <c r="I226" s="28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97"/>
    </row>
    <row r="227" spans="1:23" x14ac:dyDescent="0.3">
      <c r="A227" s="155">
        <v>226</v>
      </c>
      <c r="B227" s="28"/>
      <c r="C227" s="28" t="s">
        <v>684</v>
      </c>
      <c r="D227" s="194">
        <v>6900000</v>
      </c>
      <c r="E227" s="194">
        <v>616000</v>
      </c>
      <c r="F227" s="194">
        <v>0</v>
      </c>
      <c r="G227" s="194">
        <f>D227</f>
        <v>6900000</v>
      </c>
      <c r="H227" s="29" t="s">
        <v>453</v>
      </c>
      <c r="I227" s="28" t="s">
        <v>631</v>
      </c>
      <c r="J227" s="30"/>
      <c r="K227" s="30"/>
      <c r="L227" s="30"/>
      <c r="M227" s="30"/>
      <c r="N227" s="30"/>
      <c r="O227" s="194">
        <v>616000</v>
      </c>
      <c r="P227" s="30"/>
      <c r="Q227" s="30"/>
      <c r="R227" s="30"/>
      <c r="S227" s="30"/>
      <c r="T227" s="30"/>
      <c r="U227" s="30"/>
      <c r="V227" s="30"/>
      <c r="W227" s="197">
        <f>SUM(J227:V227)</f>
        <v>616000</v>
      </c>
    </row>
    <row r="228" spans="1:23" x14ac:dyDescent="0.3">
      <c r="A228" s="155">
        <v>227</v>
      </c>
      <c r="B228" s="28"/>
      <c r="C228" s="28" t="s">
        <v>685</v>
      </c>
      <c r="D228" s="194">
        <v>2750000</v>
      </c>
      <c r="E228" s="194">
        <v>424000</v>
      </c>
      <c r="F228" s="194">
        <v>450000</v>
      </c>
      <c r="G228" s="194"/>
      <c r="H228" s="29" t="s">
        <v>452</v>
      </c>
      <c r="I228" s="28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97"/>
    </row>
    <row r="229" spans="1:23" x14ac:dyDescent="0.3">
      <c r="A229" s="155">
        <v>228</v>
      </c>
      <c r="B229" s="28"/>
      <c r="C229" s="28" t="s">
        <v>686</v>
      </c>
      <c r="D229" s="194">
        <v>1675000</v>
      </c>
      <c r="E229" s="194">
        <v>26000</v>
      </c>
      <c r="F229" s="194">
        <v>0</v>
      </c>
      <c r="G229" s="194">
        <f t="shared" ref="G229:G240" si="30">D229</f>
        <v>1675000</v>
      </c>
      <c r="H229" s="29" t="s">
        <v>453</v>
      </c>
      <c r="I229" s="28" t="s">
        <v>631</v>
      </c>
      <c r="J229" s="30"/>
      <c r="K229" s="30"/>
      <c r="L229" s="30"/>
      <c r="M229" s="30"/>
      <c r="N229" s="30"/>
      <c r="O229" s="194">
        <v>26000</v>
      </c>
      <c r="P229" s="30"/>
      <c r="Q229" s="30"/>
      <c r="R229" s="30"/>
      <c r="S229" s="30"/>
      <c r="T229" s="30"/>
      <c r="U229" s="30"/>
      <c r="V229" s="30"/>
      <c r="W229" s="197">
        <f t="shared" ref="W229:W240" si="31">SUM(J229:V229)</f>
        <v>26000</v>
      </c>
    </row>
    <row r="230" spans="1:23" x14ac:dyDescent="0.3">
      <c r="A230" s="155">
        <v>229</v>
      </c>
      <c r="B230" s="28"/>
      <c r="C230" s="28" t="s">
        <v>687</v>
      </c>
      <c r="D230" s="194">
        <v>675000</v>
      </c>
      <c r="E230" s="194">
        <v>104000</v>
      </c>
      <c r="F230" s="194">
        <v>0</v>
      </c>
      <c r="G230" s="194">
        <f t="shared" si="30"/>
        <v>675000</v>
      </c>
      <c r="H230" s="29" t="s">
        <v>453</v>
      </c>
      <c r="I230" s="28" t="s">
        <v>631</v>
      </c>
      <c r="J230" s="30"/>
      <c r="K230" s="30"/>
      <c r="L230" s="30"/>
      <c r="M230" s="30"/>
      <c r="N230" s="30"/>
      <c r="O230" s="30">
        <v>104000</v>
      </c>
      <c r="P230" s="30"/>
      <c r="Q230" s="30"/>
      <c r="R230" s="30"/>
      <c r="S230" s="30"/>
      <c r="T230" s="30"/>
      <c r="U230" s="30"/>
      <c r="V230" s="30"/>
      <c r="W230" s="197">
        <f t="shared" si="31"/>
        <v>104000</v>
      </c>
    </row>
    <row r="231" spans="1:23" x14ac:dyDescent="0.3">
      <c r="A231" s="155">
        <v>230</v>
      </c>
      <c r="B231" s="28"/>
      <c r="C231" s="28" t="s">
        <v>688</v>
      </c>
      <c r="D231" s="194">
        <v>425000</v>
      </c>
      <c r="E231" s="194">
        <v>64000</v>
      </c>
      <c r="F231" s="194">
        <v>0</v>
      </c>
      <c r="G231" s="194">
        <f t="shared" si="30"/>
        <v>425000</v>
      </c>
      <c r="H231" s="29" t="s">
        <v>453</v>
      </c>
      <c r="I231" s="28" t="s">
        <v>631</v>
      </c>
      <c r="J231" s="30"/>
      <c r="K231" s="30"/>
      <c r="L231" s="30"/>
      <c r="M231" s="30"/>
      <c r="N231" s="30"/>
      <c r="O231" s="30">
        <v>64000</v>
      </c>
      <c r="P231" s="30"/>
      <c r="Q231" s="30"/>
      <c r="R231" s="30"/>
      <c r="S231" s="30"/>
      <c r="T231" s="30"/>
      <c r="U231" s="30"/>
      <c r="V231" s="30"/>
      <c r="W231" s="197">
        <f t="shared" si="31"/>
        <v>64000</v>
      </c>
    </row>
    <row r="232" spans="1:23" x14ac:dyDescent="0.3">
      <c r="A232" s="155">
        <v>231</v>
      </c>
      <c r="B232" s="28"/>
      <c r="C232" s="28" t="s">
        <v>689</v>
      </c>
      <c r="D232" s="194">
        <v>375000</v>
      </c>
      <c r="E232" s="194">
        <v>5600</v>
      </c>
      <c r="F232" s="194">
        <v>0</v>
      </c>
      <c r="G232" s="194">
        <f t="shared" si="30"/>
        <v>375000</v>
      </c>
      <c r="H232" s="29" t="s">
        <v>453</v>
      </c>
      <c r="I232" s="28" t="s">
        <v>631</v>
      </c>
      <c r="J232" s="30"/>
      <c r="K232" s="30"/>
      <c r="L232" s="30"/>
      <c r="M232" s="30"/>
      <c r="N232" s="30"/>
      <c r="O232" s="30">
        <v>5600</v>
      </c>
      <c r="P232" s="30"/>
      <c r="Q232" s="30"/>
      <c r="R232" s="30"/>
      <c r="S232" s="30"/>
      <c r="T232" s="30"/>
      <c r="U232" s="30"/>
      <c r="V232" s="30"/>
      <c r="W232" s="197">
        <f t="shared" si="31"/>
        <v>5600</v>
      </c>
    </row>
    <row r="233" spans="1:23" x14ac:dyDescent="0.3">
      <c r="A233" s="155">
        <v>232</v>
      </c>
      <c r="B233" s="28"/>
      <c r="C233" s="28" t="s">
        <v>690</v>
      </c>
      <c r="D233" s="194">
        <v>6700000</v>
      </c>
      <c r="E233" s="194">
        <v>988000</v>
      </c>
      <c r="F233" s="194">
        <v>0</v>
      </c>
      <c r="G233" s="194">
        <f t="shared" si="30"/>
        <v>6700000</v>
      </c>
      <c r="H233" s="29" t="s">
        <v>453</v>
      </c>
      <c r="I233" s="28" t="s">
        <v>631</v>
      </c>
      <c r="J233" s="30"/>
      <c r="K233" s="30"/>
      <c r="L233" s="30"/>
      <c r="M233" s="30"/>
      <c r="N233" s="30"/>
      <c r="O233" s="194">
        <v>988000</v>
      </c>
      <c r="P233" s="30"/>
      <c r="Q233" s="30"/>
      <c r="R233" s="30"/>
      <c r="S233" s="30"/>
      <c r="T233" s="30"/>
      <c r="U233" s="30"/>
      <c r="V233" s="30"/>
      <c r="W233" s="197">
        <f t="shared" si="31"/>
        <v>988000</v>
      </c>
    </row>
    <row r="234" spans="1:23" x14ac:dyDescent="0.3">
      <c r="A234" s="155">
        <v>233</v>
      </c>
      <c r="B234" s="28"/>
      <c r="C234" s="28" t="s">
        <v>691</v>
      </c>
      <c r="D234" s="194">
        <v>12000000</v>
      </c>
      <c r="E234" s="194">
        <v>1844000</v>
      </c>
      <c r="F234" s="194">
        <v>0</v>
      </c>
      <c r="G234" s="194">
        <f t="shared" si="30"/>
        <v>12000000</v>
      </c>
      <c r="H234" s="29" t="s">
        <v>453</v>
      </c>
      <c r="I234" s="28" t="s">
        <v>631</v>
      </c>
      <c r="J234" s="30"/>
      <c r="K234" s="30"/>
      <c r="L234" s="30"/>
      <c r="M234" s="30"/>
      <c r="N234" s="30"/>
      <c r="O234" s="194">
        <v>1844000</v>
      </c>
      <c r="P234" s="30"/>
      <c r="Q234" s="30"/>
      <c r="R234" s="30"/>
      <c r="S234" s="30"/>
      <c r="T234" s="30"/>
      <c r="U234" s="30"/>
      <c r="V234" s="30"/>
      <c r="W234" s="197">
        <f t="shared" si="31"/>
        <v>1844000</v>
      </c>
    </row>
    <row r="235" spans="1:23" x14ac:dyDescent="0.3">
      <c r="A235" s="155">
        <v>234</v>
      </c>
      <c r="B235" s="28"/>
      <c r="C235" s="28" t="s">
        <v>692</v>
      </c>
      <c r="D235" s="194">
        <v>6700000</v>
      </c>
      <c r="E235" s="194">
        <v>103600</v>
      </c>
      <c r="F235" s="194">
        <v>0</v>
      </c>
      <c r="G235" s="194">
        <f t="shared" si="30"/>
        <v>6700000</v>
      </c>
      <c r="H235" s="29" t="s">
        <v>453</v>
      </c>
      <c r="I235" s="28" t="s">
        <v>631</v>
      </c>
      <c r="J235" s="30"/>
      <c r="K235" s="30"/>
      <c r="L235" s="30"/>
      <c r="M235" s="30"/>
      <c r="N235" s="30"/>
      <c r="O235" s="194">
        <v>103600</v>
      </c>
      <c r="P235" s="30"/>
      <c r="Q235" s="30"/>
      <c r="R235" s="30"/>
      <c r="S235" s="30"/>
      <c r="T235" s="30"/>
      <c r="U235" s="30"/>
      <c r="V235" s="30"/>
      <c r="W235" s="197">
        <f t="shared" si="31"/>
        <v>103600</v>
      </c>
    </row>
    <row r="236" spans="1:23" x14ac:dyDescent="0.3">
      <c r="A236" s="155">
        <v>235</v>
      </c>
      <c r="B236" s="28"/>
      <c r="C236" s="28" t="s">
        <v>693</v>
      </c>
      <c r="D236" s="194">
        <v>1300000</v>
      </c>
      <c r="E236" s="194">
        <v>20000</v>
      </c>
      <c r="F236" s="194">
        <v>0</v>
      </c>
      <c r="G236" s="194">
        <f t="shared" si="30"/>
        <v>1300000</v>
      </c>
      <c r="H236" s="29" t="s">
        <v>453</v>
      </c>
      <c r="I236" s="28" t="s">
        <v>631</v>
      </c>
      <c r="J236" s="30"/>
      <c r="K236" s="30"/>
      <c r="L236" s="30"/>
      <c r="M236" s="30"/>
      <c r="N236" s="30"/>
      <c r="O236" s="194">
        <v>20000</v>
      </c>
      <c r="P236" s="30"/>
      <c r="Q236" s="30"/>
      <c r="R236" s="30"/>
      <c r="S236" s="30"/>
      <c r="T236" s="30"/>
      <c r="U236" s="30"/>
      <c r="V236" s="30"/>
      <c r="W236" s="197">
        <f t="shared" si="31"/>
        <v>20000</v>
      </c>
    </row>
    <row r="237" spans="1:23" x14ac:dyDescent="0.3">
      <c r="A237" s="155">
        <v>236</v>
      </c>
      <c r="B237" s="28"/>
      <c r="C237" s="28" t="s">
        <v>694</v>
      </c>
      <c r="D237" s="194">
        <v>6100000</v>
      </c>
      <c r="E237" s="194">
        <v>944000</v>
      </c>
      <c r="F237" s="194">
        <v>0</v>
      </c>
      <c r="G237" s="194">
        <f t="shared" si="30"/>
        <v>6100000</v>
      </c>
      <c r="H237" s="29" t="s">
        <v>453</v>
      </c>
      <c r="I237" s="28" t="s">
        <v>631</v>
      </c>
      <c r="J237" s="30"/>
      <c r="K237" s="30"/>
      <c r="L237" s="30"/>
      <c r="M237" s="30"/>
      <c r="N237" s="30"/>
      <c r="O237" s="194">
        <v>944000</v>
      </c>
      <c r="P237" s="30"/>
      <c r="Q237" s="30"/>
      <c r="R237" s="30"/>
      <c r="S237" s="30"/>
      <c r="T237" s="30"/>
      <c r="U237" s="30"/>
      <c r="V237" s="30"/>
      <c r="W237" s="197">
        <f t="shared" si="31"/>
        <v>944000</v>
      </c>
    </row>
    <row r="238" spans="1:23" x14ac:dyDescent="0.3">
      <c r="A238" s="155">
        <v>237</v>
      </c>
      <c r="B238" s="28"/>
      <c r="C238" s="28" t="s">
        <v>695</v>
      </c>
      <c r="D238" s="194">
        <v>2750000</v>
      </c>
      <c r="E238" s="194">
        <v>424000</v>
      </c>
      <c r="F238" s="194">
        <v>0</v>
      </c>
      <c r="G238" s="194">
        <f t="shared" si="30"/>
        <v>2750000</v>
      </c>
      <c r="H238" s="29" t="s">
        <v>453</v>
      </c>
      <c r="I238" s="28" t="s">
        <v>631</v>
      </c>
      <c r="J238" s="30"/>
      <c r="K238" s="30"/>
      <c r="L238" s="30"/>
      <c r="M238" s="30"/>
      <c r="N238" s="30"/>
      <c r="O238" s="194">
        <v>424000</v>
      </c>
      <c r="P238" s="30"/>
      <c r="Q238" s="30"/>
      <c r="R238" s="30"/>
      <c r="S238" s="30"/>
      <c r="T238" s="30"/>
      <c r="U238" s="30"/>
      <c r="V238" s="30"/>
      <c r="W238" s="197">
        <f t="shared" si="31"/>
        <v>424000</v>
      </c>
    </row>
    <row r="239" spans="1:23" x14ac:dyDescent="0.3">
      <c r="A239" s="155">
        <v>238</v>
      </c>
      <c r="B239" s="28"/>
      <c r="C239" s="28" t="s">
        <v>653</v>
      </c>
      <c r="D239" s="194">
        <v>3600000</v>
      </c>
      <c r="E239" s="194">
        <v>73200</v>
      </c>
      <c r="F239" s="194">
        <v>0</v>
      </c>
      <c r="G239" s="194">
        <f t="shared" si="30"/>
        <v>3600000</v>
      </c>
      <c r="H239" s="29" t="s">
        <v>453</v>
      </c>
      <c r="I239" s="28" t="s">
        <v>631</v>
      </c>
      <c r="J239" s="30"/>
      <c r="K239" s="30"/>
      <c r="L239" s="30"/>
      <c r="M239" s="30"/>
      <c r="N239" s="30"/>
      <c r="O239" s="194">
        <v>73200</v>
      </c>
      <c r="P239" s="30"/>
      <c r="Q239" s="30"/>
      <c r="R239" s="30"/>
      <c r="S239" s="30"/>
      <c r="T239" s="30"/>
      <c r="U239" s="30"/>
      <c r="V239" s="30"/>
      <c r="W239" s="197">
        <f t="shared" si="31"/>
        <v>73200</v>
      </c>
    </row>
    <row r="240" spans="1:23" x14ac:dyDescent="0.3">
      <c r="A240" s="155">
        <v>239</v>
      </c>
      <c r="B240" s="28"/>
      <c r="C240" s="28" t="s">
        <v>696</v>
      </c>
      <c r="D240" s="194">
        <v>7500000</v>
      </c>
      <c r="E240" s="194">
        <v>928000</v>
      </c>
      <c r="F240" s="194">
        <v>0</v>
      </c>
      <c r="G240" s="194">
        <f t="shared" si="30"/>
        <v>7500000</v>
      </c>
      <c r="H240" s="29" t="s">
        <v>453</v>
      </c>
      <c r="I240" s="28" t="s">
        <v>631</v>
      </c>
      <c r="J240" s="30"/>
      <c r="K240" s="30"/>
      <c r="L240" s="30"/>
      <c r="M240" s="30"/>
      <c r="N240" s="30"/>
      <c r="O240" s="194">
        <v>928000</v>
      </c>
      <c r="P240" s="30"/>
      <c r="Q240" s="30"/>
      <c r="R240" s="30"/>
      <c r="S240" s="30"/>
      <c r="T240" s="30"/>
      <c r="U240" s="30"/>
      <c r="V240" s="30"/>
      <c r="W240" s="197">
        <f t="shared" si="31"/>
        <v>928000</v>
      </c>
    </row>
    <row r="241" spans="1:23" x14ac:dyDescent="0.3">
      <c r="A241" s="155">
        <v>240</v>
      </c>
      <c r="B241" s="28"/>
      <c r="C241" s="28" t="s">
        <v>697</v>
      </c>
      <c r="D241" s="194">
        <v>5700000</v>
      </c>
      <c r="E241" s="194">
        <v>880000</v>
      </c>
      <c r="F241" s="194">
        <v>890000</v>
      </c>
      <c r="G241" s="194"/>
      <c r="H241" s="29" t="s">
        <v>452</v>
      </c>
      <c r="I241" s="28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97"/>
    </row>
    <row r="242" spans="1:23" x14ac:dyDescent="0.3">
      <c r="A242" s="155">
        <v>241</v>
      </c>
      <c r="B242" s="28"/>
      <c r="C242" s="28" t="s">
        <v>698</v>
      </c>
      <c r="D242" s="194">
        <v>6400000</v>
      </c>
      <c r="E242" s="194">
        <v>988000</v>
      </c>
      <c r="F242" s="194">
        <v>0</v>
      </c>
      <c r="G242" s="194">
        <f>D242</f>
        <v>6400000</v>
      </c>
      <c r="H242" s="29" t="s">
        <v>453</v>
      </c>
      <c r="I242" s="28" t="s">
        <v>631</v>
      </c>
      <c r="J242" s="30"/>
      <c r="K242" s="30"/>
      <c r="L242" s="30"/>
      <c r="M242" s="30"/>
      <c r="N242" s="30"/>
      <c r="O242" s="194">
        <v>988000</v>
      </c>
      <c r="P242" s="30"/>
      <c r="Q242" s="30"/>
      <c r="R242" s="30"/>
      <c r="S242" s="30"/>
      <c r="T242" s="30"/>
      <c r="U242" s="30"/>
      <c r="V242" s="30"/>
      <c r="W242" s="197">
        <f>SUM(J242:V242)</f>
        <v>988000</v>
      </c>
    </row>
    <row r="243" spans="1:23" x14ac:dyDescent="0.3">
      <c r="A243" s="155">
        <v>242</v>
      </c>
      <c r="B243" s="28"/>
      <c r="C243" s="28" t="s">
        <v>699</v>
      </c>
      <c r="D243" s="194">
        <v>8375000</v>
      </c>
      <c r="E243" s="194">
        <v>1292000</v>
      </c>
      <c r="F243" s="194">
        <v>1300000</v>
      </c>
      <c r="G243" s="194"/>
      <c r="H243" s="29" t="s">
        <v>452</v>
      </c>
      <c r="I243" s="28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97"/>
    </row>
    <row r="244" spans="1:23" x14ac:dyDescent="0.3">
      <c r="A244" s="155">
        <v>243</v>
      </c>
      <c r="B244" s="28"/>
      <c r="C244" s="28" t="s">
        <v>700</v>
      </c>
      <c r="D244" s="194">
        <v>2900000</v>
      </c>
      <c r="E244" s="194">
        <v>448000</v>
      </c>
      <c r="F244" s="194">
        <v>0</v>
      </c>
      <c r="G244" s="194">
        <f t="shared" ref="G244:G245" si="32">D244</f>
        <v>2900000</v>
      </c>
      <c r="H244" s="29" t="s">
        <v>453</v>
      </c>
      <c r="I244" s="28" t="s">
        <v>631</v>
      </c>
      <c r="J244" s="30"/>
      <c r="K244" s="30"/>
      <c r="L244" s="30"/>
      <c r="M244" s="30"/>
      <c r="N244" s="30"/>
      <c r="O244" s="30">
        <v>448000</v>
      </c>
      <c r="P244" s="30"/>
      <c r="Q244" s="30"/>
      <c r="R244" s="30"/>
      <c r="S244" s="30"/>
      <c r="T244" s="30"/>
      <c r="U244" s="30"/>
      <c r="V244" s="30"/>
      <c r="W244" s="197">
        <f>SUM(J244:V244)</f>
        <v>448000</v>
      </c>
    </row>
    <row r="245" spans="1:23" x14ac:dyDescent="0.3">
      <c r="A245" s="155">
        <v>244</v>
      </c>
      <c r="B245" s="28"/>
      <c r="C245" s="28" t="s">
        <v>701</v>
      </c>
      <c r="D245" s="194">
        <v>4650000</v>
      </c>
      <c r="E245" s="194">
        <v>720000</v>
      </c>
      <c r="F245" s="194">
        <v>0</v>
      </c>
      <c r="G245" s="194">
        <f t="shared" si="32"/>
        <v>4650000</v>
      </c>
      <c r="H245" s="29" t="s">
        <v>453</v>
      </c>
      <c r="I245" s="28" t="s">
        <v>631</v>
      </c>
      <c r="J245" s="30"/>
      <c r="K245" s="30"/>
      <c r="L245" s="30"/>
      <c r="M245" s="30"/>
      <c r="N245" s="30"/>
      <c r="O245" s="194">
        <v>720000</v>
      </c>
      <c r="P245" s="30"/>
      <c r="Q245" s="30"/>
      <c r="R245" s="30"/>
      <c r="S245" s="30"/>
      <c r="T245" s="30"/>
      <c r="U245" s="30"/>
      <c r="V245" s="30"/>
      <c r="W245" s="197">
        <f>SUM(J245:V245)</f>
        <v>720000</v>
      </c>
    </row>
    <row r="246" spans="1:23" x14ac:dyDescent="0.3">
      <c r="A246" s="155">
        <v>245</v>
      </c>
      <c r="B246" s="28"/>
      <c r="C246" s="28" t="s">
        <v>702</v>
      </c>
      <c r="D246" s="194">
        <v>4700000</v>
      </c>
      <c r="E246" s="194">
        <v>728000</v>
      </c>
      <c r="F246" s="194">
        <v>750000</v>
      </c>
      <c r="G246" s="194"/>
      <c r="H246" s="29" t="s">
        <v>452</v>
      </c>
      <c r="I246" s="28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97"/>
    </row>
    <row r="247" spans="1:23" x14ac:dyDescent="0.3">
      <c r="A247" s="155">
        <v>246</v>
      </c>
      <c r="B247" s="28"/>
      <c r="C247" s="28" t="s">
        <v>690</v>
      </c>
      <c r="D247" s="194">
        <v>5260416</v>
      </c>
      <c r="E247" s="194">
        <v>812000</v>
      </c>
      <c r="F247" s="194">
        <v>0</v>
      </c>
      <c r="G247" s="194">
        <f t="shared" ref="G247:G265" si="33">D247</f>
        <v>5260416</v>
      </c>
      <c r="H247" s="29" t="s">
        <v>453</v>
      </c>
      <c r="I247" s="28" t="s">
        <v>631</v>
      </c>
      <c r="J247" s="30"/>
      <c r="K247" s="30"/>
      <c r="L247" s="30"/>
      <c r="M247" s="30"/>
      <c r="N247" s="30"/>
      <c r="O247" s="194">
        <v>812000</v>
      </c>
      <c r="P247" s="30"/>
      <c r="Q247" s="30"/>
      <c r="R247" s="30"/>
      <c r="S247" s="30"/>
      <c r="T247" s="30"/>
      <c r="U247" s="30"/>
      <c r="V247" s="30"/>
      <c r="W247" s="197">
        <f t="shared" ref="W247:W265" si="34">SUM(J247:V247)</f>
        <v>812000</v>
      </c>
    </row>
    <row r="248" spans="1:23" x14ac:dyDescent="0.3">
      <c r="A248" s="155">
        <v>247</v>
      </c>
      <c r="B248" s="28"/>
      <c r="C248" s="28" t="s">
        <v>703</v>
      </c>
      <c r="D248" s="194">
        <v>885417</v>
      </c>
      <c r="E248" s="194">
        <v>13600</v>
      </c>
      <c r="F248" s="194">
        <v>0</v>
      </c>
      <c r="G248" s="194">
        <f t="shared" si="33"/>
        <v>885417</v>
      </c>
      <c r="H248" s="29" t="s">
        <v>453</v>
      </c>
      <c r="I248" s="28" t="s">
        <v>631</v>
      </c>
      <c r="J248" s="30"/>
      <c r="K248" s="30"/>
      <c r="L248" s="30"/>
      <c r="M248" s="30"/>
      <c r="N248" s="30"/>
      <c r="O248" s="194">
        <v>13600</v>
      </c>
      <c r="P248" s="30"/>
      <c r="Q248" s="30"/>
      <c r="R248" s="30"/>
      <c r="S248" s="30"/>
      <c r="T248" s="30"/>
      <c r="U248" s="30"/>
      <c r="V248" s="30"/>
      <c r="W248" s="197">
        <f t="shared" si="34"/>
        <v>13600</v>
      </c>
    </row>
    <row r="249" spans="1:23" x14ac:dyDescent="0.3">
      <c r="A249" s="155">
        <v>248</v>
      </c>
      <c r="B249" s="28"/>
      <c r="C249" s="28" t="s">
        <v>704</v>
      </c>
      <c r="D249" s="194">
        <v>2078125</v>
      </c>
      <c r="E249" s="194">
        <v>32000</v>
      </c>
      <c r="F249" s="194">
        <v>0</v>
      </c>
      <c r="G249" s="194">
        <f t="shared" si="33"/>
        <v>2078125</v>
      </c>
      <c r="H249" s="29" t="s">
        <v>453</v>
      </c>
      <c r="I249" s="28" t="s">
        <v>631</v>
      </c>
      <c r="J249" s="30"/>
      <c r="K249" s="30"/>
      <c r="L249" s="30"/>
      <c r="M249" s="30"/>
      <c r="N249" s="30"/>
      <c r="O249" s="30">
        <v>32000</v>
      </c>
      <c r="P249" s="30"/>
      <c r="Q249" s="30"/>
      <c r="R249" s="30"/>
      <c r="S249" s="30"/>
      <c r="T249" s="30"/>
      <c r="U249" s="30"/>
      <c r="V249" s="30"/>
      <c r="W249" s="197">
        <f t="shared" si="34"/>
        <v>32000</v>
      </c>
    </row>
    <row r="250" spans="1:23" x14ac:dyDescent="0.3">
      <c r="A250" s="155">
        <v>249</v>
      </c>
      <c r="B250" s="28"/>
      <c r="C250" s="28" t="s">
        <v>705</v>
      </c>
      <c r="D250" s="194">
        <v>1216667</v>
      </c>
      <c r="E250" s="194">
        <v>188000</v>
      </c>
      <c r="F250" s="194">
        <v>0</v>
      </c>
      <c r="G250" s="194">
        <f t="shared" si="33"/>
        <v>1216667</v>
      </c>
      <c r="H250" s="29" t="s">
        <v>453</v>
      </c>
      <c r="I250" s="28" t="s">
        <v>631</v>
      </c>
      <c r="J250" s="30"/>
      <c r="K250" s="30"/>
      <c r="L250" s="30"/>
      <c r="M250" s="30"/>
      <c r="N250" s="30"/>
      <c r="O250" s="30">
        <v>188000</v>
      </c>
      <c r="P250" s="30"/>
      <c r="Q250" s="30"/>
      <c r="R250" s="30"/>
      <c r="S250" s="30"/>
      <c r="T250" s="30"/>
      <c r="U250" s="30"/>
      <c r="V250" s="30"/>
      <c r="W250" s="197">
        <f t="shared" si="34"/>
        <v>188000</v>
      </c>
    </row>
    <row r="251" spans="1:23" x14ac:dyDescent="0.3">
      <c r="A251" s="155">
        <v>250</v>
      </c>
      <c r="B251" s="28"/>
      <c r="C251" s="28" t="s">
        <v>706</v>
      </c>
      <c r="D251" s="194">
        <v>606813</v>
      </c>
      <c r="E251" s="194">
        <v>92000</v>
      </c>
      <c r="F251" s="194">
        <v>0</v>
      </c>
      <c r="G251" s="194">
        <f t="shared" si="33"/>
        <v>606813</v>
      </c>
      <c r="H251" s="29" t="s">
        <v>453</v>
      </c>
      <c r="I251" s="28" t="s">
        <v>631</v>
      </c>
      <c r="J251" s="30"/>
      <c r="K251" s="30"/>
      <c r="L251" s="30"/>
      <c r="M251" s="30"/>
      <c r="N251" s="30"/>
      <c r="O251" s="30">
        <v>92000</v>
      </c>
      <c r="P251" s="30"/>
      <c r="Q251" s="30"/>
      <c r="R251" s="30"/>
      <c r="S251" s="30"/>
      <c r="T251" s="30"/>
      <c r="U251" s="30"/>
      <c r="V251" s="30"/>
      <c r="W251" s="197">
        <f t="shared" si="34"/>
        <v>92000</v>
      </c>
    </row>
    <row r="252" spans="1:23" x14ac:dyDescent="0.3">
      <c r="A252" s="155">
        <v>251</v>
      </c>
      <c r="B252" s="28"/>
      <c r="C252" s="28" t="s">
        <v>707</v>
      </c>
      <c r="D252" s="194">
        <v>7128000</v>
      </c>
      <c r="E252" s="194">
        <v>1080000</v>
      </c>
      <c r="F252" s="194">
        <v>0</v>
      </c>
      <c r="G252" s="194">
        <f t="shared" si="33"/>
        <v>7128000</v>
      </c>
      <c r="H252" s="29" t="s">
        <v>453</v>
      </c>
      <c r="I252" s="28" t="s">
        <v>631</v>
      </c>
      <c r="J252" s="30"/>
      <c r="K252" s="30"/>
      <c r="L252" s="30"/>
      <c r="M252" s="30"/>
      <c r="N252" s="30"/>
      <c r="O252" s="30">
        <v>1080000</v>
      </c>
      <c r="P252" s="30"/>
      <c r="Q252" s="30"/>
      <c r="R252" s="30"/>
      <c r="S252" s="30"/>
      <c r="T252" s="30"/>
      <c r="U252" s="30"/>
      <c r="V252" s="30"/>
      <c r="W252" s="197">
        <f t="shared" si="34"/>
        <v>1080000</v>
      </c>
    </row>
    <row r="253" spans="1:23" x14ac:dyDescent="0.3">
      <c r="A253" s="155">
        <v>252</v>
      </c>
      <c r="B253" s="28"/>
      <c r="C253" s="28" t="s">
        <v>708</v>
      </c>
      <c r="D253" s="194">
        <v>1650000</v>
      </c>
      <c r="E253" s="194">
        <v>25600</v>
      </c>
      <c r="F253" s="194">
        <v>0</v>
      </c>
      <c r="G253" s="194">
        <f t="shared" si="33"/>
        <v>1650000</v>
      </c>
      <c r="H253" s="29" t="s">
        <v>453</v>
      </c>
      <c r="I253" s="28" t="s">
        <v>631</v>
      </c>
      <c r="J253" s="30"/>
      <c r="K253" s="30"/>
      <c r="L253" s="30"/>
      <c r="M253" s="30"/>
      <c r="N253" s="30"/>
      <c r="O253" s="194">
        <v>25600</v>
      </c>
      <c r="P253" s="30"/>
      <c r="Q253" s="30"/>
      <c r="R253" s="30"/>
      <c r="S253" s="30"/>
      <c r="T253" s="30"/>
      <c r="U253" s="30"/>
      <c r="V253" s="30"/>
      <c r="W253" s="197">
        <f t="shared" si="34"/>
        <v>25600</v>
      </c>
    </row>
    <row r="254" spans="1:23" x14ac:dyDescent="0.3">
      <c r="A254" s="155">
        <v>253</v>
      </c>
      <c r="B254" s="28"/>
      <c r="C254" s="28" t="s">
        <v>709</v>
      </c>
      <c r="D254" s="194">
        <v>18300000</v>
      </c>
      <c r="E254" s="194">
        <v>2828000</v>
      </c>
      <c r="F254" s="194">
        <v>0</v>
      </c>
      <c r="G254" s="194">
        <f t="shared" si="33"/>
        <v>18300000</v>
      </c>
      <c r="H254" s="29" t="s">
        <v>453</v>
      </c>
      <c r="I254" s="28" t="s">
        <v>631</v>
      </c>
      <c r="J254" s="30"/>
      <c r="K254" s="30"/>
      <c r="L254" s="30"/>
      <c r="M254" s="30"/>
      <c r="N254" s="30"/>
      <c r="O254" s="194">
        <v>2828000</v>
      </c>
      <c r="P254" s="30"/>
      <c r="Q254" s="30"/>
      <c r="R254" s="30"/>
      <c r="S254" s="30"/>
      <c r="T254" s="30"/>
      <c r="U254" s="30"/>
      <c r="V254" s="30"/>
      <c r="W254" s="197">
        <f t="shared" si="34"/>
        <v>2828000</v>
      </c>
    </row>
    <row r="255" spans="1:23" x14ac:dyDescent="0.3">
      <c r="A255" s="155">
        <v>254</v>
      </c>
      <c r="B255" s="28"/>
      <c r="C255" s="28" t="s">
        <v>662</v>
      </c>
      <c r="D255" s="194">
        <v>6000000</v>
      </c>
      <c r="E255" s="194">
        <v>408000</v>
      </c>
      <c r="F255" s="194">
        <v>0</v>
      </c>
      <c r="G255" s="194">
        <f t="shared" si="33"/>
        <v>6000000</v>
      </c>
      <c r="H255" s="29" t="s">
        <v>453</v>
      </c>
      <c r="I255" s="28" t="s">
        <v>631</v>
      </c>
      <c r="J255" s="30"/>
      <c r="K255" s="30"/>
      <c r="L255" s="30"/>
      <c r="M255" s="30"/>
      <c r="N255" s="30"/>
      <c r="O255" s="194">
        <v>408000</v>
      </c>
      <c r="P255" s="30"/>
      <c r="Q255" s="30"/>
      <c r="R255" s="30"/>
      <c r="S255" s="30"/>
      <c r="T255" s="30"/>
      <c r="U255" s="30"/>
      <c r="V255" s="30"/>
      <c r="W255" s="197">
        <f t="shared" si="34"/>
        <v>408000</v>
      </c>
    </row>
    <row r="256" spans="1:23" x14ac:dyDescent="0.3">
      <c r="A256" s="155">
        <v>255</v>
      </c>
      <c r="B256" s="28"/>
      <c r="C256" s="28" t="s">
        <v>710</v>
      </c>
      <c r="D256" s="194">
        <v>3000000</v>
      </c>
      <c r="E256" s="194">
        <v>46400</v>
      </c>
      <c r="F256" s="194">
        <v>0</v>
      </c>
      <c r="G256" s="194">
        <f t="shared" si="33"/>
        <v>3000000</v>
      </c>
      <c r="H256" s="29" t="s">
        <v>453</v>
      </c>
      <c r="I256" s="28" t="s">
        <v>631</v>
      </c>
      <c r="J256" s="30"/>
      <c r="K256" s="30"/>
      <c r="L256" s="30"/>
      <c r="M256" s="30"/>
      <c r="N256" s="30"/>
      <c r="O256" s="194">
        <v>46400</v>
      </c>
      <c r="P256" s="30"/>
      <c r="Q256" s="30"/>
      <c r="R256" s="30"/>
      <c r="S256" s="30"/>
      <c r="T256" s="30"/>
      <c r="U256" s="30"/>
      <c r="V256" s="30"/>
      <c r="W256" s="197">
        <f t="shared" si="34"/>
        <v>46400</v>
      </c>
    </row>
    <row r="257" spans="1:23" x14ac:dyDescent="0.3">
      <c r="A257" s="155">
        <v>256</v>
      </c>
      <c r="B257" s="28"/>
      <c r="C257" s="28" t="s">
        <v>711</v>
      </c>
      <c r="D257" s="194">
        <v>1980000</v>
      </c>
      <c r="E257" s="194">
        <v>304000</v>
      </c>
      <c r="F257" s="194">
        <v>0</v>
      </c>
      <c r="G257" s="194">
        <f t="shared" si="33"/>
        <v>1980000</v>
      </c>
      <c r="H257" s="29" t="s">
        <v>453</v>
      </c>
      <c r="I257" s="28" t="s">
        <v>631</v>
      </c>
      <c r="J257" s="30"/>
      <c r="K257" s="30"/>
      <c r="L257" s="30"/>
      <c r="M257" s="30"/>
      <c r="N257" s="30"/>
      <c r="O257" s="194">
        <v>304000</v>
      </c>
      <c r="P257" s="30"/>
      <c r="Q257" s="30"/>
      <c r="R257" s="30"/>
      <c r="S257" s="30"/>
      <c r="T257" s="30"/>
      <c r="U257" s="30"/>
      <c r="V257" s="30"/>
      <c r="W257" s="197">
        <f t="shared" si="34"/>
        <v>304000</v>
      </c>
    </row>
    <row r="258" spans="1:23" x14ac:dyDescent="0.3">
      <c r="A258" s="155">
        <v>257</v>
      </c>
      <c r="B258" s="28"/>
      <c r="C258" s="28" t="s">
        <v>712</v>
      </c>
      <c r="D258" s="194">
        <v>1640000</v>
      </c>
      <c r="E258" s="194">
        <v>252000</v>
      </c>
      <c r="F258" s="194">
        <v>0</v>
      </c>
      <c r="G258" s="194">
        <f t="shared" si="33"/>
        <v>1640000</v>
      </c>
      <c r="H258" s="29" t="s">
        <v>453</v>
      </c>
      <c r="I258" s="28" t="s">
        <v>631</v>
      </c>
      <c r="J258" s="30"/>
      <c r="K258" s="30"/>
      <c r="L258" s="30"/>
      <c r="M258" s="30"/>
      <c r="N258" s="30"/>
      <c r="O258" s="30">
        <v>252000</v>
      </c>
      <c r="P258" s="30"/>
      <c r="Q258" s="30"/>
      <c r="R258" s="30"/>
      <c r="S258" s="30"/>
      <c r="T258" s="30"/>
      <c r="U258" s="30"/>
      <c r="V258" s="30"/>
      <c r="W258" s="197">
        <f t="shared" si="34"/>
        <v>252000</v>
      </c>
    </row>
    <row r="259" spans="1:23" x14ac:dyDescent="0.3">
      <c r="A259" s="155">
        <v>258</v>
      </c>
      <c r="B259" s="28"/>
      <c r="C259" s="28" t="s">
        <v>713</v>
      </c>
      <c r="D259" s="194">
        <v>2500000</v>
      </c>
      <c r="E259" s="194">
        <v>38800</v>
      </c>
      <c r="F259" s="194">
        <v>0</v>
      </c>
      <c r="G259" s="194">
        <f t="shared" si="33"/>
        <v>2500000</v>
      </c>
      <c r="H259" s="29" t="s">
        <v>453</v>
      </c>
      <c r="I259" s="28" t="s">
        <v>631</v>
      </c>
      <c r="J259" s="30"/>
      <c r="K259" s="30"/>
      <c r="L259" s="30"/>
      <c r="M259" s="30"/>
      <c r="N259" s="30"/>
      <c r="O259" s="194">
        <v>38800</v>
      </c>
      <c r="P259" s="30"/>
      <c r="Q259" s="30"/>
      <c r="R259" s="30"/>
      <c r="S259" s="30"/>
      <c r="T259" s="30"/>
      <c r="U259" s="30"/>
      <c r="V259" s="30"/>
      <c r="W259" s="197">
        <f t="shared" si="34"/>
        <v>38800</v>
      </c>
    </row>
    <row r="260" spans="1:23" x14ac:dyDescent="0.3">
      <c r="A260" s="155">
        <v>259</v>
      </c>
      <c r="B260" s="28"/>
      <c r="C260" s="28" t="s">
        <v>714</v>
      </c>
      <c r="D260" s="194">
        <v>629000</v>
      </c>
      <c r="E260" s="194">
        <v>96000</v>
      </c>
      <c r="F260" s="194">
        <v>0</v>
      </c>
      <c r="G260" s="194">
        <f t="shared" si="33"/>
        <v>629000</v>
      </c>
      <c r="H260" s="29" t="s">
        <v>453</v>
      </c>
      <c r="I260" s="28" t="s">
        <v>631</v>
      </c>
      <c r="J260" s="30"/>
      <c r="K260" s="30"/>
      <c r="L260" s="30"/>
      <c r="M260" s="30"/>
      <c r="N260" s="30"/>
      <c r="O260" s="30">
        <v>96000</v>
      </c>
      <c r="P260" s="30"/>
      <c r="Q260" s="30"/>
      <c r="R260" s="30"/>
      <c r="S260" s="30"/>
      <c r="T260" s="30"/>
      <c r="U260" s="30"/>
      <c r="V260" s="30"/>
      <c r="W260" s="197">
        <f t="shared" si="34"/>
        <v>96000</v>
      </c>
    </row>
    <row r="261" spans="1:23" x14ac:dyDescent="0.3">
      <c r="A261" s="155">
        <v>260</v>
      </c>
      <c r="B261" s="28"/>
      <c r="C261" s="28" t="s">
        <v>715</v>
      </c>
      <c r="D261" s="194">
        <v>14993000</v>
      </c>
      <c r="E261" s="194">
        <v>1160000</v>
      </c>
      <c r="F261" s="194">
        <v>0</v>
      </c>
      <c r="G261" s="194">
        <f t="shared" si="33"/>
        <v>14993000</v>
      </c>
      <c r="H261" s="29" t="s">
        <v>453</v>
      </c>
      <c r="I261" s="28" t="s">
        <v>631</v>
      </c>
      <c r="J261" s="30"/>
      <c r="K261" s="30"/>
      <c r="L261" s="30"/>
      <c r="M261" s="30"/>
      <c r="N261" s="30"/>
      <c r="O261" s="30">
        <v>1160000</v>
      </c>
      <c r="P261" s="30"/>
      <c r="Q261" s="30"/>
      <c r="R261" s="30"/>
      <c r="S261" s="30"/>
      <c r="T261" s="30"/>
      <c r="U261" s="30"/>
      <c r="V261" s="30"/>
      <c r="W261" s="197">
        <f t="shared" si="34"/>
        <v>1160000</v>
      </c>
    </row>
    <row r="262" spans="1:23" x14ac:dyDescent="0.3">
      <c r="A262" s="155">
        <v>261</v>
      </c>
      <c r="B262" s="28"/>
      <c r="C262" s="28" t="s">
        <v>716</v>
      </c>
      <c r="D262" s="194">
        <v>500000</v>
      </c>
      <c r="E262" s="194">
        <v>76000</v>
      </c>
      <c r="F262" s="194">
        <v>0</v>
      </c>
      <c r="G262" s="194">
        <f t="shared" si="33"/>
        <v>500000</v>
      </c>
      <c r="H262" s="29" t="s">
        <v>453</v>
      </c>
      <c r="I262" s="28" t="s">
        <v>631</v>
      </c>
      <c r="J262" s="30"/>
      <c r="K262" s="30"/>
      <c r="L262" s="30"/>
      <c r="M262" s="30"/>
      <c r="N262" s="30"/>
      <c r="O262" s="30">
        <v>76000</v>
      </c>
      <c r="P262" s="30"/>
      <c r="Q262" s="30"/>
      <c r="R262" s="30"/>
      <c r="S262" s="30"/>
      <c r="T262" s="30"/>
      <c r="U262" s="30"/>
      <c r="V262" s="30"/>
      <c r="W262" s="197">
        <f t="shared" si="34"/>
        <v>76000</v>
      </c>
    </row>
    <row r="263" spans="1:23" x14ac:dyDescent="0.3">
      <c r="A263" s="155">
        <v>262</v>
      </c>
      <c r="B263" s="28"/>
      <c r="C263" s="28" t="s">
        <v>717</v>
      </c>
      <c r="D263" s="194">
        <v>7900000</v>
      </c>
      <c r="E263" s="194">
        <v>1220000</v>
      </c>
      <c r="F263" s="194">
        <v>0</v>
      </c>
      <c r="G263" s="194">
        <f t="shared" si="33"/>
        <v>7900000</v>
      </c>
      <c r="H263" s="29" t="s">
        <v>453</v>
      </c>
      <c r="I263" s="28" t="s">
        <v>631</v>
      </c>
      <c r="J263" s="30"/>
      <c r="K263" s="30"/>
      <c r="L263" s="30"/>
      <c r="M263" s="30"/>
      <c r="N263" s="30"/>
      <c r="O263" s="30">
        <v>1220000</v>
      </c>
      <c r="P263" s="30"/>
      <c r="Q263" s="30"/>
      <c r="R263" s="30"/>
      <c r="S263" s="30"/>
      <c r="T263" s="30"/>
      <c r="U263" s="30"/>
      <c r="V263" s="30"/>
      <c r="W263" s="197">
        <f t="shared" si="34"/>
        <v>1220000</v>
      </c>
    </row>
    <row r="264" spans="1:23" x14ac:dyDescent="0.3">
      <c r="A264" s="155">
        <v>263</v>
      </c>
      <c r="B264" s="28"/>
      <c r="C264" s="28" t="s">
        <v>718</v>
      </c>
      <c r="D264" s="194">
        <v>2500000</v>
      </c>
      <c r="E264" s="194">
        <v>388000</v>
      </c>
      <c r="F264" s="194">
        <v>0</v>
      </c>
      <c r="G264" s="194">
        <f t="shared" si="33"/>
        <v>2500000</v>
      </c>
      <c r="H264" s="29" t="s">
        <v>453</v>
      </c>
      <c r="I264" s="28" t="s">
        <v>631</v>
      </c>
      <c r="J264" s="30"/>
      <c r="K264" s="30"/>
      <c r="L264" s="30"/>
      <c r="M264" s="30"/>
      <c r="N264" s="30"/>
      <c r="O264" s="30">
        <v>388000</v>
      </c>
      <c r="P264" s="30"/>
      <c r="Q264" s="30"/>
      <c r="R264" s="30"/>
      <c r="S264" s="30"/>
      <c r="T264" s="30"/>
      <c r="U264" s="30"/>
      <c r="V264" s="30"/>
      <c r="W264" s="197">
        <f t="shared" si="34"/>
        <v>388000</v>
      </c>
    </row>
    <row r="265" spans="1:23" x14ac:dyDescent="0.3">
      <c r="A265" s="155">
        <v>264</v>
      </c>
      <c r="B265" s="28"/>
      <c r="C265" s="28" t="s">
        <v>719</v>
      </c>
      <c r="D265" s="194">
        <v>3500000</v>
      </c>
      <c r="E265" s="194">
        <v>540000</v>
      </c>
      <c r="F265" s="194">
        <v>0</v>
      </c>
      <c r="G265" s="194">
        <f t="shared" si="33"/>
        <v>3500000</v>
      </c>
      <c r="H265" s="29" t="s">
        <v>453</v>
      </c>
      <c r="I265" s="28" t="s">
        <v>631</v>
      </c>
      <c r="J265" s="30"/>
      <c r="K265" s="30"/>
      <c r="L265" s="30"/>
      <c r="M265" s="30"/>
      <c r="N265" s="30"/>
      <c r="O265" s="194">
        <v>540000</v>
      </c>
      <c r="P265" s="30"/>
      <c r="Q265" s="30"/>
      <c r="R265" s="30"/>
      <c r="S265" s="30"/>
      <c r="T265" s="30"/>
      <c r="U265" s="30"/>
      <c r="V265" s="30"/>
      <c r="W265" s="197">
        <f t="shared" si="34"/>
        <v>540000</v>
      </c>
    </row>
    <row r="266" spans="1:23" x14ac:dyDescent="0.3">
      <c r="A266" s="155">
        <v>265</v>
      </c>
      <c r="B266" s="28"/>
      <c r="C266" s="28" t="s">
        <v>706</v>
      </c>
      <c r="D266" s="194">
        <v>920000</v>
      </c>
      <c r="E266" s="194">
        <v>144000</v>
      </c>
      <c r="F266" s="194">
        <v>150000</v>
      </c>
      <c r="G266" s="194"/>
      <c r="H266" s="29" t="s">
        <v>452</v>
      </c>
      <c r="I266" s="28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97"/>
    </row>
    <row r="267" spans="1:23" x14ac:dyDescent="0.3">
      <c r="A267" s="155">
        <v>266</v>
      </c>
      <c r="B267" s="28"/>
      <c r="C267" s="28" t="s">
        <v>720</v>
      </c>
      <c r="D267" s="194">
        <v>3500000</v>
      </c>
      <c r="E267" s="194">
        <v>540000</v>
      </c>
      <c r="F267" s="194">
        <v>550000</v>
      </c>
      <c r="G267" s="194"/>
      <c r="H267" s="29" t="s">
        <v>452</v>
      </c>
      <c r="I267" s="28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97"/>
    </row>
    <row r="268" spans="1:23" x14ac:dyDescent="0.3">
      <c r="A268" s="155">
        <v>267</v>
      </c>
      <c r="B268" s="28"/>
      <c r="C268" s="28" t="s">
        <v>721</v>
      </c>
      <c r="D268" s="194">
        <v>1200000</v>
      </c>
      <c r="E268" s="194">
        <v>184000</v>
      </c>
      <c r="F268" s="194">
        <v>0</v>
      </c>
      <c r="G268" s="194">
        <f t="shared" ref="G268:G273" si="35">D268</f>
        <v>1200000</v>
      </c>
      <c r="H268" s="29" t="s">
        <v>453</v>
      </c>
      <c r="I268" s="28" t="s">
        <v>631</v>
      </c>
      <c r="J268" s="30"/>
      <c r="K268" s="30"/>
      <c r="L268" s="30"/>
      <c r="M268" s="30"/>
      <c r="N268" s="30"/>
      <c r="O268" s="30">
        <v>184000</v>
      </c>
      <c r="P268" s="30"/>
      <c r="Q268" s="30"/>
      <c r="R268" s="30"/>
      <c r="S268" s="30"/>
      <c r="T268" s="30"/>
      <c r="U268" s="30"/>
      <c r="V268" s="30"/>
      <c r="W268" s="197">
        <f t="shared" ref="W268:W273" si="36">SUM(J268:V268)</f>
        <v>184000</v>
      </c>
    </row>
    <row r="269" spans="1:23" x14ac:dyDescent="0.3">
      <c r="A269" s="155">
        <v>268</v>
      </c>
      <c r="B269" s="28"/>
      <c r="C269" s="28" t="s">
        <v>722</v>
      </c>
      <c r="D269" s="194">
        <v>3000000</v>
      </c>
      <c r="E269" s="194">
        <v>464000</v>
      </c>
      <c r="F269" s="194">
        <v>0</v>
      </c>
      <c r="G269" s="194">
        <f t="shared" si="35"/>
        <v>3000000</v>
      </c>
      <c r="H269" s="29" t="s">
        <v>453</v>
      </c>
      <c r="I269" s="28" t="s">
        <v>631</v>
      </c>
      <c r="J269" s="30"/>
      <c r="K269" s="30"/>
      <c r="L269" s="30"/>
      <c r="M269" s="30"/>
      <c r="N269" s="30"/>
      <c r="O269" s="30">
        <v>464000</v>
      </c>
      <c r="P269" s="30"/>
      <c r="Q269" s="30"/>
      <c r="R269" s="30"/>
      <c r="S269" s="30"/>
      <c r="T269" s="30"/>
      <c r="U269" s="30"/>
      <c r="V269" s="30"/>
      <c r="W269" s="197">
        <f t="shared" si="36"/>
        <v>464000</v>
      </c>
    </row>
    <row r="270" spans="1:23" x14ac:dyDescent="0.3">
      <c r="A270" s="155">
        <v>269</v>
      </c>
      <c r="B270" s="28"/>
      <c r="C270" s="28" t="s">
        <v>723</v>
      </c>
      <c r="D270" s="194">
        <v>3500000</v>
      </c>
      <c r="E270" s="194">
        <v>540000</v>
      </c>
      <c r="F270" s="194">
        <v>0</v>
      </c>
      <c r="G270" s="194">
        <f t="shared" si="35"/>
        <v>3500000</v>
      </c>
      <c r="H270" s="29" t="s">
        <v>453</v>
      </c>
      <c r="I270" s="28" t="s">
        <v>631</v>
      </c>
      <c r="J270" s="30"/>
      <c r="K270" s="30"/>
      <c r="L270" s="30"/>
      <c r="M270" s="30"/>
      <c r="N270" s="30"/>
      <c r="O270" s="30">
        <v>540000</v>
      </c>
      <c r="P270" s="30"/>
      <c r="Q270" s="30"/>
      <c r="R270" s="30"/>
      <c r="S270" s="30"/>
      <c r="T270" s="30"/>
      <c r="U270" s="30"/>
      <c r="V270" s="30"/>
      <c r="W270" s="197">
        <f t="shared" si="36"/>
        <v>540000</v>
      </c>
    </row>
    <row r="271" spans="1:23" x14ac:dyDescent="0.3">
      <c r="A271" s="155">
        <v>270</v>
      </c>
      <c r="B271" s="28"/>
      <c r="C271" s="28" t="s">
        <v>724</v>
      </c>
      <c r="D271" s="194">
        <v>12355000</v>
      </c>
      <c r="E271" s="194">
        <v>1908000</v>
      </c>
      <c r="F271" s="194">
        <v>0</v>
      </c>
      <c r="G271" s="194">
        <f t="shared" si="35"/>
        <v>12355000</v>
      </c>
      <c r="H271" s="29" t="s">
        <v>453</v>
      </c>
      <c r="I271" s="28" t="s">
        <v>631</v>
      </c>
      <c r="J271" s="30"/>
      <c r="K271" s="30"/>
      <c r="L271" s="30"/>
      <c r="M271" s="30"/>
      <c r="N271" s="30"/>
      <c r="O271" s="30">
        <v>1908000</v>
      </c>
      <c r="P271" s="30"/>
      <c r="Q271" s="30"/>
      <c r="R271" s="30"/>
      <c r="S271" s="30"/>
      <c r="T271" s="30"/>
      <c r="U271" s="30"/>
      <c r="V271" s="30"/>
      <c r="W271" s="197">
        <f t="shared" si="36"/>
        <v>1908000</v>
      </c>
    </row>
    <row r="272" spans="1:23" x14ac:dyDescent="0.3">
      <c r="A272" s="155">
        <v>271</v>
      </c>
      <c r="B272" s="28"/>
      <c r="C272" s="28" t="s">
        <v>725</v>
      </c>
      <c r="D272" s="194">
        <v>7315000</v>
      </c>
      <c r="E272" s="194">
        <v>1128000</v>
      </c>
      <c r="F272" s="194">
        <v>0</v>
      </c>
      <c r="G272" s="194">
        <f t="shared" si="35"/>
        <v>7315000</v>
      </c>
      <c r="H272" s="29" t="s">
        <v>453</v>
      </c>
      <c r="I272" s="28" t="s">
        <v>631</v>
      </c>
      <c r="J272" s="30"/>
      <c r="K272" s="30"/>
      <c r="L272" s="30"/>
      <c r="M272" s="30"/>
      <c r="N272" s="30"/>
      <c r="O272" s="194">
        <v>1128000</v>
      </c>
      <c r="P272" s="30"/>
      <c r="Q272" s="30"/>
      <c r="R272" s="30"/>
      <c r="S272" s="30"/>
      <c r="T272" s="30"/>
      <c r="U272" s="30"/>
      <c r="V272" s="30"/>
      <c r="W272" s="197">
        <f t="shared" si="36"/>
        <v>1128000</v>
      </c>
    </row>
    <row r="273" spans="1:23" x14ac:dyDescent="0.3">
      <c r="A273" s="155">
        <v>272</v>
      </c>
      <c r="B273" s="28"/>
      <c r="C273" s="28" t="s">
        <v>726</v>
      </c>
      <c r="D273" s="194">
        <v>315000</v>
      </c>
      <c r="E273" s="194">
        <v>160000</v>
      </c>
      <c r="F273" s="194">
        <v>0</v>
      </c>
      <c r="G273" s="194">
        <f t="shared" si="35"/>
        <v>315000</v>
      </c>
      <c r="H273" s="29" t="s">
        <v>453</v>
      </c>
      <c r="I273" s="28" t="s">
        <v>631</v>
      </c>
      <c r="J273" s="30"/>
      <c r="K273" s="30"/>
      <c r="L273" s="30"/>
      <c r="M273" s="30"/>
      <c r="N273" s="30"/>
      <c r="O273" s="30">
        <v>160000</v>
      </c>
      <c r="P273" s="30"/>
      <c r="Q273" s="30"/>
      <c r="R273" s="30"/>
      <c r="S273" s="30"/>
      <c r="T273" s="30"/>
      <c r="U273" s="30"/>
      <c r="V273" s="30"/>
      <c r="W273" s="197">
        <f t="shared" si="36"/>
        <v>160000</v>
      </c>
    </row>
    <row r="274" spans="1:23" x14ac:dyDescent="0.3">
      <c r="A274" s="155">
        <v>273</v>
      </c>
      <c r="B274" s="28"/>
      <c r="C274" s="28" t="s">
        <v>727</v>
      </c>
      <c r="D274" s="194">
        <v>1750000</v>
      </c>
      <c r="E274" s="194">
        <v>272000</v>
      </c>
      <c r="F274" s="194">
        <v>300000</v>
      </c>
      <c r="G274" s="194"/>
      <c r="H274" s="29" t="s">
        <v>452</v>
      </c>
      <c r="I274" s="28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97"/>
    </row>
    <row r="275" spans="1:23" x14ac:dyDescent="0.3">
      <c r="A275" s="155">
        <v>274</v>
      </c>
      <c r="B275" s="28"/>
      <c r="C275" s="28" t="s">
        <v>728</v>
      </c>
      <c r="D275" s="194">
        <v>2250000</v>
      </c>
      <c r="E275" s="194">
        <v>348000</v>
      </c>
      <c r="F275" s="194">
        <v>360000</v>
      </c>
      <c r="G275" s="194"/>
      <c r="H275" s="29" t="s">
        <v>452</v>
      </c>
      <c r="I275" s="28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97"/>
    </row>
    <row r="276" spans="1:23" x14ac:dyDescent="0.3">
      <c r="A276" s="155">
        <v>275</v>
      </c>
      <c r="B276" s="28"/>
      <c r="C276" s="28" t="s">
        <v>729</v>
      </c>
      <c r="D276" s="194">
        <v>1150000</v>
      </c>
      <c r="E276" s="194">
        <v>176000</v>
      </c>
      <c r="F276" s="194">
        <v>0</v>
      </c>
      <c r="G276" s="194">
        <f t="shared" ref="G276:G277" si="37">D276</f>
        <v>1150000</v>
      </c>
      <c r="H276" s="29" t="s">
        <v>453</v>
      </c>
      <c r="I276" s="28" t="s">
        <v>631</v>
      </c>
      <c r="J276" s="30"/>
      <c r="K276" s="30"/>
      <c r="L276" s="30"/>
      <c r="M276" s="30"/>
      <c r="N276" s="30"/>
      <c r="O276" s="194">
        <v>176000</v>
      </c>
      <c r="P276" s="30"/>
      <c r="Q276" s="30"/>
      <c r="R276" s="30"/>
      <c r="S276" s="30"/>
      <c r="T276" s="30"/>
      <c r="U276" s="30"/>
      <c r="V276" s="30"/>
      <c r="W276" s="197">
        <f>SUM(J276:V276)</f>
        <v>176000</v>
      </c>
    </row>
    <row r="277" spans="1:23" x14ac:dyDescent="0.3">
      <c r="A277" s="155">
        <v>276</v>
      </c>
      <c r="B277" s="28"/>
      <c r="C277" s="28" t="s">
        <v>730</v>
      </c>
      <c r="D277" s="194">
        <v>5000000</v>
      </c>
      <c r="E277" s="194">
        <v>772000</v>
      </c>
      <c r="F277" s="194">
        <v>0</v>
      </c>
      <c r="G277" s="194">
        <f t="shared" si="37"/>
        <v>5000000</v>
      </c>
      <c r="H277" s="29" t="s">
        <v>453</v>
      </c>
      <c r="I277" s="28" t="s">
        <v>631</v>
      </c>
      <c r="J277" s="30"/>
      <c r="K277" s="30"/>
      <c r="L277" s="30"/>
      <c r="M277" s="30"/>
      <c r="N277" s="30"/>
      <c r="O277" s="30">
        <v>772000</v>
      </c>
      <c r="P277" s="30"/>
      <c r="Q277" s="30"/>
      <c r="R277" s="30"/>
      <c r="S277" s="30"/>
      <c r="T277" s="30"/>
      <c r="U277" s="30"/>
      <c r="V277" s="30"/>
      <c r="W277" s="197">
        <f>SUM(J277:V277)</f>
        <v>772000</v>
      </c>
    </row>
    <row r="278" spans="1:23" x14ac:dyDescent="0.3">
      <c r="A278" s="155">
        <v>277</v>
      </c>
      <c r="B278" s="28"/>
      <c r="C278" s="28" t="s">
        <v>730</v>
      </c>
      <c r="D278" s="194">
        <v>750000</v>
      </c>
      <c r="E278" s="194">
        <v>116000</v>
      </c>
      <c r="F278" s="194">
        <v>125000</v>
      </c>
      <c r="G278" s="194"/>
      <c r="H278" s="29" t="s">
        <v>452</v>
      </c>
      <c r="I278" s="28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97"/>
    </row>
    <row r="279" spans="1:23" x14ac:dyDescent="0.3">
      <c r="A279" s="155">
        <v>278</v>
      </c>
      <c r="B279" s="28"/>
      <c r="C279" s="28" t="s">
        <v>730</v>
      </c>
      <c r="D279" s="194">
        <v>750000</v>
      </c>
      <c r="E279" s="194">
        <v>116000</v>
      </c>
      <c r="F279" s="194">
        <v>125000</v>
      </c>
      <c r="G279" s="194"/>
      <c r="H279" s="29" t="s">
        <v>452</v>
      </c>
      <c r="I279" s="28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97"/>
    </row>
    <row r="280" spans="1:23" x14ac:dyDescent="0.3">
      <c r="A280" s="155">
        <v>279</v>
      </c>
      <c r="B280" s="28"/>
      <c r="C280" s="28" t="s">
        <v>730</v>
      </c>
      <c r="D280" s="194">
        <v>750000</v>
      </c>
      <c r="E280" s="194">
        <v>116000</v>
      </c>
      <c r="F280" s="194">
        <v>0</v>
      </c>
      <c r="G280" s="194">
        <f t="shared" ref="G280:G282" si="38">D280</f>
        <v>750000</v>
      </c>
      <c r="H280" s="29" t="s">
        <v>453</v>
      </c>
      <c r="I280" s="28" t="s">
        <v>631</v>
      </c>
      <c r="J280" s="30"/>
      <c r="K280" s="30"/>
      <c r="L280" s="30"/>
      <c r="M280" s="30"/>
      <c r="N280" s="30"/>
      <c r="O280" s="30">
        <v>116000</v>
      </c>
      <c r="P280" s="30"/>
      <c r="Q280" s="30"/>
      <c r="R280" s="30"/>
      <c r="S280" s="30"/>
      <c r="T280" s="30"/>
      <c r="U280" s="30"/>
      <c r="V280" s="30"/>
      <c r="W280" s="197">
        <f>SUM(J280:V280)</f>
        <v>116000</v>
      </c>
    </row>
    <row r="281" spans="1:23" x14ac:dyDescent="0.3">
      <c r="A281" s="155">
        <v>280</v>
      </c>
      <c r="B281" s="28"/>
      <c r="C281" s="28" t="s">
        <v>731</v>
      </c>
      <c r="D281" s="194">
        <v>3500000</v>
      </c>
      <c r="E281" s="194">
        <v>540000</v>
      </c>
      <c r="F281" s="194">
        <v>0</v>
      </c>
      <c r="G281" s="194">
        <f t="shared" si="38"/>
        <v>3500000</v>
      </c>
      <c r="H281" s="29" t="s">
        <v>453</v>
      </c>
      <c r="I281" s="28" t="s">
        <v>631</v>
      </c>
      <c r="J281" s="30"/>
      <c r="K281" s="30"/>
      <c r="L281" s="30"/>
      <c r="M281" s="30"/>
      <c r="N281" s="30"/>
      <c r="O281" s="30">
        <v>540000</v>
      </c>
      <c r="P281" s="30"/>
      <c r="Q281" s="30"/>
      <c r="R281" s="30"/>
      <c r="S281" s="30"/>
      <c r="T281" s="30"/>
      <c r="U281" s="30"/>
      <c r="V281" s="30"/>
      <c r="W281" s="197">
        <f>SUM(J281:V281)</f>
        <v>540000</v>
      </c>
    </row>
    <row r="282" spans="1:23" x14ac:dyDescent="0.3">
      <c r="A282" s="155">
        <v>281</v>
      </c>
      <c r="B282" s="28"/>
      <c r="C282" s="28" t="s">
        <v>732</v>
      </c>
      <c r="D282" s="194">
        <v>4500000</v>
      </c>
      <c r="E282" s="194">
        <v>696000</v>
      </c>
      <c r="F282" s="194">
        <v>0</v>
      </c>
      <c r="G282" s="194">
        <f t="shared" si="38"/>
        <v>4500000</v>
      </c>
      <c r="H282" s="29" t="s">
        <v>453</v>
      </c>
      <c r="I282" s="28" t="s">
        <v>631</v>
      </c>
      <c r="J282" s="30"/>
      <c r="K282" s="30"/>
      <c r="L282" s="30"/>
      <c r="M282" s="30"/>
      <c r="N282" s="30"/>
      <c r="O282" s="194">
        <v>696000</v>
      </c>
      <c r="P282" s="30"/>
      <c r="Q282" s="30"/>
      <c r="R282" s="30"/>
      <c r="S282" s="30"/>
      <c r="T282" s="30"/>
      <c r="U282" s="30"/>
      <c r="V282" s="30"/>
      <c r="W282" s="197">
        <f>SUM(J282:V282)</f>
        <v>696000</v>
      </c>
    </row>
    <row r="283" spans="1:23" x14ac:dyDescent="0.3">
      <c r="A283" s="155">
        <v>282</v>
      </c>
      <c r="B283" s="28"/>
      <c r="C283" s="28" t="s">
        <v>733</v>
      </c>
      <c r="D283" s="194">
        <v>2500000</v>
      </c>
      <c r="E283" s="194">
        <v>388000</v>
      </c>
      <c r="F283" s="194">
        <v>400000</v>
      </c>
      <c r="G283" s="194"/>
      <c r="H283" s="29" t="s">
        <v>452</v>
      </c>
      <c r="I283" s="28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97"/>
    </row>
    <row r="284" spans="1:23" x14ac:dyDescent="0.3">
      <c r="A284" s="155">
        <v>283</v>
      </c>
      <c r="B284" s="28"/>
      <c r="C284" s="28" t="s">
        <v>734</v>
      </c>
      <c r="D284" s="194">
        <v>4200000</v>
      </c>
      <c r="E284" s="194">
        <v>64000</v>
      </c>
      <c r="F284" s="194">
        <v>0</v>
      </c>
      <c r="G284" s="194">
        <f t="shared" ref="G284:G289" si="39">D284</f>
        <v>4200000</v>
      </c>
      <c r="H284" s="29" t="s">
        <v>453</v>
      </c>
      <c r="I284" s="28" t="s">
        <v>631</v>
      </c>
      <c r="J284" s="30"/>
      <c r="K284" s="30"/>
      <c r="L284" s="30"/>
      <c r="M284" s="30"/>
      <c r="N284" s="30"/>
      <c r="O284" s="30">
        <v>64000</v>
      </c>
      <c r="P284" s="30"/>
      <c r="Q284" s="30"/>
      <c r="R284" s="30"/>
      <c r="S284" s="30"/>
      <c r="T284" s="30"/>
      <c r="U284" s="30"/>
      <c r="V284" s="30"/>
      <c r="W284" s="197">
        <f t="shared" ref="W284:W289" si="40">SUM(J284:V284)</f>
        <v>64000</v>
      </c>
    </row>
    <row r="285" spans="1:23" x14ac:dyDescent="0.3">
      <c r="A285" s="155">
        <v>284</v>
      </c>
      <c r="B285" s="28"/>
      <c r="C285" s="28" t="s">
        <v>735</v>
      </c>
      <c r="D285" s="194">
        <v>3000000</v>
      </c>
      <c r="E285" s="194">
        <v>464000</v>
      </c>
      <c r="F285" s="194">
        <v>0</v>
      </c>
      <c r="G285" s="194">
        <f t="shared" si="39"/>
        <v>3000000</v>
      </c>
      <c r="H285" s="29" t="s">
        <v>453</v>
      </c>
      <c r="I285" s="28" t="s">
        <v>631</v>
      </c>
      <c r="J285" s="30"/>
      <c r="K285" s="30"/>
      <c r="L285" s="30"/>
      <c r="M285" s="30"/>
      <c r="N285" s="30"/>
      <c r="O285" s="30">
        <v>464000</v>
      </c>
      <c r="P285" s="30"/>
      <c r="Q285" s="30"/>
      <c r="R285" s="30"/>
      <c r="S285" s="30"/>
      <c r="T285" s="30"/>
      <c r="U285" s="30"/>
      <c r="V285" s="30"/>
      <c r="W285" s="197">
        <f t="shared" si="40"/>
        <v>464000</v>
      </c>
    </row>
    <row r="286" spans="1:23" x14ac:dyDescent="0.3">
      <c r="A286" s="155">
        <v>285</v>
      </c>
      <c r="B286" s="28"/>
      <c r="C286" s="28" t="s">
        <v>736</v>
      </c>
      <c r="D286" s="194">
        <v>750000</v>
      </c>
      <c r="E286" s="194">
        <v>225000</v>
      </c>
      <c r="F286" s="194">
        <v>0</v>
      </c>
      <c r="G286" s="194">
        <f t="shared" si="39"/>
        <v>750000</v>
      </c>
      <c r="H286" s="29" t="s">
        <v>453</v>
      </c>
      <c r="I286" s="28" t="s">
        <v>631</v>
      </c>
      <c r="J286" s="30"/>
      <c r="K286" s="30"/>
      <c r="L286" s="30"/>
      <c r="M286" s="30"/>
      <c r="N286" s="30"/>
      <c r="O286" s="30">
        <v>225000</v>
      </c>
      <c r="P286" s="30"/>
      <c r="Q286" s="30"/>
      <c r="R286" s="30"/>
      <c r="S286" s="30"/>
      <c r="T286" s="30"/>
      <c r="U286" s="30"/>
      <c r="V286" s="30"/>
      <c r="W286" s="197">
        <f t="shared" si="40"/>
        <v>225000</v>
      </c>
    </row>
    <row r="287" spans="1:23" x14ac:dyDescent="0.3">
      <c r="A287" s="155">
        <v>286</v>
      </c>
      <c r="B287" s="28"/>
      <c r="C287" s="28" t="s">
        <v>737</v>
      </c>
      <c r="D287" s="194">
        <v>500000</v>
      </c>
      <c r="E287" s="194">
        <v>225000</v>
      </c>
      <c r="F287" s="194">
        <v>0</v>
      </c>
      <c r="G287" s="194">
        <f t="shared" si="39"/>
        <v>500000</v>
      </c>
      <c r="H287" s="29" t="s">
        <v>453</v>
      </c>
      <c r="I287" s="28" t="s">
        <v>631</v>
      </c>
      <c r="J287" s="30"/>
      <c r="K287" s="30"/>
      <c r="L287" s="30"/>
      <c r="M287" s="30"/>
      <c r="N287" s="30"/>
      <c r="O287" s="30">
        <v>225000</v>
      </c>
      <c r="P287" s="30"/>
      <c r="Q287" s="30"/>
      <c r="R287" s="30"/>
      <c r="S287" s="30"/>
      <c r="T287" s="30"/>
      <c r="U287" s="30"/>
      <c r="V287" s="30"/>
      <c r="W287" s="197">
        <f t="shared" si="40"/>
        <v>225000</v>
      </c>
    </row>
    <row r="288" spans="1:23" x14ac:dyDescent="0.3">
      <c r="A288" s="155">
        <v>287</v>
      </c>
      <c r="B288" s="28"/>
      <c r="C288" s="28" t="s">
        <v>738</v>
      </c>
      <c r="D288" s="194">
        <v>750000</v>
      </c>
      <c r="E288" s="194">
        <v>116000</v>
      </c>
      <c r="F288" s="194">
        <v>0</v>
      </c>
      <c r="G288" s="194">
        <f t="shared" si="39"/>
        <v>750000</v>
      </c>
      <c r="H288" s="29" t="s">
        <v>453</v>
      </c>
      <c r="I288" s="28" t="s">
        <v>631</v>
      </c>
      <c r="J288" s="30"/>
      <c r="K288" s="30"/>
      <c r="L288" s="30"/>
      <c r="M288" s="30"/>
      <c r="N288" s="30"/>
      <c r="O288" s="30">
        <v>116000</v>
      </c>
      <c r="P288" s="30"/>
      <c r="Q288" s="30"/>
      <c r="R288" s="30"/>
      <c r="S288" s="30"/>
      <c r="T288" s="30"/>
      <c r="U288" s="30"/>
      <c r="V288" s="30"/>
      <c r="W288" s="197">
        <f t="shared" si="40"/>
        <v>116000</v>
      </c>
    </row>
    <row r="289" spans="1:23" x14ac:dyDescent="0.3">
      <c r="A289" s="155">
        <v>288</v>
      </c>
      <c r="B289" s="28"/>
      <c r="C289" s="28" t="s">
        <v>739</v>
      </c>
      <c r="D289" s="194">
        <v>732000</v>
      </c>
      <c r="E289" s="194">
        <v>112000</v>
      </c>
      <c r="F289" s="194">
        <v>0</v>
      </c>
      <c r="G289" s="194">
        <f t="shared" si="39"/>
        <v>732000</v>
      </c>
      <c r="H289" s="29" t="s">
        <v>453</v>
      </c>
      <c r="I289" s="28" t="s">
        <v>631</v>
      </c>
      <c r="J289" s="30"/>
      <c r="K289" s="30"/>
      <c r="L289" s="30"/>
      <c r="M289" s="30"/>
      <c r="N289" s="30"/>
      <c r="O289" s="30">
        <v>112000</v>
      </c>
      <c r="P289" s="30"/>
      <c r="Q289" s="30"/>
      <c r="R289" s="30"/>
      <c r="S289" s="30"/>
      <c r="T289" s="30"/>
      <c r="U289" s="30"/>
      <c r="V289" s="30"/>
      <c r="W289" s="197">
        <f t="shared" si="40"/>
        <v>112000</v>
      </c>
    </row>
    <row r="290" spans="1:23" x14ac:dyDescent="0.3">
      <c r="A290" s="155">
        <v>289</v>
      </c>
      <c r="B290" s="28"/>
      <c r="C290" s="28" t="s">
        <v>740</v>
      </c>
      <c r="D290" s="194">
        <v>2700000</v>
      </c>
      <c r="E290" s="194">
        <v>416000</v>
      </c>
      <c r="F290" s="194">
        <v>425000</v>
      </c>
      <c r="G290" s="194"/>
      <c r="H290" s="29" t="s">
        <v>452</v>
      </c>
      <c r="I290" s="28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97"/>
    </row>
    <row r="291" spans="1:23" x14ac:dyDescent="0.3">
      <c r="A291" s="155">
        <v>290</v>
      </c>
      <c r="B291" s="28"/>
      <c r="C291" s="28" t="s">
        <v>741</v>
      </c>
      <c r="D291" s="194">
        <v>1445500</v>
      </c>
      <c r="E291" s="194">
        <v>224000</v>
      </c>
      <c r="F291" s="194">
        <v>0</v>
      </c>
      <c r="G291" s="194">
        <f>D291</f>
        <v>1445500</v>
      </c>
      <c r="H291" s="29" t="s">
        <v>453</v>
      </c>
      <c r="I291" s="28" t="s">
        <v>631</v>
      </c>
      <c r="J291" s="30"/>
      <c r="K291" s="30"/>
      <c r="L291" s="30"/>
      <c r="M291" s="30"/>
      <c r="N291" s="30"/>
      <c r="O291" s="30">
        <v>224000</v>
      </c>
      <c r="P291" s="30"/>
      <c r="Q291" s="30"/>
      <c r="R291" s="30"/>
      <c r="S291" s="30"/>
      <c r="T291" s="30"/>
      <c r="U291" s="30"/>
      <c r="V291" s="30"/>
      <c r="W291" s="197">
        <f>SUM(J291:V291)</f>
        <v>224000</v>
      </c>
    </row>
    <row r="292" spans="1:23" x14ac:dyDescent="0.3">
      <c r="A292" s="155">
        <v>291</v>
      </c>
      <c r="B292" s="28"/>
      <c r="C292" s="28" t="s">
        <v>742</v>
      </c>
      <c r="D292" s="194">
        <v>665000</v>
      </c>
      <c r="E292" s="194">
        <v>104000</v>
      </c>
      <c r="F292" s="194">
        <v>125000</v>
      </c>
      <c r="G292" s="194"/>
      <c r="H292" s="29" t="s">
        <v>452</v>
      </c>
      <c r="I292" s="28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97"/>
    </row>
    <row r="293" spans="1:23" x14ac:dyDescent="0.3">
      <c r="A293" s="155">
        <v>292</v>
      </c>
      <c r="B293" s="28"/>
      <c r="C293" s="28" t="s">
        <v>743</v>
      </c>
      <c r="D293" s="194">
        <v>840000</v>
      </c>
      <c r="E293" s="194">
        <v>128000</v>
      </c>
      <c r="F293" s="194">
        <v>0</v>
      </c>
      <c r="G293" s="194">
        <f t="shared" ref="G293:G294" si="41">D293</f>
        <v>840000</v>
      </c>
      <c r="H293" s="29" t="s">
        <v>453</v>
      </c>
      <c r="I293" s="28" t="s">
        <v>631</v>
      </c>
      <c r="J293" s="30"/>
      <c r="K293" s="30"/>
      <c r="L293" s="30"/>
      <c r="M293" s="30"/>
      <c r="N293" s="30"/>
      <c r="O293" s="30">
        <v>128000</v>
      </c>
      <c r="P293" s="30"/>
      <c r="Q293" s="30"/>
      <c r="R293" s="30"/>
      <c r="S293" s="30"/>
      <c r="T293" s="30"/>
      <c r="U293" s="30"/>
      <c r="V293" s="30"/>
      <c r="W293" s="197">
        <f>SUM(J293:V293)</f>
        <v>128000</v>
      </c>
    </row>
    <row r="294" spans="1:23" x14ac:dyDescent="0.3">
      <c r="A294" s="155">
        <v>293</v>
      </c>
      <c r="B294" s="28"/>
      <c r="C294" s="28" t="s">
        <v>744</v>
      </c>
      <c r="D294" s="194">
        <v>997500</v>
      </c>
      <c r="E294" s="194">
        <v>156000</v>
      </c>
      <c r="F294" s="194">
        <v>0</v>
      </c>
      <c r="G294" s="194">
        <f t="shared" si="41"/>
        <v>997500</v>
      </c>
      <c r="H294" s="29" t="s">
        <v>453</v>
      </c>
      <c r="I294" s="28" t="s">
        <v>631</v>
      </c>
      <c r="J294" s="30"/>
      <c r="K294" s="30"/>
      <c r="L294" s="30"/>
      <c r="M294" s="30"/>
      <c r="N294" s="30"/>
      <c r="O294" s="30">
        <v>156000</v>
      </c>
      <c r="P294" s="30"/>
      <c r="Q294" s="30"/>
      <c r="R294" s="30"/>
      <c r="S294" s="30"/>
      <c r="T294" s="30"/>
      <c r="U294" s="30"/>
      <c r="V294" s="30"/>
      <c r="W294" s="197">
        <f>SUM(J294:V294)</f>
        <v>156000</v>
      </c>
    </row>
    <row r="295" spans="1:23" x14ac:dyDescent="0.3">
      <c r="A295" s="155">
        <v>294</v>
      </c>
      <c r="B295" s="28"/>
      <c r="C295" s="28" t="s">
        <v>745</v>
      </c>
      <c r="D295" s="194">
        <v>945000</v>
      </c>
      <c r="E295" s="194">
        <v>144000</v>
      </c>
      <c r="F295" s="194">
        <v>150000</v>
      </c>
      <c r="G295" s="194"/>
      <c r="H295" s="29" t="s">
        <v>452</v>
      </c>
      <c r="I295" s="28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97"/>
    </row>
    <row r="296" spans="1:23" x14ac:dyDescent="0.3">
      <c r="A296" s="155">
        <v>295</v>
      </c>
      <c r="B296" s="28"/>
      <c r="C296" s="28" t="s">
        <v>745</v>
      </c>
      <c r="D296" s="194">
        <v>1295000</v>
      </c>
      <c r="E296" s="194">
        <v>200000</v>
      </c>
      <c r="F296" s="194">
        <v>215000</v>
      </c>
      <c r="G296" s="194"/>
      <c r="H296" s="29" t="s">
        <v>452</v>
      </c>
      <c r="I296" s="28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97"/>
    </row>
    <row r="297" spans="1:23" x14ac:dyDescent="0.3">
      <c r="A297" s="155">
        <v>296</v>
      </c>
      <c r="B297" s="28"/>
      <c r="C297" s="28" t="s">
        <v>746</v>
      </c>
      <c r="D297" s="194">
        <v>2000000</v>
      </c>
      <c r="E297" s="194">
        <v>308000</v>
      </c>
      <c r="F297" s="194">
        <v>0</v>
      </c>
      <c r="G297" s="194">
        <f>D297</f>
        <v>2000000</v>
      </c>
      <c r="H297" s="29" t="s">
        <v>453</v>
      </c>
      <c r="I297" s="28" t="s">
        <v>631</v>
      </c>
      <c r="J297" s="30"/>
      <c r="K297" s="30"/>
      <c r="L297" s="30"/>
      <c r="M297" s="30"/>
      <c r="N297" s="30"/>
      <c r="O297" s="30">
        <v>308000</v>
      </c>
      <c r="P297" s="30"/>
      <c r="Q297" s="30"/>
      <c r="R297" s="30"/>
      <c r="S297" s="30"/>
      <c r="T297" s="30"/>
      <c r="U297" s="30"/>
      <c r="V297" s="30"/>
      <c r="W297" s="197">
        <f>SUM(J297:V297)</f>
        <v>308000</v>
      </c>
    </row>
    <row r="298" spans="1:23" x14ac:dyDescent="0.3">
      <c r="A298" s="155">
        <v>297</v>
      </c>
      <c r="B298" s="28"/>
      <c r="C298" s="28" t="s">
        <v>747</v>
      </c>
      <c r="D298" s="194">
        <v>3700000</v>
      </c>
      <c r="E298" s="194">
        <v>572000</v>
      </c>
      <c r="F298" s="194">
        <v>600000</v>
      </c>
      <c r="G298" s="194"/>
      <c r="H298" s="29" t="s">
        <v>452</v>
      </c>
      <c r="I298" s="28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97"/>
    </row>
    <row r="299" spans="1:23" x14ac:dyDescent="0.3">
      <c r="A299" s="155">
        <v>298</v>
      </c>
      <c r="B299" s="28"/>
      <c r="C299" s="28" t="s">
        <v>748</v>
      </c>
      <c r="D299" s="194">
        <v>3600000</v>
      </c>
      <c r="E299" s="194">
        <v>1080000</v>
      </c>
      <c r="F299" s="194">
        <v>0</v>
      </c>
      <c r="G299" s="194">
        <f>D299</f>
        <v>3600000</v>
      </c>
      <c r="H299" s="29" t="s">
        <v>453</v>
      </c>
      <c r="I299" s="28" t="s">
        <v>631</v>
      </c>
      <c r="J299" s="30"/>
      <c r="K299" s="30"/>
      <c r="L299" s="30"/>
      <c r="M299" s="30"/>
      <c r="N299" s="30"/>
      <c r="O299" s="30">
        <v>1080000</v>
      </c>
      <c r="P299" s="30"/>
      <c r="Q299" s="30"/>
      <c r="R299" s="30"/>
      <c r="S299" s="30"/>
      <c r="T299" s="30"/>
      <c r="U299" s="30"/>
      <c r="V299" s="30"/>
      <c r="W299" s="197">
        <f>SUM(J299:V299)</f>
        <v>1080000</v>
      </c>
    </row>
    <row r="300" spans="1:23" x14ac:dyDescent="0.3">
      <c r="A300" s="155">
        <v>299</v>
      </c>
      <c r="B300" s="28"/>
      <c r="C300" s="28" t="s">
        <v>749</v>
      </c>
      <c r="D300" s="194">
        <v>800000</v>
      </c>
      <c r="E300" s="194">
        <v>124000</v>
      </c>
      <c r="F300" s="194">
        <v>150000</v>
      </c>
      <c r="G300" s="194"/>
      <c r="H300" s="29" t="s">
        <v>452</v>
      </c>
      <c r="I300" s="28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97"/>
    </row>
    <row r="301" spans="1:23" x14ac:dyDescent="0.3">
      <c r="A301" s="155">
        <v>300</v>
      </c>
      <c r="B301" s="28"/>
      <c r="C301" s="28" t="s">
        <v>750</v>
      </c>
      <c r="D301" s="194">
        <v>1600000</v>
      </c>
      <c r="E301" s="194">
        <v>248000</v>
      </c>
      <c r="F301" s="194">
        <v>250000</v>
      </c>
      <c r="G301" s="194"/>
      <c r="H301" s="29" t="s">
        <v>452</v>
      </c>
      <c r="I301" s="28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97"/>
    </row>
    <row r="302" spans="1:23" x14ac:dyDescent="0.3">
      <c r="A302" s="155">
        <v>301</v>
      </c>
      <c r="B302" s="28"/>
      <c r="C302" s="28" t="s">
        <v>750</v>
      </c>
      <c r="D302" s="194">
        <v>1300000</v>
      </c>
      <c r="E302" s="194">
        <v>200000</v>
      </c>
      <c r="F302" s="194">
        <v>220000</v>
      </c>
      <c r="G302" s="194"/>
      <c r="H302" s="29" t="s">
        <v>452</v>
      </c>
      <c r="I302" s="28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97"/>
    </row>
    <row r="303" spans="1:23" x14ac:dyDescent="0.3">
      <c r="A303" s="155">
        <v>302</v>
      </c>
      <c r="B303" s="28"/>
      <c r="C303" s="28" t="s">
        <v>751</v>
      </c>
      <c r="D303" s="194">
        <v>3393200</v>
      </c>
      <c r="E303" s="194">
        <v>524000</v>
      </c>
      <c r="F303" s="194">
        <v>0</v>
      </c>
      <c r="G303" s="194">
        <f>D303</f>
        <v>3393200</v>
      </c>
      <c r="H303" s="29" t="s">
        <v>453</v>
      </c>
      <c r="I303" s="28" t="s">
        <v>631</v>
      </c>
      <c r="J303" s="30"/>
      <c r="K303" s="30"/>
      <c r="L303" s="30"/>
      <c r="M303" s="30"/>
      <c r="N303" s="30"/>
      <c r="O303" s="30">
        <v>524000</v>
      </c>
      <c r="P303" s="30"/>
      <c r="Q303" s="30"/>
      <c r="R303" s="30"/>
      <c r="S303" s="30"/>
      <c r="T303" s="30"/>
      <c r="U303" s="30"/>
      <c r="V303" s="30"/>
      <c r="W303" s="197">
        <f>SUM(J303:V303)</f>
        <v>524000</v>
      </c>
    </row>
    <row r="304" spans="1:23" x14ac:dyDescent="0.3">
      <c r="A304" s="155">
        <v>303</v>
      </c>
      <c r="B304" s="28"/>
      <c r="C304" s="28" t="s">
        <v>752</v>
      </c>
      <c r="D304" s="194">
        <v>1200000</v>
      </c>
      <c r="E304" s="194">
        <v>184000</v>
      </c>
      <c r="F304" s="194">
        <v>200000</v>
      </c>
      <c r="G304" s="194"/>
      <c r="H304" s="29" t="s">
        <v>452</v>
      </c>
      <c r="I304" s="28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97"/>
    </row>
    <row r="305" spans="1:23" x14ac:dyDescent="0.3">
      <c r="A305" s="155">
        <v>304</v>
      </c>
      <c r="B305" s="28"/>
      <c r="C305" s="28" t="s">
        <v>753</v>
      </c>
      <c r="D305" s="194">
        <v>1400000</v>
      </c>
      <c r="E305" s="194">
        <v>216000</v>
      </c>
      <c r="F305" s="194">
        <v>0</v>
      </c>
      <c r="G305" s="194">
        <f t="shared" ref="G305:G306" si="42">D305</f>
        <v>1400000</v>
      </c>
      <c r="H305" s="29" t="s">
        <v>453</v>
      </c>
      <c r="I305" s="28" t="s">
        <v>631</v>
      </c>
      <c r="J305" s="30"/>
      <c r="K305" s="30"/>
      <c r="L305" s="30"/>
      <c r="M305" s="30"/>
      <c r="N305" s="30"/>
      <c r="O305" s="30">
        <v>216000</v>
      </c>
      <c r="P305" s="30"/>
      <c r="Q305" s="30"/>
      <c r="R305" s="30"/>
      <c r="S305" s="30"/>
      <c r="T305" s="30"/>
      <c r="U305" s="30"/>
      <c r="V305" s="30"/>
      <c r="W305" s="197">
        <f>SUM(J305:V305)</f>
        <v>216000</v>
      </c>
    </row>
    <row r="306" spans="1:23" x14ac:dyDescent="0.3">
      <c r="A306" s="155">
        <v>305</v>
      </c>
      <c r="B306" s="28"/>
      <c r="C306" s="28" t="s">
        <v>754</v>
      </c>
      <c r="D306" s="194">
        <v>500000</v>
      </c>
      <c r="E306" s="194">
        <v>76000</v>
      </c>
      <c r="F306" s="194">
        <v>0</v>
      </c>
      <c r="G306" s="194">
        <f t="shared" si="42"/>
        <v>500000</v>
      </c>
      <c r="H306" s="29" t="s">
        <v>453</v>
      </c>
      <c r="I306" s="28" t="s">
        <v>631</v>
      </c>
      <c r="J306" s="30"/>
      <c r="K306" s="30"/>
      <c r="L306" s="30"/>
      <c r="M306" s="30"/>
      <c r="N306" s="30"/>
      <c r="O306" s="30">
        <v>76000</v>
      </c>
      <c r="P306" s="30"/>
      <c r="Q306" s="30"/>
      <c r="R306" s="30"/>
      <c r="S306" s="30"/>
      <c r="T306" s="30"/>
      <c r="U306" s="30"/>
      <c r="V306" s="30"/>
      <c r="W306" s="197">
        <f>SUM(J306:V306)</f>
        <v>76000</v>
      </c>
    </row>
    <row r="307" spans="1:23" x14ac:dyDescent="0.3">
      <c r="A307" s="155">
        <v>306</v>
      </c>
      <c r="B307" s="28"/>
      <c r="C307" s="28" t="s">
        <v>755</v>
      </c>
      <c r="D307" s="194">
        <v>800000</v>
      </c>
      <c r="E307" s="194">
        <v>124000</v>
      </c>
      <c r="F307" s="194">
        <v>150000</v>
      </c>
      <c r="G307" s="194"/>
      <c r="H307" s="29" t="s">
        <v>452</v>
      </c>
      <c r="I307" s="28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97"/>
    </row>
    <row r="308" spans="1:23" x14ac:dyDescent="0.3">
      <c r="A308" s="155">
        <v>307</v>
      </c>
      <c r="B308" s="28"/>
      <c r="C308" s="28" t="s">
        <v>756</v>
      </c>
      <c r="D308" s="194">
        <v>3200000</v>
      </c>
      <c r="E308" s="194">
        <v>496000</v>
      </c>
      <c r="F308" s="194">
        <v>515000</v>
      </c>
      <c r="G308" s="194"/>
      <c r="H308" s="29" t="s">
        <v>452</v>
      </c>
      <c r="I308" s="28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97"/>
    </row>
    <row r="309" spans="1:23" x14ac:dyDescent="0.3">
      <c r="A309" s="155">
        <v>308</v>
      </c>
      <c r="B309" s="28"/>
      <c r="C309" s="28" t="s">
        <v>747</v>
      </c>
      <c r="D309" s="194">
        <v>5100000</v>
      </c>
      <c r="E309" s="194">
        <v>788000</v>
      </c>
      <c r="F309" s="194">
        <v>800000</v>
      </c>
      <c r="G309" s="194"/>
      <c r="H309" s="29" t="s">
        <v>452</v>
      </c>
      <c r="I309" s="28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97"/>
    </row>
    <row r="310" spans="1:23" x14ac:dyDescent="0.3">
      <c r="A310" s="155">
        <v>309</v>
      </c>
      <c r="B310" s="28"/>
      <c r="C310" s="28" t="s">
        <v>757</v>
      </c>
      <c r="D310" s="194">
        <v>1750000</v>
      </c>
      <c r="E310" s="194">
        <v>272000</v>
      </c>
      <c r="F310" s="194">
        <v>280000</v>
      </c>
      <c r="G310" s="194"/>
      <c r="H310" s="29" t="s">
        <v>452</v>
      </c>
      <c r="I310" s="28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97"/>
    </row>
    <row r="311" spans="1:23" x14ac:dyDescent="0.3">
      <c r="A311" s="155">
        <v>310</v>
      </c>
      <c r="B311" s="28"/>
      <c r="C311" s="28" t="s">
        <v>758</v>
      </c>
      <c r="D311" s="194">
        <v>575000</v>
      </c>
      <c r="E311" s="194">
        <v>88000</v>
      </c>
      <c r="F311" s="194">
        <v>0</v>
      </c>
      <c r="G311" s="194">
        <f t="shared" ref="G311:G312" si="43">D311</f>
        <v>575000</v>
      </c>
      <c r="H311" s="29" t="s">
        <v>453</v>
      </c>
      <c r="I311" s="28" t="s">
        <v>631</v>
      </c>
      <c r="J311" s="30"/>
      <c r="K311" s="30"/>
      <c r="L311" s="30"/>
      <c r="M311" s="30"/>
      <c r="N311" s="30"/>
      <c r="O311" s="30">
        <v>88000</v>
      </c>
      <c r="P311" s="30"/>
      <c r="Q311" s="30"/>
      <c r="R311" s="30"/>
      <c r="S311" s="30"/>
      <c r="T311" s="30"/>
      <c r="U311" s="30"/>
      <c r="V311" s="30"/>
      <c r="W311" s="197">
        <f>SUM(J311:V311)</f>
        <v>88000</v>
      </c>
    </row>
    <row r="312" spans="1:23" x14ac:dyDescent="0.3">
      <c r="A312" s="155">
        <v>311</v>
      </c>
      <c r="B312" s="28"/>
      <c r="C312" s="28" t="s">
        <v>759</v>
      </c>
      <c r="D312" s="194">
        <v>2040000</v>
      </c>
      <c r="E312" s="194">
        <v>316000</v>
      </c>
      <c r="F312" s="194">
        <v>0</v>
      </c>
      <c r="G312" s="194">
        <f t="shared" si="43"/>
        <v>2040000</v>
      </c>
      <c r="H312" s="29" t="s">
        <v>453</v>
      </c>
      <c r="I312" s="28" t="s">
        <v>631</v>
      </c>
      <c r="J312" s="30"/>
      <c r="K312" s="30"/>
      <c r="L312" s="30"/>
      <c r="M312" s="30"/>
      <c r="N312" s="30"/>
      <c r="O312" s="194">
        <v>316000</v>
      </c>
      <c r="P312" s="30"/>
      <c r="Q312" s="30"/>
      <c r="R312" s="30"/>
      <c r="S312" s="30"/>
      <c r="T312" s="30"/>
      <c r="U312" s="30"/>
      <c r="V312" s="30"/>
      <c r="W312" s="197">
        <f>SUM(J312:V312)</f>
        <v>316000</v>
      </c>
    </row>
    <row r="313" spans="1:23" x14ac:dyDescent="0.3">
      <c r="A313" s="155">
        <v>312</v>
      </c>
      <c r="B313" s="28"/>
      <c r="C313" s="28" t="s">
        <v>760</v>
      </c>
      <c r="D313" s="194">
        <v>2250000</v>
      </c>
      <c r="E313" s="194">
        <v>348000</v>
      </c>
      <c r="F313" s="194">
        <v>355000</v>
      </c>
      <c r="G313" s="194"/>
      <c r="H313" s="29" t="s">
        <v>452</v>
      </c>
      <c r="I313" s="28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97"/>
    </row>
    <row r="314" spans="1:23" x14ac:dyDescent="0.3">
      <c r="A314" s="155">
        <v>313</v>
      </c>
      <c r="B314" s="28"/>
      <c r="C314" s="28" t="s">
        <v>761</v>
      </c>
      <c r="D314" s="194">
        <v>6300000</v>
      </c>
      <c r="E314" s="194">
        <v>972000</v>
      </c>
      <c r="F314" s="194">
        <v>0</v>
      </c>
      <c r="G314" s="194">
        <f>D314</f>
        <v>6300000</v>
      </c>
      <c r="H314" s="29" t="s">
        <v>453</v>
      </c>
      <c r="I314" s="28" t="s">
        <v>631</v>
      </c>
      <c r="J314" s="30"/>
      <c r="K314" s="30"/>
      <c r="L314" s="30"/>
      <c r="M314" s="30"/>
      <c r="N314" s="30"/>
      <c r="O314" s="30">
        <v>972000</v>
      </c>
      <c r="P314" s="30"/>
      <c r="Q314" s="30"/>
      <c r="R314" s="30"/>
      <c r="S314" s="30"/>
      <c r="T314" s="30"/>
      <c r="U314" s="30"/>
      <c r="V314" s="30"/>
      <c r="W314" s="197">
        <f>SUM(J314:V314)</f>
        <v>972000</v>
      </c>
    </row>
    <row r="315" spans="1:23" x14ac:dyDescent="0.3">
      <c r="A315" s="155">
        <v>314</v>
      </c>
      <c r="B315" s="28"/>
      <c r="C315" s="28" t="s">
        <v>762</v>
      </c>
      <c r="D315" s="194">
        <v>1100000</v>
      </c>
      <c r="E315" s="194">
        <v>168000</v>
      </c>
      <c r="F315" s="194">
        <v>180000</v>
      </c>
      <c r="G315" s="194"/>
      <c r="H315" s="29" t="s">
        <v>452</v>
      </c>
      <c r="I315" s="28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97"/>
    </row>
    <row r="316" spans="1:23" x14ac:dyDescent="0.3">
      <c r="A316" s="155">
        <v>315</v>
      </c>
      <c r="B316" s="28"/>
      <c r="C316" s="28" t="s">
        <v>763</v>
      </c>
      <c r="D316" s="194">
        <v>3100000</v>
      </c>
      <c r="E316" s="194">
        <v>480000</v>
      </c>
      <c r="F316" s="194">
        <v>0</v>
      </c>
      <c r="G316" s="194">
        <f t="shared" ref="G316:G317" si="44">D316</f>
        <v>3100000</v>
      </c>
      <c r="H316" s="29" t="s">
        <v>453</v>
      </c>
      <c r="I316" s="28" t="s">
        <v>631</v>
      </c>
      <c r="J316" s="30"/>
      <c r="K316" s="30"/>
      <c r="L316" s="30"/>
      <c r="M316" s="30"/>
      <c r="N316" s="30"/>
      <c r="O316" s="30">
        <v>480000</v>
      </c>
      <c r="P316" s="30"/>
      <c r="Q316" s="30"/>
      <c r="R316" s="30"/>
      <c r="S316" s="30"/>
      <c r="T316" s="30"/>
      <c r="U316" s="30"/>
      <c r="V316" s="30"/>
      <c r="W316" s="197">
        <f>SUM(J316:V316)</f>
        <v>480000</v>
      </c>
    </row>
    <row r="317" spans="1:23" x14ac:dyDescent="0.3">
      <c r="A317" s="155">
        <v>316</v>
      </c>
      <c r="B317" s="28"/>
      <c r="C317" s="28" t="s">
        <v>764</v>
      </c>
      <c r="D317" s="194">
        <v>778000</v>
      </c>
      <c r="E317" s="194">
        <v>120000</v>
      </c>
      <c r="F317" s="194">
        <v>0</v>
      </c>
      <c r="G317" s="194">
        <f t="shared" si="44"/>
        <v>778000</v>
      </c>
      <c r="H317" s="29" t="s">
        <v>453</v>
      </c>
      <c r="I317" s="28" t="s">
        <v>631</v>
      </c>
      <c r="J317" s="30"/>
      <c r="K317" s="30"/>
      <c r="L317" s="30"/>
      <c r="M317" s="30"/>
      <c r="N317" s="30"/>
      <c r="O317" s="30">
        <v>120000</v>
      </c>
      <c r="P317" s="30"/>
      <c r="Q317" s="30"/>
      <c r="R317" s="30"/>
      <c r="S317" s="30"/>
      <c r="T317" s="30"/>
      <c r="U317" s="30"/>
      <c r="V317" s="30"/>
      <c r="W317" s="197">
        <f>SUM(J317:V317)</f>
        <v>120000</v>
      </c>
    </row>
    <row r="318" spans="1:23" x14ac:dyDescent="0.3">
      <c r="A318" s="155">
        <v>317</v>
      </c>
      <c r="B318" s="28"/>
      <c r="C318" s="28" t="s">
        <v>765</v>
      </c>
      <c r="D318" s="194">
        <v>1539000</v>
      </c>
      <c r="E318" s="194">
        <v>236000</v>
      </c>
      <c r="F318" s="194">
        <v>240000</v>
      </c>
      <c r="G318" s="194"/>
      <c r="H318" s="29" t="s">
        <v>452</v>
      </c>
      <c r="I318" s="28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97"/>
    </row>
    <row r="319" spans="1:23" x14ac:dyDescent="0.3">
      <c r="A319" s="155">
        <v>318</v>
      </c>
      <c r="B319" s="28"/>
      <c r="C319" s="28" t="s">
        <v>766</v>
      </c>
      <c r="D319" s="194">
        <v>2859000</v>
      </c>
      <c r="E319" s="194">
        <v>440000</v>
      </c>
      <c r="F319" s="194">
        <v>500000</v>
      </c>
      <c r="G319" s="194"/>
      <c r="H319" s="29" t="s">
        <v>452</v>
      </c>
      <c r="I319" s="28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97"/>
    </row>
    <row r="320" spans="1:23" x14ac:dyDescent="0.3">
      <c r="A320" s="155">
        <v>319</v>
      </c>
      <c r="B320" s="28"/>
      <c r="C320" s="28" t="s">
        <v>766</v>
      </c>
      <c r="D320" s="194">
        <v>5354352</v>
      </c>
      <c r="E320" s="194">
        <v>828000</v>
      </c>
      <c r="F320" s="194">
        <v>850000</v>
      </c>
      <c r="G320" s="194"/>
      <c r="H320" s="29" t="s">
        <v>452</v>
      </c>
      <c r="I320" s="28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97"/>
    </row>
    <row r="321" spans="1:23" x14ac:dyDescent="0.3">
      <c r="A321" s="155">
        <v>320</v>
      </c>
      <c r="B321" s="28"/>
      <c r="C321" s="28" t="s">
        <v>767</v>
      </c>
      <c r="D321" s="194">
        <v>999000</v>
      </c>
      <c r="E321" s="194">
        <v>156000</v>
      </c>
      <c r="F321" s="194">
        <v>165000</v>
      </c>
      <c r="G321" s="194"/>
      <c r="H321" s="29" t="s">
        <v>452</v>
      </c>
      <c r="I321" s="28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97"/>
    </row>
    <row r="322" spans="1:23" x14ac:dyDescent="0.3">
      <c r="A322" s="155">
        <v>321</v>
      </c>
      <c r="B322" s="28"/>
      <c r="C322" s="28" t="s">
        <v>768</v>
      </c>
      <c r="D322" s="194">
        <v>4146392</v>
      </c>
      <c r="E322" s="194">
        <v>640000</v>
      </c>
      <c r="F322" s="194">
        <v>650000</v>
      </c>
      <c r="G322" s="194"/>
      <c r="H322" s="29" t="s">
        <v>452</v>
      </c>
      <c r="I322" s="28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97"/>
    </row>
    <row r="323" spans="1:23" x14ac:dyDescent="0.3">
      <c r="A323" s="155">
        <v>322</v>
      </c>
      <c r="B323" s="28"/>
      <c r="C323" s="28" t="s">
        <v>769</v>
      </c>
      <c r="D323" s="194">
        <v>5223256</v>
      </c>
      <c r="E323" s="194">
        <v>808000</v>
      </c>
      <c r="F323" s="194">
        <v>820000</v>
      </c>
      <c r="G323" s="194"/>
      <c r="H323" s="29" t="s">
        <v>452</v>
      </c>
      <c r="I323" s="28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97"/>
    </row>
    <row r="324" spans="1:23" x14ac:dyDescent="0.3">
      <c r="A324" s="155">
        <v>323</v>
      </c>
      <c r="B324" s="28"/>
      <c r="C324" s="28" t="s">
        <v>770</v>
      </c>
      <c r="D324" s="194">
        <v>11117500</v>
      </c>
      <c r="E324" s="194">
        <v>1716000</v>
      </c>
      <c r="F324" s="194">
        <v>0</v>
      </c>
      <c r="G324" s="194">
        <f>D324</f>
        <v>11117500</v>
      </c>
      <c r="H324" s="29" t="s">
        <v>453</v>
      </c>
      <c r="I324" s="28" t="s">
        <v>631</v>
      </c>
      <c r="J324" s="30"/>
      <c r="K324" s="30"/>
      <c r="L324" s="30"/>
      <c r="M324" s="30"/>
      <c r="N324" s="30"/>
      <c r="O324" s="194">
        <v>1716000</v>
      </c>
      <c r="P324" s="30"/>
      <c r="Q324" s="30"/>
      <c r="R324" s="30"/>
      <c r="S324" s="30"/>
      <c r="T324" s="30"/>
      <c r="U324" s="30"/>
      <c r="V324" s="30"/>
      <c r="W324" s="197">
        <f>SUM(J324:V324)</f>
        <v>1716000</v>
      </c>
    </row>
    <row r="325" spans="1:23" x14ac:dyDescent="0.3">
      <c r="A325" s="155">
        <v>324</v>
      </c>
      <c r="B325" s="28"/>
      <c r="C325" s="28" t="s">
        <v>771</v>
      </c>
      <c r="D325" s="194">
        <v>4157775</v>
      </c>
      <c r="E325" s="194">
        <v>644000</v>
      </c>
      <c r="F325" s="194">
        <v>650000</v>
      </c>
      <c r="G325" s="194"/>
      <c r="H325" s="29" t="s">
        <v>452</v>
      </c>
      <c r="I325" s="28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97"/>
    </row>
    <row r="326" spans="1:23" x14ac:dyDescent="0.3">
      <c r="A326" s="155">
        <v>325</v>
      </c>
      <c r="B326" s="28"/>
      <c r="C326" s="28" t="s">
        <v>772</v>
      </c>
      <c r="D326" s="194">
        <v>472000</v>
      </c>
      <c r="E326" s="194">
        <v>72000</v>
      </c>
      <c r="F326" s="194">
        <v>0</v>
      </c>
      <c r="G326" s="194">
        <f>D326</f>
        <v>472000</v>
      </c>
      <c r="H326" s="29" t="s">
        <v>453</v>
      </c>
      <c r="I326" s="28" t="s">
        <v>631</v>
      </c>
      <c r="J326" s="30"/>
      <c r="K326" s="30"/>
      <c r="L326" s="30"/>
      <c r="M326" s="30"/>
      <c r="N326" s="30"/>
      <c r="O326" s="30">
        <v>72000</v>
      </c>
      <c r="P326" s="30"/>
      <c r="Q326" s="30"/>
      <c r="R326" s="30"/>
      <c r="S326" s="30"/>
      <c r="T326" s="30"/>
      <c r="U326" s="30"/>
      <c r="V326" s="30"/>
      <c r="W326" s="197">
        <f>SUM(J326:V326)</f>
        <v>72000</v>
      </c>
    </row>
    <row r="327" spans="1:23" x14ac:dyDescent="0.3">
      <c r="A327" s="155">
        <v>326</v>
      </c>
      <c r="B327" s="28"/>
      <c r="C327" s="28" t="s">
        <v>773</v>
      </c>
      <c r="D327" s="194">
        <v>551950</v>
      </c>
      <c r="E327" s="194">
        <v>84000</v>
      </c>
      <c r="F327" s="194">
        <v>100000</v>
      </c>
      <c r="G327" s="194"/>
      <c r="H327" s="29" t="s">
        <v>452</v>
      </c>
      <c r="I327" s="28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97"/>
    </row>
    <row r="328" spans="1:23" x14ac:dyDescent="0.3">
      <c r="A328" s="155">
        <v>327</v>
      </c>
      <c r="B328" s="28"/>
      <c r="C328" s="28" t="s">
        <v>774</v>
      </c>
      <c r="D328" s="194">
        <v>1915000</v>
      </c>
      <c r="E328" s="194">
        <v>29600</v>
      </c>
      <c r="F328" s="194">
        <v>0</v>
      </c>
      <c r="G328" s="194">
        <f>D328</f>
        <v>1915000</v>
      </c>
      <c r="H328" s="29" t="s">
        <v>453</v>
      </c>
      <c r="I328" s="28" t="s">
        <v>631</v>
      </c>
      <c r="J328" s="30"/>
      <c r="K328" s="30"/>
      <c r="L328" s="30"/>
      <c r="M328" s="30"/>
      <c r="N328" s="30"/>
      <c r="O328" s="30">
        <v>29600</v>
      </c>
      <c r="P328" s="30"/>
      <c r="Q328" s="30"/>
      <c r="R328" s="30"/>
      <c r="S328" s="30"/>
      <c r="T328" s="30"/>
      <c r="U328" s="30"/>
      <c r="V328" s="30"/>
      <c r="W328" s="197">
        <f>SUM(J328:V328)</f>
        <v>29600</v>
      </c>
    </row>
    <row r="329" spans="1:23" x14ac:dyDescent="0.3">
      <c r="A329" s="155">
        <v>328</v>
      </c>
      <c r="B329" s="28"/>
      <c r="C329" s="28" t="s">
        <v>775</v>
      </c>
      <c r="D329" s="194">
        <v>5649000</v>
      </c>
      <c r="E329" s="194">
        <v>464000</v>
      </c>
      <c r="F329" s="194">
        <v>475000</v>
      </c>
      <c r="G329" s="194"/>
      <c r="H329" s="29" t="s">
        <v>452</v>
      </c>
      <c r="I329" s="28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97"/>
    </row>
    <row r="330" spans="1:23" x14ac:dyDescent="0.3">
      <c r="A330" s="155">
        <v>329</v>
      </c>
      <c r="B330" s="28"/>
      <c r="C330" s="28" t="s">
        <v>776</v>
      </c>
      <c r="D330" s="194">
        <v>3988900</v>
      </c>
      <c r="E330" s="194">
        <v>616000</v>
      </c>
      <c r="F330" s="194">
        <v>0</v>
      </c>
      <c r="G330" s="194">
        <f t="shared" ref="G330:G331" si="45">D330</f>
        <v>3988900</v>
      </c>
      <c r="H330" s="29" t="s">
        <v>453</v>
      </c>
      <c r="I330" s="28" t="s">
        <v>631</v>
      </c>
      <c r="J330" s="30"/>
      <c r="K330" s="30"/>
      <c r="L330" s="30"/>
      <c r="M330" s="30"/>
      <c r="N330" s="30"/>
      <c r="O330" s="30">
        <v>616000</v>
      </c>
      <c r="P330" s="30"/>
      <c r="Q330" s="30"/>
      <c r="R330" s="30"/>
      <c r="S330" s="30"/>
      <c r="T330" s="30"/>
      <c r="U330" s="30"/>
      <c r="V330" s="30"/>
      <c r="W330" s="197">
        <f>SUM(J330:V330)</f>
        <v>616000</v>
      </c>
    </row>
    <row r="331" spans="1:23" x14ac:dyDescent="0.3">
      <c r="A331" s="155">
        <v>330</v>
      </c>
      <c r="B331" s="28"/>
      <c r="C331" s="28" t="s">
        <v>777</v>
      </c>
      <c r="D331" s="194">
        <v>5000000</v>
      </c>
      <c r="E331" s="194">
        <v>772000</v>
      </c>
      <c r="F331" s="194">
        <v>0</v>
      </c>
      <c r="G331" s="194">
        <f t="shared" si="45"/>
        <v>5000000</v>
      </c>
      <c r="H331" s="29" t="s">
        <v>453</v>
      </c>
      <c r="I331" s="28" t="s">
        <v>631</v>
      </c>
      <c r="J331" s="30"/>
      <c r="K331" s="30"/>
      <c r="L331" s="30"/>
      <c r="M331" s="30"/>
      <c r="N331" s="30"/>
      <c r="O331" s="30">
        <v>772000</v>
      </c>
      <c r="P331" s="30"/>
      <c r="Q331" s="30"/>
      <c r="R331" s="30"/>
      <c r="S331" s="30"/>
      <c r="T331" s="30"/>
      <c r="U331" s="30"/>
      <c r="V331" s="30"/>
      <c r="W331" s="197">
        <f>SUM(J331:V331)</f>
        <v>772000</v>
      </c>
    </row>
    <row r="332" spans="1:23" x14ac:dyDescent="0.3">
      <c r="A332" s="155">
        <v>331</v>
      </c>
      <c r="B332" s="28"/>
      <c r="C332" s="28" t="s">
        <v>778</v>
      </c>
      <c r="D332" s="194">
        <v>1100000</v>
      </c>
      <c r="E332" s="194">
        <v>236000</v>
      </c>
      <c r="F332" s="194">
        <v>250000</v>
      </c>
      <c r="G332" s="194"/>
      <c r="H332" s="29" t="s">
        <v>452</v>
      </c>
      <c r="I332" s="28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97"/>
    </row>
    <row r="333" spans="1:23" x14ac:dyDescent="0.3">
      <c r="A333" s="155">
        <v>332</v>
      </c>
      <c r="B333" s="28"/>
      <c r="C333" s="28" t="s">
        <v>779</v>
      </c>
      <c r="D333" s="194">
        <v>1200000</v>
      </c>
      <c r="E333" s="194">
        <v>200000</v>
      </c>
      <c r="F333" s="194">
        <v>250000</v>
      </c>
      <c r="G333" s="194"/>
      <c r="H333" s="29" t="s">
        <v>452</v>
      </c>
      <c r="I333" s="28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97"/>
    </row>
    <row r="334" spans="1:23" x14ac:dyDescent="0.3">
      <c r="A334" s="155">
        <v>333</v>
      </c>
      <c r="B334" s="28"/>
      <c r="C334" s="28" t="s">
        <v>780</v>
      </c>
      <c r="D334" s="194">
        <v>4724500</v>
      </c>
      <c r="E334" s="194">
        <v>728000</v>
      </c>
      <c r="F334" s="194">
        <v>750000</v>
      </c>
      <c r="G334" s="194"/>
      <c r="H334" s="29" t="s">
        <v>452</v>
      </c>
      <c r="I334" s="28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97"/>
    </row>
    <row r="335" spans="1:23" x14ac:dyDescent="0.3">
      <c r="A335" s="155">
        <v>334</v>
      </c>
      <c r="B335" s="28"/>
      <c r="C335" s="28" t="s">
        <v>781</v>
      </c>
      <c r="D335" s="194">
        <v>1518400</v>
      </c>
      <c r="E335" s="194">
        <v>236000</v>
      </c>
      <c r="F335" s="194">
        <v>250000</v>
      </c>
      <c r="G335" s="194"/>
      <c r="H335" s="29" t="s">
        <v>452</v>
      </c>
      <c r="I335" s="28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97"/>
    </row>
    <row r="336" spans="1:23" x14ac:dyDescent="0.3">
      <c r="A336" s="155">
        <v>335</v>
      </c>
      <c r="B336" s="28"/>
      <c r="C336" s="28" t="s">
        <v>782</v>
      </c>
      <c r="D336" s="194">
        <v>1369000</v>
      </c>
      <c r="E336" s="194">
        <v>108000</v>
      </c>
      <c r="F336" s="194">
        <v>0</v>
      </c>
      <c r="G336" s="194">
        <f t="shared" ref="G336:G337" si="46">D336</f>
        <v>1369000</v>
      </c>
      <c r="H336" s="29" t="s">
        <v>453</v>
      </c>
      <c r="I336" s="28" t="s">
        <v>631</v>
      </c>
      <c r="J336" s="30"/>
      <c r="K336" s="30"/>
      <c r="L336" s="30"/>
      <c r="M336" s="30"/>
      <c r="N336" s="30"/>
      <c r="O336" s="30">
        <v>108000</v>
      </c>
      <c r="P336" s="30"/>
      <c r="Q336" s="30"/>
      <c r="R336" s="30"/>
      <c r="S336" s="30"/>
      <c r="T336" s="30"/>
      <c r="U336" s="30"/>
      <c r="V336" s="30"/>
      <c r="W336" s="197">
        <f>SUM(J336:V336)</f>
        <v>108000</v>
      </c>
    </row>
    <row r="337" spans="1:23" x14ac:dyDescent="0.3">
      <c r="A337" s="155">
        <v>336</v>
      </c>
      <c r="B337" s="28"/>
      <c r="C337" s="28" t="s">
        <v>783</v>
      </c>
      <c r="D337" s="194">
        <v>899500</v>
      </c>
      <c r="E337" s="194">
        <v>140000</v>
      </c>
      <c r="F337" s="194">
        <v>0</v>
      </c>
      <c r="G337" s="194">
        <f t="shared" si="46"/>
        <v>899500</v>
      </c>
      <c r="H337" s="29" t="s">
        <v>453</v>
      </c>
      <c r="I337" s="28" t="s">
        <v>631</v>
      </c>
      <c r="J337" s="30"/>
      <c r="K337" s="30"/>
      <c r="L337" s="30"/>
      <c r="M337" s="30"/>
      <c r="N337" s="30"/>
      <c r="O337" s="30">
        <v>140000</v>
      </c>
      <c r="P337" s="30"/>
      <c r="Q337" s="30"/>
      <c r="R337" s="30"/>
      <c r="S337" s="30"/>
      <c r="T337" s="30"/>
      <c r="U337" s="30"/>
      <c r="V337" s="30"/>
      <c r="W337" s="197">
        <f>SUM(J337:V337)</f>
        <v>140000</v>
      </c>
    </row>
    <row r="338" spans="1:23" x14ac:dyDescent="0.3">
      <c r="A338" s="155">
        <v>337</v>
      </c>
      <c r="B338" s="28"/>
      <c r="C338" s="28" t="s">
        <v>784</v>
      </c>
      <c r="D338" s="194">
        <v>2099000</v>
      </c>
      <c r="E338" s="194">
        <v>324000</v>
      </c>
      <c r="F338" s="194">
        <v>350000</v>
      </c>
      <c r="G338" s="194"/>
      <c r="H338" s="29" t="s">
        <v>452</v>
      </c>
      <c r="I338" s="28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97"/>
    </row>
    <row r="339" spans="1:23" x14ac:dyDescent="0.3">
      <c r="A339" s="155">
        <v>338</v>
      </c>
      <c r="B339" s="28"/>
      <c r="C339" s="28" t="s">
        <v>785</v>
      </c>
      <c r="D339" s="194">
        <v>6571200</v>
      </c>
      <c r="E339" s="194">
        <v>1016000</v>
      </c>
      <c r="F339" s="194">
        <v>1050000</v>
      </c>
      <c r="G339" s="194"/>
      <c r="H339" s="29" t="s">
        <v>452</v>
      </c>
      <c r="I339" s="28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97"/>
    </row>
    <row r="340" spans="1:23" x14ac:dyDescent="0.3">
      <c r="A340" s="155">
        <v>339</v>
      </c>
      <c r="B340" s="28"/>
      <c r="C340" s="28" t="s">
        <v>786</v>
      </c>
      <c r="D340" s="194">
        <v>5414200</v>
      </c>
      <c r="E340" s="194">
        <v>836000</v>
      </c>
      <c r="F340" s="194">
        <v>0</v>
      </c>
      <c r="G340" s="194">
        <f t="shared" ref="G340:G341" si="47">D340</f>
        <v>5414200</v>
      </c>
      <c r="H340" s="29" t="s">
        <v>453</v>
      </c>
      <c r="I340" s="28" t="s">
        <v>631</v>
      </c>
      <c r="J340" s="30"/>
      <c r="K340" s="30"/>
      <c r="L340" s="30"/>
      <c r="M340" s="30"/>
      <c r="N340" s="30"/>
      <c r="O340" s="30">
        <v>836000</v>
      </c>
      <c r="P340" s="30"/>
      <c r="Q340" s="30"/>
      <c r="R340" s="30"/>
      <c r="S340" s="30"/>
      <c r="T340" s="30"/>
      <c r="U340" s="30"/>
      <c r="V340" s="30"/>
      <c r="W340" s="197">
        <f>SUM(J340:V340)</f>
        <v>836000</v>
      </c>
    </row>
    <row r="341" spans="1:23" x14ac:dyDescent="0.3">
      <c r="A341" s="155">
        <v>340</v>
      </c>
      <c r="B341" s="28"/>
      <c r="C341" s="28" t="s">
        <v>787</v>
      </c>
      <c r="D341" s="194">
        <v>2100000</v>
      </c>
      <c r="E341" s="194">
        <v>324000</v>
      </c>
      <c r="F341" s="194">
        <v>0</v>
      </c>
      <c r="G341" s="194">
        <f t="shared" si="47"/>
        <v>2100000</v>
      </c>
      <c r="H341" s="29" t="s">
        <v>453</v>
      </c>
      <c r="I341" s="28" t="s">
        <v>631</v>
      </c>
      <c r="J341" s="30"/>
      <c r="K341" s="30"/>
      <c r="L341" s="30"/>
      <c r="M341" s="30"/>
      <c r="N341" s="30"/>
      <c r="O341" s="194">
        <v>324000</v>
      </c>
      <c r="P341" s="30"/>
      <c r="Q341" s="30"/>
      <c r="R341" s="30"/>
      <c r="S341" s="30"/>
      <c r="T341" s="30"/>
      <c r="U341" s="30"/>
      <c r="V341" s="30"/>
      <c r="W341" s="197">
        <f>SUM(J341:V341)</f>
        <v>324000</v>
      </c>
    </row>
    <row r="342" spans="1:23" x14ac:dyDescent="0.3">
      <c r="A342" s="155">
        <v>341</v>
      </c>
      <c r="B342" s="28"/>
      <c r="C342" s="28" t="s">
        <v>788</v>
      </c>
      <c r="D342" s="194">
        <v>1550000</v>
      </c>
      <c r="E342" s="194">
        <v>240000</v>
      </c>
      <c r="F342" s="194">
        <v>250000</v>
      </c>
      <c r="G342" s="194"/>
      <c r="H342" s="29" t="s">
        <v>452</v>
      </c>
      <c r="I342" s="28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97"/>
    </row>
    <row r="343" spans="1:23" x14ac:dyDescent="0.3">
      <c r="A343" s="155">
        <v>342</v>
      </c>
      <c r="B343" s="28"/>
      <c r="C343" s="28" t="s">
        <v>789</v>
      </c>
      <c r="D343" s="194">
        <v>1900000</v>
      </c>
      <c r="E343" s="194">
        <v>292000</v>
      </c>
      <c r="F343" s="194">
        <v>0</v>
      </c>
      <c r="G343" s="194">
        <f t="shared" ref="G343:G346" si="48">D343</f>
        <v>1900000</v>
      </c>
      <c r="H343" s="29" t="s">
        <v>453</v>
      </c>
      <c r="I343" s="28" t="s">
        <v>631</v>
      </c>
      <c r="J343" s="30"/>
      <c r="K343" s="30"/>
      <c r="L343" s="30"/>
      <c r="M343" s="30"/>
      <c r="N343" s="30"/>
      <c r="O343" s="194">
        <v>292000</v>
      </c>
      <c r="P343" s="30"/>
      <c r="Q343" s="30"/>
      <c r="R343" s="30"/>
      <c r="S343" s="30"/>
      <c r="T343" s="30"/>
      <c r="U343" s="30"/>
      <c r="V343" s="30"/>
      <c r="W343" s="197">
        <f>SUM(J343:V343)</f>
        <v>292000</v>
      </c>
    </row>
    <row r="344" spans="1:23" x14ac:dyDescent="0.3">
      <c r="A344" s="155">
        <v>343</v>
      </c>
      <c r="B344" s="28"/>
      <c r="C344" s="28" t="s">
        <v>790</v>
      </c>
      <c r="D344" s="194">
        <v>815000</v>
      </c>
      <c r="E344" s="194">
        <v>124000</v>
      </c>
      <c r="F344" s="194">
        <v>0</v>
      </c>
      <c r="G344" s="194">
        <f t="shared" si="48"/>
        <v>815000</v>
      </c>
      <c r="H344" s="29" t="s">
        <v>453</v>
      </c>
      <c r="I344" s="28" t="s">
        <v>631</v>
      </c>
      <c r="J344" s="30"/>
      <c r="K344" s="30"/>
      <c r="L344" s="30"/>
      <c r="M344" s="30"/>
      <c r="N344" s="30"/>
      <c r="O344" s="30">
        <v>124000</v>
      </c>
      <c r="P344" s="30"/>
      <c r="Q344" s="30"/>
      <c r="R344" s="30"/>
      <c r="S344" s="30"/>
      <c r="T344" s="30"/>
      <c r="U344" s="30"/>
      <c r="V344" s="30"/>
      <c r="W344" s="197">
        <f>SUM(J344:V344)</f>
        <v>124000</v>
      </c>
    </row>
    <row r="345" spans="1:23" x14ac:dyDescent="0.3">
      <c r="A345" s="155">
        <v>344</v>
      </c>
      <c r="B345" s="28"/>
      <c r="C345" s="28" t="s">
        <v>791</v>
      </c>
      <c r="D345" s="194">
        <v>550000</v>
      </c>
      <c r="E345" s="194">
        <v>84000</v>
      </c>
      <c r="F345" s="194">
        <v>0</v>
      </c>
      <c r="G345" s="194">
        <f t="shared" si="48"/>
        <v>550000</v>
      </c>
      <c r="H345" s="29" t="s">
        <v>453</v>
      </c>
      <c r="I345" s="28" t="s">
        <v>631</v>
      </c>
      <c r="J345" s="30"/>
      <c r="K345" s="30"/>
      <c r="L345" s="30"/>
      <c r="M345" s="30"/>
      <c r="N345" s="30"/>
      <c r="O345" s="30">
        <v>84000</v>
      </c>
      <c r="P345" s="30"/>
      <c r="Q345" s="30"/>
      <c r="R345" s="30"/>
      <c r="S345" s="30"/>
      <c r="T345" s="30"/>
      <c r="U345" s="30"/>
      <c r="V345" s="30"/>
      <c r="W345" s="197">
        <f>SUM(J345:V345)</f>
        <v>84000</v>
      </c>
    </row>
    <row r="346" spans="1:23" x14ac:dyDescent="0.3">
      <c r="A346" s="155">
        <v>345</v>
      </c>
      <c r="B346" s="28"/>
      <c r="C346" s="28" t="s">
        <v>792</v>
      </c>
      <c r="D346" s="194">
        <v>3600000</v>
      </c>
      <c r="E346" s="194">
        <v>556000</v>
      </c>
      <c r="F346" s="194">
        <v>0</v>
      </c>
      <c r="G346" s="194">
        <f t="shared" si="48"/>
        <v>3600000</v>
      </c>
      <c r="H346" s="29" t="s">
        <v>453</v>
      </c>
      <c r="I346" s="28" t="s">
        <v>631</v>
      </c>
      <c r="J346" s="30"/>
      <c r="K346" s="30"/>
      <c r="L346" s="30"/>
      <c r="M346" s="30"/>
      <c r="N346" s="30"/>
      <c r="O346" s="30">
        <v>556000</v>
      </c>
      <c r="P346" s="30"/>
      <c r="Q346" s="30"/>
      <c r="R346" s="30"/>
      <c r="S346" s="30"/>
      <c r="T346" s="30"/>
      <c r="U346" s="30"/>
      <c r="V346" s="30"/>
      <c r="W346" s="197">
        <f>SUM(J346:V346)</f>
        <v>556000</v>
      </c>
    </row>
    <row r="347" spans="1:23" x14ac:dyDescent="0.3">
      <c r="A347" s="155">
        <v>346</v>
      </c>
      <c r="B347" s="28"/>
      <c r="C347" s="28" t="s">
        <v>793</v>
      </c>
      <c r="D347" s="194">
        <v>1699000</v>
      </c>
      <c r="E347" s="194">
        <v>264000</v>
      </c>
      <c r="F347" s="194">
        <v>270000</v>
      </c>
      <c r="G347" s="194"/>
      <c r="H347" s="29" t="s">
        <v>452</v>
      </c>
      <c r="I347" s="28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97"/>
    </row>
    <row r="348" spans="1:23" x14ac:dyDescent="0.3">
      <c r="A348" s="155">
        <v>347</v>
      </c>
      <c r="B348" s="28"/>
      <c r="C348" s="28" t="s">
        <v>794</v>
      </c>
      <c r="D348" s="194">
        <v>5608300</v>
      </c>
      <c r="E348" s="194">
        <v>864000</v>
      </c>
      <c r="F348" s="194">
        <v>0</v>
      </c>
      <c r="G348" s="194">
        <f t="shared" ref="G348:G349" si="49">D348</f>
        <v>5608300</v>
      </c>
      <c r="H348" s="29" t="s">
        <v>453</v>
      </c>
      <c r="I348" s="28" t="s">
        <v>631</v>
      </c>
      <c r="J348" s="30"/>
      <c r="K348" s="30"/>
      <c r="L348" s="30"/>
      <c r="M348" s="30"/>
      <c r="N348" s="30"/>
      <c r="O348" s="30">
        <v>864000</v>
      </c>
      <c r="P348" s="30"/>
      <c r="Q348" s="30"/>
      <c r="R348" s="30"/>
      <c r="S348" s="30"/>
      <c r="T348" s="30"/>
      <c r="U348" s="30"/>
      <c r="V348" s="30"/>
      <c r="W348" s="197">
        <f>SUM(J348:V348)</f>
        <v>864000</v>
      </c>
    </row>
    <row r="349" spans="1:23" x14ac:dyDescent="0.3">
      <c r="A349" s="155">
        <v>348</v>
      </c>
      <c r="B349" s="28"/>
      <c r="C349" s="28" t="s">
        <v>795</v>
      </c>
      <c r="D349" s="194">
        <v>8999000</v>
      </c>
      <c r="E349" s="194">
        <v>1392000</v>
      </c>
      <c r="F349" s="194">
        <v>0</v>
      </c>
      <c r="G349" s="194">
        <f t="shared" si="49"/>
        <v>8999000</v>
      </c>
      <c r="H349" s="29" t="s">
        <v>453</v>
      </c>
      <c r="I349" s="28" t="s">
        <v>631</v>
      </c>
      <c r="J349" s="30"/>
      <c r="K349" s="30"/>
      <c r="L349" s="30"/>
      <c r="M349" s="30"/>
      <c r="N349" s="30"/>
      <c r="O349" s="30">
        <v>1392000</v>
      </c>
      <c r="P349" s="30"/>
      <c r="Q349" s="30"/>
      <c r="R349" s="30"/>
      <c r="S349" s="30"/>
      <c r="T349" s="30"/>
      <c r="U349" s="30"/>
      <c r="V349" s="30"/>
      <c r="W349" s="197">
        <f>SUM(J349:V349)</f>
        <v>1392000</v>
      </c>
    </row>
    <row r="350" spans="1:23" x14ac:dyDescent="0.3">
      <c r="A350" s="155">
        <v>349</v>
      </c>
      <c r="B350" s="28"/>
      <c r="C350" s="28" t="s">
        <v>796</v>
      </c>
      <c r="D350" s="194">
        <v>2299000</v>
      </c>
      <c r="E350" s="194">
        <v>356000</v>
      </c>
      <c r="F350" s="194">
        <v>400000</v>
      </c>
      <c r="G350" s="194"/>
      <c r="H350" s="29" t="s">
        <v>452</v>
      </c>
      <c r="I350" s="28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97"/>
    </row>
    <row r="351" spans="1:23" x14ac:dyDescent="0.3">
      <c r="A351" s="155">
        <v>350</v>
      </c>
      <c r="B351" s="28"/>
      <c r="C351" s="28" t="s">
        <v>797</v>
      </c>
      <c r="D351" s="194">
        <v>11899150</v>
      </c>
      <c r="E351" s="194">
        <v>1840000</v>
      </c>
      <c r="F351" s="194">
        <v>1850000</v>
      </c>
      <c r="G351" s="194"/>
      <c r="H351" s="29" t="s">
        <v>452</v>
      </c>
      <c r="I351" s="28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97"/>
    </row>
    <row r="352" spans="1:23" x14ac:dyDescent="0.3">
      <c r="A352" s="155">
        <v>351</v>
      </c>
      <c r="B352" s="28"/>
      <c r="C352" s="28" t="s">
        <v>798</v>
      </c>
      <c r="D352" s="194">
        <v>12749150</v>
      </c>
      <c r="E352" s="194">
        <v>1968000</v>
      </c>
      <c r="F352" s="194">
        <v>0</v>
      </c>
      <c r="G352" s="194">
        <f>D352</f>
        <v>12749150</v>
      </c>
      <c r="H352" s="29" t="s">
        <v>453</v>
      </c>
      <c r="I352" s="28" t="s">
        <v>631</v>
      </c>
      <c r="J352" s="30"/>
      <c r="K352" s="30"/>
      <c r="L352" s="30"/>
      <c r="M352" s="30"/>
      <c r="N352" s="30"/>
      <c r="O352" s="30">
        <v>1968000</v>
      </c>
      <c r="P352" s="30"/>
      <c r="Q352" s="30"/>
      <c r="R352" s="30"/>
      <c r="S352" s="30"/>
      <c r="T352" s="30"/>
      <c r="U352" s="30"/>
      <c r="V352" s="30"/>
      <c r="W352" s="197">
        <f>SUM(J352:V352)</f>
        <v>1968000</v>
      </c>
    </row>
    <row r="353" spans="1:23" x14ac:dyDescent="0.3">
      <c r="A353" s="155">
        <v>352</v>
      </c>
      <c r="B353" s="28"/>
      <c r="C353" s="28" t="s">
        <v>799</v>
      </c>
      <c r="D353" s="194">
        <v>3400000</v>
      </c>
      <c r="E353" s="194">
        <v>524000</v>
      </c>
      <c r="F353" s="194">
        <v>550000</v>
      </c>
      <c r="G353" s="194"/>
      <c r="H353" s="29" t="s">
        <v>452</v>
      </c>
      <c r="I353" s="28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97"/>
    </row>
    <row r="354" spans="1:23" x14ac:dyDescent="0.3">
      <c r="A354" s="155">
        <v>353</v>
      </c>
      <c r="B354" s="28"/>
      <c r="C354" s="28" t="s">
        <v>703</v>
      </c>
      <c r="D354" s="194">
        <v>7250000</v>
      </c>
      <c r="E354" s="194">
        <v>1120000</v>
      </c>
      <c r="F354" s="194">
        <v>0</v>
      </c>
      <c r="G354" s="194">
        <f t="shared" ref="G354:G368" si="50">D354</f>
        <v>7250000</v>
      </c>
      <c r="H354" s="29" t="s">
        <v>453</v>
      </c>
      <c r="I354" s="28" t="s">
        <v>631</v>
      </c>
      <c r="J354" s="30"/>
      <c r="K354" s="30"/>
      <c r="L354" s="30"/>
      <c r="M354" s="30"/>
      <c r="N354" s="30"/>
      <c r="O354" s="194">
        <v>1120000</v>
      </c>
      <c r="P354" s="30"/>
      <c r="Q354" s="30"/>
      <c r="R354" s="30"/>
      <c r="S354" s="30"/>
      <c r="T354" s="30"/>
      <c r="U354" s="30"/>
      <c r="V354" s="30"/>
      <c r="W354" s="197">
        <f t="shared" ref="W354:W368" si="51">SUM(J354:V354)</f>
        <v>1120000</v>
      </c>
    </row>
    <row r="355" spans="1:23" x14ac:dyDescent="0.3">
      <c r="A355" s="155">
        <v>354</v>
      </c>
      <c r="B355" s="28"/>
      <c r="C355" s="28" t="s">
        <v>800</v>
      </c>
      <c r="D355" s="194">
        <v>2000000</v>
      </c>
      <c r="E355" s="194">
        <v>308000</v>
      </c>
      <c r="F355" s="194">
        <v>0</v>
      </c>
      <c r="G355" s="194">
        <f t="shared" si="50"/>
        <v>2000000</v>
      </c>
      <c r="H355" s="29" t="s">
        <v>453</v>
      </c>
      <c r="I355" s="28" t="s">
        <v>631</v>
      </c>
      <c r="J355" s="30"/>
      <c r="K355" s="30"/>
      <c r="L355" s="30"/>
      <c r="M355" s="30"/>
      <c r="N355" s="30"/>
      <c r="O355" s="194">
        <v>308000</v>
      </c>
      <c r="P355" s="30"/>
      <c r="Q355" s="30"/>
      <c r="R355" s="30"/>
      <c r="S355" s="30"/>
      <c r="T355" s="30"/>
      <c r="U355" s="30"/>
      <c r="V355" s="30"/>
      <c r="W355" s="197">
        <f t="shared" si="51"/>
        <v>308000</v>
      </c>
    </row>
    <row r="356" spans="1:23" x14ac:dyDescent="0.3">
      <c r="A356" s="155">
        <v>355</v>
      </c>
      <c r="B356" s="28"/>
      <c r="C356" s="28" t="s">
        <v>801</v>
      </c>
      <c r="D356" s="194">
        <v>2000000</v>
      </c>
      <c r="E356" s="194">
        <v>308000</v>
      </c>
      <c r="F356" s="194">
        <v>0</v>
      </c>
      <c r="G356" s="194">
        <f t="shared" si="50"/>
        <v>2000000</v>
      </c>
      <c r="H356" s="29" t="s">
        <v>453</v>
      </c>
      <c r="I356" s="28" t="s">
        <v>631</v>
      </c>
      <c r="J356" s="30"/>
      <c r="K356" s="30"/>
      <c r="L356" s="30"/>
      <c r="M356" s="30"/>
      <c r="N356" s="30"/>
      <c r="O356" s="194">
        <v>308000</v>
      </c>
      <c r="P356" s="30"/>
      <c r="Q356" s="30"/>
      <c r="R356" s="30"/>
      <c r="S356" s="30"/>
      <c r="T356" s="30"/>
      <c r="U356" s="30"/>
      <c r="V356" s="30"/>
      <c r="W356" s="197">
        <f t="shared" si="51"/>
        <v>308000</v>
      </c>
    </row>
    <row r="357" spans="1:23" x14ac:dyDescent="0.3">
      <c r="A357" s="155">
        <v>356</v>
      </c>
      <c r="B357" s="28"/>
      <c r="C357" s="28" t="s">
        <v>802</v>
      </c>
      <c r="D357" s="194">
        <v>17772480</v>
      </c>
      <c r="E357" s="194">
        <v>3048000</v>
      </c>
      <c r="F357" s="194">
        <v>0</v>
      </c>
      <c r="G357" s="194">
        <f t="shared" si="50"/>
        <v>17772480</v>
      </c>
      <c r="H357" s="29" t="s">
        <v>453</v>
      </c>
      <c r="I357" s="28" t="s">
        <v>631</v>
      </c>
      <c r="J357" s="30"/>
      <c r="K357" s="30"/>
      <c r="L357" s="30"/>
      <c r="M357" s="30"/>
      <c r="N357" s="30"/>
      <c r="O357" s="30">
        <v>3048000</v>
      </c>
      <c r="P357" s="30"/>
      <c r="Q357" s="30"/>
      <c r="R357" s="30"/>
      <c r="S357" s="30"/>
      <c r="T357" s="30"/>
      <c r="U357" s="30"/>
      <c r="V357" s="30"/>
      <c r="W357" s="197">
        <f t="shared" si="51"/>
        <v>3048000</v>
      </c>
    </row>
    <row r="358" spans="1:23" x14ac:dyDescent="0.3">
      <c r="A358" s="155">
        <v>357</v>
      </c>
      <c r="B358" s="28"/>
      <c r="C358" s="28" t="s">
        <v>803</v>
      </c>
      <c r="D358" s="194">
        <v>6600000</v>
      </c>
      <c r="E358" s="194">
        <v>308000</v>
      </c>
      <c r="F358" s="194">
        <v>0</v>
      </c>
      <c r="G358" s="194">
        <f t="shared" si="50"/>
        <v>6600000</v>
      </c>
      <c r="H358" s="29" t="s">
        <v>453</v>
      </c>
      <c r="I358" s="28" t="s">
        <v>631</v>
      </c>
      <c r="J358" s="30"/>
      <c r="K358" s="30"/>
      <c r="L358" s="30"/>
      <c r="M358" s="30"/>
      <c r="N358" s="30"/>
      <c r="O358" s="30">
        <v>308000</v>
      </c>
      <c r="P358" s="30"/>
      <c r="Q358" s="30"/>
      <c r="R358" s="30"/>
      <c r="S358" s="30"/>
      <c r="T358" s="30"/>
      <c r="U358" s="30"/>
      <c r="V358" s="30"/>
      <c r="W358" s="197">
        <f t="shared" si="51"/>
        <v>308000</v>
      </c>
    </row>
    <row r="359" spans="1:23" x14ac:dyDescent="0.3">
      <c r="A359" s="155">
        <v>358</v>
      </c>
      <c r="B359" s="28"/>
      <c r="C359" s="28" t="s">
        <v>804</v>
      </c>
      <c r="D359" s="194">
        <v>26205000</v>
      </c>
      <c r="E359" s="194">
        <v>1264000</v>
      </c>
      <c r="F359" s="194">
        <v>0</v>
      </c>
      <c r="G359" s="194">
        <f t="shared" si="50"/>
        <v>26205000</v>
      </c>
      <c r="H359" s="29" t="s">
        <v>453</v>
      </c>
      <c r="I359" s="28" t="s">
        <v>631</v>
      </c>
      <c r="J359" s="30"/>
      <c r="K359" s="30"/>
      <c r="L359" s="30"/>
      <c r="M359" s="30"/>
      <c r="N359" s="30"/>
      <c r="O359" s="30">
        <v>1264000</v>
      </c>
      <c r="P359" s="30"/>
      <c r="Q359" s="30"/>
      <c r="R359" s="30"/>
      <c r="S359" s="30"/>
      <c r="T359" s="30"/>
      <c r="U359" s="30"/>
      <c r="V359" s="30"/>
      <c r="W359" s="197">
        <f t="shared" si="51"/>
        <v>1264000</v>
      </c>
    </row>
    <row r="360" spans="1:23" x14ac:dyDescent="0.3">
      <c r="A360" s="155">
        <v>359</v>
      </c>
      <c r="B360" s="28"/>
      <c r="C360" s="28" t="s">
        <v>805</v>
      </c>
      <c r="D360" s="194">
        <v>652500</v>
      </c>
      <c r="E360" s="194">
        <v>120000</v>
      </c>
      <c r="F360" s="194">
        <v>0</v>
      </c>
      <c r="G360" s="194">
        <f t="shared" si="50"/>
        <v>652500</v>
      </c>
      <c r="H360" s="29" t="s">
        <v>453</v>
      </c>
      <c r="I360" s="28" t="s">
        <v>631</v>
      </c>
      <c r="J360" s="30"/>
      <c r="K360" s="30"/>
      <c r="L360" s="30"/>
      <c r="M360" s="30"/>
      <c r="N360" s="30"/>
      <c r="O360" s="30">
        <v>120000</v>
      </c>
      <c r="P360" s="30"/>
      <c r="Q360" s="30"/>
      <c r="R360" s="30"/>
      <c r="S360" s="30"/>
      <c r="T360" s="30"/>
      <c r="U360" s="30"/>
      <c r="V360" s="30"/>
      <c r="W360" s="197">
        <f t="shared" si="51"/>
        <v>120000</v>
      </c>
    </row>
    <row r="361" spans="1:23" x14ac:dyDescent="0.3">
      <c r="A361" s="155">
        <v>360</v>
      </c>
      <c r="B361" s="28"/>
      <c r="C361" s="28" t="s">
        <v>806</v>
      </c>
      <c r="D361" s="194">
        <v>1311750</v>
      </c>
      <c r="E361" s="194">
        <v>204000</v>
      </c>
      <c r="F361" s="194">
        <v>0</v>
      </c>
      <c r="G361" s="194">
        <f t="shared" si="50"/>
        <v>1311750</v>
      </c>
      <c r="H361" s="29" t="s">
        <v>453</v>
      </c>
      <c r="I361" s="28" t="s">
        <v>631</v>
      </c>
      <c r="J361" s="30"/>
      <c r="K361" s="30"/>
      <c r="L361" s="30"/>
      <c r="M361" s="30"/>
      <c r="N361" s="30"/>
      <c r="O361" s="30">
        <v>204000</v>
      </c>
      <c r="P361" s="30"/>
      <c r="Q361" s="30"/>
      <c r="R361" s="30"/>
      <c r="S361" s="30"/>
      <c r="T361" s="30"/>
      <c r="U361" s="30"/>
      <c r="V361" s="30"/>
      <c r="W361" s="197">
        <f t="shared" si="51"/>
        <v>204000</v>
      </c>
    </row>
    <row r="362" spans="1:23" x14ac:dyDescent="0.3">
      <c r="A362" s="155">
        <v>361</v>
      </c>
      <c r="B362" s="28"/>
      <c r="C362" s="28" t="s">
        <v>802</v>
      </c>
      <c r="D362" s="194">
        <v>11848320</v>
      </c>
      <c r="E362" s="194">
        <v>1828000</v>
      </c>
      <c r="F362" s="194">
        <v>0</v>
      </c>
      <c r="G362" s="194">
        <f t="shared" si="50"/>
        <v>11848320</v>
      </c>
      <c r="H362" s="29" t="s">
        <v>453</v>
      </c>
      <c r="I362" s="28" t="s">
        <v>631</v>
      </c>
      <c r="J362" s="30"/>
      <c r="K362" s="30"/>
      <c r="L362" s="30"/>
      <c r="M362" s="30"/>
      <c r="N362" s="30"/>
      <c r="O362" s="30">
        <v>1828000</v>
      </c>
      <c r="P362" s="30"/>
      <c r="Q362" s="30"/>
      <c r="R362" s="30"/>
      <c r="S362" s="30"/>
      <c r="T362" s="30"/>
      <c r="U362" s="30"/>
      <c r="V362" s="30"/>
      <c r="W362" s="197">
        <f t="shared" si="51"/>
        <v>1828000</v>
      </c>
    </row>
    <row r="363" spans="1:23" x14ac:dyDescent="0.3">
      <c r="A363" s="155">
        <v>362</v>
      </c>
      <c r="B363" s="28"/>
      <c r="C363" s="28" t="s">
        <v>807</v>
      </c>
      <c r="D363" s="194">
        <v>11550000</v>
      </c>
      <c r="E363" s="194">
        <v>720000</v>
      </c>
      <c r="F363" s="194">
        <v>0</v>
      </c>
      <c r="G363" s="194">
        <f t="shared" si="50"/>
        <v>11550000</v>
      </c>
      <c r="H363" s="29" t="s">
        <v>453</v>
      </c>
      <c r="I363" s="28" t="s">
        <v>631</v>
      </c>
      <c r="J363" s="30"/>
      <c r="K363" s="30"/>
      <c r="L363" s="30"/>
      <c r="M363" s="30"/>
      <c r="N363" s="30"/>
      <c r="O363" s="30">
        <v>720000</v>
      </c>
      <c r="P363" s="30"/>
      <c r="Q363" s="30"/>
      <c r="R363" s="30"/>
      <c r="S363" s="30"/>
      <c r="T363" s="30"/>
      <c r="U363" s="30"/>
      <c r="V363" s="30"/>
      <c r="W363" s="197">
        <f t="shared" si="51"/>
        <v>720000</v>
      </c>
    </row>
    <row r="364" spans="1:23" x14ac:dyDescent="0.3">
      <c r="A364" s="155">
        <v>363</v>
      </c>
      <c r="B364" s="28"/>
      <c r="C364" s="28" t="s">
        <v>808</v>
      </c>
      <c r="D364" s="194">
        <v>1950000</v>
      </c>
      <c r="E364" s="194">
        <v>300000</v>
      </c>
      <c r="F364" s="194">
        <v>0</v>
      </c>
      <c r="G364" s="194">
        <f t="shared" si="50"/>
        <v>1950000</v>
      </c>
      <c r="H364" s="29" t="s">
        <v>453</v>
      </c>
      <c r="I364" s="28" t="s">
        <v>631</v>
      </c>
      <c r="J364" s="30"/>
      <c r="K364" s="30"/>
      <c r="L364" s="30"/>
      <c r="M364" s="30"/>
      <c r="N364" s="30"/>
      <c r="O364" s="30">
        <v>300000</v>
      </c>
      <c r="P364" s="30"/>
      <c r="Q364" s="30"/>
      <c r="R364" s="30"/>
      <c r="S364" s="30"/>
      <c r="T364" s="30"/>
      <c r="U364" s="30"/>
      <c r="V364" s="30"/>
      <c r="W364" s="197">
        <f t="shared" si="51"/>
        <v>300000</v>
      </c>
    </row>
    <row r="365" spans="1:23" x14ac:dyDescent="0.3">
      <c r="A365" s="155">
        <v>364</v>
      </c>
      <c r="B365" s="28"/>
      <c r="C365" s="28" t="s">
        <v>809</v>
      </c>
      <c r="D365" s="194">
        <v>10860000</v>
      </c>
      <c r="E365" s="194">
        <v>1676000</v>
      </c>
      <c r="F365" s="194">
        <v>0</v>
      </c>
      <c r="G365" s="194">
        <f t="shared" si="50"/>
        <v>10860000</v>
      </c>
      <c r="H365" s="29" t="s">
        <v>453</v>
      </c>
      <c r="I365" s="28" t="s">
        <v>631</v>
      </c>
      <c r="J365" s="30"/>
      <c r="K365" s="30"/>
      <c r="L365" s="30"/>
      <c r="M365" s="30"/>
      <c r="N365" s="30"/>
      <c r="O365" s="30">
        <v>1676000</v>
      </c>
      <c r="P365" s="30"/>
      <c r="Q365" s="30"/>
      <c r="R365" s="30"/>
      <c r="S365" s="30"/>
      <c r="T365" s="30"/>
      <c r="U365" s="30"/>
      <c r="V365" s="30"/>
      <c r="W365" s="197">
        <f t="shared" si="51"/>
        <v>1676000</v>
      </c>
    </row>
    <row r="366" spans="1:23" x14ac:dyDescent="0.3">
      <c r="A366" s="155">
        <v>365</v>
      </c>
      <c r="B366" s="28"/>
      <c r="C366" s="28" t="s">
        <v>810</v>
      </c>
      <c r="D366" s="194">
        <v>21000000</v>
      </c>
      <c r="E366" s="194">
        <v>1276000</v>
      </c>
      <c r="F366" s="194">
        <v>0</v>
      </c>
      <c r="G366" s="194">
        <f t="shared" si="50"/>
        <v>21000000</v>
      </c>
      <c r="H366" s="29" t="s">
        <v>453</v>
      </c>
      <c r="I366" s="28" t="s">
        <v>631</v>
      </c>
      <c r="J366" s="30"/>
      <c r="K366" s="30"/>
      <c r="L366" s="30"/>
      <c r="M366" s="30"/>
      <c r="N366" s="30"/>
      <c r="O366" s="30">
        <v>1276000</v>
      </c>
      <c r="P366" s="30"/>
      <c r="Q366" s="30"/>
      <c r="R366" s="30"/>
      <c r="S366" s="30"/>
      <c r="T366" s="30"/>
      <c r="U366" s="30"/>
      <c r="V366" s="30"/>
      <c r="W366" s="197">
        <f t="shared" si="51"/>
        <v>1276000</v>
      </c>
    </row>
    <row r="367" spans="1:23" x14ac:dyDescent="0.3">
      <c r="A367" s="155">
        <v>366</v>
      </c>
      <c r="B367" s="28"/>
      <c r="C367" s="28" t="s">
        <v>811</v>
      </c>
      <c r="D367" s="194">
        <v>7300000</v>
      </c>
      <c r="E367" s="194">
        <v>1128000</v>
      </c>
      <c r="F367" s="194">
        <v>0</v>
      </c>
      <c r="G367" s="194">
        <f t="shared" si="50"/>
        <v>7300000</v>
      </c>
      <c r="H367" s="29" t="s">
        <v>453</v>
      </c>
      <c r="I367" s="28" t="s">
        <v>631</v>
      </c>
      <c r="J367" s="30"/>
      <c r="K367" s="30"/>
      <c r="L367" s="30"/>
      <c r="M367" s="30"/>
      <c r="N367" s="30"/>
      <c r="O367" s="194">
        <v>1128000</v>
      </c>
      <c r="P367" s="30"/>
      <c r="Q367" s="30"/>
      <c r="R367" s="30"/>
      <c r="S367" s="30"/>
      <c r="T367" s="30"/>
      <c r="U367" s="30"/>
      <c r="V367" s="30"/>
      <c r="W367" s="197">
        <f t="shared" si="51"/>
        <v>1128000</v>
      </c>
    </row>
    <row r="368" spans="1:23" x14ac:dyDescent="0.3">
      <c r="A368" s="155">
        <v>367</v>
      </c>
      <c r="B368" s="28"/>
      <c r="C368" s="28" t="s">
        <v>812</v>
      </c>
      <c r="D368" s="194">
        <v>36600000</v>
      </c>
      <c r="E368" s="194">
        <v>5652000</v>
      </c>
      <c r="F368" s="194">
        <v>0</v>
      </c>
      <c r="G368" s="194">
        <f t="shared" si="50"/>
        <v>36600000</v>
      </c>
      <c r="H368" s="29" t="s">
        <v>453</v>
      </c>
      <c r="I368" s="28" t="s">
        <v>631</v>
      </c>
      <c r="J368" s="30"/>
      <c r="K368" s="30"/>
      <c r="L368" s="30"/>
      <c r="M368" s="30"/>
      <c r="N368" s="30"/>
      <c r="O368" s="30">
        <v>5652000</v>
      </c>
      <c r="P368" s="30"/>
      <c r="Q368" s="30"/>
      <c r="R368" s="30"/>
      <c r="S368" s="30"/>
      <c r="T368" s="30"/>
      <c r="U368" s="30"/>
      <c r="V368" s="30"/>
      <c r="W368" s="197">
        <f t="shared" si="51"/>
        <v>5652000</v>
      </c>
    </row>
    <row r="369" spans="1:23" x14ac:dyDescent="0.3">
      <c r="A369" s="155">
        <v>368</v>
      </c>
      <c r="B369" s="28"/>
      <c r="C369" s="28" t="s">
        <v>813</v>
      </c>
      <c r="D369" s="194">
        <v>162176850</v>
      </c>
      <c r="E369" s="194">
        <v>25052000</v>
      </c>
      <c r="F369" s="194">
        <v>30000000</v>
      </c>
      <c r="G369" s="194"/>
      <c r="H369" s="29" t="s">
        <v>452</v>
      </c>
      <c r="I369" s="28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97"/>
    </row>
    <row r="370" spans="1:23" x14ac:dyDescent="0.3">
      <c r="A370" s="155">
        <v>369</v>
      </c>
      <c r="B370" s="28"/>
      <c r="C370" s="28" t="s">
        <v>814</v>
      </c>
      <c r="D370" s="194">
        <v>157584000</v>
      </c>
      <c r="E370" s="194">
        <v>11584000</v>
      </c>
      <c r="F370" s="194">
        <v>0</v>
      </c>
      <c r="G370" s="194">
        <f t="shared" ref="G370:G372" si="52">D370</f>
        <v>157584000</v>
      </c>
      <c r="H370" s="29" t="s">
        <v>453</v>
      </c>
      <c r="I370" s="28" t="s">
        <v>631</v>
      </c>
      <c r="J370" s="30"/>
      <c r="K370" s="30"/>
      <c r="L370" s="30"/>
      <c r="M370" s="30"/>
      <c r="N370" s="30"/>
      <c r="O370" s="30">
        <v>11584000</v>
      </c>
      <c r="P370" s="30"/>
      <c r="Q370" s="30"/>
      <c r="R370" s="30"/>
      <c r="S370" s="30"/>
      <c r="T370" s="30"/>
      <c r="U370" s="30"/>
      <c r="V370" s="30"/>
      <c r="W370" s="197">
        <f>SUM(J370:V370)</f>
        <v>11584000</v>
      </c>
    </row>
    <row r="371" spans="1:23" x14ac:dyDescent="0.3">
      <c r="A371" s="155">
        <v>370</v>
      </c>
      <c r="B371" s="28"/>
      <c r="C371" s="28" t="s">
        <v>815</v>
      </c>
      <c r="D371" s="194">
        <v>48871200</v>
      </c>
      <c r="E371" s="194">
        <v>7548000</v>
      </c>
      <c r="F371" s="194">
        <v>0</v>
      </c>
      <c r="G371" s="194">
        <f t="shared" si="52"/>
        <v>48871200</v>
      </c>
      <c r="H371" s="29" t="s">
        <v>453</v>
      </c>
      <c r="I371" s="28" t="s">
        <v>631</v>
      </c>
      <c r="J371" s="30"/>
      <c r="K371" s="30"/>
      <c r="L371" s="30"/>
      <c r="M371" s="30"/>
      <c r="N371" s="30"/>
      <c r="O371" s="30">
        <v>7548000</v>
      </c>
      <c r="P371" s="30"/>
      <c r="Q371" s="30"/>
      <c r="R371" s="30"/>
      <c r="S371" s="30"/>
      <c r="T371" s="30"/>
      <c r="U371" s="30"/>
      <c r="V371" s="30"/>
      <c r="W371" s="197">
        <f>SUM(J371:V371)</f>
        <v>7548000</v>
      </c>
    </row>
    <row r="372" spans="1:23" x14ac:dyDescent="0.3">
      <c r="A372" s="155">
        <v>371</v>
      </c>
      <c r="B372" s="28"/>
      <c r="C372" s="28" t="s">
        <v>816</v>
      </c>
      <c r="D372" s="194">
        <v>218000</v>
      </c>
      <c r="E372" s="194">
        <v>4000</v>
      </c>
      <c r="F372" s="194">
        <v>0</v>
      </c>
      <c r="G372" s="194">
        <f t="shared" si="52"/>
        <v>218000</v>
      </c>
      <c r="H372" s="29" t="s">
        <v>453</v>
      </c>
      <c r="I372" s="28" t="s">
        <v>631</v>
      </c>
      <c r="J372" s="30"/>
      <c r="K372" s="30"/>
      <c r="L372" s="30"/>
      <c r="M372" s="30"/>
      <c r="N372" s="30"/>
      <c r="O372" s="30">
        <v>4000</v>
      </c>
      <c r="P372" s="30"/>
      <c r="Q372" s="30"/>
      <c r="R372" s="30"/>
      <c r="S372" s="30"/>
      <c r="T372" s="30"/>
      <c r="U372" s="30"/>
      <c r="V372" s="30"/>
      <c r="W372" s="197">
        <f>SUM(J372:V372)</f>
        <v>4000</v>
      </c>
    </row>
    <row r="373" spans="1:23" x14ac:dyDescent="0.3">
      <c r="A373" s="155">
        <v>372</v>
      </c>
      <c r="B373" s="28"/>
      <c r="C373" s="28" t="s">
        <v>817</v>
      </c>
      <c r="D373" s="194">
        <v>8000000</v>
      </c>
      <c r="E373" s="194">
        <v>1236000</v>
      </c>
      <c r="F373" s="194">
        <v>1300000</v>
      </c>
      <c r="G373" s="194"/>
      <c r="H373" s="29" t="s">
        <v>452</v>
      </c>
      <c r="I373" s="28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97"/>
    </row>
    <row r="374" spans="1:23" x14ac:dyDescent="0.3">
      <c r="A374" s="155">
        <v>373</v>
      </c>
      <c r="B374" s="28"/>
      <c r="C374" s="28" t="s">
        <v>818</v>
      </c>
      <c r="D374" s="194">
        <v>3950000</v>
      </c>
      <c r="E374" s="194">
        <v>612000</v>
      </c>
      <c r="F374" s="194">
        <v>0</v>
      </c>
      <c r="G374" s="194">
        <f t="shared" ref="G374:G379" si="53">D374</f>
        <v>3950000</v>
      </c>
      <c r="H374" s="29" t="s">
        <v>453</v>
      </c>
      <c r="I374" s="28" t="s">
        <v>631</v>
      </c>
      <c r="J374" s="30"/>
      <c r="K374" s="30"/>
      <c r="L374" s="30"/>
      <c r="M374" s="30"/>
      <c r="N374" s="30"/>
      <c r="O374" s="30">
        <v>612000</v>
      </c>
      <c r="P374" s="30"/>
      <c r="Q374" s="30"/>
      <c r="R374" s="30"/>
      <c r="S374" s="30"/>
      <c r="T374" s="30"/>
      <c r="U374" s="30"/>
      <c r="V374" s="30"/>
      <c r="W374" s="197">
        <f t="shared" ref="W374:W379" si="54">SUM(J374:V374)</f>
        <v>612000</v>
      </c>
    </row>
    <row r="375" spans="1:23" x14ac:dyDescent="0.3">
      <c r="A375" s="155">
        <v>374</v>
      </c>
      <c r="B375" s="28"/>
      <c r="C375" s="28" t="s">
        <v>819</v>
      </c>
      <c r="D375" s="194">
        <v>2700000</v>
      </c>
      <c r="E375" s="194">
        <v>216000</v>
      </c>
      <c r="F375" s="194">
        <v>0</v>
      </c>
      <c r="G375" s="194">
        <f t="shared" si="53"/>
        <v>2700000</v>
      </c>
      <c r="H375" s="29" t="s">
        <v>453</v>
      </c>
      <c r="I375" s="28" t="s">
        <v>631</v>
      </c>
      <c r="J375" s="30"/>
      <c r="K375" s="30"/>
      <c r="L375" s="30"/>
      <c r="M375" s="30"/>
      <c r="N375" s="30"/>
      <c r="O375" s="30">
        <v>216000</v>
      </c>
      <c r="P375" s="30"/>
      <c r="Q375" s="30"/>
      <c r="R375" s="30"/>
      <c r="S375" s="30"/>
      <c r="T375" s="30"/>
      <c r="U375" s="30"/>
      <c r="V375" s="30"/>
      <c r="W375" s="197">
        <f t="shared" si="54"/>
        <v>216000</v>
      </c>
    </row>
    <row r="376" spans="1:23" x14ac:dyDescent="0.3">
      <c r="A376" s="155">
        <v>375</v>
      </c>
      <c r="B376" s="28"/>
      <c r="C376" s="28" t="s">
        <v>820</v>
      </c>
      <c r="D376" s="194">
        <v>3600000</v>
      </c>
      <c r="E376" s="194">
        <v>124000</v>
      </c>
      <c r="F376" s="194">
        <v>0</v>
      </c>
      <c r="G376" s="194">
        <f t="shared" si="53"/>
        <v>3600000</v>
      </c>
      <c r="H376" s="29" t="s">
        <v>453</v>
      </c>
      <c r="I376" s="28" t="s">
        <v>631</v>
      </c>
      <c r="J376" s="30"/>
      <c r="K376" s="30"/>
      <c r="L376" s="30"/>
      <c r="M376" s="30"/>
      <c r="N376" s="30"/>
      <c r="O376" s="30">
        <v>124000</v>
      </c>
      <c r="P376" s="30"/>
      <c r="Q376" s="30"/>
      <c r="R376" s="30"/>
      <c r="S376" s="30"/>
      <c r="T376" s="30"/>
      <c r="U376" s="30"/>
      <c r="V376" s="30"/>
      <c r="W376" s="197">
        <f t="shared" si="54"/>
        <v>124000</v>
      </c>
    </row>
    <row r="377" spans="1:23" x14ac:dyDescent="0.3">
      <c r="A377" s="155">
        <v>376</v>
      </c>
      <c r="B377" s="28"/>
      <c r="C377" s="28" t="s">
        <v>821</v>
      </c>
      <c r="D377" s="194">
        <v>1901042</v>
      </c>
      <c r="E377" s="194">
        <v>292000</v>
      </c>
      <c r="F377" s="194">
        <v>0</v>
      </c>
      <c r="G377" s="194">
        <f t="shared" si="53"/>
        <v>1901042</v>
      </c>
      <c r="H377" s="29" t="s">
        <v>453</v>
      </c>
      <c r="I377" s="28" t="s">
        <v>631</v>
      </c>
      <c r="J377" s="30"/>
      <c r="K377" s="30"/>
      <c r="L377" s="30"/>
      <c r="M377" s="30"/>
      <c r="N377" s="30"/>
      <c r="O377" s="30">
        <v>292000</v>
      </c>
      <c r="P377" s="30"/>
      <c r="Q377" s="30"/>
      <c r="R377" s="30"/>
      <c r="S377" s="30"/>
      <c r="T377" s="30"/>
      <c r="U377" s="30"/>
      <c r="V377" s="30"/>
      <c r="W377" s="197">
        <f t="shared" si="54"/>
        <v>292000</v>
      </c>
    </row>
    <row r="378" spans="1:23" x14ac:dyDescent="0.3">
      <c r="A378" s="155">
        <v>377</v>
      </c>
      <c r="B378" s="28"/>
      <c r="C378" s="28" t="s">
        <v>822</v>
      </c>
      <c r="D378" s="194">
        <v>883984</v>
      </c>
      <c r="E378" s="194">
        <v>184000</v>
      </c>
      <c r="F378" s="194">
        <v>0</v>
      </c>
      <c r="G378" s="194">
        <f t="shared" si="53"/>
        <v>883984</v>
      </c>
      <c r="H378" s="29" t="s">
        <v>453</v>
      </c>
      <c r="I378" s="28" t="s">
        <v>631</v>
      </c>
      <c r="J378" s="30"/>
      <c r="K378" s="30"/>
      <c r="L378" s="30"/>
      <c r="M378" s="30"/>
      <c r="N378" s="30"/>
      <c r="O378" s="30">
        <v>184000</v>
      </c>
      <c r="P378" s="30"/>
      <c r="Q378" s="30"/>
      <c r="R378" s="30"/>
      <c r="S378" s="30"/>
      <c r="T378" s="30"/>
      <c r="U378" s="30"/>
      <c r="V378" s="30"/>
      <c r="W378" s="197">
        <f t="shared" si="54"/>
        <v>184000</v>
      </c>
    </row>
    <row r="379" spans="1:23" x14ac:dyDescent="0.3">
      <c r="A379" s="155">
        <v>378</v>
      </c>
      <c r="B379" s="28"/>
      <c r="C379" s="28" t="s">
        <v>823</v>
      </c>
      <c r="D379" s="194">
        <v>757755</v>
      </c>
      <c r="E379" s="194">
        <v>116000</v>
      </c>
      <c r="F379" s="194">
        <v>0</v>
      </c>
      <c r="G379" s="194">
        <f t="shared" si="53"/>
        <v>757755</v>
      </c>
      <c r="H379" s="29" t="s">
        <v>453</v>
      </c>
      <c r="I379" s="28" t="s">
        <v>631</v>
      </c>
      <c r="J379" s="30"/>
      <c r="K379" s="30"/>
      <c r="L379" s="30"/>
      <c r="M379" s="30"/>
      <c r="N379" s="30"/>
      <c r="O379" s="30">
        <v>116000</v>
      </c>
      <c r="P379" s="30"/>
      <c r="Q379" s="30"/>
      <c r="R379" s="30"/>
      <c r="S379" s="30"/>
      <c r="T379" s="30"/>
      <c r="U379" s="30"/>
      <c r="V379" s="30"/>
      <c r="W379" s="197">
        <f t="shared" si="54"/>
        <v>116000</v>
      </c>
    </row>
    <row r="380" spans="1:23" x14ac:dyDescent="0.3">
      <c r="A380" s="155">
        <v>379</v>
      </c>
      <c r="B380" s="28"/>
      <c r="C380" s="28" t="s">
        <v>824</v>
      </c>
      <c r="D380" s="194">
        <v>1440990</v>
      </c>
      <c r="E380" s="194">
        <v>224000</v>
      </c>
      <c r="F380" s="194">
        <v>250000</v>
      </c>
      <c r="G380" s="194"/>
      <c r="H380" s="29" t="s">
        <v>452</v>
      </c>
      <c r="I380" s="28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97"/>
    </row>
    <row r="381" spans="1:23" x14ac:dyDescent="0.3">
      <c r="A381" s="155">
        <v>380</v>
      </c>
      <c r="B381" s="28"/>
      <c r="C381" s="28" t="s">
        <v>825</v>
      </c>
      <c r="D381" s="194">
        <v>5615000</v>
      </c>
      <c r="E381" s="194">
        <v>868000</v>
      </c>
      <c r="F381" s="194">
        <v>0</v>
      </c>
      <c r="G381" s="194">
        <f t="shared" ref="G381:G384" si="55">D381</f>
        <v>5615000</v>
      </c>
      <c r="H381" s="29" t="s">
        <v>453</v>
      </c>
      <c r="I381" s="28" t="s">
        <v>631</v>
      </c>
      <c r="J381" s="30"/>
      <c r="K381" s="30"/>
      <c r="L381" s="30"/>
      <c r="M381" s="30"/>
      <c r="N381" s="30"/>
      <c r="O381" s="30">
        <v>868000</v>
      </c>
      <c r="P381" s="30"/>
      <c r="Q381" s="30"/>
      <c r="R381" s="30"/>
      <c r="S381" s="30"/>
      <c r="T381" s="30"/>
      <c r="U381" s="30"/>
      <c r="V381" s="30"/>
      <c r="W381" s="197">
        <f>SUM(J381:V381)</f>
        <v>868000</v>
      </c>
    </row>
    <row r="382" spans="1:23" x14ac:dyDescent="0.3">
      <c r="A382" s="155">
        <v>381</v>
      </c>
      <c r="B382" s="28"/>
      <c r="C382" s="28" t="s">
        <v>826</v>
      </c>
      <c r="D382" s="194">
        <v>2000000</v>
      </c>
      <c r="E382" s="194">
        <v>232000</v>
      </c>
      <c r="F382" s="194">
        <v>0</v>
      </c>
      <c r="G382" s="194">
        <f t="shared" si="55"/>
        <v>2000000</v>
      </c>
      <c r="H382" s="29" t="s">
        <v>453</v>
      </c>
      <c r="I382" s="28" t="s">
        <v>631</v>
      </c>
      <c r="J382" s="30"/>
      <c r="K382" s="30"/>
      <c r="L382" s="30"/>
      <c r="M382" s="30"/>
      <c r="N382" s="30"/>
      <c r="O382" s="30">
        <v>232000</v>
      </c>
      <c r="P382" s="30"/>
      <c r="Q382" s="30"/>
      <c r="R382" s="30"/>
      <c r="S382" s="30"/>
      <c r="T382" s="30"/>
      <c r="U382" s="30"/>
      <c r="V382" s="30"/>
      <c r="W382" s="197">
        <f>SUM(J382:V382)</f>
        <v>232000</v>
      </c>
    </row>
    <row r="383" spans="1:23" x14ac:dyDescent="0.3">
      <c r="A383" s="155">
        <v>382</v>
      </c>
      <c r="B383" s="28"/>
      <c r="C383" s="28" t="s">
        <v>827</v>
      </c>
      <c r="D383" s="194">
        <v>665000</v>
      </c>
      <c r="E383" s="194">
        <v>104000</v>
      </c>
      <c r="F383" s="194">
        <v>0</v>
      </c>
      <c r="G383" s="194">
        <f t="shared" si="55"/>
        <v>665000</v>
      </c>
      <c r="H383" s="29" t="s">
        <v>453</v>
      </c>
      <c r="I383" s="28" t="s">
        <v>631</v>
      </c>
      <c r="J383" s="30"/>
      <c r="K383" s="30"/>
      <c r="L383" s="30"/>
      <c r="M383" s="30"/>
      <c r="N383" s="30"/>
      <c r="O383" s="30">
        <v>104000</v>
      </c>
      <c r="P383" s="30"/>
      <c r="Q383" s="30"/>
      <c r="R383" s="30"/>
      <c r="S383" s="30"/>
      <c r="T383" s="30"/>
      <c r="U383" s="30"/>
      <c r="V383" s="30"/>
      <c r="W383" s="197">
        <f>SUM(J383:V383)</f>
        <v>104000</v>
      </c>
    </row>
    <row r="384" spans="1:23" x14ac:dyDescent="0.3">
      <c r="A384" s="155">
        <v>383</v>
      </c>
      <c r="B384" s="28"/>
      <c r="C384" s="28" t="s">
        <v>828</v>
      </c>
      <c r="D384" s="194">
        <v>22200000</v>
      </c>
      <c r="E384" s="194">
        <v>3428000</v>
      </c>
      <c r="F384" s="194">
        <v>0</v>
      </c>
      <c r="G384" s="194">
        <f t="shared" si="55"/>
        <v>22200000</v>
      </c>
      <c r="H384" s="29" t="s">
        <v>453</v>
      </c>
      <c r="I384" s="28" t="s">
        <v>631</v>
      </c>
      <c r="J384" s="30"/>
      <c r="K384" s="30"/>
      <c r="L384" s="30"/>
      <c r="M384" s="30"/>
      <c r="N384" s="30"/>
      <c r="O384" s="30">
        <v>3428000</v>
      </c>
      <c r="P384" s="30"/>
      <c r="Q384" s="30"/>
      <c r="R384" s="30"/>
      <c r="S384" s="30"/>
      <c r="T384" s="30"/>
      <c r="U384" s="30"/>
      <c r="V384" s="30"/>
      <c r="W384" s="197">
        <f>SUM(J384:V384)</f>
        <v>3428000</v>
      </c>
    </row>
    <row r="385" spans="1:23" x14ac:dyDescent="0.3">
      <c r="A385" s="155">
        <v>384</v>
      </c>
      <c r="B385" s="28"/>
      <c r="C385" s="28" t="s">
        <v>829</v>
      </c>
      <c r="D385" s="194">
        <v>24000000</v>
      </c>
      <c r="E385" s="194">
        <v>3708000</v>
      </c>
      <c r="F385" s="194">
        <v>3750000</v>
      </c>
      <c r="G385" s="194"/>
      <c r="H385" s="29" t="s">
        <v>452</v>
      </c>
      <c r="I385" s="28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97"/>
    </row>
    <row r="386" spans="1:23" x14ac:dyDescent="0.3">
      <c r="A386" s="155">
        <v>385</v>
      </c>
      <c r="B386" s="28"/>
      <c r="C386" s="28" t="s">
        <v>830</v>
      </c>
      <c r="D386" s="194">
        <v>5400000</v>
      </c>
      <c r="E386" s="194">
        <v>524000</v>
      </c>
      <c r="F386" s="194">
        <v>0</v>
      </c>
      <c r="G386" s="194">
        <f t="shared" ref="G386:G387" si="56">D386</f>
        <v>5400000</v>
      </c>
      <c r="H386" s="29" t="s">
        <v>453</v>
      </c>
      <c r="I386" s="28" t="s">
        <v>631</v>
      </c>
      <c r="J386" s="30"/>
      <c r="K386" s="30"/>
      <c r="L386" s="30"/>
      <c r="M386" s="30"/>
      <c r="N386" s="30"/>
      <c r="O386" s="30">
        <v>524000</v>
      </c>
      <c r="P386" s="30"/>
      <c r="Q386" s="30"/>
      <c r="R386" s="30"/>
      <c r="S386" s="30"/>
      <c r="T386" s="30"/>
      <c r="U386" s="30"/>
      <c r="V386" s="30"/>
      <c r="W386" s="197">
        <f>SUM(J386:V386)</f>
        <v>524000</v>
      </c>
    </row>
    <row r="387" spans="1:23" x14ac:dyDescent="0.3">
      <c r="A387" s="155">
        <v>386</v>
      </c>
      <c r="B387" s="28"/>
      <c r="C387" s="28" t="s">
        <v>831</v>
      </c>
      <c r="D387" s="194">
        <v>3400000</v>
      </c>
      <c r="E387" s="194">
        <v>836000</v>
      </c>
      <c r="F387" s="194">
        <v>0</v>
      </c>
      <c r="G387" s="194">
        <f t="shared" si="56"/>
        <v>3400000</v>
      </c>
      <c r="H387" s="29" t="s">
        <v>453</v>
      </c>
      <c r="I387" s="28" t="s">
        <v>631</v>
      </c>
      <c r="J387" s="30"/>
      <c r="K387" s="30"/>
      <c r="L387" s="30"/>
      <c r="M387" s="30"/>
      <c r="N387" s="30"/>
      <c r="O387" s="30">
        <v>836000</v>
      </c>
      <c r="P387" s="30"/>
      <c r="Q387" s="30"/>
      <c r="R387" s="30"/>
      <c r="S387" s="30"/>
      <c r="T387" s="30"/>
      <c r="U387" s="30"/>
      <c r="V387" s="30"/>
      <c r="W387" s="197">
        <f>SUM(J387:V387)</f>
        <v>836000</v>
      </c>
    </row>
    <row r="388" spans="1:23" x14ac:dyDescent="0.3">
      <c r="A388" s="155">
        <v>387</v>
      </c>
      <c r="B388" s="28"/>
      <c r="C388" s="28" t="s">
        <v>832</v>
      </c>
      <c r="D388" s="194">
        <v>9300000</v>
      </c>
      <c r="E388" s="194">
        <v>143600</v>
      </c>
      <c r="F388" s="194">
        <v>700000</v>
      </c>
      <c r="G388" s="194"/>
      <c r="H388" s="29" t="s">
        <v>452</v>
      </c>
      <c r="I388" s="28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97"/>
    </row>
    <row r="389" spans="1:23" x14ac:dyDescent="0.3">
      <c r="A389" s="155">
        <v>388</v>
      </c>
      <c r="B389" s="28"/>
      <c r="C389" s="28" t="s">
        <v>833</v>
      </c>
      <c r="D389" s="194">
        <v>3800000</v>
      </c>
      <c r="E389" s="194">
        <v>588000</v>
      </c>
      <c r="F389" s="194">
        <v>0</v>
      </c>
      <c r="G389" s="194">
        <f t="shared" ref="G389:G390" si="57">D389</f>
        <v>3800000</v>
      </c>
      <c r="H389" s="29" t="s">
        <v>453</v>
      </c>
      <c r="I389" s="28" t="s">
        <v>631</v>
      </c>
      <c r="J389" s="30"/>
      <c r="K389" s="30"/>
      <c r="L389" s="30"/>
      <c r="M389" s="30"/>
      <c r="N389" s="30"/>
      <c r="O389" s="30">
        <v>588000</v>
      </c>
      <c r="P389" s="30"/>
      <c r="Q389" s="30"/>
      <c r="R389" s="30"/>
      <c r="S389" s="30"/>
      <c r="T389" s="30"/>
      <c r="U389" s="30"/>
      <c r="V389" s="30"/>
      <c r="W389" s="197">
        <f>SUM(J389:V389)</f>
        <v>588000</v>
      </c>
    </row>
    <row r="390" spans="1:23" x14ac:dyDescent="0.3">
      <c r="A390" s="155">
        <v>389</v>
      </c>
      <c r="B390" s="28"/>
      <c r="C390" s="28" t="s">
        <v>834</v>
      </c>
      <c r="D390" s="194">
        <v>3535000</v>
      </c>
      <c r="E390" s="194">
        <v>548000</v>
      </c>
      <c r="F390" s="194">
        <v>0</v>
      </c>
      <c r="G390" s="194">
        <f t="shared" si="57"/>
        <v>3535000</v>
      </c>
      <c r="H390" s="29" t="s">
        <v>453</v>
      </c>
      <c r="I390" s="28" t="s">
        <v>631</v>
      </c>
      <c r="J390" s="30"/>
      <c r="K390" s="30"/>
      <c r="L390" s="30"/>
      <c r="M390" s="30"/>
      <c r="N390" s="30"/>
      <c r="O390" s="30">
        <v>548000</v>
      </c>
      <c r="P390" s="30"/>
      <c r="Q390" s="30"/>
      <c r="R390" s="30"/>
      <c r="S390" s="30"/>
      <c r="T390" s="30"/>
      <c r="U390" s="30"/>
      <c r="V390" s="30"/>
      <c r="W390" s="197">
        <f>SUM(J390:V390)</f>
        <v>548000</v>
      </c>
    </row>
    <row r="391" spans="1:23" x14ac:dyDescent="0.3">
      <c r="A391" s="155">
        <v>390</v>
      </c>
      <c r="B391" s="28"/>
      <c r="C391" s="28" t="s">
        <v>835</v>
      </c>
      <c r="D391" s="194">
        <v>3440000</v>
      </c>
      <c r="E391" s="194">
        <v>532000</v>
      </c>
      <c r="F391" s="194">
        <v>550000</v>
      </c>
      <c r="G391" s="194"/>
      <c r="H391" s="29" t="s">
        <v>452</v>
      </c>
      <c r="I391" s="28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97"/>
    </row>
    <row r="392" spans="1:23" x14ac:dyDescent="0.3">
      <c r="A392" s="155">
        <v>391</v>
      </c>
      <c r="B392" s="28"/>
      <c r="C392" s="28" t="s">
        <v>836</v>
      </c>
      <c r="D392" s="194">
        <v>4000000</v>
      </c>
      <c r="E392" s="194">
        <v>616000</v>
      </c>
      <c r="F392" s="194">
        <v>0</v>
      </c>
      <c r="G392" s="194">
        <f>D392</f>
        <v>4000000</v>
      </c>
      <c r="H392" s="29" t="s">
        <v>453</v>
      </c>
      <c r="I392" s="28" t="s">
        <v>631</v>
      </c>
      <c r="J392" s="30"/>
      <c r="K392" s="30"/>
      <c r="L392" s="30"/>
      <c r="M392" s="30"/>
      <c r="N392" s="30"/>
      <c r="O392" s="30">
        <v>616000</v>
      </c>
      <c r="P392" s="30"/>
      <c r="Q392" s="30"/>
      <c r="R392" s="30"/>
      <c r="S392" s="30"/>
      <c r="T392" s="30"/>
      <c r="U392" s="30"/>
      <c r="V392" s="30"/>
      <c r="W392" s="197">
        <f>SUM(J392:V392)</f>
        <v>616000</v>
      </c>
    </row>
    <row r="393" spans="1:23" x14ac:dyDescent="0.3">
      <c r="A393" s="155">
        <v>392</v>
      </c>
      <c r="B393" s="28"/>
      <c r="C393" s="28" t="s">
        <v>837</v>
      </c>
      <c r="D393" s="194">
        <v>3780000</v>
      </c>
      <c r="E393" s="194">
        <v>584000</v>
      </c>
      <c r="F393" s="194">
        <v>600000</v>
      </c>
      <c r="G393" s="194"/>
      <c r="H393" s="29" t="s">
        <v>452</v>
      </c>
      <c r="I393" s="28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97"/>
    </row>
    <row r="394" spans="1:23" x14ac:dyDescent="0.3">
      <c r="A394" s="155">
        <v>393</v>
      </c>
      <c r="B394" s="28"/>
      <c r="C394" s="28" t="s">
        <v>838</v>
      </c>
      <c r="D394" s="194">
        <v>2450000</v>
      </c>
      <c r="E394" s="194">
        <v>380000</v>
      </c>
      <c r="F394" s="194">
        <v>0</v>
      </c>
      <c r="G394" s="194">
        <f>D394</f>
        <v>2450000</v>
      </c>
      <c r="H394" s="29" t="s">
        <v>453</v>
      </c>
      <c r="I394" s="28" t="s">
        <v>631</v>
      </c>
      <c r="J394" s="30"/>
      <c r="K394" s="30"/>
      <c r="L394" s="30"/>
      <c r="M394" s="30"/>
      <c r="N394" s="30"/>
      <c r="O394" s="30">
        <v>380000</v>
      </c>
      <c r="P394" s="30"/>
      <c r="Q394" s="30"/>
      <c r="R394" s="30"/>
      <c r="S394" s="30"/>
      <c r="T394" s="30"/>
      <c r="U394" s="30"/>
      <c r="V394" s="30"/>
      <c r="W394" s="197">
        <f>SUM(J394:V394)</f>
        <v>380000</v>
      </c>
    </row>
    <row r="395" spans="1:23" x14ac:dyDescent="0.3">
      <c r="A395" s="155">
        <v>394</v>
      </c>
      <c r="B395" s="28"/>
      <c r="C395" s="28" t="s">
        <v>839</v>
      </c>
      <c r="D395" s="194">
        <v>19600000</v>
      </c>
      <c r="E395" s="194">
        <v>3028000</v>
      </c>
      <c r="F395" s="194">
        <v>3050000</v>
      </c>
      <c r="G395" s="194"/>
      <c r="H395" s="29" t="s">
        <v>452</v>
      </c>
      <c r="I395" s="28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97"/>
    </row>
    <row r="396" spans="1:23" x14ac:dyDescent="0.3">
      <c r="A396" s="155">
        <v>395</v>
      </c>
      <c r="B396" s="28"/>
      <c r="C396" s="28" t="s">
        <v>840</v>
      </c>
      <c r="D396" s="194">
        <v>4840000</v>
      </c>
      <c r="E396" s="194">
        <v>748000</v>
      </c>
      <c r="F396" s="194">
        <v>0</v>
      </c>
      <c r="G396" s="194">
        <f>D396</f>
        <v>4840000</v>
      </c>
      <c r="H396" s="29" t="s">
        <v>453</v>
      </c>
      <c r="I396" s="28" t="s">
        <v>631</v>
      </c>
      <c r="J396" s="30"/>
      <c r="K396" s="30"/>
      <c r="L396" s="30"/>
      <c r="M396" s="30"/>
      <c r="N396" s="30"/>
      <c r="O396" s="30">
        <v>748000</v>
      </c>
      <c r="P396" s="30"/>
      <c r="Q396" s="30"/>
      <c r="R396" s="30"/>
      <c r="S396" s="30"/>
      <c r="T396" s="30"/>
      <c r="U396" s="30"/>
      <c r="V396" s="30"/>
      <c r="W396" s="197">
        <f>SUM(J396:V396)</f>
        <v>748000</v>
      </c>
    </row>
    <row r="397" spans="1:23" x14ac:dyDescent="0.3">
      <c r="A397" s="155">
        <v>396</v>
      </c>
      <c r="B397" s="28"/>
      <c r="C397" s="28" t="s">
        <v>841</v>
      </c>
      <c r="D397" s="194">
        <v>6350000</v>
      </c>
      <c r="E397" s="194">
        <v>980000</v>
      </c>
      <c r="F397" s="194">
        <v>1100000</v>
      </c>
      <c r="G397" s="194"/>
      <c r="H397" s="29" t="s">
        <v>452</v>
      </c>
      <c r="I397" s="28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97"/>
    </row>
    <row r="398" spans="1:23" x14ac:dyDescent="0.3">
      <c r="A398" s="155">
        <v>397</v>
      </c>
      <c r="B398" s="28"/>
      <c r="C398" s="28" t="s">
        <v>842</v>
      </c>
      <c r="D398" s="194">
        <v>6350000</v>
      </c>
      <c r="E398" s="194">
        <v>98000</v>
      </c>
      <c r="F398" s="194">
        <v>300000</v>
      </c>
      <c r="G398" s="194"/>
      <c r="H398" s="29" t="s">
        <v>452</v>
      </c>
      <c r="I398" s="28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97"/>
    </row>
    <row r="399" spans="1:23" x14ac:dyDescent="0.3">
      <c r="A399" s="155">
        <v>398</v>
      </c>
      <c r="B399" s="28"/>
      <c r="C399" s="28" t="s">
        <v>843</v>
      </c>
      <c r="D399" s="194">
        <v>3250000</v>
      </c>
      <c r="E399" s="194">
        <v>504000</v>
      </c>
      <c r="F399" s="194">
        <v>0</v>
      </c>
      <c r="G399" s="194">
        <f t="shared" ref="G399:G401" si="58">D399</f>
        <v>3250000</v>
      </c>
      <c r="H399" s="29" t="s">
        <v>453</v>
      </c>
      <c r="I399" s="28" t="s">
        <v>631</v>
      </c>
      <c r="J399" s="30"/>
      <c r="K399" s="30"/>
      <c r="L399" s="30"/>
      <c r="M399" s="30"/>
      <c r="N399" s="30"/>
      <c r="O399" s="30">
        <v>504000</v>
      </c>
      <c r="P399" s="30"/>
      <c r="Q399" s="30"/>
      <c r="R399" s="30"/>
      <c r="S399" s="30"/>
      <c r="T399" s="30"/>
      <c r="U399" s="30"/>
      <c r="V399" s="30"/>
      <c r="W399" s="197">
        <f>SUM(J399:V399)</f>
        <v>504000</v>
      </c>
    </row>
    <row r="400" spans="1:23" x14ac:dyDescent="0.3">
      <c r="A400" s="155">
        <v>399</v>
      </c>
      <c r="B400" s="28"/>
      <c r="C400" s="28" t="s">
        <v>844</v>
      </c>
      <c r="D400" s="194">
        <v>5950000</v>
      </c>
      <c r="E400" s="194">
        <v>920000</v>
      </c>
      <c r="F400" s="194">
        <v>0</v>
      </c>
      <c r="G400" s="194">
        <f t="shared" si="58"/>
        <v>5950000</v>
      </c>
      <c r="H400" s="29" t="s">
        <v>453</v>
      </c>
      <c r="I400" s="28" t="s">
        <v>631</v>
      </c>
      <c r="J400" s="30"/>
      <c r="K400" s="30"/>
      <c r="L400" s="30"/>
      <c r="M400" s="30"/>
      <c r="N400" s="30"/>
      <c r="O400" s="30">
        <v>920000</v>
      </c>
      <c r="P400" s="30"/>
      <c r="Q400" s="30"/>
      <c r="R400" s="30"/>
      <c r="S400" s="30"/>
      <c r="T400" s="30"/>
      <c r="U400" s="30"/>
      <c r="V400" s="30"/>
      <c r="W400" s="197">
        <f>SUM(J400:V400)</f>
        <v>920000</v>
      </c>
    </row>
    <row r="401" spans="1:23" x14ac:dyDescent="0.3">
      <c r="A401" s="155">
        <v>400</v>
      </c>
      <c r="B401" s="28"/>
      <c r="C401" s="28" t="s">
        <v>845</v>
      </c>
      <c r="D401" s="194">
        <v>3950000</v>
      </c>
      <c r="E401" s="194">
        <v>612000</v>
      </c>
      <c r="F401" s="194">
        <v>0</v>
      </c>
      <c r="G401" s="194">
        <f t="shared" si="58"/>
        <v>3950000</v>
      </c>
      <c r="H401" s="29" t="s">
        <v>453</v>
      </c>
      <c r="I401" s="28" t="s">
        <v>631</v>
      </c>
      <c r="J401" s="30"/>
      <c r="K401" s="30"/>
      <c r="L401" s="30"/>
      <c r="M401" s="30"/>
      <c r="N401" s="30"/>
      <c r="O401" s="30">
        <v>612000</v>
      </c>
      <c r="P401" s="30"/>
      <c r="Q401" s="30"/>
      <c r="R401" s="30"/>
      <c r="S401" s="30"/>
      <c r="T401" s="30"/>
      <c r="U401" s="30"/>
      <c r="V401" s="30"/>
      <c r="W401" s="197">
        <f>SUM(J401:V401)</f>
        <v>612000</v>
      </c>
    </row>
    <row r="402" spans="1:23" x14ac:dyDescent="0.3">
      <c r="A402" s="155">
        <v>401</v>
      </c>
      <c r="B402" s="28"/>
      <c r="C402" s="28" t="s">
        <v>846</v>
      </c>
      <c r="D402" s="194">
        <v>9680000</v>
      </c>
      <c r="E402" s="194">
        <v>1292000</v>
      </c>
      <c r="F402" s="194">
        <v>1400000</v>
      </c>
      <c r="G402" s="194"/>
      <c r="H402" s="29" t="s">
        <v>452</v>
      </c>
      <c r="I402" s="28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97"/>
    </row>
    <row r="403" spans="1:23" x14ac:dyDescent="0.3">
      <c r="A403" s="155">
        <v>402</v>
      </c>
      <c r="B403" s="28"/>
      <c r="C403" s="28" t="s">
        <v>846</v>
      </c>
      <c r="D403" s="194">
        <v>75245000</v>
      </c>
      <c r="E403" s="194">
        <v>11773600</v>
      </c>
      <c r="F403" s="194">
        <v>12000000</v>
      </c>
      <c r="G403" s="194"/>
      <c r="H403" s="29" t="s">
        <v>452</v>
      </c>
      <c r="I403" s="28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97"/>
    </row>
    <row r="404" spans="1:23" x14ac:dyDescent="0.3">
      <c r="A404" s="155">
        <v>403</v>
      </c>
      <c r="B404" s="28"/>
      <c r="C404" s="28" t="s">
        <v>847</v>
      </c>
      <c r="D404" s="194">
        <v>7875100</v>
      </c>
      <c r="E404" s="194">
        <v>1216000</v>
      </c>
      <c r="F404" s="194">
        <v>0</v>
      </c>
      <c r="G404" s="194">
        <f t="shared" ref="G404:G411" si="59">D404</f>
        <v>7875100</v>
      </c>
      <c r="H404" s="29" t="s">
        <v>453</v>
      </c>
      <c r="I404" s="28" t="s">
        <v>631</v>
      </c>
      <c r="J404" s="30"/>
      <c r="K404" s="30"/>
      <c r="L404" s="30"/>
      <c r="M404" s="30"/>
      <c r="N404" s="30"/>
      <c r="O404" s="30">
        <v>1216000</v>
      </c>
      <c r="P404" s="30"/>
      <c r="Q404" s="30"/>
      <c r="R404" s="30"/>
      <c r="S404" s="30"/>
      <c r="T404" s="30"/>
      <c r="U404" s="30"/>
      <c r="V404" s="30"/>
      <c r="W404" s="197">
        <f t="shared" ref="W404:W411" si="60">SUM(J404:V404)</f>
        <v>1216000</v>
      </c>
    </row>
    <row r="405" spans="1:23" x14ac:dyDescent="0.3">
      <c r="A405" s="155">
        <v>404</v>
      </c>
      <c r="B405" s="28"/>
      <c r="C405" s="28" t="s">
        <v>848</v>
      </c>
      <c r="D405" s="194">
        <v>18000000</v>
      </c>
      <c r="E405" s="194">
        <v>2780000</v>
      </c>
      <c r="F405" s="194">
        <v>0</v>
      </c>
      <c r="G405" s="194">
        <f t="shared" si="59"/>
        <v>18000000</v>
      </c>
      <c r="H405" s="29" t="s">
        <v>453</v>
      </c>
      <c r="I405" s="28" t="s">
        <v>631</v>
      </c>
      <c r="J405" s="30"/>
      <c r="K405" s="30"/>
      <c r="L405" s="30"/>
      <c r="M405" s="30"/>
      <c r="N405" s="30"/>
      <c r="O405" s="194">
        <v>2780000</v>
      </c>
      <c r="P405" s="30"/>
      <c r="Q405" s="30"/>
      <c r="R405" s="30"/>
      <c r="S405" s="30"/>
      <c r="T405" s="30"/>
      <c r="U405" s="30"/>
      <c r="V405" s="30"/>
      <c r="W405" s="197">
        <f t="shared" si="60"/>
        <v>2780000</v>
      </c>
    </row>
    <row r="406" spans="1:23" x14ac:dyDescent="0.3">
      <c r="A406" s="155">
        <v>405</v>
      </c>
      <c r="B406" s="28"/>
      <c r="C406" s="28" t="s">
        <v>849</v>
      </c>
      <c r="D406" s="194">
        <v>1035900</v>
      </c>
      <c r="E406" s="194">
        <v>160000</v>
      </c>
      <c r="F406" s="194">
        <v>0</v>
      </c>
      <c r="G406" s="194">
        <f t="shared" si="59"/>
        <v>1035900</v>
      </c>
      <c r="H406" s="29" t="s">
        <v>453</v>
      </c>
      <c r="I406" s="28" t="s">
        <v>631</v>
      </c>
      <c r="J406" s="30"/>
      <c r="K406" s="30"/>
      <c r="L406" s="30"/>
      <c r="M406" s="30"/>
      <c r="N406" s="30">
        <v>160000</v>
      </c>
      <c r="O406" s="30"/>
      <c r="P406" s="30"/>
      <c r="Q406" s="30"/>
      <c r="R406" s="30"/>
      <c r="S406" s="30"/>
      <c r="T406" s="30"/>
      <c r="U406" s="30"/>
      <c r="V406" s="30"/>
      <c r="W406" s="197">
        <f t="shared" si="60"/>
        <v>160000</v>
      </c>
    </row>
    <row r="407" spans="1:23" x14ac:dyDescent="0.3">
      <c r="A407" s="155">
        <v>406</v>
      </c>
      <c r="B407" s="28"/>
      <c r="C407" s="28" t="s">
        <v>850</v>
      </c>
      <c r="D407" s="194">
        <v>1915001</v>
      </c>
      <c r="E407" s="194">
        <v>296000</v>
      </c>
      <c r="F407" s="194">
        <v>0</v>
      </c>
      <c r="G407" s="194">
        <f t="shared" si="59"/>
        <v>1915001</v>
      </c>
      <c r="H407" s="29" t="s">
        <v>453</v>
      </c>
      <c r="I407" s="28" t="s">
        <v>631</v>
      </c>
      <c r="J407" s="30"/>
      <c r="K407" s="30"/>
      <c r="L407" s="30"/>
      <c r="M407" s="30"/>
      <c r="N407" s="194">
        <v>296000</v>
      </c>
      <c r="O407" s="30"/>
      <c r="P407" s="30"/>
      <c r="Q407" s="30"/>
      <c r="R407" s="30"/>
      <c r="S407" s="30"/>
      <c r="T407" s="30"/>
      <c r="U407" s="30"/>
      <c r="V407" s="30"/>
      <c r="W407" s="197">
        <f t="shared" si="60"/>
        <v>296000</v>
      </c>
    </row>
    <row r="408" spans="1:23" x14ac:dyDescent="0.3">
      <c r="A408" s="155">
        <v>407</v>
      </c>
      <c r="B408" s="28"/>
      <c r="C408" s="28" t="s">
        <v>851</v>
      </c>
      <c r="D408" s="194">
        <v>5100000</v>
      </c>
      <c r="E408" s="194">
        <v>788000</v>
      </c>
      <c r="F408" s="194">
        <v>0</v>
      </c>
      <c r="G408" s="194">
        <f t="shared" si="59"/>
        <v>5100000</v>
      </c>
      <c r="H408" s="29" t="s">
        <v>453</v>
      </c>
      <c r="I408" s="28" t="s">
        <v>631</v>
      </c>
      <c r="J408" s="30"/>
      <c r="K408" s="30"/>
      <c r="L408" s="30"/>
      <c r="M408" s="30"/>
      <c r="N408" s="30">
        <v>788000</v>
      </c>
      <c r="O408" s="30"/>
      <c r="P408" s="30"/>
      <c r="Q408" s="30"/>
      <c r="R408" s="30"/>
      <c r="S408" s="30"/>
      <c r="T408" s="30"/>
      <c r="U408" s="30"/>
      <c r="V408" s="30"/>
      <c r="W408" s="197">
        <f t="shared" si="60"/>
        <v>788000</v>
      </c>
    </row>
    <row r="409" spans="1:23" x14ac:dyDescent="0.3">
      <c r="A409" s="155">
        <v>408</v>
      </c>
      <c r="B409" s="28"/>
      <c r="C409" s="28" t="s">
        <v>852</v>
      </c>
      <c r="D409" s="194">
        <v>349900</v>
      </c>
      <c r="E409" s="194">
        <v>56000</v>
      </c>
      <c r="F409" s="194">
        <v>0</v>
      </c>
      <c r="G409" s="194">
        <f t="shared" si="59"/>
        <v>349900</v>
      </c>
      <c r="H409" s="29" t="s">
        <v>453</v>
      </c>
      <c r="I409" s="28" t="s">
        <v>631</v>
      </c>
      <c r="J409" s="30"/>
      <c r="K409" s="30"/>
      <c r="L409" s="30"/>
      <c r="M409" s="30"/>
      <c r="N409" s="30">
        <v>56000</v>
      </c>
      <c r="O409" s="30"/>
      <c r="P409" s="30"/>
      <c r="Q409" s="30"/>
      <c r="R409" s="30"/>
      <c r="S409" s="30"/>
      <c r="T409" s="30"/>
      <c r="U409" s="30"/>
      <c r="V409" s="30"/>
      <c r="W409" s="197">
        <f t="shared" si="60"/>
        <v>56000</v>
      </c>
    </row>
    <row r="410" spans="1:23" x14ac:dyDescent="0.3">
      <c r="A410" s="155">
        <v>409</v>
      </c>
      <c r="B410" s="28"/>
      <c r="C410" s="28" t="s">
        <v>853</v>
      </c>
      <c r="D410" s="194">
        <v>630000</v>
      </c>
      <c r="E410" s="194">
        <v>96000</v>
      </c>
      <c r="F410" s="194">
        <v>0</v>
      </c>
      <c r="G410" s="194">
        <f t="shared" si="59"/>
        <v>630000</v>
      </c>
      <c r="H410" s="29" t="s">
        <v>453</v>
      </c>
      <c r="I410" s="28" t="s">
        <v>631</v>
      </c>
      <c r="J410" s="30"/>
      <c r="K410" s="30"/>
      <c r="L410" s="30"/>
      <c r="M410" s="30"/>
      <c r="N410" s="30">
        <v>96000</v>
      </c>
      <c r="O410" s="30"/>
      <c r="P410" s="30"/>
      <c r="Q410" s="30"/>
      <c r="R410" s="30"/>
      <c r="S410" s="30"/>
      <c r="T410" s="30"/>
      <c r="U410" s="30"/>
      <c r="V410" s="30"/>
      <c r="W410" s="197">
        <f t="shared" si="60"/>
        <v>96000</v>
      </c>
    </row>
    <row r="411" spans="1:23" x14ac:dyDescent="0.3">
      <c r="A411" s="155">
        <v>410</v>
      </c>
      <c r="B411" s="28"/>
      <c r="C411" s="28" t="s">
        <v>854</v>
      </c>
      <c r="D411" s="194">
        <v>900000</v>
      </c>
      <c r="E411" s="194">
        <v>14000</v>
      </c>
      <c r="F411" s="194">
        <v>0</v>
      </c>
      <c r="G411" s="194">
        <f t="shared" si="59"/>
        <v>900000</v>
      </c>
      <c r="H411" s="29" t="s">
        <v>453</v>
      </c>
      <c r="I411" s="28" t="s">
        <v>631</v>
      </c>
      <c r="J411" s="30"/>
      <c r="K411" s="30"/>
      <c r="L411" s="30"/>
      <c r="M411" s="30"/>
      <c r="N411" s="30">
        <v>14000</v>
      </c>
      <c r="O411" s="30"/>
      <c r="P411" s="30"/>
      <c r="Q411" s="30"/>
      <c r="R411" s="30"/>
      <c r="S411" s="30"/>
      <c r="T411" s="30"/>
      <c r="U411" s="30"/>
      <c r="V411" s="30"/>
      <c r="W411" s="197">
        <f t="shared" si="60"/>
        <v>14000</v>
      </c>
    </row>
    <row r="412" spans="1:23" x14ac:dyDescent="0.3">
      <c r="A412" s="155">
        <v>411</v>
      </c>
      <c r="B412" s="28"/>
      <c r="C412" s="28" t="s">
        <v>855</v>
      </c>
      <c r="D412" s="194">
        <v>950000</v>
      </c>
      <c r="E412" s="194">
        <v>148000</v>
      </c>
      <c r="F412" s="194">
        <v>200000</v>
      </c>
      <c r="G412" s="194"/>
      <c r="H412" s="29" t="s">
        <v>452</v>
      </c>
      <c r="I412" s="28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97"/>
    </row>
    <row r="413" spans="1:23" x14ac:dyDescent="0.3">
      <c r="A413" s="155">
        <v>412</v>
      </c>
      <c r="B413" s="28"/>
      <c r="C413" s="28" t="s">
        <v>856</v>
      </c>
      <c r="D413" s="194">
        <v>3600000</v>
      </c>
      <c r="E413" s="194">
        <v>556000</v>
      </c>
      <c r="F413" s="194">
        <v>600000</v>
      </c>
      <c r="G413" s="194"/>
      <c r="H413" s="29" t="s">
        <v>452</v>
      </c>
      <c r="I413" s="28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97"/>
    </row>
    <row r="414" spans="1:23" x14ac:dyDescent="0.3">
      <c r="A414" s="155">
        <v>413</v>
      </c>
      <c r="B414" s="28"/>
      <c r="C414" s="28" t="s">
        <v>857</v>
      </c>
      <c r="D414" s="194">
        <v>71241510</v>
      </c>
      <c r="E414" s="194">
        <v>9888000</v>
      </c>
      <c r="F414" s="194">
        <v>0</v>
      </c>
      <c r="G414" s="194">
        <f t="shared" ref="G414:G419" si="61">D414</f>
        <v>71241510</v>
      </c>
      <c r="H414" s="29" t="s">
        <v>453</v>
      </c>
      <c r="I414" s="28" t="s">
        <v>631</v>
      </c>
      <c r="J414" s="30"/>
      <c r="K414" s="30"/>
      <c r="L414" s="30"/>
      <c r="M414" s="30"/>
      <c r="N414" s="30">
        <v>9888000</v>
      </c>
      <c r="O414" s="30"/>
      <c r="P414" s="30"/>
      <c r="Q414" s="30"/>
      <c r="R414" s="30"/>
      <c r="S414" s="30"/>
      <c r="T414" s="30"/>
      <c r="U414" s="30"/>
      <c r="V414" s="30"/>
      <c r="W414" s="197">
        <f t="shared" ref="W414:W419" si="62">SUM(J414:V414)</f>
        <v>9888000</v>
      </c>
    </row>
    <row r="415" spans="1:23" x14ac:dyDescent="0.3">
      <c r="A415" s="155">
        <v>414</v>
      </c>
      <c r="B415" s="28"/>
      <c r="C415" s="28" t="s">
        <v>858</v>
      </c>
      <c r="D415" s="194">
        <v>14337500</v>
      </c>
      <c r="E415" s="194">
        <v>2216000</v>
      </c>
      <c r="F415" s="194">
        <v>0</v>
      </c>
      <c r="G415" s="194">
        <f t="shared" si="61"/>
        <v>14337500</v>
      </c>
      <c r="H415" s="29" t="s">
        <v>453</v>
      </c>
      <c r="I415" s="28" t="s">
        <v>631</v>
      </c>
      <c r="J415" s="30"/>
      <c r="K415" s="30"/>
      <c r="L415" s="30"/>
      <c r="M415" s="30"/>
      <c r="N415" s="30">
        <v>2216000</v>
      </c>
      <c r="O415" s="30"/>
      <c r="P415" s="30"/>
      <c r="Q415" s="30"/>
      <c r="R415" s="30"/>
      <c r="S415" s="30"/>
      <c r="T415" s="30"/>
      <c r="U415" s="30"/>
      <c r="V415" s="30"/>
      <c r="W415" s="197">
        <f t="shared" si="62"/>
        <v>2216000</v>
      </c>
    </row>
    <row r="416" spans="1:23" x14ac:dyDescent="0.3">
      <c r="A416" s="155">
        <v>415</v>
      </c>
      <c r="B416" s="28"/>
      <c r="C416" s="28" t="s">
        <v>859</v>
      </c>
      <c r="D416" s="194">
        <v>7500000</v>
      </c>
      <c r="E416" s="194">
        <v>1160000</v>
      </c>
      <c r="F416" s="194">
        <v>0</v>
      </c>
      <c r="G416" s="194">
        <f t="shared" si="61"/>
        <v>7500000</v>
      </c>
      <c r="H416" s="29" t="s">
        <v>453</v>
      </c>
      <c r="I416" s="28" t="s">
        <v>631</v>
      </c>
      <c r="J416" s="30"/>
      <c r="K416" s="30"/>
      <c r="L416" s="30"/>
      <c r="M416" s="30"/>
      <c r="N416" s="30">
        <v>1160000</v>
      </c>
      <c r="O416" s="30"/>
      <c r="P416" s="30"/>
      <c r="Q416" s="30"/>
      <c r="R416" s="30"/>
      <c r="S416" s="30"/>
      <c r="T416" s="30"/>
      <c r="U416" s="30"/>
      <c r="V416" s="30"/>
      <c r="W416" s="197">
        <f t="shared" si="62"/>
        <v>1160000</v>
      </c>
    </row>
    <row r="417" spans="1:23" x14ac:dyDescent="0.3">
      <c r="A417" s="155">
        <v>416</v>
      </c>
      <c r="B417" s="28"/>
      <c r="C417" s="28" t="s">
        <v>860</v>
      </c>
      <c r="D417" s="194">
        <v>250000</v>
      </c>
      <c r="E417" s="194">
        <v>40000</v>
      </c>
      <c r="F417" s="194">
        <v>0</v>
      </c>
      <c r="G417" s="194">
        <f t="shared" si="61"/>
        <v>250000</v>
      </c>
      <c r="H417" s="29" t="s">
        <v>453</v>
      </c>
      <c r="I417" s="28" t="s">
        <v>631</v>
      </c>
      <c r="J417" s="30"/>
      <c r="K417" s="30"/>
      <c r="L417" s="30"/>
      <c r="M417" s="30"/>
      <c r="N417" s="30">
        <v>40000</v>
      </c>
      <c r="O417" s="30"/>
      <c r="P417" s="30"/>
      <c r="Q417" s="30"/>
      <c r="R417" s="30"/>
      <c r="S417" s="30"/>
      <c r="T417" s="30"/>
      <c r="U417" s="30"/>
      <c r="V417" s="30"/>
      <c r="W417" s="197">
        <f t="shared" si="62"/>
        <v>40000</v>
      </c>
    </row>
    <row r="418" spans="1:23" x14ac:dyDescent="0.3">
      <c r="A418" s="155">
        <v>417</v>
      </c>
      <c r="B418" s="28"/>
      <c r="C418" s="28" t="s">
        <v>861</v>
      </c>
      <c r="D418" s="194">
        <v>4497000</v>
      </c>
      <c r="E418" s="194">
        <v>696000</v>
      </c>
      <c r="F418" s="194">
        <v>0</v>
      </c>
      <c r="G418" s="194">
        <f t="shared" si="61"/>
        <v>4497000</v>
      </c>
      <c r="H418" s="29" t="s">
        <v>453</v>
      </c>
      <c r="I418" s="28" t="s">
        <v>631</v>
      </c>
      <c r="J418" s="30"/>
      <c r="K418" s="30"/>
      <c r="L418" s="30"/>
      <c r="M418" s="30"/>
      <c r="N418" s="30">
        <v>696000</v>
      </c>
      <c r="O418" s="30"/>
      <c r="P418" s="30"/>
      <c r="Q418" s="30"/>
      <c r="R418" s="30"/>
      <c r="S418" s="30"/>
      <c r="T418" s="30"/>
      <c r="U418" s="30"/>
      <c r="V418" s="30"/>
      <c r="W418" s="197">
        <f t="shared" si="62"/>
        <v>696000</v>
      </c>
    </row>
    <row r="419" spans="1:23" x14ac:dyDescent="0.3">
      <c r="A419" s="155">
        <v>418</v>
      </c>
      <c r="B419" s="28"/>
      <c r="C419" s="28" t="s">
        <v>862</v>
      </c>
      <c r="D419" s="194">
        <v>6299000</v>
      </c>
      <c r="E419" s="194">
        <v>972000</v>
      </c>
      <c r="F419" s="194">
        <v>0</v>
      </c>
      <c r="G419" s="194">
        <f t="shared" si="61"/>
        <v>6299000</v>
      </c>
      <c r="H419" s="29" t="s">
        <v>453</v>
      </c>
      <c r="I419" s="28" t="s">
        <v>631</v>
      </c>
      <c r="J419" s="30"/>
      <c r="K419" s="30"/>
      <c r="L419" s="30"/>
      <c r="M419" s="30"/>
      <c r="N419" s="30">
        <v>972000</v>
      </c>
      <c r="O419" s="30"/>
      <c r="P419" s="30"/>
      <c r="Q419" s="30"/>
      <c r="R419" s="30"/>
      <c r="S419" s="30"/>
      <c r="T419" s="30"/>
      <c r="U419" s="30"/>
      <c r="V419" s="30"/>
      <c r="W419" s="197">
        <f t="shared" si="62"/>
        <v>972000</v>
      </c>
    </row>
    <row r="420" spans="1:23" x14ac:dyDescent="0.3">
      <c r="A420" s="155">
        <v>419</v>
      </c>
      <c r="B420" s="28"/>
      <c r="C420" s="28" t="s">
        <v>863</v>
      </c>
      <c r="D420" s="194">
        <v>26245000</v>
      </c>
      <c r="E420" s="194">
        <v>4056000</v>
      </c>
      <c r="F420" s="194">
        <v>4100000</v>
      </c>
      <c r="G420" s="194"/>
      <c r="H420" s="29" t="s">
        <v>452</v>
      </c>
      <c r="I420" s="28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97"/>
    </row>
    <row r="421" spans="1:23" x14ac:dyDescent="0.3">
      <c r="A421" s="155">
        <v>420</v>
      </c>
      <c r="B421" s="28"/>
      <c r="C421" s="28" t="s">
        <v>864</v>
      </c>
      <c r="D421" s="194">
        <v>6088000</v>
      </c>
      <c r="E421" s="194">
        <v>104000</v>
      </c>
      <c r="F421" s="194">
        <v>0</v>
      </c>
      <c r="G421" s="194">
        <f t="shared" ref="G421:G451" si="63">D421</f>
        <v>6088000</v>
      </c>
      <c r="H421" s="29" t="s">
        <v>453</v>
      </c>
      <c r="I421" s="28" t="s">
        <v>631</v>
      </c>
      <c r="J421" s="30"/>
      <c r="K421" s="30"/>
      <c r="L421" s="30"/>
      <c r="M421" s="30"/>
      <c r="N421" s="30">
        <v>104000</v>
      </c>
      <c r="O421" s="30"/>
      <c r="P421" s="30"/>
      <c r="Q421" s="30"/>
      <c r="R421" s="30"/>
      <c r="S421" s="30"/>
      <c r="T421" s="30"/>
      <c r="U421" s="30"/>
      <c r="V421" s="30"/>
      <c r="W421" s="197">
        <f t="shared" ref="W421:W451" si="64">SUM(J421:V421)</f>
        <v>104000</v>
      </c>
    </row>
    <row r="422" spans="1:23" x14ac:dyDescent="0.3">
      <c r="A422" s="155">
        <v>421</v>
      </c>
      <c r="B422" s="28"/>
      <c r="C422" s="28" t="s">
        <v>865</v>
      </c>
      <c r="D422" s="194">
        <v>9600000</v>
      </c>
      <c r="E422" s="194">
        <v>148400</v>
      </c>
      <c r="F422" s="194">
        <v>0</v>
      </c>
      <c r="G422" s="194">
        <f t="shared" si="63"/>
        <v>9600000</v>
      </c>
      <c r="H422" s="29" t="s">
        <v>453</v>
      </c>
      <c r="I422" s="28" t="s">
        <v>631</v>
      </c>
      <c r="J422" s="30"/>
      <c r="K422" s="30"/>
      <c r="L422" s="30"/>
      <c r="M422" s="30"/>
      <c r="N422" s="30">
        <v>148400</v>
      </c>
      <c r="O422" s="30"/>
      <c r="P422" s="30"/>
      <c r="Q422" s="30"/>
      <c r="R422" s="30"/>
      <c r="S422" s="30"/>
      <c r="T422" s="30"/>
      <c r="U422" s="30"/>
      <c r="V422" s="30"/>
      <c r="W422" s="197">
        <f t="shared" si="64"/>
        <v>148400</v>
      </c>
    </row>
    <row r="423" spans="1:23" x14ac:dyDescent="0.3">
      <c r="A423" s="155">
        <v>422</v>
      </c>
      <c r="B423" s="28"/>
      <c r="C423" s="28" t="s">
        <v>866</v>
      </c>
      <c r="D423" s="194">
        <v>3826700</v>
      </c>
      <c r="E423" s="194">
        <v>621600</v>
      </c>
      <c r="F423" s="194">
        <v>0</v>
      </c>
      <c r="G423" s="194">
        <f t="shared" si="63"/>
        <v>3826700</v>
      </c>
      <c r="H423" s="29" t="s">
        <v>453</v>
      </c>
      <c r="I423" s="28" t="s">
        <v>631</v>
      </c>
      <c r="J423" s="30"/>
      <c r="K423" s="30"/>
      <c r="L423" s="30"/>
      <c r="M423" s="30"/>
      <c r="N423" s="30">
        <v>621600</v>
      </c>
      <c r="O423" s="30"/>
      <c r="P423" s="30"/>
      <c r="Q423" s="30"/>
      <c r="R423" s="30"/>
      <c r="S423" s="30"/>
      <c r="T423" s="30"/>
      <c r="U423" s="30"/>
      <c r="V423" s="30"/>
      <c r="W423" s="197">
        <f t="shared" si="64"/>
        <v>621600</v>
      </c>
    </row>
    <row r="424" spans="1:23" x14ac:dyDescent="0.3">
      <c r="A424" s="155">
        <v>423</v>
      </c>
      <c r="B424" s="28"/>
      <c r="C424" s="28" t="s">
        <v>867</v>
      </c>
      <c r="D424" s="194">
        <v>14600000</v>
      </c>
      <c r="E424" s="194">
        <v>2256000</v>
      </c>
      <c r="F424" s="194">
        <v>0</v>
      </c>
      <c r="G424" s="194">
        <f t="shared" si="63"/>
        <v>14600000</v>
      </c>
      <c r="H424" s="29" t="s">
        <v>453</v>
      </c>
      <c r="I424" s="28" t="s">
        <v>631</v>
      </c>
      <c r="J424" s="30"/>
      <c r="K424" s="30"/>
      <c r="L424" s="30"/>
      <c r="M424" s="30"/>
      <c r="N424" s="194">
        <v>2256000</v>
      </c>
      <c r="O424" s="30"/>
      <c r="P424" s="30"/>
      <c r="Q424" s="30"/>
      <c r="R424" s="30"/>
      <c r="S424" s="30"/>
      <c r="T424" s="30"/>
      <c r="U424" s="30"/>
      <c r="V424" s="30"/>
      <c r="W424" s="197">
        <f t="shared" si="64"/>
        <v>2256000</v>
      </c>
    </row>
    <row r="425" spans="1:23" x14ac:dyDescent="0.3">
      <c r="A425" s="155">
        <v>424</v>
      </c>
      <c r="B425" s="28"/>
      <c r="C425" s="28" t="s">
        <v>868</v>
      </c>
      <c r="D425" s="194">
        <v>2700000</v>
      </c>
      <c r="E425" s="194">
        <v>416000</v>
      </c>
      <c r="F425" s="194">
        <v>0</v>
      </c>
      <c r="G425" s="194">
        <f t="shared" si="63"/>
        <v>2700000</v>
      </c>
      <c r="H425" s="29" t="s">
        <v>453</v>
      </c>
      <c r="I425" s="28" t="s">
        <v>631</v>
      </c>
      <c r="J425" s="30"/>
      <c r="K425" s="30"/>
      <c r="L425" s="30"/>
      <c r="M425" s="30"/>
      <c r="N425" s="30">
        <v>416000</v>
      </c>
      <c r="O425" s="30"/>
      <c r="P425" s="30"/>
      <c r="Q425" s="30"/>
      <c r="R425" s="30"/>
      <c r="S425" s="30"/>
      <c r="T425" s="30"/>
      <c r="U425" s="30"/>
      <c r="V425" s="30"/>
      <c r="W425" s="197">
        <f t="shared" si="64"/>
        <v>416000</v>
      </c>
    </row>
    <row r="426" spans="1:23" x14ac:dyDescent="0.3">
      <c r="A426" s="155">
        <v>425</v>
      </c>
      <c r="B426" s="28"/>
      <c r="C426" s="28" t="s">
        <v>869</v>
      </c>
      <c r="D426" s="194">
        <v>55938462</v>
      </c>
      <c r="E426" s="194">
        <v>3460000</v>
      </c>
      <c r="F426" s="194">
        <v>0</v>
      </c>
      <c r="G426" s="194">
        <f t="shared" si="63"/>
        <v>55938462</v>
      </c>
      <c r="H426" s="29" t="s">
        <v>453</v>
      </c>
      <c r="I426" s="28" t="s">
        <v>631</v>
      </c>
      <c r="J426" s="30"/>
      <c r="K426" s="30"/>
      <c r="L426" s="30"/>
      <c r="M426" s="30"/>
      <c r="N426" s="194">
        <v>3460000</v>
      </c>
      <c r="O426" s="30"/>
      <c r="P426" s="30"/>
      <c r="Q426" s="30"/>
      <c r="R426" s="30"/>
      <c r="S426" s="30"/>
      <c r="T426" s="30"/>
      <c r="U426" s="30"/>
      <c r="V426" s="30"/>
      <c r="W426" s="197">
        <f t="shared" si="64"/>
        <v>3460000</v>
      </c>
    </row>
    <row r="427" spans="1:23" x14ac:dyDescent="0.3">
      <c r="A427" s="155">
        <v>426</v>
      </c>
      <c r="B427" s="28"/>
      <c r="C427" s="28" t="s">
        <v>870</v>
      </c>
      <c r="D427" s="194">
        <v>2069100</v>
      </c>
      <c r="E427" s="194">
        <v>320000</v>
      </c>
      <c r="F427" s="194">
        <v>0</v>
      </c>
      <c r="G427" s="194">
        <f t="shared" si="63"/>
        <v>2069100</v>
      </c>
      <c r="H427" s="29" t="s">
        <v>453</v>
      </c>
      <c r="I427" s="28" t="s">
        <v>631</v>
      </c>
      <c r="J427" s="30"/>
      <c r="K427" s="30"/>
      <c r="L427" s="30"/>
      <c r="M427" s="30"/>
      <c r="N427" s="194">
        <v>320000</v>
      </c>
      <c r="O427" s="30"/>
      <c r="P427" s="30"/>
      <c r="Q427" s="30"/>
      <c r="R427" s="30"/>
      <c r="S427" s="30"/>
      <c r="T427" s="30"/>
      <c r="U427" s="30"/>
      <c r="V427" s="30"/>
      <c r="W427" s="197">
        <f t="shared" si="64"/>
        <v>320000</v>
      </c>
    </row>
    <row r="428" spans="1:23" x14ac:dyDescent="0.3">
      <c r="A428" s="155">
        <v>427</v>
      </c>
      <c r="B428" s="28"/>
      <c r="C428" s="28" t="s">
        <v>871</v>
      </c>
      <c r="D428" s="194">
        <v>3779000</v>
      </c>
      <c r="E428" s="194">
        <v>104000</v>
      </c>
      <c r="F428" s="194">
        <v>0</v>
      </c>
      <c r="G428" s="194">
        <f t="shared" si="63"/>
        <v>3779000</v>
      </c>
      <c r="H428" s="29" t="s">
        <v>453</v>
      </c>
      <c r="I428" s="28" t="s">
        <v>631</v>
      </c>
      <c r="J428" s="30"/>
      <c r="K428" s="30"/>
      <c r="L428" s="30"/>
      <c r="M428" s="30"/>
      <c r="N428" s="30">
        <v>104000</v>
      </c>
      <c r="O428" s="30"/>
      <c r="P428" s="30"/>
      <c r="Q428" s="30"/>
      <c r="R428" s="30"/>
      <c r="S428" s="30"/>
      <c r="T428" s="30"/>
      <c r="U428" s="30"/>
      <c r="V428" s="30"/>
      <c r="W428" s="197">
        <f t="shared" si="64"/>
        <v>104000</v>
      </c>
    </row>
    <row r="429" spans="1:23" x14ac:dyDescent="0.3">
      <c r="A429" s="155">
        <v>428</v>
      </c>
      <c r="B429" s="28"/>
      <c r="C429" s="28" t="s">
        <v>872</v>
      </c>
      <c r="D429" s="194">
        <v>10499000</v>
      </c>
      <c r="E429" s="194">
        <v>772000</v>
      </c>
      <c r="F429" s="194">
        <v>0</v>
      </c>
      <c r="G429" s="194">
        <f t="shared" si="63"/>
        <v>10499000</v>
      </c>
      <c r="H429" s="29" t="s">
        <v>453</v>
      </c>
      <c r="I429" s="28" t="s">
        <v>631</v>
      </c>
      <c r="J429" s="30"/>
      <c r="K429" s="30"/>
      <c r="L429" s="30"/>
      <c r="M429" s="30"/>
      <c r="N429" s="30">
        <v>772000</v>
      </c>
      <c r="O429" s="30"/>
      <c r="P429" s="30"/>
      <c r="Q429" s="30"/>
      <c r="R429" s="30"/>
      <c r="S429" s="30"/>
      <c r="T429" s="30"/>
      <c r="U429" s="30"/>
      <c r="V429" s="30"/>
      <c r="W429" s="197">
        <f t="shared" si="64"/>
        <v>772000</v>
      </c>
    </row>
    <row r="430" spans="1:23" x14ac:dyDescent="0.3">
      <c r="A430" s="155">
        <v>429</v>
      </c>
      <c r="B430" s="28"/>
      <c r="C430" s="28" t="s">
        <v>873</v>
      </c>
      <c r="D430" s="194">
        <v>5050000</v>
      </c>
      <c r="E430" s="194">
        <v>496000</v>
      </c>
      <c r="F430" s="194">
        <v>0</v>
      </c>
      <c r="G430" s="194">
        <f t="shared" si="63"/>
        <v>5050000</v>
      </c>
      <c r="H430" s="29" t="s">
        <v>453</v>
      </c>
      <c r="I430" s="28" t="s">
        <v>631</v>
      </c>
      <c r="J430" s="30"/>
      <c r="K430" s="30"/>
      <c r="L430" s="30"/>
      <c r="M430" s="30"/>
      <c r="N430" s="194">
        <v>496000</v>
      </c>
      <c r="O430" s="30"/>
      <c r="P430" s="30"/>
      <c r="Q430" s="30"/>
      <c r="R430" s="30"/>
      <c r="S430" s="30"/>
      <c r="T430" s="30"/>
      <c r="U430" s="30"/>
      <c r="V430" s="30"/>
      <c r="W430" s="197">
        <f t="shared" si="64"/>
        <v>496000</v>
      </c>
    </row>
    <row r="431" spans="1:23" x14ac:dyDescent="0.3">
      <c r="A431" s="155">
        <v>430</v>
      </c>
      <c r="B431" s="28"/>
      <c r="C431" s="28" t="s">
        <v>874</v>
      </c>
      <c r="D431" s="194">
        <v>11754000</v>
      </c>
      <c r="E431" s="194">
        <v>928000</v>
      </c>
      <c r="F431" s="194">
        <v>0</v>
      </c>
      <c r="G431" s="194">
        <f t="shared" si="63"/>
        <v>11754000</v>
      </c>
      <c r="H431" s="29" t="s">
        <v>453</v>
      </c>
      <c r="I431" s="28" t="s">
        <v>631</v>
      </c>
      <c r="J431" s="30"/>
      <c r="K431" s="30"/>
      <c r="L431" s="30"/>
      <c r="M431" s="30"/>
      <c r="N431" s="194">
        <v>928000</v>
      </c>
      <c r="O431" s="30"/>
      <c r="P431" s="30"/>
      <c r="Q431" s="30"/>
      <c r="R431" s="30"/>
      <c r="S431" s="30"/>
      <c r="T431" s="30"/>
      <c r="U431" s="30"/>
      <c r="V431" s="30"/>
      <c r="W431" s="197">
        <f t="shared" si="64"/>
        <v>928000</v>
      </c>
    </row>
    <row r="432" spans="1:23" x14ac:dyDescent="0.3">
      <c r="A432" s="155">
        <v>431</v>
      </c>
      <c r="B432" s="28"/>
      <c r="C432" s="28" t="s">
        <v>875</v>
      </c>
      <c r="D432" s="194">
        <v>10000000</v>
      </c>
      <c r="E432" s="194">
        <v>154400</v>
      </c>
      <c r="F432" s="194">
        <v>0</v>
      </c>
      <c r="G432" s="194">
        <f t="shared" si="63"/>
        <v>10000000</v>
      </c>
      <c r="H432" s="29" t="s">
        <v>453</v>
      </c>
      <c r="I432" s="28" t="s">
        <v>631</v>
      </c>
      <c r="J432" s="30"/>
      <c r="K432" s="30"/>
      <c r="L432" s="30"/>
      <c r="M432" s="30"/>
      <c r="N432" s="194">
        <v>154400</v>
      </c>
      <c r="O432" s="30"/>
      <c r="P432" s="30"/>
      <c r="Q432" s="30"/>
      <c r="R432" s="30"/>
      <c r="S432" s="30"/>
      <c r="T432" s="30"/>
      <c r="U432" s="30"/>
      <c r="V432" s="30"/>
      <c r="W432" s="197">
        <f t="shared" si="64"/>
        <v>154400</v>
      </c>
    </row>
    <row r="433" spans="1:23" x14ac:dyDescent="0.3">
      <c r="A433" s="155">
        <v>432</v>
      </c>
      <c r="B433" s="28"/>
      <c r="C433" s="28" t="s">
        <v>876</v>
      </c>
      <c r="D433" s="194">
        <v>1300000</v>
      </c>
      <c r="E433" s="194">
        <v>20000</v>
      </c>
      <c r="F433" s="194">
        <v>0</v>
      </c>
      <c r="G433" s="194">
        <f t="shared" si="63"/>
        <v>1300000</v>
      </c>
      <c r="H433" s="29" t="s">
        <v>453</v>
      </c>
      <c r="I433" s="28" t="s">
        <v>631</v>
      </c>
      <c r="J433" s="30"/>
      <c r="K433" s="30"/>
      <c r="L433" s="30"/>
      <c r="M433" s="30"/>
      <c r="N433" s="194">
        <v>20000</v>
      </c>
      <c r="O433" s="30"/>
      <c r="P433" s="30"/>
      <c r="Q433" s="30"/>
      <c r="R433" s="30"/>
      <c r="S433" s="30"/>
      <c r="T433" s="30"/>
      <c r="U433" s="30"/>
      <c r="V433" s="30"/>
      <c r="W433" s="197">
        <f t="shared" si="64"/>
        <v>20000</v>
      </c>
    </row>
    <row r="434" spans="1:23" x14ac:dyDescent="0.3">
      <c r="A434" s="155">
        <v>433</v>
      </c>
      <c r="B434" s="28"/>
      <c r="C434" s="28" t="s">
        <v>873</v>
      </c>
      <c r="D434" s="194">
        <v>6700000</v>
      </c>
      <c r="E434" s="194">
        <v>988000</v>
      </c>
      <c r="F434" s="194">
        <v>0</v>
      </c>
      <c r="G434" s="194">
        <f t="shared" si="63"/>
        <v>6700000</v>
      </c>
      <c r="H434" s="29" t="s">
        <v>453</v>
      </c>
      <c r="I434" s="28" t="s">
        <v>631</v>
      </c>
      <c r="J434" s="30"/>
      <c r="K434" s="30"/>
      <c r="L434" s="30"/>
      <c r="M434" s="30"/>
      <c r="N434" s="194">
        <v>988000</v>
      </c>
      <c r="O434" s="30"/>
      <c r="P434" s="30"/>
      <c r="Q434" s="30"/>
      <c r="R434" s="30"/>
      <c r="S434" s="30"/>
      <c r="T434" s="30"/>
      <c r="U434" s="30"/>
      <c r="V434" s="30"/>
      <c r="W434" s="197">
        <f t="shared" si="64"/>
        <v>988000</v>
      </c>
    </row>
    <row r="435" spans="1:23" x14ac:dyDescent="0.3">
      <c r="A435" s="155">
        <v>434</v>
      </c>
      <c r="B435" s="28"/>
      <c r="C435" s="28" t="s">
        <v>877</v>
      </c>
      <c r="D435" s="194">
        <v>6000000</v>
      </c>
      <c r="E435" s="194">
        <v>928000</v>
      </c>
      <c r="F435" s="194">
        <v>0</v>
      </c>
      <c r="G435" s="194">
        <f t="shared" si="63"/>
        <v>6000000</v>
      </c>
      <c r="H435" s="29" t="s">
        <v>453</v>
      </c>
      <c r="I435" s="28" t="s">
        <v>631</v>
      </c>
      <c r="J435" s="30"/>
      <c r="K435" s="30"/>
      <c r="L435" s="30"/>
      <c r="M435" s="30"/>
      <c r="N435" s="194">
        <v>928000</v>
      </c>
      <c r="O435" s="30"/>
      <c r="P435" s="30"/>
      <c r="Q435" s="30"/>
      <c r="R435" s="30"/>
      <c r="S435" s="30"/>
      <c r="T435" s="30"/>
      <c r="U435" s="30"/>
      <c r="V435" s="30"/>
      <c r="W435" s="197">
        <f t="shared" si="64"/>
        <v>928000</v>
      </c>
    </row>
    <row r="436" spans="1:23" x14ac:dyDescent="0.3">
      <c r="A436" s="155">
        <v>435</v>
      </c>
      <c r="B436" s="28"/>
      <c r="C436" s="28" t="s">
        <v>878</v>
      </c>
      <c r="D436" s="194">
        <v>1675000</v>
      </c>
      <c r="E436" s="194">
        <v>26000</v>
      </c>
      <c r="F436" s="194">
        <v>0</v>
      </c>
      <c r="G436" s="194">
        <f t="shared" si="63"/>
        <v>1675000</v>
      </c>
      <c r="H436" s="29" t="s">
        <v>453</v>
      </c>
      <c r="I436" s="28" t="s">
        <v>631</v>
      </c>
      <c r="J436" s="30"/>
      <c r="K436" s="30"/>
      <c r="L436" s="30"/>
      <c r="M436" s="30"/>
      <c r="N436" s="194">
        <v>26000</v>
      </c>
      <c r="O436" s="30"/>
      <c r="P436" s="30"/>
      <c r="Q436" s="30"/>
      <c r="R436" s="30"/>
      <c r="S436" s="30"/>
      <c r="T436" s="30"/>
      <c r="U436" s="30"/>
      <c r="V436" s="30"/>
      <c r="W436" s="197">
        <f t="shared" si="64"/>
        <v>26000</v>
      </c>
    </row>
    <row r="437" spans="1:23" x14ac:dyDescent="0.3">
      <c r="A437" s="155">
        <v>436</v>
      </c>
      <c r="B437" s="28"/>
      <c r="C437" s="28" t="s">
        <v>879</v>
      </c>
      <c r="D437" s="194">
        <v>6100000</v>
      </c>
      <c r="E437" s="194">
        <v>944000</v>
      </c>
      <c r="F437" s="194">
        <v>0</v>
      </c>
      <c r="G437" s="194">
        <f t="shared" si="63"/>
        <v>6100000</v>
      </c>
      <c r="H437" s="29" t="s">
        <v>453</v>
      </c>
      <c r="I437" s="28" t="s">
        <v>631</v>
      </c>
      <c r="J437" s="30"/>
      <c r="K437" s="30"/>
      <c r="L437" s="30"/>
      <c r="M437" s="30"/>
      <c r="N437" s="194">
        <v>944000</v>
      </c>
      <c r="O437" s="30"/>
      <c r="P437" s="30"/>
      <c r="Q437" s="30"/>
      <c r="R437" s="30"/>
      <c r="S437" s="30"/>
      <c r="T437" s="30"/>
      <c r="U437" s="30"/>
      <c r="V437" s="30"/>
      <c r="W437" s="197">
        <f t="shared" si="64"/>
        <v>944000</v>
      </c>
    </row>
    <row r="438" spans="1:23" x14ac:dyDescent="0.3">
      <c r="A438" s="155">
        <v>437</v>
      </c>
      <c r="B438" s="28"/>
      <c r="C438" s="28" t="s">
        <v>880</v>
      </c>
      <c r="D438" s="194">
        <v>7600000</v>
      </c>
      <c r="E438" s="194">
        <v>1176000</v>
      </c>
      <c r="F438" s="194">
        <v>0</v>
      </c>
      <c r="G438" s="194">
        <f t="shared" si="63"/>
        <v>7600000</v>
      </c>
      <c r="H438" s="29" t="s">
        <v>453</v>
      </c>
      <c r="I438" s="28" t="s">
        <v>631</v>
      </c>
      <c r="J438" s="30"/>
      <c r="K438" s="30"/>
      <c r="L438" s="30"/>
      <c r="M438" s="30"/>
      <c r="N438" s="194">
        <v>1176000</v>
      </c>
      <c r="O438" s="30"/>
      <c r="P438" s="30"/>
      <c r="Q438" s="30"/>
      <c r="R438" s="30"/>
      <c r="S438" s="30"/>
      <c r="T438" s="30"/>
      <c r="U438" s="30"/>
      <c r="V438" s="30"/>
      <c r="W438" s="197">
        <f t="shared" si="64"/>
        <v>1176000</v>
      </c>
    </row>
    <row r="439" spans="1:23" x14ac:dyDescent="0.3">
      <c r="A439" s="155">
        <v>438</v>
      </c>
      <c r="B439" s="28"/>
      <c r="C439" s="28" t="s">
        <v>881</v>
      </c>
      <c r="D439" s="194">
        <v>3350000</v>
      </c>
      <c r="E439" s="194">
        <v>208000</v>
      </c>
      <c r="F439" s="194">
        <v>0</v>
      </c>
      <c r="G439" s="194">
        <f t="shared" si="63"/>
        <v>3350000</v>
      </c>
      <c r="H439" s="29" t="s">
        <v>453</v>
      </c>
      <c r="I439" s="28" t="s">
        <v>631</v>
      </c>
      <c r="J439" s="30"/>
      <c r="K439" s="30"/>
      <c r="L439" s="30"/>
      <c r="M439" s="30"/>
      <c r="N439" s="194">
        <v>208000</v>
      </c>
      <c r="O439" s="30"/>
      <c r="P439" s="30"/>
      <c r="Q439" s="30"/>
      <c r="R439" s="30"/>
      <c r="S439" s="30"/>
      <c r="T439" s="30"/>
      <c r="U439" s="30"/>
      <c r="V439" s="30"/>
      <c r="W439" s="197">
        <f t="shared" si="64"/>
        <v>208000</v>
      </c>
    </row>
    <row r="440" spans="1:23" x14ac:dyDescent="0.3">
      <c r="A440" s="155">
        <v>439</v>
      </c>
      <c r="B440" s="28"/>
      <c r="C440" s="28" t="s">
        <v>882</v>
      </c>
      <c r="D440" s="194">
        <v>5260416</v>
      </c>
      <c r="E440" s="194">
        <v>496000</v>
      </c>
      <c r="F440" s="194">
        <v>0</v>
      </c>
      <c r="G440" s="194">
        <f t="shared" si="63"/>
        <v>5260416</v>
      </c>
      <c r="H440" s="29" t="s">
        <v>453</v>
      </c>
      <c r="I440" s="28" t="s">
        <v>631</v>
      </c>
      <c r="J440" s="30"/>
      <c r="K440" s="30"/>
      <c r="L440" s="30"/>
      <c r="M440" s="30"/>
      <c r="N440" s="194">
        <v>496000</v>
      </c>
      <c r="O440" s="30"/>
      <c r="P440" s="30"/>
      <c r="Q440" s="30"/>
      <c r="R440" s="30"/>
      <c r="S440" s="30"/>
      <c r="T440" s="30"/>
      <c r="U440" s="30"/>
      <c r="V440" s="30"/>
      <c r="W440" s="197">
        <f t="shared" si="64"/>
        <v>496000</v>
      </c>
    </row>
    <row r="441" spans="1:23" x14ac:dyDescent="0.3">
      <c r="A441" s="155">
        <v>440</v>
      </c>
      <c r="B441" s="28"/>
      <c r="C441" s="28" t="s">
        <v>883</v>
      </c>
      <c r="D441" s="194">
        <v>1385417</v>
      </c>
      <c r="E441" s="194">
        <v>21200</v>
      </c>
      <c r="F441" s="194">
        <v>0</v>
      </c>
      <c r="G441" s="194">
        <f t="shared" si="63"/>
        <v>1385417</v>
      </c>
      <c r="H441" s="29" t="s">
        <v>453</v>
      </c>
      <c r="I441" s="28" t="s">
        <v>631</v>
      </c>
      <c r="J441" s="30"/>
      <c r="K441" s="30"/>
      <c r="L441" s="30"/>
      <c r="M441" s="30"/>
      <c r="N441" s="30">
        <v>21200</v>
      </c>
      <c r="O441" s="30"/>
      <c r="P441" s="30"/>
      <c r="Q441" s="30"/>
      <c r="R441" s="30"/>
      <c r="S441" s="30"/>
      <c r="T441" s="30"/>
      <c r="U441" s="30"/>
      <c r="V441" s="30"/>
      <c r="W441" s="197">
        <f t="shared" si="64"/>
        <v>21200</v>
      </c>
    </row>
    <row r="442" spans="1:23" x14ac:dyDescent="0.3">
      <c r="A442" s="155">
        <v>441</v>
      </c>
      <c r="B442" s="28"/>
      <c r="C442" s="28" t="s">
        <v>884</v>
      </c>
      <c r="D442" s="194">
        <v>1216667</v>
      </c>
      <c r="E442" s="194">
        <v>188000</v>
      </c>
      <c r="F442" s="194">
        <v>0</v>
      </c>
      <c r="G442" s="194">
        <f t="shared" si="63"/>
        <v>1216667</v>
      </c>
      <c r="H442" s="29" t="s">
        <v>453</v>
      </c>
      <c r="I442" s="28" t="s">
        <v>631</v>
      </c>
      <c r="J442" s="30"/>
      <c r="K442" s="30"/>
      <c r="L442" s="30"/>
      <c r="M442" s="30"/>
      <c r="N442" s="30">
        <v>188000</v>
      </c>
      <c r="O442" s="30"/>
      <c r="P442" s="30"/>
      <c r="Q442" s="30"/>
      <c r="R442" s="30"/>
      <c r="S442" s="30"/>
      <c r="T442" s="30"/>
      <c r="U442" s="30"/>
      <c r="V442" s="30"/>
      <c r="W442" s="197">
        <f t="shared" si="64"/>
        <v>188000</v>
      </c>
    </row>
    <row r="443" spans="1:23" x14ac:dyDescent="0.3">
      <c r="A443" s="155">
        <v>442</v>
      </c>
      <c r="B443" s="28"/>
      <c r="C443" s="28" t="s">
        <v>885</v>
      </c>
      <c r="D443" s="194">
        <v>6000000</v>
      </c>
      <c r="E443" s="194">
        <v>928000</v>
      </c>
      <c r="F443" s="194">
        <v>0</v>
      </c>
      <c r="G443" s="194">
        <f t="shared" si="63"/>
        <v>6000000</v>
      </c>
      <c r="H443" s="29" t="s">
        <v>453</v>
      </c>
      <c r="I443" s="28" t="s">
        <v>631</v>
      </c>
      <c r="J443" s="30"/>
      <c r="K443" s="30"/>
      <c r="L443" s="30"/>
      <c r="M443" s="30"/>
      <c r="N443" s="30">
        <v>928000</v>
      </c>
      <c r="O443" s="30"/>
      <c r="P443" s="30"/>
      <c r="Q443" s="30"/>
      <c r="R443" s="30"/>
      <c r="S443" s="30"/>
      <c r="T443" s="30"/>
      <c r="U443" s="30"/>
      <c r="V443" s="30"/>
      <c r="W443" s="197">
        <f t="shared" si="64"/>
        <v>928000</v>
      </c>
    </row>
    <row r="444" spans="1:23" x14ac:dyDescent="0.3">
      <c r="A444" s="155">
        <v>443</v>
      </c>
      <c r="B444" s="28"/>
      <c r="C444" s="28" t="s">
        <v>886</v>
      </c>
      <c r="D444" s="194">
        <v>9400000</v>
      </c>
      <c r="E444" s="194">
        <v>1452000</v>
      </c>
      <c r="F444" s="194">
        <v>0</v>
      </c>
      <c r="G444" s="194">
        <f t="shared" si="63"/>
        <v>9400000</v>
      </c>
      <c r="H444" s="29" t="s">
        <v>453</v>
      </c>
      <c r="I444" s="28" t="s">
        <v>631</v>
      </c>
      <c r="J444" s="30"/>
      <c r="K444" s="30"/>
      <c r="L444" s="30"/>
      <c r="M444" s="30"/>
      <c r="N444" s="30">
        <v>1452000</v>
      </c>
      <c r="O444" s="30"/>
      <c r="P444" s="30"/>
      <c r="Q444" s="30"/>
      <c r="R444" s="30"/>
      <c r="S444" s="30"/>
      <c r="T444" s="30"/>
      <c r="U444" s="30"/>
      <c r="V444" s="30"/>
      <c r="W444" s="197">
        <f t="shared" si="64"/>
        <v>1452000</v>
      </c>
    </row>
    <row r="445" spans="1:23" x14ac:dyDescent="0.3">
      <c r="A445" s="155">
        <v>444</v>
      </c>
      <c r="B445" s="28"/>
      <c r="C445" s="28" t="s">
        <v>887</v>
      </c>
      <c r="D445" s="194">
        <v>13200000</v>
      </c>
      <c r="E445" s="194">
        <v>2040000</v>
      </c>
      <c r="F445" s="194">
        <v>0</v>
      </c>
      <c r="G445" s="194">
        <f t="shared" si="63"/>
        <v>13200000</v>
      </c>
      <c r="H445" s="29" t="s">
        <v>453</v>
      </c>
      <c r="I445" s="28" t="s">
        <v>631</v>
      </c>
      <c r="J445" s="30"/>
      <c r="K445" s="30"/>
      <c r="L445" s="30"/>
      <c r="M445" s="30"/>
      <c r="N445" s="30">
        <v>2040000</v>
      </c>
      <c r="O445" s="30"/>
      <c r="P445" s="30"/>
      <c r="Q445" s="30"/>
      <c r="R445" s="30"/>
      <c r="S445" s="30"/>
      <c r="T445" s="30"/>
      <c r="U445" s="30"/>
      <c r="V445" s="30"/>
      <c r="W445" s="197">
        <f t="shared" si="64"/>
        <v>2040000</v>
      </c>
    </row>
    <row r="446" spans="1:23" x14ac:dyDescent="0.3">
      <c r="A446" s="155">
        <v>445</v>
      </c>
      <c r="B446" s="28"/>
      <c r="C446" s="28" t="s">
        <v>888</v>
      </c>
      <c r="D446" s="194">
        <v>14500000</v>
      </c>
      <c r="E446" s="194">
        <v>540000</v>
      </c>
      <c r="F446" s="194">
        <v>0</v>
      </c>
      <c r="G446" s="194">
        <f t="shared" si="63"/>
        <v>14500000</v>
      </c>
      <c r="H446" s="29" t="s">
        <v>453</v>
      </c>
      <c r="I446" s="28" t="s">
        <v>631</v>
      </c>
      <c r="J446" s="30"/>
      <c r="K446" s="30"/>
      <c r="L446" s="30"/>
      <c r="M446" s="30"/>
      <c r="N446" s="30">
        <v>540000</v>
      </c>
      <c r="O446" s="30"/>
      <c r="P446" s="30"/>
      <c r="Q446" s="30"/>
      <c r="R446" s="30"/>
      <c r="S446" s="30"/>
      <c r="T446" s="30"/>
      <c r="U446" s="30"/>
      <c r="V446" s="30"/>
      <c r="W446" s="197">
        <f t="shared" si="64"/>
        <v>540000</v>
      </c>
    </row>
    <row r="447" spans="1:23" x14ac:dyDescent="0.3">
      <c r="A447" s="155">
        <v>446</v>
      </c>
      <c r="B447" s="28"/>
      <c r="C447" s="28" t="s">
        <v>889</v>
      </c>
      <c r="D447" s="194">
        <v>12800000</v>
      </c>
      <c r="E447" s="194">
        <v>1392000</v>
      </c>
      <c r="F447" s="194">
        <v>0</v>
      </c>
      <c r="G447" s="194">
        <f t="shared" si="63"/>
        <v>12800000</v>
      </c>
      <c r="H447" s="29" t="s">
        <v>453</v>
      </c>
      <c r="I447" s="28" t="s">
        <v>631</v>
      </c>
      <c r="J447" s="30"/>
      <c r="K447" s="30"/>
      <c r="L447" s="30"/>
      <c r="M447" s="30"/>
      <c r="N447" s="30">
        <v>1392000</v>
      </c>
      <c r="O447" s="30"/>
      <c r="P447" s="30"/>
      <c r="Q447" s="30"/>
      <c r="R447" s="30"/>
      <c r="S447" s="30"/>
      <c r="T447" s="30"/>
      <c r="U447" s="30"/>
      <c r="V447" s="30"/>
      <c r="W447" s="197">
        <f t="shared" si="64"/>
        <v>1392000</v>
      </c>
    </row>
    <row r="448" spans="1:23" x14ac:dyDescent="0.3">
      <c r="A448" s="155">
        <v>447</v>
      </c>
      <c r="B448" s="28"/>
      <c r="C448" s="28" t="s">
        <v>890</v>
      </c>
      <c r="D448" s="194">
        <v>1570000</v>
      </c>
      <c r="E448" s="194">
        <v>244000</v>
      </c>
      <c r="F448" s="194">
        <v>0</v>
      </c>
      <c r="G448" s="194">
        <f t="shared" si="63"/>
        <v>1570000</v>
      </c>
      <c r="H448" s="29" t="s">
        <v>453</v>
      </c>
      <c r="I448" s="28" t="s">
        <v>631</v>
      </c>
      <c r="J448" s="30"/>
      <c r="K448" s="30"/>
      <c r="L448" s="30"/>
      <c r="M448" s="30"/>
      <c r="N448" s="30">
        <v>244000</v>
      </c>
      <c r="O448" s="30"/>
      <c r="P448" s="30"/>
      <c r="Q448" s="30"/>
      <c r="R448" s="30"/>
      <c r="S448" s="30"/>
      <c r="T448" s="30"/>
      <c r="U448" s="30"/>
      <c r="V448" s="30"/>
      <c r="W448" s="197">
        <f t="shared" si="64"/>
        <v>244000</v>
      </c>
    </row>
    <row r="449" spans="1:23" x14ac:dyDescent="0.3">
      <c r="A449" s="155">
        <v>448</v>
      </c>
      <c r="B449" s="28"/>
      <c r="C449" s="28" t="s">
        <v>891</v>
      </c>
      <c r="D449" s="194">
        <v>7496500</v>
      </c>
      <c r="E449" s="194">
        <v>1160000</v>
      </c>
      <c r="F449" s="194">
        <v>0</v>
      </c>
      <c r="G449" s="194">
        <f t="shared" si="63"/>
        <v>7496500</v>
      </c>
      <c r="H449" s="29" t="s">
        <v>453</v>
      </c>
      <c r="I449" s="28" t="s">
        <v>631</v>
      </c>
      <c r="J449" s="30"/>
      <c r="K449" s="30"/>
      <c r="L449" s="30"/>
      <c r="M449" s="30"/>
      <c r="N449" s="30">
        <v>1160000</v>
      </c>
      <c r="O449" s="30"/>
      <c r="P449" s="30"/>
      <c r="Q449" s="30"/>
      <c r="R449" s="30"/>
      <c r="S449" s="30"/>
      <c r="T449" s="30"/>
      <c r="U449" s="30"/>
      <c r="V449" s="30"/>
      <c r="W449" s="197">
        <f t="shared" si="64"/>
        <v>1160000</v>
      </c>
    </row>
    <row r="450" spans="1:23" x14ac:dyDescent="0.3">
      <c r="A450" s="155">
        <v>449</v>
      </c>
      <c r="B450" s="28"/>
      <c r="C450" s="28" t="s">
        <v>891</v>
      </c>
      <c r="D450" s="194">
        <v>7496500</v>
      </c>
      <c r="E450" s="194">
        <v>1160000</v>
      </c>
      <c r="F450" s="194">
        <v>0</v>
      </c>
      <c r="G450" s="194">
        <f t="shared" si="63"/>
        <v>7496500</v>
      </c>
      <c r="H450" s="29" t="s">
        <v>453</v>
      </c>
      <c r="I450" s="28" t="s">
        <v>631</v>
      </c>
      <c r="J450" s="30"/>
      <c r="K450" s="30"/>
      <c r="L450" s="30"/>
      <c r="M450" s="30"/>
      <c r="N450" s="30">
        <v>1160000</v>
      </c>
      <c r="O450" s="30"/>
      <c r="P450" s="30"/>
      <c r="Q450" s="30"/>
      <c r="R450" s="30"/>
      <c r="S450" s="30"/>
      <c r="T450" s="30"/>
      <c r="U450" s="30"/>
      <c r="V450" s="30"/>
      <c r="W450" s="197">
        <f t="shared" si="64"/>
        <v>1160000</v>
      </c>
    </row>
    <row r="451" spans="1:23" x14ac:dyDescent="0.3">
      <c r="A451" s="155">
        <v>450</v>
      </c>
      <c r="B451" s="28"/>
      <c r="C451" s="28" t="s">
        <v>892</v>
      </c>
      <c r="D451" s="194">
        <v>2100000</v>
      </c>
      <c r="E451" s="194">
        <v>192000</v>
      </c>
      <c r="F451" s="194">
        <v>0</v>
      </c>
      <c r="G451" s="194">
        <f t="shared" si="63"/>
        <v>2100000</v>
      </c>
      <c r="H451" s="29" t="s">
        <v>453</v>
      </c>
      <c r="I451" s="28" t="s">
        <v>631</v>
      </c>
      <c r="J451" s="30"/>
      <c r="K451" s="30"/>
      <c r="L451" s="30"/>
      <c r="M451" s="30"/>
      <c r="N451" s="194">
        <v>192000</v>
      </c>
      <c r="O451" s="30"/>
      <c r="P451" s="30"/>
      <c r="Q451" s="30"/>
      <c r="R451" s="30"/>
      <c r="S451" s="30"/>
      <c r="T451" s="30"/>
      <c r="U451" s="30"/>
      <c r="V451" s="30"/>
      <c r="W451" s="197">
        <f t="shared" si="64"/>
        <v>192000</v>
      </c>
    </row>
    <row r="452" spans="1:23" x14ac:dyDescent="0.3">
      <c r="A452" s="155">
        <v>451</v>
      </c>
      <c r="B452" s="28"/>
      <c r="C452" s="28" t="s">
        <v>893</v>
      </c>
      <c r="D452" s="194">
        <v>2500000</v>
      </c>
      <c r="E452" s="194">
        <v>388000</v>
      </c>
      <c r="F452" s="194">
        <v>400000</v>
      </c>
      <c r="G452" s="194"/>
      <c r="H452" s="29" t="s">
        <v>452</v>
      </c>
      <c r="I452" s="28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97"/>
    </row>
    <row r="453" spans="1:23" x14ac:dyDescent="0.3">
      <c r="A453" s="155">
        <v>452</v>
      </c>
      <c r="B453" s="28"/>
      <c r="C453" s="28" t="s">
        <v>894</v>
      </c>
      <c r="D453" s="194">
        <v>1200000</v>
      </c>
      <c r="E453" s="194">
        <v>184000</v>
      </c>
      <c r="F453" s="194">
        <v>0</v>
      </c>
      <c r="G453" s="194">
        <f>D453</f>
        <v>1200000</v>
      </c>
      <c r="H453" s="29" t="s">
        <v>453</v>
      </c>
      <c r="I453" s="28" t="s">
        <v>631</v>
      </c>
      <c r="J453" s="30"/>
      <c r="K453" s="30"/>
      <c r="L453" s="30"/>
      <c r="M453" s="30"/>
      <c r="N453" s="30">
        <v>184000</v>
      </c>
      <c r="O453" s="30"/>
      <c r="P453" s="30"/>
      <c r="Q453" s="30"/>
      <c r="R453" s="30"/>
      <c r="S453" s="30"/>
      <c r="T453" s="30"/>
      <c r="U453" s="30"/>
      <c r="V453" s="30"/>
      <c r="W453" s="197">
        <f>SUM(J453:V453)</f>
        <v>184000</v>
      </c>
    </row>
    <row r="454" spans="1:23" x14ac:dyDescent="0.3">
      <c r="A454" s="155">
        <v>453</v>
      </c>
      <c r="B454" s="28"/>
      <c r="C454" s="28" t="s">
        <v>895</v>
      </c>
      <c r="D454" s="194">
        <v>1200000</v>
      </c>
      <c r="E454" s="194">
        <v>184000</v>
      </c>
      <c r="F454" s="194">
        <v>200000</v>
      </c>
      <c r="G454" s="194"/>
      <c r="H454" s="29" t="s">
        <v>452</v>
      </c>
      <c r="I454" s="28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97"/>
    </row>
    <row r="455" spans="1:23" x14ac:dyDescent="0.3">
      <c r="A455" s="155">
        <v>454</v>
      </c>
      <c r="B455" s="28"/>
      <c r="C455" s="28" t="s">
        <v>896</v>
      </c>
      <c r="D455" s="194">
        <v>1865000</v>
      </c>
      <c r="E455" s="194">
        <v>288000</v>
      </c>
      <c r="F455" s="194">
        <v>0</v>
      </c>
      <c r="G455" s="194">
        <f>D455</f>
        <v>1865000</v>
      </c>
      <c r="H455" s="29" t="s">
        <v>453</v>
      </c>
      <c r="I455" s="28" t="s">
        <v>631</v>
      </c>
      <c r="J455" s="30"/>
      <c r="K455" s="30"/>
      <c r="L455" s="30"/>
      <c r="M455" s="30"/>
      <c r="N455" s="194">
        <v>288000</v>
      </c>
      <c r="O455" s="30"/>
      <c r="P455" s="30"/>
      <c r="Q455" s="30"/>
      <c r="R455" s="30"/>
      <c r="S455" s="30"/>
      <c r="T455" s="30"/>
      <c r="U455" s="30"/>
      <c r="V455" s="30"/>
      <c r="W455" s="197">
        <f>SUM(J455:V455)</f>
        <v>288000</v>
      </c>
    </row>
    <row r="456" spans="1:23" x14ac:dyDescent="0.3">
      <c r="A456" s="155">
        <v>455</v>
      </c>
      <c r="B456" s="28"/>
      <c r="C456" s="28" t="s">
        <v>897</v>
      </c>
      <c r="D456" s="194">
        <v>1100000</v>
      </c>
      <c r="E456" s="194">
        <v>168000</v>
      </c>
      <c r="F456" s="194">
        <v>200000</v>
      </c>
      <c r="G456" s="194"/>
      <c r="H456" s="29" t="s">
        <v>452</v>
      </c>
      <c r="I456" s="28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97"/>
    </row>
    <row r="457" spans="1:23" x14ac:dyDescent="0.3">
      <c r="A457" s="155">
        <v>456</v>
      </c>
      <c r="B457" s="28"/>
      <c r="C457" s="28" t="s">
        <v>898</v>
      </c>
      <c r="D457" s="194">
        <v>7695000</v>
      </c>
      <c r="E457" s="194">
        <v>1188000</v>
      </c>
      <c r="F457" s="194">
        <v>1200000</v>
      </c>
      <c r="G457" s="194"/>
      <c r="H457" s="29" t="s">
        <v>452</v>
      </c>
      <c r="I457" s="28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97"/>
    </row>
    <row r="458" spans="1:23" x14ac:dyDescent="0.3">
      <c r="A458" s="155">
        <v>457</v>
      </c>
      <c r="B458" s="28"/>
      <c r="C458" s="28" t="s">
        <v>899</v>
      </c>
      <c r="D458" s="194">
        <v>8919000</v>
      </c>
      <c r="E458" s="194">
        <v>1376000</v>
      </c>
      <c r="F458" s="194">
        <v>1400000</v>
      </c>
      <c r="G458" s="194"/>
      <c r="H458" s="29" t="s">
        <v>452</v>
      </c>
      <c r="I458" s="28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97"/>
    </row>
    <row r="459" spans="1:23" x14ac:dyDescent="0.3">
      <c r="A459" s="155">
        <v>458</v>
      </c>
      <c r="B459" s="28"/>
      <c r="C459" s="28" t="s">
        <v>900</v>
      </c>
      <c r="D459" s="194">
        <v>3871000</v>
      </c>
      <c r="E459" s="194">
        <v>596000</v>
      </c>
      <c r="F459" s="194">
        <v>600000</v>
      </c>
      <c r="G459" s="194"/>
      <c r="H459" s="29" t="s">
        <v>452</v>
      </c>
      <c r="I459" s="28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97"/>
    </row>
    <row r="460" spans="1:23" x14ac:dyDescent="0.3">
      <c r="A460" s="155">
        <v>459</v>
      </c>
      <c r="B460" s="28"/>
      <c r="C460" s="28" t="s">
        <v>901</v>
      </c>
      <c r="D460" s="194">
        <v>1938000</v>
      </c>
      <c r="E460" s="194">
        <v>232000</v>
      </c>
      <c r="F460" s="194">
        <v>240000</v>
      </c>
      <c r="G460" s="194"/>
      <c r="H460" s="29" t="s">
        <v>452</v>
      </c>
      <c r="I460" s="28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97"/>
    </row>
    <row r="461" spans="1:23" x14ac:dyDescent="0.3">
      <c r="A461" s="155">
        <v>460</v>
      </c>
      <c r="B461" s="28"/>
      <c r="C461" s="28" t="s">
        <v>902</v>
      </c>
      <c r="D461" s="194">
        <v>1780000</v>
      </c>
      <c r="E461" s="194">
        <v>276000</v>
      </c>
      <c r="F461" s="194">
        <v>300000</v>
      </c>
      <c r="G461" s="194"/>
      <c r="H461" s="29" t="s">
        <v>452</v>
      </c>
      <c r="I461" s="28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97"/>
    </row>
    <row r="462" spans="1:23" x14ac:dyDescent="0.3">
      <c r="A462" s="155">
        <v>461</v>
      </c>
      <c r="B462" s="28"/>
      <c r="C462" s="28" t="s">
        <v>903</v>
      </c>
      <c r="D462" s="194">
        <v>4514000</v>
      </c>
      <c r="E462" s="194">
        <v>696000</v>
      </c>
      <c r="F462" s="194">
        <v>700000</v>
      </c>
      <c r="G462" s="194"/>
      <c r="H462" s="29" t="s">
        <v>452</v>
      </c>
      <c r="I462" s="28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97"/>
    </row>
    <row r="463" spans="1:23" x14ac:dyDescent="0.3">
      <c r="A463" s="155">
        <v>462</v>
      </c>
      <c r="B463" s="28"/>
      <c r="C463" s="28" t="s">
        <v>904</v>
      </c>
      <c r="D463" s="194">
        <v>15434000</v>
      </c>
      <c r="E463" s="194">
        <v>2384000</v>
      </c>
      <c r="F463" s="194">
        <v>2400000</v>
      </c>
      <c r="G463" s="194"/>
      <c r="H463" s="29" t="s">
        <v>452</v>
      </c>
      <c r="I463" s="28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97"/>
    </row>
    <row r="464" spans="1:23" x14ac:dyDescent="0.3">
      <c r="A464" s="155">
        <v>463</v>
      </c>
      <c r="B464" s="28"/>
      <c r="C464" s="28" t="s">
        <v>893</v>
      </c>
      <c r="D464" s="194">
        <v>9717300</v>
      </c>
      <c r="E464" s="194">
        <v>388000</v>
      </c>
      <c r="F464" s="194">
        <v>400000</v>
      </c>
      <c r="G464" s="194"/>
      <c r="H464" s="29" t="s">
        <v>452</v>
      </c>
      <c r="I464" s="28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97"/>
    </row>
    <row r="465" spans="1:23" x14ac:dyDescent="0.3">
      <c r="A465" s="155">
        <v>464</v>
      </c>
      <c r="B465" s="28"/>
      <c r="C465" s="28" t="s">
        <v>905</v>
      </c>
      <c r="D465" s="194">
        <v>4750000</v>
      </c>
      <c r="E465" s="194">
        <v>732000</v>
      </c>
      <c r="F465" s="194">
        <v>0</v>
      </c>
      <c r="G465" s="194">
        <f t="shared" ref="G465:G466" si="65">D465</f>
        <v>4750000</v>
      </c>
      <c r="H465" s="29" t="s">
        <v>453</v>
      </c>
      <c r="I465" s="28" t="s">
        <v>631</v>
      </c>
      <c r="J465" s="30"/>
      <c r="K465" s="30"/>
      <c r="L465" s="30"/>
      <c r="M465" s="30"/>
      <c r="N465" s="30">
        <v>732000</v>
      </c>
      <c r="O465" s="30"/>
      <c r="P465" s="30"/>
      <c r="Q465" s="30"/>
      <c r="R465" s="30"/>
      <c r="S465" s="30"/>
      <c r="T465" s="30"/>
      <c r="U465" s="30"/>
      <c r="V465" s="30"/>
      <c r="W465" s="197">
        <f>SUM(J465:V465)</f>
        <v>732000</v>
      </c>
    </row>
    <row r="466" spans="1:23" x14ac:dyDescent="0.3">
      <c r="A466" s="155">
        <v>465</v>
      </c>
      <c r="B466" s="28"/>
      <c r="C466" s="28" t="s">
        <v>895</v>
      </c>
      <c r="D466" s="194">
        <v>9200000</v>
      </c>
      <c r="E466" s="194">
        <v>1420000</v>
      </c>
      <c r="F466" s="194">
        <v>0</v>
      </c>
      <c r="G466" s="194">
        <f t="shared" si="65"/>
        <v>9200000</v>
      </c>
      <c r="H466" s="29" t="s">
        <v>453</v>
      </c>
      <c r="I466" s="28" t="s">
        <v>631</v>
      </c>
      <c r="J466" s="30"/>
      <c r="K466" s="30"/>
      <c r="L466" s="30"/>
      <c r="M466" s="30"/>
      <c r="N466" s="30">
        <v>1420000</v>
      </c>
      <c r="O466" s="30"/>
      <c r="P466" s="30"/>
      <c r="Q466" s="30"/>
      <c r="R466" s="30"/>
      <c r="S466" s="30"/>
      <c r="T466" s="30"/>
      <c r="U466" s="30"/>
      <c r="V466" s="30"/>
      <c r="W466" s="197">
        <f>SUM(J466:V466)</f>
        <v>1420000</v>
      </c>
    </row>
    <row r="467" spans="1:23" x14ac:dyDescent="0.3">
      <c r="A467" s="155">
        <v>466</v>
      </c>
      <c r="B467" s="28"/>
      <c r="C467" s="28" t="s">
        <v>906</v>
      </c>
      <c r="D467" s="194">
        <v>13679050</v>
      </c>
      <c r="E467" s="194">
        <v>1544000</v>
      </c>
      <c r="F467" s="194">
        <v>1600000</v>
      </c>
      <c r="G467" s="194"/>
      <c r="H467" s="29" t="s">
        <v>452</v>
      </c>
      <c r="I467" s="28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97"/>
    </row>
    <row r="468" spans="1:23" x14ac:dyDescent="0.3">
      <c r="A468" s="155">
        <v>467</v>
      </c>
      <c r="B468" s="28"/>
      <c r="C468" s="28" t="s">
        <v>907</v>
      </c>
      <c r="D468" s="194">
        <v>5824000</v>
      </c>
      <c r="E468" s="194">
        <v>900000</v>
      </c>
      <c r="F468" s="194">
        <v>0</v>
      </c>
      <c r="G468" s="194">
        <f t="shared" ref="G468:G470" si="66">D468</f>
        <v>5824000</v>
      </c>
      <c r="H468" s="29" t="s">
        <v>453</v>
      </c>
      <c r="I468" s="28" t="s">
        <v>631</v>
      </c>
      <c r="J468" s="30"/>
      <c r="K468" s="30"/>
      <c r="L468" s="30"/>
      <c r="M468" s="30"/>
      <c r="N468" s="30">
        <v>900000</v>
      </c>
      <c r="O468" s="30"/>
      <c r="P468" s="30"/>
      <c r="Q468" s="30"/>
      <c r="R468" s="30"/>
      <c r="S468" s="30"/>
      <c r="T468" s="30"/>
      <c r="U468" s="30"/>
      <c r="V468" s="30"/>
      <c r="W468" s="197">
        <f>SUM(J468:V468)</f>
        <v>900000</v>
      </c>
    </row>
    <row r="469" spans="1:23" x14ac:dyDescent="0.3">
      <c r="A469" s="155">
        <v>468</v>
      </c>
      <c r="B469" s="28"/>
      <c r="C469" s="28" t="s">
        <v>908</v>
      </c>
      <c r="D469" s="194">
        <v>3781800</v>
      </c>
      <c r="E469" s="194">
        <v>584000</v>
      </c>
      <c r="F469" s="194">
        <v>0</v>
      </c>
      <c r="G469" s="194">
        <f t="shared" si="66"/>
        <v>3781800</v>
      </c>
      <c r="H469" s="29" t="s">
        <v>453</v>
      </c>
      <c r="I469" s="28" t="s">
        <v>631</v>
      </c>
      <c r="J469" s="30"/>
      <c r="K469" s="30"/>
      <c r="L469" s="30"/>
      <c r="M469" s="30"/>
      <c r="N469" s="30">
        <v>584000</v>
      </c>
      <c r="O469" s="30"/>
      <c r="P469" s="30"/>
      <c r="Q469" s="30"/>
      <c r="R469" s="30"/>
      <c r="S469" s="30"/>
      <c r="T469" s="30"/>
      <c r="U469" s="30"/>
      <c r="V469" s="30"/>
      <c r="W469" s="197">
        <f>SUM(J469:V469)</f>
        <v>584000</v>
      </c>
    </row>
    <row r="470" spans="1:23" x14ac:dyDescent="0.3">
      <c r="A470" s="155">
        <v>469</v>
      </c>
      <c r="B470" s="28"/>
      <c r="C470" s="28" t="s">
        <v>621</v>
      </c>
      <c r="D470" s="194">
        <v>1650000</v>
      </c>
      <c r="E470" s="194">
        <v>256000</v>
      </c>
      <c r="F470" s="194">
        <v>0</v>
      </c>
      <c r="G470" s="194">
        <f t="shared" si="66"/>
        <v>1650000</v>
      </c>
      <c r="H470" s="29" t="s">
        <v>453</v>
      </c>
      <c r="I470" s="28" t="s">
        <v>631</v>
      </c>
      <c r="J470" s="30"/>
      <c r="K470" s="30"/>
      <c r="L470" s="30"/>
      <c r="M470" s="30"/>
      <c r="N470" s="30">
        <v>256000</v>
      </c>
      <c r="O470" s="30"/>
      <c r="P470" s="30"/>
      <c r="Q470" s="30"/>
      <c r="R470" s="30"/>
      <c r="S470" s="30"/>
      <c r="T470" s="30"/>
      <c r="U470" s="30"/>
      <c r="V470" s="30"/>
      <c r="W470" s="197">
        <f>SUM(J470:V470)</f>
        <v>256000</v>
      </c>
    </row>
    <row r="471" spans="1:23" x14ac:dyDescent="0.3">
      <c r="A471" s="155">
        <v>470</v>
      </c>
      <c r="B471" s="28"/>
      <c r="C471" s="28" t="s">
        <v>909</v>
      </c>
      <c r="D471" s="194">
        <v>4000000</v>
      </c>
      <c r="E471" s="194">
        <v>616000</v>
      </c>
      <c r="F471" s="194">
        <v>650000</v>
      </c>
      <c r="G471" s="194"/>
      <c r="H471" s="29" t="s">
        <v>452</v>
      </c>
      <c r="I471" s="28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97"/>
    </row>
    <row r="472" spans="1:23" x14ac:dyDescent="0.3">
      <c r="A472" s="155">
        <v>471</v>
      </c>
      <c r="B472" s="28"/>
      <c r="C472" s="28" t="s">
        <v>910</v>
      </c>
      <c r="D472" s="194">
        <v>8493350</v>
      </c>
      <c r="E472" s="194">
        <v>1312000</v>
      </c>
      <c r="F472" s="194">
        <v>1350000</v>
      </c>
      <c r="G472" s="194"/>
      <c r="H472" s="29" t="s">
        <v>452</v>
      </c>
      <c r="I472" s="28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97"/>
    </row>
    <row r="473" spans="1:23" x14ac:dyDescent="0.3">
      <c r="A473" s="155">
        <v>472</v>
      </c>
      <c r="B473" s="28"/>
      <c r="C473" s="28" t="s">
        <v>911</v>
      </c>
      <c r="D473" s="194">
        <v>1317500</v>
      </c>
      <c r="E473" s="194">
        <v>204000</v>
      </c>
      <c r="F473" s="194">
        <v>0</v>
      </c>
      <c r="G473" s="194">
        <f t="shared" ref="G473:G480" si="67">D473</f>
        <v>1317500</v>
      </c>
      <c r="H473" s="29" t="s">
        <v>453</v>
      </c>
      <c r="I473" s="28" t="s">
        <v>631</v>
      </c>
      <c r="J473" s="30"/>
      <c r="K473" s="30"/>
      <c r="L473" s="30"/>
      <c r="M473" s="30"/>
      <c r="N473" s="30">
        <v>204000</v>
      </c>
      <c r="O473" s="30"/>
      <c r="P473" s="30"/>
      <c r="Q473" s="30"/>
      <c r="R473" s="30"/>
      <c r="S473" s="30"/>
      <c r="T473" s="30"/>
      <c r="U473" s="30"/>
      <c r="V473" s="30"/>
      <c r="W473" s="197">
        <f t="shared" ref="W473:W480" si="68">SUM(J473:V473)</f>
        <v>204000</v>
      </c>
    </row>
    <row r="474" spans="1:23" x14ac:dyDescent="0.3">
      <c r="A474" s="155">
        <v>473</v>
      </c>
      <c r="B474" s="28"/>
      <c r="C474" s="28" t="s">
        <v>912</v>
      </c>
      <c r="D474" s="194">
        <v>3840000</v>
      </c>
      <c r="E474" s="194">
        <v>592000</v>
      </c>
      <c r="F474" s="194">
        <v>0</v>
      </c>
      <c r="G474" s="194">
        <f t="shared" si="67"/>
        <v>3840000</v>
      </c>
      <c r="H474" s="29" t="s">
        <v>453</v>
      </c>
      <c r="I474" s="28" t="s">
        <v>631</v>
      </c>
      <c r="J474" s="30"/>
      <c r="K474" s="30"/>
      <c r="L474" s="30"/>
      <c r="M474" s="30"/>
      <c r="N474" s="30">
        <v>592000</v>
      </c>
      <c r="O474" s="30"/>
      <c r="P474" s="30"/>
      <c r="Q474" s="30"/>
      <c r="R474" s="30"/>
      <c r="S474" s="30"/>
      <c r="T474" s="30"/>
      <c r="U474" s="30"/>
      <c r="V474" s="30"/>
      <c r="W474" s="197">
        <f t="shared" si="68"/>
        <v>592000</v>
      </c>
    </row>
    <row r="475" spans="1:23" x14ac:dyDescent="0.3">
      <c r="A475" s="155">
        <v>474</v>
      </c>
      <c r="B475" s="28"/>
      <c r="C475" s="28" t="s">
        <v>913</v>
      </c>
      <c r="D475" s="194">
        <v>7100000</v>
      </c>
      <c r="E475" s="194">
        <v>1096000</v>
      </c>
      <c r="F475" s="194">
        <v>0</v>
      </c>
      <c r="G475" s="194">
        <f t="shared" si="67"/>
        <v>7100000</v>
      </c>
      <c r="H475" s="29" t="s">
        <v>453</v>
      </c>
      <c r="I475" s="28" t="s">
        <v>631</v>
      </c>
      <c r="J475" s="30"/>
      <c r="K475" s="30"/>
      <c r="L475" s="30"/>
      <c r="M475" s="30"/>
      <c r="N475" s="30">
        <v>1096000</v>
      </c>
      <c r="O475" s="30"/>
      <c r="P475" s="30"/>
      <c r="Q475" s="30"/>
      <c r="R475" s="30"/>
      <c r="S475" s="30"/>
      <c r="T475" s="30"/>
      <c r="U475" s="30"/>
      <c r="V475" s="30"/>
      <c r="W475" s="197">
        <f t="shared" si="68"/>
        <v>1096000</v>
      </c>
    </row>
    <row r="476" spans="1:23" x14ac:dyDescent="0.3">
      <c r="A476" s="155">
        <v>475</v>
      </c>
      <c r="B476" s="28"/>
      <c r="C476" s="28" t="s">
        <v>914</v>
      </c>
      <c r="D476" s="194">
        <v>200000</v>
      </c>
      <c r="E476" s="194">
        <v>32000</v>
      </c>
      <c r="F476" s="194">
        <v>0</v>
      </c>
      <c r="G476" s="194">
        <f t="shared" si="67"/>
        <v>200000</v>
      </c>
      <c r="H476" s="29" t="s">
        <v>453</v>
      </c>
      <c r="I476" s="28" t="s">
        <v>631</v>
      </c>
      <c r="J476" s="30"/>
      <c r="K476" s="30"/>
      <c r="L476" s="30"/>
      <c r="M476" s="30"/>
      <c r="N476" s="30">
        <v>32000</v>
      </c>
      <c r="O476" s="30"/>
      <c r="P476" s="30"/>
      <c r="Q476" s="30"/>
      <c r="R476" s="30"/>
      <c r="S476" s="30"/>
      <c r="T476" s="30"/>
      <c r="U476" s="30"/>
      <c r="V476" s="30"/>
      <c r="W476" s="197">
        <f t="shared" si="68"/>
        <v>32000</v>
      </c>
    </row>
    <row r="477" spans="1:23" x14ac:dyDescent="0.3">
      <c r="A477" s="155">
        <v>476</v>
      </c>
      <c r="B477" s="28"/>
      <c r="C477" s="28" t="s">
        <v>915</v>
      </c>
      <c r="D477" s="194">
        <v>6425000</v>
      </c>
      <c r="E477" s="194">
        <v>99200</v>
      </c>
      <c r="F477" s="194">
        <v>0</v>
      </c>
      <c r="G477" s="194">
        <f t="shared" si="67"/>
        <v>6425000</v>
      </c>
      <c r="H477" s="29" t="s">
        <v>453</v>
      </c>
      <c r="I477" s="28" t="s">
        <v>631</v>
      </c>
      <c r="J477" s="30"/>
      <c r="K477" s="30"/>
      <c r="L477" s="30"/>
      <c r="M477" s="30"/>
      <c r="N477" s="194">
        <v>99200</v>
      </c>
      <c r="O477" s="30"/>
      <c r="P477" s="30"/>
      <c r="Q477" s="30"/>
      <c r="R477" s="30"/>
      <c r="S477" s="30"/>
      <c r="T477" s="30"/>
      <c r="U477" s="30"/>
      <c r="V477" s="30"/>
      <c r="W477" s="197">
        <f t="shared" si="68"/>
        <v>99200</v>
      </c>
    </row>
    <row r="478" spans="1:23" x14ac:dyDescent="0.3">
      <c r="A478" s="155">
        <v>477</v>
      </c>
      <c r="B478" s="28"/>
      <c r="C478" s="28" t="s">
        <v>916</v>
      </c>
      <c r="D478" s="194">
        <v>1335000</v>
      </c>
      <c r="E478" s="194">
        <v>20800</v>
      </c>
      <c r="F478" s="194">
        <v>0</v>
      </c>
      <c r="G478" s="194">
        <f t="shared" si="67"/>
        <v>1335000</v>
      </c>
      <c r="H478" s="29" t="s">
        <v>453</v>
      </c>
      <c r="I478" s="28" t="s">
        <v>631</v>
      </c>
      <c r="J478" s="30"/>
      <c r="K478" s="30"/>
      <c r="L478" s="30"/>
      <c r="M478" s="30"/>
      <c r="N478" s="30">
        <v>20800</v>
      </c>
      <c r="O478" s="30"/>
      <c r="P478" s="30"/>
      <c r="Q478" s="30"/>
      <c r="R478" s="30"/>
      <c r="S478" s="30"/>
      <c r="T478" s="30"/>
      <c r="U478" s="30"/>
      <c r="V478" s="30"/>
      <c r="W478" s="197">
        <f t="shared" si="68"/>
        <v>20800</v>
      </c>
    </row>
    <row r="479" spans="1:23" x14ac:dyDescent="0.3">
      <c r="A479" s="155">
        <v>478</v>
      </c>
      <c r="B479" s="28"/>
      <c r="C479" s="28" t="s">
        <v>917</v>
      </c>
      <c r="D479" s="194">
        <v>1099000</v>
      </c>
      <c r="E479" s="194">
        <v>168000</v>
      </c>
      <c r="F479" s="194">
        <v>0</v>
      </c>
      <c r="G479" s="194">
        <f t="shared" si="67"/>
        <v>1099000</v>
      </c>
      <c r="H479" s="29" t="s">
        <v>453</v>
      </c>
      <c r="I479" s="28" t="s">
        <v>631</v>
      </c>
      <c r="J479" s="30"/>
      <c r="K479" s="30"/>
      <c r="L479" s="30"/>
      <c r="M479" s="30"/>
      <c r="N479" s="30">
        <v>168000</v>
      </c>
      <c r="O479" s="30"/>
      <c r="P479" s="30"/>
      <c r="Q479" s="30"/>
      <c r="R479" s="30"/>
      <c r="S479" s="30"/>
      <c r="T479" s="30"/>
      <c r="U479" s="30"/>
      <c r="V479" s="30"/>
      <c r="W479" s="197">
        <f t="shared" si="68"/>
        <v>168000</v>
      </c>
    </row>
    <row r="480" spans="1:23" x14ac:dyDescent="0.3">
      <c r="A480" s="155">
        <v>479</v>
      </c>
      <c r="B480" s="28"/>
      <c r="C480" s="28" t="s">
        <v>918</v>
      </c>
      <c r="D480" s="194">
        <v>1040000</v>
      </c>
      <c r="E480" s="194">
        <v>16000</v>
      </c>
      <c r="F480" s="194">
        <v>0</v>
      </c>
      <c r="G480" s="194">
        <f t="shared" si="67"/>
        <v>1040000</v>
      </c>
      <c r="H480" s="29" t="s">
        <v>453</v>
      </c>
      <c r="I480" s="28" t="s">
        <v>631</v>
      </c>
      <c r="J480" s="30"/>
      <c r="K480" s="30"/>
      <c r="L480" s="30"/>
      <c r="M480" s="30"/>
      <c r="N480" s="194">
        <v>16000</v>
      </c>
      <c r="O480" s="30"/>
      <c r="P480" s="30"/>
      <c r="Q480" s="30"/>
      <c r="R480" s="30"/>
      <c r="S480" s="30"/>
      <c r="T480" s="30"/>
      <c r="U480" s="30"/>
      <c r="V480" s="30"/>
      <c r="W480" s="197">
        <f t="shared" si="68"/>
        <v>16000</v>
      </c>
    </row>
    <row r="481" spans="1:23" x14ac:dyDescent="0.3">
      <c r="A481" s="155">
        <v>480</v>
      </c>
      <c r="B481" s="28"/>
      <c r="C481" s="28" t="s">
        <v>919</v>
      </c>
      <c r="D481" s="194">
        <v>31612000</v>
      </c>
      <c r="E481" s="194">
        <v>4880000</v>
      </c>
      <c r="F481" s="194">
        <v>4900000</v>
      </c>
      <c r="G481" s="194"/>
      <c r="H481" s="29" t="s">
        <v>452</v>
      </c>
      <c r="I481" s="28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97"/>
    </row>
    <row r="482" spans="1:23" x14ac:dyDescent="0.3">
      <c r="A482" s="155">
        <v>481</v>
      </c>
      <c r="B482" s="28"/>
      <c r="C482" s="28" t="s">
        <v>920</v>
      </c>
      <c r="D482" s="194">
        <v>15920000</v>
      </c>
      <c r="E482" s="194">
        <v>2460000</v>
      </c>
      <c r="F482" s="194">
        <v>0</v>
      </c>
      <c r="G482" s="194">
        <f t="shared" ref="G482:G487" si="69">D482</f>
        <v>15920000</v>
      </c>
      <c r="H482" s="29" t="s">
        <v>453</v>
      </c>
      <c r="I482" s="28" t="s">
        <v>631</v>
      </c>
      <c r="J482" s="30"/>
      <c r="K482" s="30"/>
      <c r="L482" s="30"/>
      <c r="M482" s="30"/>
      <c r="N482" s="30">
        <v>2460000</v>
      </c>
      <c r="O482" s="30"/>
      <c r="P482" s="30"/>
      <c r="Q482" s="30"/>
      <c r="R482" s="30"/>
      <c r="S482" s="30"/>
      <c r="T482" s="30"/>
      <c r="U482" s="30"/>
      <c r="V482" s="30"/>
      <c r="W482" s="197">
        <f t="shared" ref="W482:W487" si="70">SUM(J482:V482)</f>
        <v>2460000</v>
      </c>
    </row>
    <row r="483" spans="1:23" x14ac:dyDescent="0.3">
      <c r="A483" s="155">
        <v>482</v>
      </c>
      <c r="B483" s="28"/>
      <c r="C483" s="28" t="s">
        <v>921</v>
      </c>
      <c r="D483" s="194">
        <v>1901042</v>
      </c>
      <c r="E483" s="194">
        <v>292000</v>
      </c>
      <c r="F483" s="194">
        <v>0</v>
      </c>
      <c r="G483" s="194">
        <f t="shared" si="69"/>
        <v>1901042</v>
      </c>
      <c r="H483" s="29" t="s">
        <v>453</v>
      </c>
      <c r="I483" s="28" t="s">
        <v>631</v>
      </c>
      <c r="J483" s="30"/>
      <c r="K483" s="30"/>
      <c r="L483" s="30"/>
      <c r="M483" s="30"/>
      <c r="N483" s="30">
        <v>292000</v>
      </c>
      <c r="O483" s="30"/>
      <c r="P483" s="30"/>
      <c r="Q483" s="30"/>
      <c r="R483" s="30"/>
      <c r="S483" s="30"/>
      <c r="T483" s="30"/>
      <c r="U483" s="30"/>
      <c r="V483" s="30"/>
      <c r="W483" s="197">
        <f t="shared" si="70"/>
        <v>292000</v>
      </c>
    </row>
    <row r="484" spans="1:23" x14ac:dyDescent="0.3">
      <c r="A484" s="155">
        <v>483</v>
      </c>
      <c r="B484" s="28"/>
      <c r="C484" s="28" t="s">
        <v>922</v>
      </c>
      <c r="D484" s="194">
        <v>883984</v>
      </c>
      <c r="E484" s="194">
        <v>13600</v>
      </c>
      <c r="F484" s="194">
        <v>0</v>
      </c>
      <c r="G484" s="194">
        <f t="shared" si="69"/>
        <v>883984</v>
      </c>
      <c r="H484" s="29" t="s">
        <v>453</v>
      </c>
      <c r="I484" s="28" t="s">
        <v>631</v>
      </c>
      <c r="J484" s="30"/>
      <c r="K484" s="30"/>
      <c r="L484" s="30"/>
      <c r="M484" s="30"/>
      <c r="N484" s="30">
        <v>13600</v>
      </c>
      <c r="O484" s="30"/>
      <c r="P484" s="30"/>
      <c r="Q484" s="30"/>
      <c r="R484" s="30"/>
      <c r="S484" s="30"/>
      <c r="T484" s="30"/>
      <c r="U484" s="30"/>
      <c r="V484" s="30"/>
      <c r="W484" s="197">
        <f t="shared" si="70"/>
        <v>13600</v>
      </c>
    </row>
    <row r="485" spans="1:23" x14ac:dyDescent="0.3">
      <c r="A485" s="155">
        <v>484</v>
      </c>
      <c r="B485" s="28"/>
      <c r="C485" s="28" t="s">
        <v>923</v>
      </c>
      <c r="D485" s="194">
        <v>757755</v>
      </c>
      <c r="E485" s="194">
        <v>11600</v>
      </c>
      <c r="F485" s="194">
        <v>0</v>
      </c>
      <c r="G485" s="194">
        <f t="shared" si="69"/>
        <v>757755</v>
      </c>
      <c r="H485" s="29" t="s">
        <v>453</v>
      </c>
      <c r="I485" s="28" t="s">
        <v>631</v>
      </c>
      <c r="J485" s="30"/>
      <c r="K485" s="30"/>
      <c r="L485" s="30"/>
      <c r="M485" s="30"/>
      <c r="N485" s="30">
        <v>11600</v>
      </c>
      <c r="O485" s="30"/>
      <c r="P485" s="30"/>
      <c r="Q485" s="30"/>
      <c r="R485" s="30"/>
      <c r="S485" s="30"/>
      <c r="T485" s="30"/>
      <c r="U485" s="30"/>
      <c r="V485" s="30"/>
      <c r="W485" s="197">
        <f t="shared" si="70"/>
        <v>11600</v>
      </c>
    </row>
    <row r="486" spans="1:23" x14ac:dyDescent="0.3">
      <c r="A486" s="155">
        <v>485</v>
      </c>
      <c r="B486" s="28"/>
      <c r="C486" s="28" t="s">
        <v>924</v>
      </c>
      <c r="D486" s="194">
        <v>1087396</v>
      </c>
      <c r="E486" s="194">
        <v>168000</v>
      </c>
      <c r="F486" s="194">
        <v>0</v>
      </c>
      <c r="G486" s="194">
        <f t="shared" si="69"/>
        <v>1087396</v>
      </c>
      <c r="H486" s="29" t="s">
        <v>453</v>
      </c>
      <c r="I486" s="28" t="s">
        <v>631</v>
      </c>
      <c r="J486" s="30"/>
      <c r="K486" s="30"/>
      <c r="L486" s="30"/>
      <c r="M486" s="30"/>
      <c r="N486" s="30">
        <v>168000</v>
      </c>
      <c r="O486" s="30"/>
      <c r="P486" s="30"/>
      <c r="Q486" s="30"/>
      <c r="R486" s="30"/>
      <c r="S486" s="30"/>
      <c r="T486" s="30"/>
      <c r="U486" s="30"/>
      <c r="V486" s="30"/>
      <c r="W486" s="197">
        <f t="shared" si="70"/>
        <v>168000</v>
      </c>
    </row>
    <row r="487" spans="1:23" x14ac:dyDescent="0.3">
      <c r="A487" s="155">
        <v>486</v>
      </c>
      <c r="B487" s="28"/>
      <c r="C487" s="28" t="s">
        <v>925</v>
      </c>
      <c r="D487" s="194">
        <v>393700</v>
      </c>
      <c r="E487" s="194">
        <v>60000</v>
      </c>
      <c r="F487" s="194">
        <v>0</v>
      </c>
      <c r="G487" s="194">
        <f t="shared" si="69"/>
        <v>393700</v>
      </c>
      <c r="H487" s="29" t="s">
        <v>453</v>
      </c>
      <c r="I487" s="28" t="s">
        <v>631</v>
      </c>
      <c r="J487" s="30"/>
      <c r="K487" s="30"/>
      <c r="L487" s="30"/>
      <c r="M487" s="30"/>
      <c r="N487" s="30">
        <v>60000</v>
      </c>
      <c r="O487" s="30"/>
      <c r="P487" s="30"/>
      <c r="Q487" s="30"/>
      <c r="R487" s="30"/>
      <c r="S487" s="30"/>
      <c r="T487" s="30"/>
      <c r="U487" s="30"/>
      <c r="V487" s="30"/>
      <c r="W487" s="197">
        <f t="shared" si="70"/>
        <v>60000</v>
      </c>
    </row>
    <row r="488" spans="1:23" x14ac:dyDescent="0.3">
      <c r="A488" s="155">
        <v>487</v>
      </c>
      <c r="B488" s="28"/>
      <c r="C488" s="28" t="s">
        <v>926</v>
      </c>
      <c r="D488" s="194">
        <v>3050000</v>
      </c>
      <c r="E488" s="194">
        <v>472000</v>
      </c>
      <c r="F488" s="194">
        <v>800000</v>
      </c>
      <c r="G488" s="194"/>
      <c r="H488" s="29" t="s">
        <v>452</v>
      </c>
      <c r="I488" s="28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97"/>
    </row>
    <row r="489" spans="1:23" x14ac:dyDescent="0.3">
      <c r="A489" s="155">
        <v>488</v>
      </c>
      <c r="B489" s="28"/>
      <c r="C489" s="28" t="s">
        <v>927</v>
      </c>
      <c r="D489" s="194">
        <v>19000000</v>
      </c>
      <c r="E489" s="194">
        <v>2936000</v>
      </c>
      <c r="F489" s="194">
        <v>3100000</v>
      </c>
      <c r="G489" s="194"/>
      <c r="H489" s="29" t="s">
        <v>452</v>
      </c>
      <c r="I489" s="28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97"/>
    </row>
    <row r="490" spans="1:23" x14ac:dyDescent="0.3">
      <c r="A490" s="155">
        <v>489</v>
      </c>
      <c r="B490" s="28"/>
      <c r="C490" s="28" t="s">
        <v>926</v>
      </c>
      <c r="D490" s="194">
        <v>8000000</v>
      </c>
      <c r="E490" s="194">
        <v>472000</v>
      </c>
      <c r="F490" s="194">
        <v>700000</v>
      </c>
      <c r="G490" s="194"/>
      <c r="H490" s="29" t="s">
        <v>452</v>
      </c>
      <c r="I490" s="28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97"/>
    </row>
    <row r="491" spans="1:23" x14ac:dyDescent="0.3">
      <c r="A491" s="155">
        <v>490</v>
      </c>
      <c r="B491" s="28"/>
      <c r="C491" s="28" t="s">
        <v>928</v>
      </c>
      <c r="D491" s="194">
        <v>18160000</v>
      </c>
      <c r="E491" s="194">
        <v>2804000</v>
      </c>
      <c r="F491" s="194">
        <v>3300000</v>
      </c>
      <c r="G491" s="194"/>
      <c r="H491" s="29" t="s">
        <v>452</v>
      </c>
      <c r="I491" s="28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97"/>
    </row>
    <row r="492" spans="1:23" x14ac:dyDescent="0.3">
      <c r="A492" s="155">
        <v>491</v>
      </c>
      <c r="B492" s="28"/>
      <c r="C492" s="28" t="s">
        <v>929</v>
      </c>
      <c r="D492" s="194">
        <v>475000</v>
      </c>
      <c r="E492" s="194">
        <v>72000</v>
      </c>
      <c r="F492" s="194">
        <v>0</v>
      </c>
      <c r="G492" s="194">
        <f t="shared" ref="G492:G521" si="71">D492</f>
        <v>475000</v>
      </c>
      <c r="H492" s="29" t="s">
        <v>453</v>
      </c>
      <c r="I492" s="28" t="s">
        <v>631</v>
      </c>
      <c r="J492" s="30"/>
      <c r="K492" s="30"/>
      <c r="L492" s="30"/>
      <c r="M492" s="30"/>
      <c r="N492" s="30">
        <v>72000</v>
      </c>
      <c r="O492" s="30"/>
      <c r="P492" s="30"/>
      <c r="Q492" s="30"/>
      <c r="R492" s="30"/>
      <c r="S492" s="30"/>
      <c r="T492" s="30"/>
      <c r="U492" s="30"/>
      <c r="V492" s="30"/>
      <c r="W492" s="197">
        <f t="shared" ref="W492:W521" si="72">SUM(J492:V492)</f>
        <v>72000</v>
      </c>
    </row>
    <row r="493" spans="1:23" x14ac:dyDescent="0.3">
      <c r="A493" s="155">
        <v>492</v>
      </c>
      <c r="B493" s="28"/>
      <c r="C493" s="28" t="s">
        <v>930</v>
      </c>
      <c r="D493" s="194">
        <v>681500</v>
      </c>
      <c r="E493" s="194">
        <v>10400</v>
      </c>
      <c r="F493" s="194">
        <v>0</v>
      </c>
      <c r="G493" s="194">
        <f t="shared" si="71"/>
        <v>681500</v>
      </c>
      <c r="H493" s="29" t="s">
        <v>453</v>
      </c>
      <c r="I493" s="28" t="s">
        <v>631</v>
      </c>
      <c r="J493" s="30"/>
      <c r="K493" s="30"/>
      <c r="L493" s="30"/>
      <c r="M493" s="30"/>
      <c r="N493" s="30">
        <v>10400</v>
      </c>
      <c r="O493" s="30"/>
      <c r="P493" s="30"/>
      <c r="Q493" s="30"/>
      <c r="R493" s="30"/>
      <c r="S493" s="30"/>
      <c r="T493" s="30"/>
      <c r="U493" s="30"/>
      <c r="V493" s="30"/>
      <c r="W493" s="197">
        <f t="shared" si="72"/>
        <v>10400</v>
      </c>
    </row>
    <row r="494" spans="1:23" x14ac:dyDescent="0.3">
      <c r="A494" s="155">
        <v>493</v>
      </c>
      <c r="B494" s="28"/>
      <c r="C494" s="28" t="s">
        <v>931</v>
      </c>
      <c r="D494" s="194">
        <v>2299000</v>
      </c>
      <c r="E494" s="194">
        <v>356000</v>
      </c>
      <c r="F494" s="194">
        <v>0</v>
      </c>
      <c r="G494" s="194">
        <f t="shared" si="71"/>
        <v>2299000</v>
      </c>
      <c r="H494" s="29" t="s">
        <v>453</v>
      </c>
      <c r="I494" s="28" t="s">
        <v>631</v>
      </c>
      <c r="J494" s="30"/>
      <c r="K494" s="30"/>
      <c r="L494" s="30"/>
      <c r="M494" s="30"/>
      <c r="N494" s="30">
        <v>356000</v>
      </c>
      <c r="O494" s="30"/>
      <c r="P494" s="30"/>
      <c r="Q494" s="30"/>
      <c r="R494" s="30"/>
      <c r="S494" s="30"/>
      <c r="T494" s="30"/>
      <c r="U494" s="30"/>
      <c r="V494" s="30"/>
      <c r="W494" s="197">
        <f t="shared" si="72"/>
        <v>356000</v>
      </c>
    </row>
    <row r="495" spans="1:23" x14ac:dyDescent="0.3">
      <c r="A495" s="155">
        <v>494</v>
      </c>
      <c r="B495" s="28"/>
      <c r="C495" s="28" t="s">
        <v>932</v>
      </c>
      <c r="D495" s="194">
        <v>740000</v>
      </c>
      <c r="E495" s="194">
        <v>116000</v>
      </c>
      <c r="F495" s="194">
        <v>0</v>
      </c>
      <c r="G495" s="194">
        <f t="shared" si="71"/>
        <v>740000</v>
      </c>
      <c r="H495" s="29" t="s">
        <v>453</v>
      </c>
      <c r="I495" s="28" t="s">
        <v>631</v>
      </c>
      <c r="J495" s="30"/>
      <c r="K495" s="30"/>
      <c r="L495" s="30"/>
      <c r="M495" s="30"/>
      <c r="N495" s="30">
        <v>116000</v>
      </c>
      <c r="O495" s="30"/>
      <c r="P495" s="30"/>
      <c r="Q495" s="30"/>
      <c r="R495" s="30"/>
      <c r="S495" s="30"/>
      <c r="T495" s="30"/>
      <c r="U495" s="30"/>
      <c r="V495" s="30"/>
      <c r="W495" s="197">
        <f t="shared" si="72"/>
        <v>116000</v>
      </c>
    </row>
    <row r="496" spans="1:23" x14ac:dyDescent="0.3">
      <c r="A496" s="155">
        <v>495</v>
      </c>
      <c r="B496" s="28"/>
      <c r="C496" s="28" t="s">
        <v>933</v>
      </c>
      <c r="D496" s="194">
        <v>47350000</v>
      </c>
      <c r="E496" s="194">
        <v>4682400</v>
      </c>
      <c r="F496" s="194">
        <v>0</v>
      </c>
      <c r="G496" s="194">
        <f t="shared" si="71"/>
        <v>47350000</v>
      </c>
      <c r="H496" s="29" t="s">
        <v>453</v>
      </c>
      <c r="I496" s="28" t="s">
        <v>631</v>
      </c>
      <c r="J496" s="30"/>
      <c r="K496" s="30"/>
      <c r="L496" s="30"/>
      <c r="M496" s="30"/>
      <c r="N496" s="194">
        <v>4682400</v>
      </c>
      <c r="O496" s="30"/>
      <c r="P496" s="30"/>
      <c r="Q496" s="30"/>
      <c r="R496" s="30"/>
      <c r="S496" s="30"/>
      <c r="T496" s="30"/>
      <c r="U496" s="30"/>
      <c r="V496" s="30"/>
      <c r="W496" s="197">
        <f t="shared" si="72"/>
        <v>4682400</v>
      </c>
    </row>
    <row r="497" spans="1:23" x14ac:dyDescent="0.3">
      <c r="A497" s="155">
        <v>496</v>
      </c>
      <c r="B497" s="28"/>
      <c r="C497" s="28" t="s">
        <v>934</v>
      </c>
      <c r="D497" s="194">
        <v>4550000</v>
      </c>
      <c r="E497" s="194">
        <v>904000</v>
      </c>
      <c r="F497" s="194">
        <v>0</v>
      </c>
      <c r="G497" s="194">
        <f t="shared" si="71"/>
        <v>4550000</v>
      </c>
      <c r="H497" s="29" t="s">
        <v>453</v>
      </c>
      <c r="I497" s="28" t="s">
        <v>631</v>
      </c>
      <c r="J497" s="30"/>
      <c r="K497" s="30"/>
      <c r="L497" s="30"/>
      <c r="M497" s="30"/>
      <c r="N497" s="194">
        <v>904000</v>
      </c>
      <c r="O497" s="30"/>
      <c r="P497" s="30"/>
      <c r="Q497" s="30"/>
      <c r="R497" s="30"/>
      <c r="S497" s="30"/>
      <c r="T497" s="30"/>
      <c r="U497" s="30"/>
      <c r="V497" s="30"/>
      <c r="W497" s="197">
        <f t="shared" si="72"/>
        <v>904000</v>
      </c>
    </row>
    <row r="498" spans="1:23" x14ac:dyDescent="0.3">
      <c r="A498" s="155">
        <v>497</v>
      </c>
      <c r="B498" s="28"/>
      <c r="C498" s="28" t="s">
        <v>935</v>
      </c>
      <c r="D498" s="194">
        <v>12000000</v>
      </c>
      <c r="E498" s="194">
        <v>1852000</v>
      </c>
      <c r="F498" s="194">
        <v>0</v>
      </c>
      <c r="G498" s="194">
        <f t="shared" si="71"/>
        <v>12000000</v>
      </c>
      <c r="H498" s="29" t="s">
        <v>453</v>
      </c>
      <c r="I498" s="28" t="s">
        <v>631</v>
      </c>
      <c r="J498" s="30"/>
      <c r="K498" s="30"/>
      <c r="L498" s="30"/>
      <c r="M498" s="30"/>
      <c r="N498" s="194">
        <v>1852000</v>
      </c>
      <c r="O498" s="30"/>
      <c r="P498" s="30"/>
      <c r="Q498" s="30"/>
      <c r="R498" s="30"/>
      <c r="S498" s="30"/>
      <c r="T498" s="30"/>
      <c r="U498" s="30"/>
      <c r="V498" s="30"/>
      <c r="W498" s="197">
        <f t="shared" si="72"/>
        <v>1852000</v>
      </c>
    </row>
    <row r="499" spans="1:23" x14ac:dyDescent="0.3">
      <c r="A499" s="155">
        <v>498</v>
      </c>
      <c r="B499" s="28"/>
      <c r="C499" s="28" t="s">
        <v>936</v>
      </c>
      <c r="D499" s="194">
        <v>6100000</v>
      </c>
      <c r="E499" s="194">
        <v>944000</v>
      </c>
      <c r="F499" s="194">
        <v>0</v>
      </c>
      <c r="G499" s="194">
        <f t="shared" si="71"/>
        <v>6100000</v>
      </c>
      <c r="H499" s="29" t="s">
        <v>453</v>
      </c>
      <c r="I499" s="28" t="s">
        <v>631</v>
      </c>
      <c r="J499" s="30"/>
      <c r="K499" s="30"/>
      <c r="L499" s="30"/>
      <c r="M499" s="30"/>
      <c r="N499" s="194">
        <v>944000</v>
      </c>
      <c r="O499" s="30"/>
      <c r="P499" s="30"/>
      <c r="Q499" s="30"/>
      <c r="R499" s="30"/>
      <c r="S499" s="30"/>
      <c r="T499" s="30"/>
      <c r="U499" s="30"/>
      <c r="V499" s="30"/>
      <c r="W499" s="197">
        <f t="shared" si="72"/>
        <v>944000</v>
      </c>
    </row>
    <row r="500" spans="1:23" x14ac:dyDescent="0.3">
      <c r="A500" s="155">
        <v>499</v>
      </c>
      <c r="B500" s="28"/>
      <c r="C500" s="28" t="s">
        <v>937</v>
      </c>
      <c r="D500" s="194">
        <v>1675000</v>
      </c>
      <c r="E500" s="194">
        <v>26000</v>
      </c>
      <c r="F500" s="194">
        <v>0</v>
      </c>
      <c r="G500" s="194">
        <f t="shared" si="71"/>
        <v>1675000</v>
      </c>
      <c r="H500" s="29" t="s">
        <v>453</v>
      </c>
      <c r="I500" s="28" t="s">
        <v>631</v>
      </c>
      <c r="J500" s="30"/>
      <c r="K500" s="30"/>
      <c r="L500" s="30"/>
      <c r="M500" s="30"/>
      <c r="N500" s="194">
        <v>26000</v>
      </c>
      <c r="O500" s="30"/>
      <c r="P500" s="30"/>
      <c r="Q500" s="30"/>
      <c r="R500" s="30"/>
      <c r="S500" s="30"/>
      <c r="T500" s="30"/>
      <c r="U500" s="30"/>
      <c r="V500" s="30"/>
      <c r="W500" s="197">
        <f t="shared" si="72"/>
        <v>26000</v>
      </c>
    </row>
    <row r="501" spans="1:23" x14ac:dyDescent="0.3">
      <c r="A501" s="155">
        <v>500</v>
      </c>
      <c r="B501" s="28"/>
      <c r="C501" s="28" t="s">
        <v>938</v>
      </c>
      <c r="D501" s="194">
        <v>450000</v>
      </c>
      <c r="E501" s="194">
        <v>68000</v>
      </c>
      <c r="F501" s="194">
        <v>0</v>
      </c>
      <c r="G501" s="194">
        <f t="shared" si="71"/>
        <v>450000</v>
      </c>
      <c r="H501" s="29" t="s">
        <v>453</v>
      </c>
      <c r="I501" s="28" t="s">
        <v>631</v>
      </c>
      <c r="J501" s="30"/>
      <c r="K501" s="30"/>
      <c r="L501" s="30"/>
      <c r="M501" s="30"/>
      <c r="N501" s="30">
        <v>68000</v>
      </c>
      <c r="O501" s="30"/>
      <c r="P501" s="30"/>
      <c r="Q501" s="30"/>
      <c r="R501" s="30"/>
      <c r="S501" s="30"/>
      <c r="T501" s="30"/>
      <c r="U501" s="30"/>
      <c r="V501" s="30"/>
      <c r="W501" s="197">
        <f t="shared" si="72"/>
        <v>68000</v>
      </c>
    </row>
    <row r="502" spans="1:23" x14ac:dyDescent="0.3">
      <c r="A502" s="155">
        <v>501</v>
      </c>
      <c r="B502" s="28"/>
      <c r="C502" s="28" t="s">
        <v>939</v>
      </c>
      <c r="D502" s="194">
        <v>590000</v>
      </c>
      <c r="E502" s="194">
        <v>92000</v>
      </c>
      <c r="F502" s="194">
        <v>0</v>
      </c>
      <c r="G502" s="194">
        <f t="shared" si="71"/>
        <v>590000</v>
      </c>
      <c r="H502" s="29" t="s">
        <v>453</v>
      </c>
      <c r="I502" s="28" t="s">
        <v>631</v>
      </c>
      <c r="J502" s="30"/>
      <c r="K502" s="30"/>
      <c r="L502" s="30"/>
      <c r="M502" s="30"/>
      <c r="N502" s="30">
        <v>92000</v>
      </c>
      <c r="O502" s="30"/>
      <c r="P502" s="30"/>
      <c r="Q502" s="30"/>
      <c r="R502" s="30"/>
      <c r="S502" s="30"/>
      <c r="T502" s="30"/>
      <c r="U502" s="30"/>
      <c r="V502" s="30"/>
      <c r="W502" s="197">
        <f t="shared" si="72"/>
        <v>92000</v>
      </c>
    </row>
    <row r="503" spans="1:23" x14ac:dyDescent="0.3">
      <c r="A503" s="155">
        <v>502</v>
      </c>
      <c r="B503" s="28"/>
      <c r="C503" s="28" t="s">
        <v>940</v>
      </c>
      <c r="D503" s="194">
        <v>1700000</v>
      </c>
      <c r="E503" s="194">
        <v>264000</v>
      </c>
      <c r="F503" s="194">
        <v>0</v>
      </c>
      <c r="G503" s="194">
        <f t="shared" si="71"/>
        <v>1700000</v>
      </c>
      <c r="H503" s="29" t="s">
        <v>453</v>
      </c>
      <c r="I503" s="28" t="s">
        <v>631</v>
      </c>
      <c r="J503" s="30"/>
      <c r="K503" s="30"/>
      <c r="L503" s="30"/>
      <c r="M503" s="30"/>
      <c r="N503" s="30">
        <v>264000</v>
      </c>
      <c r="O503" s="30"/>
      <c r="P503" s="30"/>
      <c r="Q503" s="30"/>
      <c r="R503" s="30"/>
      <c r="S503" s="30"/>
      <c r="T503" s="30"/>
      <c r="U503" s="30"/>
      <c r="V503" s="30"/>
      <c r="W503" s="197">
        <f t="shared" si="72"/>
        <v>264000</v>
      </c>
    </row>
    <row r="504" spans="1:23" x14ac:dyDescent="0.3">
      <c r="A504" s="155">
        <v>503</v>
      </c>
      <c r="B504" s="28"/>
      <c r="C504" s="28" t="s">
        <v>941</v>
      </c>
      <c r="D504" s="194">
        <v>750109</v>
      </c>
      <c r="E504" s="194">
        <v>116000</v>
      </c>
      <c r="F504" s="194">
        <v>0</v>
      </c>
      <c r="G504" s="194">
        <f t="shared" si="71"/>
        <v>750109</v>
      </c>
      <c r="H504" s="29" t="s">
        <v>453</v>
      </c>
      <c r="I504" s="28" t="s">
        <v>631</v>
      </c>
      <c r="J504" s="30"/>
      <c r="K504" s="30"/>
      <c r="L504" s="30"/>
      <c r="M504" s="30"/>
      <c r="N504" s="30">
        <v>116000</v>
      </c>
      <c r="O504" s="30"/>
      <c r="P504" s="30"/>
      <c r="Q504" s="30"/>
      <c r="R504" s="30"/>
      <c r="S504" s="30"/>
      <c r="T504" s="30"/>
      <c r="U504" s="30"/>
      <c r="V504" s="30"/>
      <c r="W504" s="197">
        <f t="shared" si="72"/>
        <v>116000</v>
      </c>
    </row>
    <row r="505" spans="1:23" x14ac:dyDescent="0.3">
      <c r="A505" s="155">
        <v>504</v>
      </c>
      <c r="B505" s="28"/>
      <c r="C505" s="28" t="s">
        <v>942</v>
      </c>
      <c r="D505" s="194">
        <v>9750000</v>
      </c>
      <c r="E505" s="194">
        <v>1080000</v>
      </c>
      <c r="F505" s="194">
        <v>0</v>
      </c>
      <c r="G505" s="194">
        <f t="shared" si="71"/>
        <v>9750000</v>
      </c>
      <c r="H505" s="29" t="s">
        <v>453</v>
      </c>
      <c r="I505" s="28" t="s">
        <v>631</v>
      </c>
      <c r="J505" s="30"/>
      <c r="K505" s="30"/>
      <c r="L505" s="30"/>
      <c r="M505" s="30"/>
      <c r="N505" s="30">
        <v>1080000</v>
      </c>
      <c r="O505" s="30"/>
      <c r="P505" s="30"/>
      <c r="Q505" s="30"/>
      <c r="R505" s="30"/>
      <c r="S505" s="30"/>
      <c r="T505" s="30"/>
      <c r="U505" s="30"/>
      <c r="V505" s="30"/>
      <c r="W505" s="197">
        <f t="shared" si="72"/>
        <v>1080000</v>
      </c>
    </row>
    <row r="506" spans="1:23" x14ac:dyDescent="0.3">
      <c r="A506" s="155">
        <v>505</v>
      </c>
      <c r="B506" s="28"/>
      <c r="C506" s="28" t="s">
        <v>943</v>
      </c>
      <c r="D506" s="194">
        <v>3750000</v>
      </c>
      <c r="E506" s="194">
        <v>424000</v>
      </c>
      <c r="F506" s="194">
        <v>0</v>
      </c>
      <c r="G506" s="194">
        <f t="shared" si="71"/>
        <v>3750000</v>
      </c>
      <c r="H506" s="29" t="s">
        <v>453</v>
      </c>
      <c r="I506" s="28" t="s">
        <v>631</v>
      </c>
      <c r="J506" s="30"/>
      <c r="K506" s="30"/>
      <c r="L506" s="30"/>
      <c r="M506" s="30"/>
      <c r="N506" s="30">
        <v>424000</v>
      </c>
      <c r="O506" s="30"/>
      <c r="P506" s="30"/>
      <c r="Q506" s="30"/>
      <c r="R506" s="30"/>
      <c r="S506" s="30"/>
      <c r="T506" s="30"/>
      <c r="U506" s="30"/>
      <c r="V506" s="30"/>
      <c r="W506" s="197">
        <f t="shared" si="72"/>
        <v>424000</v>
      </c>
    </row>
    <row r="507" spans="1:23" x14ac:dyDescent="0.3">
      <c r="A507" s="155">
        <v>506</v>
      </c>
      <c r="B507" s="28"/>
      <c r="C507" s="28" t="s">
        <v>944</v>
      </c>
      <c r="D507" s="194">
        <v>3750000</v>
      </c>
      <c r="E507" s="194">
        <v>388000</v>
      </c>
      <c r="F507" s="194">
        <v>0</v>
      </c>
      <c r="G507" s="194">
        <f t="shared" si="71"/>
        <v>3750000</v>
      </c>
      <c r="H507" s="29" t="s">
        <v>453</v>
      </c>
      <c r="I507" s="28" t="s">
        <v>631</v>
      </c>
      <c r="J507" s="30"/>
      <c r="K507" s="30"/>
      <c r="L507" s="30"/>
      <c r="M507" s="30"/>
      <c r="N507" s="30">
        <v>388000</v>
      </c>
      <c r="O507" s="30"/>
      <c r="P507" s="30"/>
      <c r="Q507" s="30"/>
      <c r="R507" s="30"/>
      <c r="S507" s="30"/>
      <c r="T507" s="30"/>
      <c r="U507" s="30"/>
      <c r="V507" s="30"/>
      <c r="W507" s="197">
        <f t="shared" si="72"/>
        <v>388000</v>
      </c>
    </row>
    <row r="508" spans="1:23" x14ac:dyDescent="0.3">
      <c r="A508" s="155">
        <v>507</v>
      </c>
      <c r="B508" s="28"/>
      <c r="C508" s="28" t="s">
        <v>945</v>
      </c>
      <c r="D508" s="194">
        <v>4500000</v>
      </c>
      <c r="E508" s="194">
        <v>432000</v>
      </c>
      <c r="F508" s="194">
        <v>0</v>
      </c>
      <c r="G508" s="194">
        <f t="shared" si="71"/>
        <v>4500000</v>
      </c>
      <c r="H508" s="29" t="s">
        <v>453</v>
      </c>
      <c r="I508" s="28" t="s">
        <v>631</v>
      </c>
      <c r="J508" s="30"/>
      <c r="K508" s="30"/>
      <c r="L508" s="30"/>
      <c r="M508" s="30"/>
      <c r="N508" s="30">
        <v>432000</v>
      </c>
      <c r="O508" s="30"/>
      <c r="P508" s="30"/>
      <c r="Q508" s="30"/>
      <c r="R508" s="30"/>
      <c r="S508" s="30"/>
      <c r="T508" s="30"/>
      <c r="U508" s="30"/>
      <c r="V508" s="30"/>
      <c r="W508" s="197">
        <f t="shared" si="72"/>
        <v>432000</v>
      </c>
    </row>
    <row r="509" spans="1:23" x14ac:dyDescent="0.3">
      <c r="A509" s="155">
        <v>508</v>
      </c>
      <c r="B509" s="28"/>
      <c r="C509" s="28" t="s">
        <v>946</v>
      </c>
      <c r="D509" s="194">
        <v>2746800</v>
      </c>
      <c r="E509" s="194">
        <v>424000</v>
      </c>
      <c r="F509" s="194">
        <v>0</v>
      </c>
      <c r="G509" s="194">
        <f t="shared" si="71"/>
        <v>2746800</v>
      </c>
      <c r="H509" s="29" t="s">
        <v>453</v>
      </c>
      <c r="I509" s="28" t="s">
        <v>631</v>
      </c>
      <c r="J509" s="30"/>
      <c r="K509" s="30"/>
      <c r="L509" s="30"/>
      <c r="M509" s="30"/>
      <c r="N509" s="30">
        <v>424000</v>
      </c>
      <c r="O509" s="30"/>
      <c r="P509" s="30"/>
      <c r="Q509" s="30"/>
      <c r="R509" s="30"/>
      <c r="S509" s="30"/>
      <c r="T509" s="30"/>
      <c r="U509" s="30"/>
      <c r="V509" s="30"/>
      <c r="W509" s="197">
        <f t="shared" si="72"/>
        <v>424000</v>
      </c>
    </row>
    <row r="510" spans="1:23" x14ac:dyDescent="0.3">
      <c r="A510" s="155">
        <v>509</v>
      </c>
      <c r="B510" s="28"/>
      <c r="C510" s="28" t="s">
        <v>947</v>
      </c>
      <c r="D510" s="194">
        <v>7753846</v>
      </c>
      <c r="E510" s="194">
        <v>696000</v>
      </c>
      <c r="F510" s="194">
        <v>0</v>
      </c>
      <c r="G510" s="194">
        <f t="shared" si="71"/>
        <v>7753846</v>
      </c>
      <c r="H510" s="29" t="s">
        <v>453</v>
      </c>
      <c r="I510" s="28" t="s">
        <v>631</v>
      </c>
      <c r="J510" s="30"/>
      <c r="K510" s="30"/>
      <c r="L510" s="30"/>
      <c r="M510" s="30"/>
      <c r="N510" s="30">
        <v>696000</v>
      </c>
      <c r="O510" s="30"/>
      <c r="P510" s="30"/>
      <c r="Q510" s="30"/>
      <c r="R510" s="30"/>
      <c r="S510" s="30"/>
      <c r="T510" s="30"/>
      <c r="U510" s="30"/>
      <c r="V510" s="30"/>
      <c r="W510" s="197">
        <f t="shared" si="72"/>
        <v>696000</v>
      </c>
    </row>
    <row r="511" spans="1:23" x14ac:dyDescent="0.3">
      <c r="A511" s="155">
        <v>510</v>
      </c>
      <c r="B511" s="28"/>
      <c r="C511" s="28" t="s">
        <v>948</v>
      </c>
      <c r="D511" s="194">
        <v>3876923</v>
      </c>
      <c r="E511" s="194">
        <v>432000</v>
      </c>
      <c r="F511" s="194">
        <v>0</v>
      </c>
      <c r="G511" s="194">
        <f t="shared" si="71"/>
        <v>3876923</v>
      </c>
      <c r="H511" s="29" t="s">
        <v>453</v>
      </c>
      <c r="I511" s="28" t="s">
        <v>631</v>
      </c>
      <c r="J511" s="30"/>
      <c r="K511" s="30"/>
      <c r="L511" s="30"/>
      <c r="M511" s="30"/>
      <c r="N511" s="30">
        <v>432000</v>
      </c>
      <c r="O511" s="30"/>
      <c r="P511" s="30"/>
      <c r="Q511" s="30"/>
      <c r="R511" s="30"/>
      <c r="S511" s="30"/>
      <c r="T511" s="30"/>
      <c r="U511" s="30"/>
      <c r="V511" s="30"/>
      <c r="W511" s="197">
        <f t="shared" si="72"/>
        <v>432000</v>
      </c>
    </row>
    <row r="512" spans="1:23" x14ac:dyDescent="0.3">
      <c r="A512" s="155">
        <v>511</v>
      </c>
      <c r="B512" s="28"/>
      <c r="C512" s="28" t="s">
        <v>949</v>
      </c>
      <c r="D512" s="194">
        <v>1938462</v>
      </c>
      <c r="E512" s="194">
        <v>200000</v>
      </c>
      <c r="F512" s="194">
        <v>0</v>
      </c>
      <c r="G512" s="194">
        <f t="shared" si="71"/>
        <v>1938462</v>
      </c>
      <c r="H512" s="29" t="s">
        <v>453</v>
      </c>
      <c r="I512" s="28" t="s">
        <v>631</v>
      </c>
      <c r="J512" s="30"/>
      <c r="K512" s="30"/>
      <c r="L512" s="30"/>
      <c r="M512" s="30"/>
      <c r="N512" s="30">
        <v>200000</v>
      </c>
      <c r="O512" s="30"/>
      <c r="P512" s="30"/>
      <c r="Q512" s="30"/>
      <c r="R512" s="30"/>
      <c r="S512" s="30"/>
      <c r="T512" s="30"/>
      <c r="U512" s="30"/>
      <c r="V512" s="30"/>
      <c r="W512" s="197">
        <f t="shared" si="72"/>
        <v>200000</v>
      </c>
    </row>
    <row r="513" spans="1:23" x14ac:dyDescent="0.3">
      <c r="A513" s="155">
        <v>512</v>
      </c>
      <c r="B513" s="28"/>
      <c r="C513" s="28" t="s">
        <v>950</v>
      </c>
      <c r="D513" s="194">
        <v>1938462</v>
      </c>
      <c r="E513" s="194">
        <v>216000</v>
      </c>
      <c r="F513" s="194">
        <v>0</v>
      </c>
      <c r="G513" s="194">
        <f t="shared" si="71"/>
        <v>1938462</v>
      </c>
      <c r="H513" s="29" t="s">
        <v>453</v>
      </c>
      <c r="I513" s="28" t="s">
        <v>631</v>
      </c>
      <c r="J513" s="30"/>
      <c r="K513" s="30"/>
      <c r="L513" s="30"/>
      <c r="M513" s="30"/>
      <c r="N513" s="30">
        <v>216000</v>
      </c>
      <c r="O513" s="30"/>
      <c r="P513" s="30"/>
      <c r="Q513" s="30"/>
      <c r="R513" s="30"/>
      <c r="S513" s="30"/>
      <c r="T513" s="30"/>
      <c r="U513" s="30"/>
      <c r="V513" s="30"/>
      <c r="W513" s="197">
        <f t="shared" si="72"/>
        <v>216000</v>
      </c>
    </row>
    <row r="514" spans="1:23" x14ac:dyDescent="0.3">
      <c r="A514" s="155">
        <v>513</v>
      </c>
      <c r="B514" s="28"/>
      <c r="C514" s="28" t="s">
        <v>951</v>
      </c>
      <c r="D514" s="194">
        <v>1938462</v>
      </c>
      <c r="E514" s="194">
        <v>200000</v>
      </c>
      <c r="F514" s="194">
        <v>0</v>
      </c>
      <c r="G514" s="194">
        <f t="shared" si="71"/>
        <v>1938462</v>
      </c>
      <c r="H514" s="29" t="s">
        <v>453</v>
      </c>
      <c r="I514" s="28" t="s">
        <v>631</v>
      </c>
      <c r="J514" s="30"/>
      <c r="K514" s="30"/>
      <c r="L514" s="30"/>
      <c r="M514" s="30"/>
      <c r="N514" s="30">
        <v>200000</v>
      </c>
      <c r="O514" s="30"/>
      <c r="P514" s="30"/>
      <c r="Q514" s="30"/>
      <c r="R514" s="30"/>
      <c r="S514" s="30"/>
      <c r="T514" s="30"/>
      <c r="U514" s="30"/>
      <c r="V514" s="30"/>
      <c r="W514" s="197">
        <f t="shared" si="72"/>
        <v>200000</v>
      </c>
    </row>
    <row r="515" spans="1:23" x14ac:dyDescent="0.3">
      <c r="A515" s="155">
        <v>514</v>
      </c>
      <c r="B515" s="28"/>
      <c r="C515" s="28" t="s">
        <v>952</v>
      </c>
      <c r="D515" s="194">
        <v>1938462</v>
      </c>
      <c r="E515" s="194">
        <v>216000</v>
      </c>
      <c r="F515" s="194">
        <v>0</v>
      </c>
      <c r="G515" s="194">
        <f t="shared" si="71"/>
        <v>1938462</v>
      </c>
      <c r="H515" s="29" t="s">
        <v>453</v>
      </c>
      <c r="I515" s="28" t="s">
        <v>631</v>
      </c>
      <c r="J515" s="30"/>
      <c r="K515" s="30"/>
      <c r="L515" s="30"/>
      <c r="M515" s="30"/>
      <c r="N515" s="30">
        <v>216000</v>
      </c>
      <c r="O515" s="30"/>
      <c r="P515" s="30"/>
      <c r="Q515" s="30"/>
      <c r="R515" s="30"/>
      <c r="S515" s="30"/>
      <c r="T515" s="30"/>
      <c r="U515" s="30"/>
      <c r="V515" s="30"/>
      <c r="W515" s="197">
        <f t="shared" si="72"/>
        <v>216000</v>
      </c>
    </row>
    <row r="516" spans="1:23" x14ac:dyDescent="0.3">
      <c r="A516" s="155">
        <v>515</v>
      </c>
      <c r="B516" s="28"/>
      <c r="C516" s="28" t="s">
        <v>953</v>
      </c>
      <c r="D516" s="194">
        <v>1938462</v>
      </c>
      <c r="E516" s="194">
        <v>184000</v>
      </c>
      <c r="F516" s="194">
        <v>0</v>
      </c>
      <c r="G516" s="194">
        <f t="shared" si="71"/>
        <v>1938462</v>
      </c>
      <c r="H516" s="29" t="s">
        <v>453</v>
      </c>
      <c r="I516" s="28" t="s">
        <v>631</v>
      </c>
      <c r="J516" s="30"/>
      <c r="K516" s="30"/>
      <c r="L516" s="30"/>
      <c r="M516" s="30"/>
      <c r="N516" s="30">
        <v>184000</v>
      </c>
      <c r="O516" s="30"/>
      <c r="P516" s="30"/>
      <c r="Q516" s="30"/>
      <c r="R516" s="30"/>
      <c r="S516" s="30"/>
      <c r="T516" s="30"/>
      <c r="U516" s="30"/>
      <c r="V516" s="30"/>
      <c r="W516" s="197">
        <f t="shared" si="72"/>
        <v>184000</v>
      </c>
    </row>
    <row r="517" spans="1:23" x14ac:dyDescent="0.3">
      <c r="A517" s="155">
        <v>516</v>
      </c>
      <c r="B517" s="28"/>
      <c r="C517" s="28" t="s">
        <v>954</v>
      </c>
      <c r="D517" s="194">
        <v>1938462</v>
      </c>
      <c r="E517" s="194">
        <v>184000</v>
      </c>
      <c r="F517" s="194">
        <v>0</v>
      </c>
      <c r="G517" s="194">
        <f t="shared" si="71"/>
        <v>1938462</v>
      </c>
      <c r="H517" s="29" t="s">
        <v>453</v>
      </c>
      <c r="I517" s="28" t="s">
        <v>631</v>
      </c>
      <c r="J517" s="30"/>
      <c r="K517" s="30"/>
      <c r="L517" s="30"/>
      <c r="M517" s="30"/>
      <c r="N517" s="30">
        <v>184000</v>
      </c>
      <c r="O517" s="30"/>
      <c r="P517" s="30"/>
      <c r="Q517" s="30"/>
      <c r="R517" s="30"/>
      <c r="S517" s="30"/>
      <c r="T517" s="30"/>
      <c r="U517" s="30"/>
      <c r="V517" s="30"/>
      <c r="W517" s="197">
        <f t="shared" si="72"/>
        <v>184000</v>
      </c>
    </row>
    <row r="518" spans="1:23" x14ac:dyDescent="0.3">
      <c r="A518" s="155">
        <v>517</v>
      </c>
      <c r="B518" s="28"/>
      <c r="C518" s="28" t="s">
        <v>955</v>
      </c>
      <c r="D518" s="194">
        <v>1938462</v>
      </c>
      <c r="E518" s="194">
        <v>200000</v>
      </c>
      <c r="F518" s="194">
        <v>0</v>
      </c>
      <c r="G518" s="194">
        <f t="shared" si="71"/>
        <v>1938462</v>
      </c>
      <c r="H518" s="29" t="s">
        <v>453</v>
      </c>
      <c r="I518" s="28" t="s">
        <v>631</v>
      </c>
      <c r="J518" s="30"/>
      <c r="K518" s="30"/>
      <c r="L518" s="30"/>
      <c r="M518" s="30"/>
      <c r="N518" s="30">
        <v>200000</v>
      </c>
      <c r="O518" s="30"/>
      <c r="P518" s="30"/>
      <c r="Q518" s="30"/>
      <c r="R518" s="30"/>
      <c r="S518" s="30"/>
      <c r="T518" s="30"/>
      <c r="U518" s="30"/>
      <c r="V518" s="30"/>
      <c r="W518" s="197">
        <f t="shared" si="72"/>
        <v>200000</v>
      </c>
    </row>
    <row r="519" spans="1:23" x14ac:dyDescent="0.3">
      <c r="A519" s="155">
        <v>518</v>
      </c>
      <c r="B519" s="28"/>
      <c r="C519" s="28" t="s">
        <v>956</v>
      </c>
      <c r="D519" s="194">
        <v>7565000</v>
      </c>
      <c r="E519" s="194">
        <v>1168000</v>
      </c>
      <c r="F519" s="194">
        <v>0</v>
      </c>
      <c r="G519" s="194">
        <f t="shared" si="71"/>
        <v>7565000</v>
      </c>
      <c r="H519" s="29" t="s">
        <v>453</v>
      </c>
      <c r="I519" s="28" t="s">
        <v>631</v>
      </c>
      <c r="J519" s="30"/>
      <c r="K519" s="30"/>
      <c r="L519" s="30"/>
      <c r="M519" s="30"/>
      <c r="N519" s="30">
        <v>1168000</v>
      </c>
      <c r="O519" s="30"/>
      <c r="P519" s="30"/>
      <c r="Q519" s="30"/>
      <c r="R519" s="30"/>
      <c r="S519" s="30"/>
      <c r="T519" s="30"/>
      <c r="U519" s="30"/>
      <c r="V519" s="30"/>
      <c r="W519" s="197">
        <f t="shared" si="72"/>
        <v>1168000</v>
      </c>
    </row>
    <row r="520" spans="1:23" x14ac:dyDescent="0.3">
      <c r="A520" s="155">
        <v>519</v>
      </c>
      <c r="B520" s="28"/>
      <c r="C520" s="28" t="s">
        <v>957</v>
      </c>
      <c r="D520" s="194">
        <v>750000</v>
      </c>
      <c r="E520" s="194">
        <v>116000</v>
      </c>
      <c r="F520" s="194">
        <v>0</v>
      </c>
      <c r="G520" s="194">
        <f t="shared" si="71"/>
        <v>750000</v>
      </c>
      <c r="H520" s="29" t="s">
        <v>453</v>
      </c>
      <c r="I520" s="28" t="s">
        <v>631</v>
      </c>
      <c r="J520" s="30"/>
      <c r="K520" s="30"/>
      <c r="L520" s="30"/>
      <c r="M520" s="30"/>
      <c r="N520" s="30">
        <v>116000</v>
      </c>
      <c r="O520" s="30"/>
      <c r="P520" s="30"/>
      <c r="Q520" s="30"/>
      <c r="R520" s="30"/>
      <c r="S520" s="30"/>
      <c r="T520" s="30"/>
      <c r="U520" s="30"/>
      <c r="V520" s="30"/>
      <c r="W520" s="197">
        <f t="shared" si="72"/>
        <v>116000</v>
      </c>
    </row>
    <row r="521" spans="1:23" x14ac:dyDescent="0.3">
      <c r="A521" s="155">
        <v>520</v>
      </c>
      <c r="B521" s="28"/>
      <c r="C521" s="28" t="s">
        <v>958</v>
      </c>
      <c r="D521" s="194">
        <v>2500000</v>
      </c>
      <c r="E521" s="194">
        <v>388000</v>
      </c>
      <c r="F521" s="194">
        <v>0</v>
      </c>
      <c r="G521" s="194">
        <f t="shared" si="71"/>
        <v>2500000</v>
      </c>
      <c r="H521" s="29" t="s">
        <v>453</v>
      </c>
      <c r="I521" s="28" t="s">
        <v>631</v>
      </c>
      <c r="J521" s="30"/>
      <c r="K521" s="30"/>
      <c r="L521" s="30"/>
      <c r="M521" s="30"/>
      <c r="N521" s="30">
        <v>388000</v>
      </c>
      <c r="O521" s="30"/>
      <c r="P521" s="30"/>
      <c r="Q521" s="30"/>
      <c r="R521" s="30"/>
      <c r="S521" s="30"/>
      <c r="T521" s="30"/>
      <c r="U521" s="30"/>
      <c r="V521" s="30"/>
      <c r="W521" s="197">
        <f t="shared" si="72"/>
        <v>388000</v>
      </c>
    </row>
    <row r="522" spans="1:23" x14ac:dyDescent="0.3">
      <c r="A522" s="155">
        <v>521</v>
      </c>
      <c r="B522" s="28"/>
      <c r="C522" s="28" t="s">
        <v>959</v>
      </c>
      <c r="D522" s="194">
        <v>800000</v>
      </c>
      <c r="E522" s="194">
        <v>124000</v>
      </c>
      <c r="F522" s="194">
        <v>150000</v>
      </c>
      <c r="G522" s="194"/>
      <c r="H522" s="29" t="s">
        <v>452</v>
      </c>
      <c r="I522" s="28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97"/>
    </row>
    <row r="523" spans="1:23" x14ac:dyDescent="0.3">
      <c r="A523" s="155">
        <v>522</v>
      </c>
      <c r="B523" s="28"/>
      <c r="C523" s="28" t="s">
        <v>960</v>
      </c>
      <c r="D523" s="194">
        <v>1915000</v>
      </c>
      <c r="E523" s="194">
        <v>296000</v>
      </c>
      <c r="F523" s="194">
        <v>0</v>
      </c>
      <c r="G523" s="194">
        <f t="shared" ref="G523:G527" si="73">D523</f>
        <v>1915000</v>
      </c>
      <c r="H523" s="29" t="s">
        <v>453</v>
      </c>
      <c r="I523" s="28" t="s">
        <v>631</v>
      </c>
      <c r="J523" s="30"/>
      <c r="K523" s="30"/>
      <c r="L523" s="30"/>
      <c r="M523" s="30"/>
      <c r="N523" s="194">
        <v>296000</v>
      </c>
      <c r="O523" s="30"/>
      <c r="P523" s="30"/>
      <c r="Q523" s="30"/>
      <c r="R523" s="30"/>
      <c r="S523" s="30"/>
      <c r="T523" s="30"/>
      <c r="U523" s="30"/>
      <c r="V523" s="30"/>
      <c r="W523" s="197">
        <f>SUM(J523:V523)</f>
        <v>296000</v>
      </c>
    </row>
    <row r="524" spans="1:23" x14ac:dyDescent="0.3">
      <c r="A524" s="155">
        <v>523</v>
      </c>
      <c r="B524" s="28"/>
      <c r="C524" s="28" t="s">
        <v>961</v>
      </c>
      <c r="D524" s="194">
        <v>1580000</v>
      </c>
      <c r="E524" s="194">
        <v>244000</v>
      </c>
      <c r="F524" s="194">
        <v>0</v>
      </c>
      <c r="G524" s="194">
        <f t="shared" si="73"/>
        <v>1580000</v>
      </c>
      <c r="H524" s="29" t="s">
        <v>453</v>
      </c>
      <c r="I524" s="28" t="s">
        <v>631</v>
      </c>
      <c r="J524" s="30"/>
      <c r="K524" s="30"/>
      <c r="L524" s="30"/>
      <c r="M524" s="30"/>
      <c r="N524" s="30">
        <v>244000</v>
      </c>
      <c r="O524" s="30"/>
      <c r="P524" s="30"/>
      <c r="Q524" s="30"/>
      <c r="R524" s="30"/>
      <c r="S524" s="30"/>
      <c r="T524" s="30"/>
      <c r="U524" s="30"/>
      <c r="V524" s="30"/>
      <c r="W524" s="197">
        <f>SUM(J524:V524)</f>
        <v>244000</v>
      </c>
    </row>
    <row r="525" spans="1:23" x14ac:dyDescent="0.3">
      <c r="A525" s="155">
        <v>524</v>
      </c>
      <c r="B525" s="28"/>
      <c r="C525" s="28" t="s">
        <v>962</v>
      </c>
      <c r="D525" s="194">
        <v>645000</v>
      </c>
      <c r="E525" s="194">
        <v>100000</v>
      </c>
      <c r="F525" s="194">
        <v>0</v>
      </c>
      <c r="G525" s="194">
        <f t="shared" si="73"/>
        <v>645000</v>
      </c>
      <c r="H525" s="29" t="s">
        <v>453</v>
      </c>
      <c r="I525" s="28" t="s">
        <v>631</v>
      </c>
      <c r="J525" s="30"/>
      <c r="K525" s="30"/>
      <c r="L525" s="30"/>
      <c r="M525" s="30"/>
      <c r="N525" s="30">
        <v>100000</v>
      </c>
      <c r="O525" s="30"/>
      <c r="P525" s="30"/>
      <c r="Q525" s="30"/>
      <c r="R525" s="30"/>
      <c r="S525" s="30"/>
      <c r="T525" s="30"/>
      <c r="U525" s="30"/>
      <c r="V525" s="30"/>
      <c r="W525" s="197">
        <f>SUM(J525:V525)</f>
        <v>100000</v>
      </c>
    </row>
    <row r="526" spans="1:23" x14ac:dyDescent="0.3">
      <c r="A526" s="155">
        <v>525</v>
      </c>
      <c r="B526" s="28"/>
      <c r="C526" s="28" t="s">
        <v>963</v>
      </c>
      <c r="D526" s="194">
        <v>247500</v>
      </c>
      <c r="E526" s="194">
        <v>40000</v>
      </c>
      <c r="F526" s="194">
        <v>0</v>
      </c>
      <c r="G526" s="194">
        <f t="shared" si="73"/>
        <v>247500</v>
      </c>
      <c r="H526" s="29" t="s">
        <v>453</v>
      </c>
      <c r="I526" s="28" t="s">
        <v>631</v>
      </c>
      <c r="J526" s="30"/>
      <c r="K526" s="30"/>
      <c r="L526" s="30"/>
      <c r="M526" s="30"/>
      <c r="N526" s="30">
        <v>40000</v>
      </c>
      <c r="O526" s="30"/>
      <c r="P526" s="30"/>
      <c r="Q526" s="30"/>
      <c r="R526" s="30"/>
      <c r="S526" s="30"/>
      <c r="T526" s="30"/>
      <c r="U526" s="30"/>
      <c r="V526" s="30"/>
      <c r="W526" s="197">
        <f>SUM(J526:V526)</f>
        <v>40000</v>
      </c>
    </row>
    <row r="527" spans="1:23" x14ac:dyDescent="0.3">
      <c r="A527" s="155">
        <v>526</v>
      </c>
      <c r="B527" s="28"/>
      <c r="C527" s="28" t="s">
        <v>964</v>
      </c>
      <c r="D527" s="194">
        <v>585000</v>
      </c>
      <c r="E527" s="194">
        <v>92000</v>
      </c>
      <c r="F527" s="194">
        <v>0</v>
      </c>
      <c r="G527" s="194">
        <f t="shared" si="73"/>
        <v>585000</v>
      </c>
      <c r="H527" s="29" t="s">
        <v>453</v>
      </c>
      <c r="I527" s="28" t="s">
        <v>631</v>
      </c>
      <c r="J527" s="30"/>
      <c r="K527" s="30"/>
      <c r="L527" s="30"/>
      <c r="M527" s="30"/>
      <c r="N527" s="30">
        <v>92000</v>
      </c>
      <c r="O527" s="30"/>
      <c r="P527" s="30"/>
      <c r="Q527" s="30"/>
      <c r="R527" s="30"/>
      <c r="S527" s="30"/>
      <c r="T527" s="30"/>
      <c r="U527" s="30"/>
      <c r="V527" s="30"/>
      <c r="W527" s="197">
        <f>SUM(J527:V527)</f>
        <v>92000</v>
      </c>
    </row>
    <row r="528" spans="1:23" x14ac:dyDescent="0.3">
      <c r="A528" s="155">
        <v>527</v>
      </c>
      <c r="B528" s="28"/>
      <c r="C528" s="28" t="s">
        <v>965</v>
      </c>
      <c r="D528" s="194">
        <v>2518000</v>
      </c>
      <c r="E528" s="194">
        <v>388000</v>
      </c>
      <c r="F528" s="194">
        <v>400000</v>
      </c>
      <c r="G528" s="194"/>
      <c r="H528" s="29" t="s">
        <v>452</v>
      </c>
      <c r="I528" s="28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97"/>
    </row>
    <row r="529" spans="1:23" x14ac:dyDescent="0.3">
      <c r="A529" s="155">
        <v>528</v>
      </c>
      <c r="B529" s="28"/>
      <c r="C529" s="28" t="s">
        <v>966</v>
      </c>
      <c r="D529" s="194">
        <v>198400</v>
      </c>
      <c r="E529" s="194">
        <v>32000</v>
      </c>
      <c r="F529" s="194">
        <v>0</v>
      </c>
      <c r="G529" s="194">
        <f t="shared" ref="G529:G538" si="74">D529</f>
        <v>198400</v>
      </c>
      <c r="H529" s="29" t="s">
        <v>453</v>
      </c>
      <c r="I529" s="28" t="s">
        <v>631</v>
      </c>
      <c r="J529" s="30"/>
      <c r="K529" s="30"/>
      <c r="L529" s="30"/>
      <c r="M529" s="30"/>
      <c r="N529" s="30">
        <v>32000</v>
      </c>
      <c r="O529" s="30"/>
      <c r="P529" s="30"/>
      <c r="Q529" s="30"/>
      <c r="R529" s="30"/>
      <c r="S529" s="30"/>
      <c r="T529" s="30"/>
      <c r="U529" s="30"/>
      <c r="V529" s="30"/>
      <c r="W529" s="197">
        <f t="shared" ref="W529:W538" si="75">SUM(J529:V529)</f>
        <v>32000</v>
      </c>
    </row>
    <row r="530" spans="1:23" x14ac:dyDescent="0.3">
      <c r="A530" s="155">
        <v>529</v>
      </c>
      <c r="B530" s="28"/>
      <c r="C530" s="28" t="s">
        <v>967</v>
      </c>
      <c r="D530" s="194">
        <v>2233343</v>
      </c>
      <c r="E530" s="194">
        <v>34400</v>
      </c>
      <c r="F530" s="194">
        <v>0</v>
      </c>
      <c r="G530" s="194">
        <f t="shared" si="74"/>
        <v>2233343</v>
      </c>
      <c r="H530" s="29" t="s">
        <v>453</v>
      </c>
      <c r="I530" s="28" t="s">
        <v>631</v>
      </c>
      <c r="J530" s="30"/>
      <c r="K530" s="30"/>
      <c r="L530" s="30"/>
      <c r="M530" s="30"/>
      <c r="N530" s="30">
        <v>34400</v>
      </c>
      <c r="O530" s="30"/>
      <c r="P530" s="30"/>
      <c r="Q530" s="30"/>
      <c r="R530" s="30"/>
      <c r="S530" s="30"/>
      <c r="T530" s="30"/>
      <c r="U530" s="30"/>
      <c r="V530" s="30"/>
      <c r="W530" s="197">
        <f t="shared" si="75"/>
        <v>34400</v>
      </c>
    </row>
    <row r="531" spans="1:23" x14ac:dyDescent="0.3">
      <c r="A531" s="155">
        <v>530</v>
      </c>
      <c r="B531" s="28"/>
      <c r="C531" s="28" t="s">
        <v>968</v>
      </c>
      <c r="D531" s="194">
        <v>15559500</v>
      </c>
      <c r="E531" s="194">
        <v>2404000</v>
      </c>
      <c r="F531" s="194">
        <v>0</v>
      </c>
      <c r="G531" s="194">
        <f t="shared" si="74"/>
        <v>15559500</v>
      </c>
      <c r="H531" s="29" t="s">
        <v>453</v>
      </c>
      <c r="I531" s="28" t="s">
        <v>631</v>
      </c>
      <c r="J531" s="30"/>
      <c r="K531" s="30"/>
      <c r="L531" s="30"/>
      <c r="M531" s="30"/>
      <c r="N531" s="30">
        <v>2404000</v>
      </c>
      <c r="O531" s="30"/>
      <c r="P531" s="30"/>
      <c r="Q531" s="30"/>
      <c r="R531" s="30"/>
      <c r="S531" s="30"/>
      <c r="T531" s="30"/>
      <c r="U531" s="30"/>
      <c r="V531" s="30"/>
      <c r="W531" s="197">
        <f t="shared" si="75"/>
        <v>2404000</v>
      </c>
    </row>
    <row r="532" spans="1:23" x14ac:dyDescent="0.3">
      <c r="A532" s="155">
        <v>531</v>
      </c>
      <c r="B532" s="28"/>
      <c r="C532" s="28" t="s">
        <v>969</v>
      </c>
      <c r="D532" s="194">
        <v>1650000</v>
      </c>
      <c r="E532" s="194">
        <v>256000</v>
      </c>
      <c r="F532" s="194">
        <v>0</v>
      </c>
      <c r="G532" s="194">
        <f t="shared" si="74"/>
        <v>1650000</v>
      </c>
      <c r="H532" s="29" t="s">
        <v>453</v>
      </c>
      <c r="I532" s="28" t="s">
        <v>631</v>
      </c>
      <c r="J532" s="30"/>
      <c r="K532" s="30"/>
      <c r="L532" s="30"/>
      <c r="M532" s="30"/>
      <c r="N532" s="30">
        <v>256000</v>
      </c>
      <c r="O532" s="30"/>
      <c r="P532" s="30"/>
      <c r="Q532" s="30"/>
      <c r="R532" s="30"/>
      <c r="S532" s="30"/>
      <c r="T532" s="30"/>
      <c r="U532" s="30"/>
      <c r="V532" s="30"/>
      <c r="W532" s="197">
        <f t="shared" si="75"/>
        <v>256000</v>
      </c>
    </row>
    <row r="533" spans="1:23" x14ac:dyDescent="0.3">
      <c r="A533" s="155">
        <v>532</v>
      </c>
      <c r="B533" s="28"/>
      <c r="C533" s="28" t="s">
        <v>970</v>
      </c>
      <c r="D533" s="194">
        <v>2500000</v>
      </c>
      <c r="E533" s="194">
        <v>388000</v>
      </c>
      <c r="F533" s="194">
        <v>0</v>
      </c>
      <c r="G533" s="194">
        <f t="shared" si="74"/>
        <v>2500000</v>
      </c>
      <c r="H533" s="29" t="s">
        <v>453</v>
      </c>
      <c r="I533" s="28" t="s">
        <v>631</v>
      </c>
      <c r="J533" s="30"/>
      <c r="K533" s="30"/>
      <c r="L533" s="30"/>
      <c r="M533" s="30"/>
      <c r="N533" s="30">
        <v>388000</v>
      </c>
      <c r="O533" s="30"/>
      <c r="P533" s="30"/>
      <c r="Q533" s="30"/>
      <c r="R533" s="30"/>
      <c r="S533" s="30"/>
      <c r="T533" s="30"/>
      <c r="U533" s="30"/>
      <c r="V533" s="30"/>
      <c r="W533" s="197">
        <f t="shared" si="75"/>
        <v>388000</v>
      </c>
    </row>
    <row r="534" spans="1:23" x14ac:dyDescent="0.3">
      <c r="A534" s="155">
        <v>533</v>
      </c>
      <c r="B534" s="28"/>
      <c r="C534" s="28" t="s">
        <v>971</v>
      </c>
      <c r="D534" s="194">
        <v>2600000</v>
      </c>
      <c r="E534" s="194">
        <v>401777</v>
      </c>
      <c r="F534" s="194">
        <v>0</v>
      </c>
      <c r="G534" s="194">
        <f t="shared" si="74"/>
        <v>2600000</v>
      </c>
      <c r="H534" s="29" t="s">
        <v>453</v>
      </c>
      <c r="I534" s="28" t="s">
        <v>631</v>
      </c>
      <c r="J534" s="30"/>
      <c r="K534" s="30"/>
      <c r="L534" s="30"/>
      <c r="M534" s="30"/>
      <c r="N534" s="30">
        <v>401777</v>
      </c>
      <c r="O534" s="30"/>
      <c r="P534" s="30"/>
      <c r="Q534" s="30"/>
      <c r="R534" s="30"/>
      <c r="S534" s="30"/>
      <c r="T534" s="30"/>
      <c r="U534" s="30"/>
      <c r="V534" s="30"/>
      <c r="W534" s="197">
        <f t="shared" si="75"/>
        <v>401777</v>
      </c>
    </row>
    <row r="535" spans="1:23" x14ac:dyDescent="0.3">
      <c r="A535" s="155">
        <v>534</v>
      </c>
      <c r="B535" s="28"/>
      <c r="C535" s="28" t="s">
        <v>971</v>
      </c>
      <c r="D535" s="194">
        <v>1300000</v>
      </c>
      <c r="E535" s="194">
        <v>200889</v>
      </c>
      <c r="F535" s="194">
        <v>0</v>
      </c>
      <c r="G535" s="194">
        <f t="shared" si="74"/>
        <v>1300000</v>
      </c>
      <c r="H535" s="29" t="s">
        <v>453</v>
      </c>
      <c r="I535" s="28" t="s">
        <v>631</v>
      </c>
      <c r="J535" s="30"/>
      <c r="K535" s="30"/>
      <c r="L535" s="30"/>
      <c r="M535" s="30"/>
      <c r="N535" s="30">
        <v>200889</v>
      </c>
      <c r="O535" s="30"/>
      <c r="P535" s="30"/>
      <c r="Q535" s="30"/>
      <c r="R535" s="30"/>
      <c r="S535" s="30"/>
      <c r="T535" s="30"/>
      <c r="U535" s="30"/>
      <c r="V535" s="30"/>
      <c r="W535" s="197">
        <f t="shared" si="75"/>
        <v>200889</v>
      </c>
    </row>
    <row r="536" spans="1:23" x14ac:dyDescent="0.3">
      <c r="A536" s="155">
        <v>535</v>
      </c>
      <c r="B536" s="28"/>
      <c r="C536" s="28" t="s">
        <v>971</v>
      </c>
      <c r="D536" s="194">
        <v>1300000</v>
      </c>
      <c r="E536" s="194">
        <v>200889</v>
      </c>
      <c r="F536" s="194">
        <v>0</v>
      </c>
      <c r="G536" s="194">
        <f t="shared" si="74"/>
        <v>1300000</v>
      </c>
      <c r="H536" s="29" t="s">
        <v>453</v>
      </c>
      <c r="I536" s="28" t="s">
        <v>631</v>
      </c>
      <c r="J536" s="30"/>
      <c r="K536" s="30"/>
      <c r="L536" s="30"/>
      <c r="M536" s="30"/>
      <c r="N536" s="30">
        <v>200889</v>
      </c>
      <c r="O536" s="30"/>
      <c r="P536" s="30"/>
      <c r="Q536" s="30"/>
      <c r="R536" s="30"/>
      <c r="S536" s="30"/>
      <c r="T536" s="30"/>
      <c r="U536" s="30"/>
      <c r="V536" s="30"/>
      <c r="W536" s="197">
        <f t="shared" si="75"/>
        <v>200889</v>
      </c>
    </row>
    <row r="537" spans="1:23" x14ac:dyDescent="0.3">
      <c r="A537" s="155">
        <v>536</v>
      </c>
      <c r="B537" s="28"/>
      <c r="C537" s="28" t="s">
        <v>971</v>
      </c>
      <c r="D537" s="194">
        <v>6500000</v>
      </c>
      <c r="E537" s="194">
        <v>1004445</v>
      </c>
      <c r="F537" s="194">
        <v>0</v>
      </c>
      <c r="G537" s="194">
        <f t="shared" si="74"/>
        <v>6500000</v>
      </c>
      <c r="H537" s="29" t="s">
        <v>453</v>
      </c>
      <c r="I537" s="28" t="s">
        <v>631</v>
      </c>
      <c r="J537" s="30"/>
      <c r="K537" s="30"/>
      <c r="L537" s="30"/>
      <c r="M537" s="30"/>
      <c r="N537" s="30">
        <v>1004445</v>
      </c>
      <c r="O537" s="30"/>
      <c r="P537" s="30"/>
      <c r="Q537" s="30"/>
      <c r="R537" s="30"/>
      <c r="S537" s="30"/>
      <c r="T537" s="30"/>
      <c r="U537" s="30"/>
      <c r="V537" s="30"/>
      <c r="W537" s="197">
        <f t="shared" si="75"/>
        <v>1004445</v>
      </c>
    </row>
    <row r="538" spans="1:23" x14ac:dyDescent="0.3">
      <c r="A538" s="155">
        <v>537</v>
      </c>
      <c r="B538" s="28"/>
      <c r="C538" s="28" t="s">
        <v>972</v>
      </c>
      <c r="D538" s="194">
        <v>549500</v>
      </c>
      <c r="E538" s="194">
        <v>84000</v>
      </c>
      <c r="F538" s="194">
        <v>0</v>
      </c>
      <c r="G538" s="194">
        <f t="shared" si="74"/>
        <v>549500</v>
      </c>
      <c r="H538" s="29" t="s">
        <v>453</v>
      </c>
      <c r="I538" s="28" t="s">
        <v>631</v>
      </c>
      <c r="J538" s="30"/>
      <c r="K538" s="30"/>
      <c r="L538" s="30"/>
      <c r="M538" s="30"/>
      <c r="N538" s="30">
        <v>84000</v>
      </c>
      <c r="O538" s="30"/>
      <c r="P538" s="30"/>
      <c r="Q538" s="30"/>
      <c r="R538" s="30"/>
      <c r="S538" s="30"/>
      <c r="T538" s="30"/>
      <c r="U538" s="30"/>
      <c r="V538" s="30"/>
      <c r="W538" s="197">
        <f t="shared" si="75"/>
        <v>84000</v>
      </c>
    </row>
    <row r="539" spans="1:23" x14ac:dyDescent="0.3">
      <c r="A539" s="155">
        <v>538</v>
      </c>
      <c r="B539" s="28"/>
      <c r="C539" s="28" t="s">
        <v>973</v>
      </c>
      <c r="D539" s="194">
        <v>5500000</v>
      </c>
      <c r="E539" s="194">
        <v>848000</v>
      </c>
      <c r="F539" s="194">
        <v>1300000</v>
      </c>
      <c r="G539" s="194"/>
      <c r="H539" s="29" t="s">
        <v>452</v>
      </c>
      <c r="I539" s="28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97"/>
    </row>
    <row r="540" spans="1:23" x14ac:dyDescent="0.3">
      <c r="A540" s="155">
        <v>539</v>
      </c>
      <c r="B540" s="28"/>
      <c r="C540" s="28" t="s">
        <v>974</v>
      </c>
      <c r="D540" s="194">
        <v>12900000</v>
      </c>
      <c r="E540" s="194">
        <v>1546000</v>
      </c>
      <c r="F540" s="194">
        <v>1700000</v>
      </c>
      <c r="G540" s="194"/>
      <c r="H540" s="29" t="s">
        <v>452</v>
      </c>
      <c r="I540" s="28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97"/>
    </row>
    <row r="541" spans="1:23" x14ac:dyDescent="0.3">
      <c r="A541" s="155">
        <v>540</v>
      </c>
      <c r="B541" s="28"/>
      <c r="C541" s="28" t="s">
        <v>975</v>
      </c>
      <c r="D541" s="194">
        <v>5150000</v>
      </c>
      <c r="E541" s="194">
        <v>796000</v>
      </c>
      <c r="F541" s="194">
        <v>1000000</v>
      </c>
      <c r="G541" s="194"/>
      <c r="H541" s="29" t="s">
        <v>452</v>
      </c>
      <c r="I541" s="28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97"/>
    </row>
    <row r="542" spans="1:23" x14ac:dyDescent="0.3">
      <c r="A542" s="155">
        <v>541</v>
      </c>
      <c r="B542" s="28"/>
      <c r="C542" s="28" t="s">
        <v>976</v>
      </c>
      <c r="D542" s="194">
        <v>1834500</v>
      </c>
      <c r="E542" s="194">
        <v>284000</v>
      </c>
      <c r="F542" s="194">
        <v>0</v>
      </c>
      <c r="G542" s="194">
        <f t="shared" ref="G542:G576" si="76">D542</f>
        <v>1834500</v>
      </c>
      <c r="H542" s="29" t="s">
        <v>453</v>
      </c>
      <c r="I542" s="28" t="s">
        <v>631</v>
      </c>
      <c r="J542" s="30"/>
      <c r="K542" s="30"/>
      <c r="L542" s="30"/>
      <c r="M542" s="30"/>
      <c r="N542" s="30">
        <v>284000</v>
      </c>
      <c r="O542" s="30"/>
      <c r="P542" s="30"/>
      <c r="Q542" s="30"/>
      <c r="R542" s="30"/>
      <c r="S542" s="30"/>
      <c r="T542" s="30"/>
      <c r="U542" s="30"/>
      <c r="V542" s="30"/>
      <c r="W542" s="197">
        <f t="shared" ref="W542:W576" si="77">SUM(J542:V542)</f>
        <v>284000</v>
      </c>
    </row>
    <row r="543" spans="1:23" x14ac:dyDescent="0.3">
      <c r="A543" s="155">
        <v>542</v>
      </c>
      <c r="B543" s="28"/>
      <c r="C543" s="28" t="s">
        <v>977</v>
      </c>
      <c r="D543" s="194">
        <v>1596500</v>
      </c>
      <c r="E543" s="194">
        <v>24800</v>
      </c>
      <c r="F543" s="194">
        <v>0</v>
      </c>
      <c r="G543" s="194">
        <f t="shared" si="76"/>
        <v>1596500</v>
      </c>
      <c r="H543" s="29" t="s">
        <v>453</v>
      </c>
      <c r="I543" s="28" t="s">
        <v>631</v>
      </c>
      <c r="J543" s="30"/>
      <c r="K543" s="30"/>
      <c r="L543" s="30"/>
      <c r="M543" s="30"/>
      <c r="N543" s="30">
        <v>24800</v>
      </c>
      <c r="O543" s="30"/>
      <c r="P543" s="30"/>
      <c r="Q543" s="30"/>
      <c r="R543" s="30"/>
      <c r="S543" s="30"/>
      <c r="T543" s="30"/>
      <c r="U543" s="30"/>
      <c r="V543" s="30"/>
      <c r="W543" s="197">
        <f t="shared" si="77"/>
        <v>24800</v>
      </c>
    </row>
    <row r="544" spans="1:23" x14ac:dyDescent="0.3">
      <c r="A544" s="155">
        <v>543</v>
      </c>
      <c r="B544" s="28"/>
      <c r="C544" s="28" t="s">
        <v>978</v>
      </c>
      <c r="D544" s="194">
        <v>3500000</v>
      </c>
      <c r="E544" s="194">
        <v>540000</v>
      </c>
      <c r="F544" s="194">
        <v>0</v>
      </c>
      <c r="G544" s="194">
        <f t="shared" si="76"/>
        <v>3500000</v>
      </c>
      <c r="H544" s="29" t="s">
        <v>453</v>
      </c>
      <c r="I544" s="28" t="s">
        <v>631</v>
      </c>
      <c r="J544" s="30"/>
      <c r="K544" s="30"/>
      <c r="L544" s="30"/>
      <c r="M544" s="30"/>
      <c r="N544" s="30">
        <v>540000</v>
      </c>
      <c r="O544" s="30"/>
      <c r="P544" s="30"/>
      <c r="Q544" s="30"/>
      <c r="R544" s="30"/>
      <c r="S544" s="30"/>
      <c r="T544" s="30"/>
      <c r="U544" s="30"/>
      <c r="V544" s="30"/>
      <c r="W544" s="197">
        <f t="shared" si="77"/>
        <v>540000</v>
      </c>
    </row>
    <row r="545" spans="1:23" x14ac:dyDescent="0.3">
      <c r="A545" s="155">
        <v>544</v>
      </c>
      <c r="B545" s="28"/>
      <c r="C545" s="28" t="s">
        <v>979</v>
      </c>
      <c r="D545" s="194">
        <v>660000</v>
      </c>
      <c r="E545" s="194">
        <v>10000</v>
      </c>
      <c r="F545" s="194">
        <v>0</v>
      </c>
      <c r="G545" s="194">
        <f t="shared" si="76"/>
        <v>660000</v>
      </c>
      <c r="H545" s="29" t="s">
        <v>453</v>
      </c>
      <c r="I545" s="28" t="s">
        <v>631</v>
      </c>
      <c r="J545" s="30"/>
      <c r="K545" s="30"/>
      <c r="L545" s="30"/>
      <c r="M545" s="30"/>
      <c r="N545" s="30">
        <v>10000</v>
      </c>
      <c r="O545" s="30"/>
      <c r="P545" s="30"/>
      <c r="Q545" s="30"/>
      <c r="R545" s="30"/>
      <c r="S545" s="30"/>
      <c r="T545" s="30"/>
      <c r="U545" s="30"/>
      <c r="V545" s="30"/>
      <c r="W545" s="197">
        <f t="shared" si="77"/>
        <v>10000</v>
      </c>
    </row>
    <row r="546" spans="1:23" x14ac:dyDescent="0.3">
      <c r="A546" s="155">
        <v>545</v>
      </c>
      <c r="B546" s="28"/>
      <c r="C546" s="28" t="s">
        <v>980</v>
      </c>
      <c r="D546" s="194">
        <v>170000</v>
      </c>
      <c r="E546" s="194">
        <v>2800</v>
      </c>
      <c r="F546" s="194">
        <v>0</v>
      </c>
      <c r="G546" s="194">
        <f t="shared" si="76"/>
        <v>170000</v>
      </c>
      <c r="H546" s="29" t="s">
        <v>453</v>
      </c>
      <c r="I546" s="28" t="s">
        <v>631</v>
      </c>
      <c r="J546" s="30"/>
      <c r="K546" s="30"/>
      <c r="L546" s="30"/>
      <c r="M546" s="30"/>
      <c r="N546" s="30">
        <v>2800</v>
      </c>
      <c r="O546" s="30"/>
      <c r="P546" s="30"/>
      <c r="Q546" s="30"/>
      <c r="R546" s="30"/>
      <c r="S546" s="30"/>
      <c r="T546" s="30"/>
      <c r="U546" s="30"/>
      <c r="V546" s="30"/>
      <c r="W546" s="197">
        <f t="shared" si="77"/>
        <v>2800</v>
      </c>
    </row>
    <row r="547" spans="1:23" x14ac:dyDescent="0.3">
      <c r="A547" s="155">
        <v>546</v>
      </c>
      <c r="B547" s="28"/>
      <c r="C547" s="28" t="s">
        <v>981</v>
      </c>
      <c r="D547" s="194">
        <v>1955000</v>
      </c>
      <c r="E547" s="194">
        <v>304000</v>
      </c>
      <c r="F547" s="194">
        <v>0</v>
      </c>
      <c r="G547" s="194">
        <f t="shared" si="76"/>
        <v>1955000</v>
      </c>
      <c r="H547" s="29" t="s">
        <v>453</v>
      </c>
      <c r="I547" s="28" t="s">
        <v>631</v>
      </c>
      <c r="J547" s="30"/>
      <c r="K547" s="30"/>
      <c r="L547" s="30"/>
      <c r="M547" s="30"/>
      <c r="N547" s="194">
        <v>304000</v>
      </c>
      <c r="O547" s="30"/>
      <c r="P547" s="30"/>
      <c r="Q547" s="30"/>
      <c r="R547" s="30"/>
      <c r="S547" s="30"/>
      <c r="T547" s="30"/>
      <c r="U547" s="30"/>
      <c r="V547" s="30"/>
      <c r="W547" s="197">
        <f t="shared" si="77"/>
        <v>304000</v>
      </c>
    </row>
    <row r="548" spans="1:23" x14ac:dyDescent="0.3">
      <c r="A548" s="155">
        <v>547</v>
      </c>
      <c r="B548" s="28"/>
      <c r="C548" s="28" t="s">
        <v>671</v>
      </c>
      <c r="D548" s="194">
        <v>1500000</v>
      </c>
      <c r="E548" s="194">
        <v>644000</v>
      </c>
      <c r="F548" s="194">
        <v>0</v>
      </c>
      <c r="G548" s="194">
        <f t="shared" si="76"/>
        <v>1500000</v>
      </c>
      <c r="H548" s="29" t="s">
        <v>453</v>
      </c>
      <c r="I548" s="28" t="s">
        <v>631</v>
      </c>
      <c r="J548" s="30"/>
      <c r="K548" s="30"/>
      <c r="L548" s="30"/>
      <c r="M548" s="30"/>
      <c r="N548" s="30">
        <v>644000</v>
      </c>
      <c r="O548" s="30"/>
      <c r="P548" s="30"/>
      <c r="Q548" s="30"/>
      <c r="R548" s="30"/>
      <c r="S548" s="30"/>
      <c r="T548" s="30"/>
      <c r="U548" s="30"/>
      <c r="V548" s="30"/>
      <c r="W548" s="197">
        <f t="shared" si="77"/>
        <v>644000</v>
      </c>
    </row>
    <row r="549" spans="1:23" x14ac:dyDescent="0.3">
      <c r="A549" s="155">
        <v>548</v>
      </c>
      <c r="B549" s="28"/>
      <c r="C549" s="28" t="s">
        <v>690</v>
      </c>
      <c r="D549" s="194">
        <v>12300000</v>
      </c>
      <c r="E549" s="194">
        <v>772000</v>
      </c>
      <c r="F549" s="194">
        <v>0</v>
      </c>
      <c r="G549" s="194">
        <f t="shared" si="76"/>
        <v>12300000</v>
      </c>
      <c r="H549" s="29" t="s">
        <v>453</v>
      </c>
      <c r="I549" s="28" t="s">
        <v>631</v>
      </c>
      <c r="J549" s="30"/>
      <c r="K549" s="30"/>
      <c r="L549" s="30"/>
      <c r="M549" s="30"/>
      <c r="N549" s="194">
        <v>772000</v>
      </c>
      <c r="O549" s="30"/>
      <c r="P549" s="30"/>
      <c r="Q549" s="30"/>
      <c r="R549" s="30"/>
      <c r="S549" s="30"/>
      <c r="T549" s="30"/>
      <c r="U549" s="30"/>
      <c r="V549" s="30"/>
      <c r="W549" s="197">
        <f t="shared" si="77"/>
        <v>772000</v>
      </c>
    </row>
    <row r="550" spans="1:23" x14ac:dyDescent="0.3">
      <c r="A550" s="155">
        <v>549</v>
      </c>
      <c r="B550" s="28"/>
      <c r="C550" s="28" t="s">
        <v>982</v>
      </c>
      <c r="D550" s="194">
        <v>6425000</v>
      </c>
      <c r="E550" s="194">
        <v>992000</v>
      </c>
      <c r="F550" s="194">
        <v>0</v>
      </c>
      <c r="G550" s="194">
        <f t="shared" si="76"/>
        <v>6425000</v>
      </c>
      <c r="H550" s="29" t="s">
        <v>453</v>
      </c>
      <c r="I550" s="28" t="s">
        <v>631</v>
      </c>
      <c r="J550" s="30"/>
      <c r="K550" s="30"/>
      <c r="L550" s="30"/>
      <c r="M550" s="30"/>
      <c r="N550" s="194">
        <v>992000</v>
      </c>
      <c r="O550" s="30"/>
      <c r="P550" s="30"/>
      <c r="Q550" s="30"/>
      <c r="R550" s="30"/>
      <c r="S550" s="30"/>
      <c r="T550" s="30"/>
      <c r="U550" s="30"/>
      <c r="V550" s="30"/>
      <c r="W550" s="197">
        <f t="shared" si="77"/>
        <v>992000</v>
      </c>
    </row>
    <row r="551" spans="1:23" x14ac:dyDescent="0.3">
      <c r="A551" s="155">
        <v>550</v>
      </c>
      <c r="B551" s="28"/>
      <c r="C551" s="28" t="s">
        <v>983</v>
      </c>
      <c r="D551" s="194">
        <v>25250000</v>
      </c>
      <c r="E551" s="194">
        <v>2472000</v>
      </c>
      <c r="F551" s="194">
        <v>0</v>
      </c>
      <c r="G551" s="194">
        <f t="shared" si="76"/>
        <v>25250000</v>
      </c>
      <c r="H551" s="29" t="s">
        <v>453</v>
      </c>
      <c r="I551" s="28" t="s">
        <v>631</v>
      </c>
      <c r="J551" s="30"/>
      <c r="K551" s="30"/>
      <c r="L551" s="30"/>
      <c r="M551" s="30"/>
      <c r="N551" s="194">
        <v>2472000</v>
      </c>
      <c r="O551" s="30"/>
      <c r="P551" s="30"/>
      <c r="Q551" s="30"/>
      <c r="R551" s="30"/>
      <c r="S551" s="30"/>
      <c r="T551" s="30"/>
      <c r="U551" s="30"/>
      <c r="V551" s="30"/>
      <c r="W551" s="197">
        <f t="shared" si="77"/>
        <v>2472000</v>
      </c>
    </row>
    <row r="552" spans="1:23" x14ac:dyDescent="0.3">
      <c r="A552" s="155">
        <v>551</v>
      </c>
      <c r="B552" s="28"/>
      <c r="C552" s="28" t="s">
        <v>984</v>
      </c>
      <c r="D552" s="194">
        <v>14600000</v>
      </c>
      <c r="E552" s="194">
        <v>1128000</v>
      </c>
      <c r="F552" s="194">
        <v>0</v>
      </c>
      <c r="G552" s="194">
        <f t="shared" si="76"/>
        <v>14600000</v>
      </c>
      <c r="H552" s="29" t="s">
        <v>453</v>
      </c>
      <c r="I552" s="28" t="s">
        <v>631</v>
      </c>
      <c r="J552" s="30"/>
      <c r="K552" s="30"/>
      <c r="L552" s="30"/>
      <c r="M552" s="30"/>
      <c r="N552" s="194">
        <v>1128000</v>
      </c>
      <c r="O552" s="30"/>
      <c r="P552" s="30"/>
      <c r="Q552" s="30"/>
      <c r="R552" s="30"/>
      <c r="S552" s="30"/>
      <c r="T552" s="30"/>
      <c r="U552" s="30"/>
      <c r="V552" s="30"/>
      <c r="W552" s="197">
        <f t="shared" si="77"/>
        <v>1128000</v>
      </c>
    </row>
    <row r="553" spans="1:23" x14ac:dyDescent="0.3">
      <c r="A553" s="155">
        <v>552</v>
      </c>
      <c r="B553" s="28"/>
      <c r="C553" s="28" t="s">
        <v>985</v>
      </c>
      <c r="D553" s="194">
        <v>9235600</v>
      </c>
      <c r="E553" s="194">
        <v>1428000</v>
      </c>
      <c r="F553" s="194">
        <v>0</v>
      </c>
      <c r="G553" s="194">
        <f t="shared" si="76"/>
        <v>9235600</v>
      </c>
      <c r="H553" s="29" t="s">
        <v>453</v>
      </c>
      <c r="I553" s="28" t="s">
        <v>631</v>
      </c>
      <c r="J553" s="30"/>
      <c r="K553" s="30"/>
      <c r="L553" s="30"/>
      <c r="M553" s="30"/>
      <c r="N553" s="30">
        <v>1428000</v>
      </c>
      <c r="O553" s="30"/>
      <c r="P553" s="30"/>
      <c r="Q553" s="30"/>
      <c r="R553" s="30"/>
      <c r="S553" s="30"/>
      <c r="T553" s="30"/>
      <c r="U553" s="30"/>
      <c r="V553" s="30"/>
      <c r="W553" s="197">
        <f t="shared" si="77"/>
        <v>1428000</v>
      </c>
    </row>
    <row r="554" spans="1:23" x14ac:dyDescent="0.3">
      <c r="A554" s="155">
        <v>553</v>
      </c>
      <c r="B554" s="28"/>
      <c r="C554" s="28" t="s">
        <v>986</v>
      </c>
      <c r="D554" s="194">
        <v>6926700</v>
      </c>
      <c r="E554" s="194">
        <v>1072000</v>
      </c>
      <c r="F554" s="194">
        <v>0</v>
      </c>
      <c r="G554" s="194">
        <f t="shared" si="76"/>
        <v>6926700</v>
      </c>
      <c r="H554" s="29" t="s">
        <v>453</v>
      </c>
      <c r="I554" s="28" t="s">
        <v>631</v>
      </c>
      <c r="J554" s="30"/>
      <c r="K554" s="30"/>
      <c r="L554" s="30"/>
      <c r="M554" s="30"/>
      <c r="N554" s="30">
        <v>1072000</v>
      </c>
      <c r="O554" s="30"/>
      <c r="P554" s="30"/>
      <c r="Q554" s="30"/>
      <c r="R554" s="30"/>
      <c r="S554" s="30"/>
      <c r="T554" s="30"/>
      <c r="U554" s="30"/>
      <c r="V554" s="30"/>
      <c r="W554" s="197">
        <f t="shared" si="77"/>
        <v>1072000</v>
      </c>
    </row>
    <row r="555" spans="1:23" x14ac:dyDescent="0.3">
      <c r="A555" s="155">
        <v>554</v>
      </c>
      <c r="B555" s="28"/>
      <c r="C555" s="28" t="s">
        <v>987</v>
      </c>
      <c r="D555" s="194">
        <v>4650000</v>
      </c>
      <c r="E555" s="194">
        <v>720000</v>
      </c>
      <c r="F555" s="194">
        <v>0</v>
      </c>
      <c r="G555" s="194">
        <f t="shared" si="76"/>
        <v>4650000</v>
      </c>
      <c r="H555" s="29" t="s">
        <v>453</v>
      </c>
      <c r="I555" s="28" t="s">
        <v>631</v>
      </c>
      <c r="J555" s="30"/>
      <c r="K555" s="30"/>
      <c r="L555" s="30"/>
      <c r="M555" s="30"/>
      <c r="N555" s="30">
        <v>720000</v>
      </c>
      <c r="O555" s="30"/>
      <c r="P555" s="30"/>
      <c r="Q555" s="30"/>
      <c r="R555" s="30"/>
      <c r="S555" s="30"/>
      <c r="T555" s="30"/>
      <c r="U555" s="30"/>
      <c r="V555" s="30"/>
      <c r="W555" s="197">
        <f t="shared" si="77"/>
        <v>720000</v>
      </c>
    </row>
    <row r="556" spans="1:23" x14ac:dyDescent="0.3">
      <c r="A556" s="155">
        <v>555</v>
      </c>
      <c r="B556" s="28"/>
      <c r="C556" s="28" t="s">
        <v>671</v>
      </c>
      <c r="D556" s="194">
        <v>4156000</v>
      </c>
      <c r="E556" s="194">
        <v>232000</v>
      </c>
      <c r="F556" s="194">
        <v>0</v>
      </c>
      <c r="G556" s="194">
        <f t="shared" si="76"/>
        <v>4156000</v>
      </c>
      <c r="H556" s="29" t="s">
        <v>453</v>
      </c>
      <c r="I556" s="28" t="s">
        <v>631</v>
      </c>
      <c r="J556" s="30"/>
      <c r="K556" s="30"/>
      <c r="L556" s="30"/>
      <c r="M556" s="30"/>
      <c r="N556" s="30">
        <v>232000</v>
      </c>
      <c r="O556" s="30"/>
      <c r="P556" s="30"/>
      <c r="Q556" s="30"/>
      <c r="R556" s="30"/>
      <c r="S556" s="30"/>
      <c r="T556" s="30"/>
      <c r="U556" s="30"/>
      <c r="V556" s="30"/>
      <c r="W556" s="197">
        <f t="shared" si="77"/>
        <v>232000</v>
      </c>
    </row>
    <row r="557" spans="1:23" x14ac:dyDescent="0.3">
      <c r="A557" s="155">
        <v>556</v>
      </c>
      <c r="B557" s="28"/>
      <c r="C557" s="28" t="s">
        <v>988</v>
      </c>
      <c r="D557" s="194">
        <v>5249000</v>
      </c>
      <c r="E557" s="194">
        <v>812000</v>
      </c>
      <c r="F557" s="194">
        <v>0</v>
      </c>
      <c r="G557" s="194">
        <f t="shared" si="76"/>
        <v>5249000</v>
      </c>
      <c r="H557" s="29" t="s">
        <v>453</v>
      </c>
      <c r="I557" s="28" t="s">
        <v>631</v>
      </c>
      <c r="J557" s="30"/>
      <c r="K557" s="30"/>
      <c r="L557" s="30"/>
      <c r="M557" s="30"/>
      <c r="N557" s="30">
        <v>812000</v>
      </c>
      <c r="O557" s="30"/>
      <c r="P557" s="30"/>
      <c r="Q557" s="30"/>
      <c r="R557" s="30"/>
      <c r="S557" s="30"/>
      <c r="T557" s="30"/>
      <c r="U557" s="30"/>
      <c r="V557" s="30"/>
      <c r="W557" s="197">
        <f t="shared" si="77"/>
        <v>812000</v>
      </c>
    </row>
    <row r="558" spans="1:23" x14ac:dyDescent="0.3">
      <c r="A558" s="155">
        <v>557</v>
      </c>
      <c r="B558" s="28"/>
      <c r="C558" s="28" t="s">
        <v>989</v>
      </c>
      <c r="D558" s="194">
        <v>7580000</v>
      </c>
      <c r="E558" s="194">
        <v>1172000</v>
      </c>
      <c r="F558" s="194">
        <v>0</v>
      </c>
      <c r="G558" s="194">
        <f t="shared" si="76"/>
        <v>7580000</v>
      </c>
      <c r="H558" s="29" t="s">
        <v>453</v>
      </c>
      <c r="I558" s="28" t="s">
        <v>631</v>
      </c>
      <c r="J558" s="30"/>
      <c r="K558" s="30"/>
      <c r="L558" s="30"/>
      <c r="M558" s="30"/>
      <c r="N558" s="194">
        <v>1172000</v>
      </c>
      <c r="O558" s="30"/>
      <c r="P558" s="30"/>
      <c r="Q558" s="30"/>
      <c r="R558" s="30"/>
      <c r="S558" s="30"/>
      <c r="T558" s="30"/>
      <c r="U558" s="30"/>
      <c r="V558" s="30"/>
      <c r="W558" s="197">
        <f t="shared" si="77"/>
        <v>1172000</v>
      </c>
    </row>
    <row r="559" spans="1:23" x14ac:dyDescent="0.3">
      <c r="A559" s="155">
        <v>558</v>
      </c>
      <c r="B559" s="28"/>
      <c r="C559" s="28" t="s">
        <v>990</v>
      </c>
      <c r="D559" s="194">
        <v>18471200</v>
      </c>
      <c r="E559" s="194">
        <v>2852000</v>
      </c>
      <c r="F559" s="194">
        <v>0</v>
      </c>
      <c r="G559" s="194">
        <f t="shared" si="76"/>
        <v>18471200</v>
      </c>
      <c r="H559" s="29" t="s">
        <v>453</v>
      </c>
      <c r="I559" s="28" t="s">
        <v>631</v>
      </c>
      <c r="J559" s="30"/>
      <c r="K559" s="30"/>
      <c r="L559" s="30"/>
      <c r="M559" s="30"/>
      <c r="N559" s="194">
        <v>2852000</v>
      </c>
      <c r="O559" s="30"/>
      <c r="P559" s="30"/>
      <c r="Q559" s="30"/>
      <c r="R559" s="30"/>
      <c r="S559" s="30"/>
      <c r="T559" s="30"/>
      <c r="U559" s="30"/>
      <c r="V559" s="30"/>
      <c r="W559" s="197">
        <f t="shared" si="77"/>
        <v>2852000</v>
      </c>
    </row>
    <row r="560" spans="1:23" x14ac:dyDescent="0.3">
      <c r="A560" s="155">
        <v>559</v>
      </c>
      <c r="B560" s="28"/>
      <c r="C560" s="28" t="s">
        <v>987</v>
      </c>
      <c r="D560" s="194">
        <v>5812500</v>
      </c>
      <c r="E560" s="194">
        <v>896000</v>
      </c>
      <c r="F560" s="194">
        <v>0</v>
      </c>
      <c r="G560" s="194">
        <f t="shared" si="76"/>
        <v>5812500</v>
      </c>
      <c r="H560" s="29" t="s">
        <v>453</v>
      </c>
      <c r="I560" s="28" t="s">
        <v>631</v>
      </c>
      <c r="J560" s="30"/>
      <c r="K560" s="30"/>
      <c r="L560" s="30"/>
      <c r="M560" s="30"/>
      <c r="N560" s="30">
        <v>896000</v>
      </c>
      <c r="O560" s="30"/>
      <c r="P560" s="30"/>
      <c r="Q560" s="30"/>
      <c r="R560" s="30"/>
      <c r="S560" s="30"/>
      <c r="T560" s="30"/>
      <c r="U560" s="30"/>
      <c r="V560" s="30"/>
      <c r="W560" s="197">
        <f t="shared" si="77"/>
        <v>896000</v>
      </c>
    </row>
    <row r="561" spans="1:23" x14ac:dyDescent="0.3">
      <c r="A561" s="155">
        <v>560</v>
      </c>
      <c r="B561" s="28"/>
      <c r="C561" s="28" t="s">
        <v>671</v>
      </c>
      <c r="D561" s="194">
        <v>8312000</v>
      </c>
      <c r="E561" s="194">
        <v>320000</v>
      </c>
      <c r="F561" s="194">
        <v>0</v>
      </c>
      <c r="G561" s="194">
        <f t="shared" si="76"/>
        <v>8312000</v>
      </c>
      <c r="H561" s="29" t="s">
        <v>453</v>
      </c>
      <c r="I561" s="28" t="s">
        <v>631</v>
      </c>
      <c r="J561" s="30"/>
      <c r="K561" s="30"/>
      <c r="L561" s="30"/>
      <c r="M561" s="30"/>
      <c r="N561" s="30">
        <v>320000</v>
      </c>
      <c r="O561" s="30"/>
      <c r="P561" s="30"/>
      <c r="Q561" s="30"/>
      <c r="R561" s="30"/>
      <c r="S561" s="30"/>
      <c r="T561" s="30"/>
      <c r="U561" s="30"/>
      <c r="V561" s="30"/>
      <c r="W561" s="197">
        <f t="shared" si="77"/>
        <v>320000</v>
      </c>
    </row>
    <row r="562" spans="1:23" x14ac:dyDescent="0.3">
      <c r="A562" s="155">
        <v>561</v>
      </c>
      <c r="B562" s="28"/>
      <c r="C562" s="28" t="s">
        <v>690</v>
      </c>
      <c r="D562" s="194">
        <v>3350000</v>
      </c>
      <c r="E562" s="194">
        <v>308000</v>
      </c>
      <c r="F562" s="194">
        <v>0</v>
      </c>
      <c r="G562" s="194">
        <f t="shared" si="76"/>
        <v>3350000</v>
      </c>
      <c r="H562" s="29" t="s">
        <v>453</v>
      </c>
      <c r="I562" s="28" t="s">
        <v>631</v>
      </c>
      <c r="J562" s="30"/>
      <c r="K562" s="30"/>
      <c r="L562" s="30"/>
      <c r="M562" s="30"/>
      <c r="N562" s="194">
        <v>308000</v>
      </c>
      <c r="O562" s="30"/>
      <c r="P562" s="30"/>
      <c r="Q562" s="30"/>
      <c r="R562" s="30"/>
      <c r="S562" s="30"/>
      <c r="T562" s="30"/>
      <c r="U562" s="30"/>
      <c r="V562" s="30"/>
      <c r="W562" s="197">
        <f t="shared" si="77"/>
        <v>308000</v>
      </c>
    </row>
    <row r="563" spans="1:23" x14ac:dyDescent="0.3">
      <c r="A563" s="155">
        <v>562</v>
      </c>
      <c r="B563" s="28"/>
      <c r="C563" s="28" t="s">
        <v>991</v>
      </c>
      <c r="D563" s="194">
        <v>1490000</v>
      </c>
      <c r="E563" s="194">
        <v>232000</v>
      </c>
      <c r="F563" s="194">
        <v>0</v>
      </c>
      <c r="G563" s="194">
        <f t="shared" si="76"/>
        <v>1490000</v>
      </c>
      <c r="H563" s="29" t="s">
        <v>453</v>
      </c>
      <c r="I563" s="28" t="s">
        <v>631</v>
      </c>
      <c r="J563" s="30"/>
      <c r="K563" s="30"/>
      <c r="L563" s="30"/>
      <c r="M563" s="30"/>
      <c r="N563" s="30">
        <v>232000</v>
      </c>
      <c r="O563" s="30"/>
      <c r="P563" s="30"/>
      <c r="Q563" s="30"/>
      <c r="R563" s="30"/>
      <c r="S563" s="30"/>
      <c r="T563" s="30"/>
      <c r="U563" s="30"/>
      <c r="V563" s="30"/>
      <c r="W563" s="197">
        <f t="shared" si="77"/>
        <v>232000</v>
      </c>
    </row>
    <row r="564" spans="1:23" x14ac:dyDescent="0.3">
      <c r="A564" s="155">
        <v>563</v>
      </c>
      <c r="B564" s="28"/>
      <c r="C564" s="28" t="s">
        <v>992</v>
      </c>
      <c r="D564" s="194">
        <v>598000</v>
      </c>
      <c r="E564" s="194">
        <v>9200</v>
      </c>
      <c r="F564" s="194">
        <v>0</v>
      </c>
      <c r="G564" s="194">
        <f t="shared" si="76"/>
        <v>598000</v>
      </c>
      <c r="H564" s="29" t="s">
        <v>453</v>
      </c>
      <c r="I564" s="28" t="s">
        <v>631</v>
      </c>
      <c r="J564" s="30"/>
      <c r="K564" s="30"/>
      <c r="L564" s="30"/>
      <c r="M564" s="30"/>
      <c r="N564" s="30">
        <v>9200</v>
      </c>
      <c r="O564" s="30"/>
      <c r="P564" s="30"/>
      <c r="Q564" s="30"/>
      <c r="R564" s="30"/>
      <c r="S564" s="30"/>
      <c r="T564" s="30"/>
      <c r="U564" s="30"/>
      <c r="V564" s="30"/>
      <c r="W564" s="197">
        <f t="shared" si="77"/>
        <v>9200</v>
      </c>
    </row>
    <row r="565" spans="1:23" x14ac:dyDescent="0.3">
      <c r="A565" s="155">
        <v>564</v>
      </c>
      <c r="B565" s="28"/>
      <c r="C565" s="28" t="s">
        <v>993</v>
      </c>
      <c r="D565" s="194">
        <v>2400000</v>
      </c>
      <c r="E565" s="194">
        <v>37200</v>
      </c>
      <c r="F565" s="194">
        <v>0</v>
      </c>
      <c r="G565" s="194">
        <f t="shared" si="76"/>
        <v>2400000</v>
      </c>
      <c r="H565" s="29" t="s">
        <v>453</v>
      </c>
      <c r="I565" s="28" t="s">
        <v>631</v>
      </c>
      <c r="J565" s="30"/>
      <c r="K565" s="30"/>
      <c r="L565" s="30"/>
      <c r="M565" s="30"/>
      <c r="N565" s="194">
        <v>37200</v>
      </c>
      <c r="O565" s="30"/>
      <c r="P565" s="30"/>
      <c r="Q565" s="30"/>
      <c r="R565" s="30"/>
      <c r="S565" s="30"/>
      <c r="T565" s="30"/>
      <c r="U565" s="30"/>
      <c r="V565" s="30"/>
      <c r="W565" s="197">
        <f t="shared" si="77"/>
        <v>37200</v>
      </c>
    </row>
    <row r="566" spans="1:23" x14ac:dyDescent="0.3">
      <c r="A566" s="155">
        <v>565</v>
      </c>
      <c r="B566" s="28"/>
      <c r="C566" s="28" t="s">
        <v>994</v>
      </c>
      <c r="D566" s="194">
        <v>2050000</v>
      </c>
      <c r="E566" s="194">
        <v>31600</v>
      </c>
      <c r="F566" s="194">
        <v>0</v>
      </c>
      <c r="G566" s="194">
        <f t="shared" si="76"/>
        <v>2050000</v>
      </c>
      <c r="H566" s="29" t="s">
        <v>453</v>
      </c>
      <c r="I566" s="28" t="s">
        <v>631</v>
      </c>
      <c r="J566" s="30"/>
      <c r="K566" s="30"/>
      <c r="L566" s="30"/>
      <c r="M566" s="30"/>
      <c r="N566" s="194">
        <v>31600</v>
      </c>
      <c r="O566" s="30"/>
      <c r="P566" s="30"/>
      <c r="Q566" s="30"/>
      <c r="R566" s="30"/>
      <c r="S566" s="30"/>
      <c r="T566" s="30"/>
      <c r="U566" s="30"/>
      <c r="V566" s="30"/>
      <c r="W566" s="197">
        <f t="shared" si="77"/>
        <v>31600</v>
      </c>
    </row>
    <row r="567" spans="1:23" x14ac:dyDescent="0.3">
      <c r="A567" s="155">
        <v>566</v>
      </c>
      <c r="B567" s="28"/>
      <c r="C567" s="28" t="s">
        <v>995</v>
      </c>
      <c r="D567" s="194">
        <v>2500000</v>
      </c>
      <c r="E567" s="194">
        <v>388000</v>
      </c>
      <c r="F567" s="194">
        <v>0</v>
      </c>
      <c r="G567" s="194">
        <f t="shared" si="76"/>
        <v>2500000</v>
      </c>
      <c r="H567" s="29" t="s">
        <v>453</v>
      </c>
      <c r="I567" s="28" t="s">
        <v>631</v>
      </c>
      <c r="J567" s="30"/>
      <c r="K567" s="30"/>
      <c r="L567" s="30"/>
      <c r="M567" s="30"/>
      <c r="N567" s="194">
        <v>388000</v>
      </c>
      <c r="O567" s="30"/>
      <c r="P567" s="30"/>
      <c r="Q567" s="30"/>
      <c r="R567" s="30"/>
      <c r="S567" s="30"/>
      <c r="T567" s="30"/>
      <c r="U567" s="30"/>
      <c r="V567" s="30"/>
      <c r="W567" s="197">
        <f t="shared" si="77"/>
        <v>388000</v>
      </c>
    </row>
    <row r="568" spans="1:23" x14ac:dyDescent="0.3">
      <c r="A568" s="155">
        <v>567</v>
      </c>
      <c r="B568" s="28"/>
      <c r="C568" s="28" t="s">
        <v>996</v>
      </c>
      <c r="D568" s="194">
        <v>3000000</v>
      </c>
      <c r="E568" s="194">
        <v>184000</v>
      </c>
      <c r="F568" s="194">
        <v>0</v>
      </c>
      <c r="G568" s="194">
        <f t="shared" si="76"/>
        <v>3000000</v>
      </c>
      <c r="H568" s="29" t="s">
        <v>453</v>
      </c>
      <c r="I568" s="28" t="s">
        <v>631</v>
      </c>
      <c r="J568" s="30"/>
      <c r="K568" s="30"/>
      <c r="L568" s="30"/>
      <c r="M568" s="30"/>
      <c r="N568" s="30">
        <v>184000</v>
      </c>
      <c r="O568" s="30"/>
      <c r="P568" s="30"/>
      <c r="Q568" s="30"/>
      <c r="R568" s="30"/>
      <c r="S568" s="30"/>
      <c r="T568" s="30"/>
      <c r="U568" s="30"/>
      <c r="V568" s="30"/>
      <c r="W568" s="197">
        <f t="shared" si="77"/>
        <v>184000</v>
      </c>
    </row>
    <row r="569" spans="1:23" x14ac:dyDescent="0.3">
      <c r="A569" s="155">
        <v>568</v>
      </c>
      <c r="B569" s="28"/>
      <c r="C569" s="28" t="s">
        <v>997</v>
      </c>
      <c r="D569" s="194">
        <v>1200000</v>
      </c>
      <c r="E569" s="194">
        <v>184000</v>
      </c>
      <c r="F569" s="194">
        <v>0</v>
      </c>
      <c r="G569" s="194">
        <f t="shared" si="76"/>
        <v>1200000</v>
      </c>
      <c r="H569" s="29" t="s">
        <v>453</v>
      </c>
      <c r="I569" s="28" t="s">
        <v>631</v>
      </c>
      <c r="J569" s="30"/>
      <c r="K569" s="30"/>
      <c r="L569" s="30"/>
      <c r="M569" s="30"/>
      <c r="N569" s="30">
        <v>184000</v>
      </c>
      <c r="O569" s="30"/>
      <c r="P569" s="30"/>
      <c r="Q569" s="30"/>
      <c r="R569" s="30"/>
      <c r="S569" s="30"/>
      <c r="T569" s="30"/>
      <c r="U569" s="30"/>
      <c r="V569" s="30"/>
      <c r="W569" s="197">
        <f t="shared" si="77"/>
        <v>184000</v>
      </c>
    </row>
    <row r="570" spans="1:23" x14ac:dyDescent="0.3">
      <c r="A570" s="155">
        <v>569</v>
      </c>
      <c r="B570" s="28"/>
      <c r="C570" s="28" t="s">
        <v>998</v>
      </c>
      <c r="D570" s="194">
        <v>1815000</v>
      </c>
      <c r="E570" s="194">
        <v>308000</v>
      </c>
      <c r="F570" s="194">
        <v>0</v>
      </c>
      <c r="G570" s="194">
        <f t="shared" si="76"/>
        <v>1815000</v>
      </c>
      <c r="H570" s="29" t="s">
        <v>453</v>
      </c>
      <c r="I570" s="28" t="s">
        <v>631</v>
      </c>
      <c r="J570" s="30"/>
      <c r="K570" s="30"/>
      <c r="L570" s="30"/>
      <c r="M570" s="30"/>
      <c r="N570" s="30">
        <v>308000</v>
      </c>
      <c r="O570" s="30"/>
      <c r="P570" s="30"/>
      <c r="Q570" s="30"/>
      <c r="R570" s="30"/>
      <c r="S570" s="30"/>
      <c r="T570" s="30"/>
      <c r="U570" s="30"/>
      <c r="V570" s="30"/>
      <c r="W570" s="197">
        <f t="shared" si="77"/>
        <v>308000</v>
      </c>
    </row>
    <row r="571" spans="1:23" x14ac:dyDescent="0.3">
      <c r="A571" s="155">
        <v>570</v>
      </c>
      <c r="B571" s="28"/>
      <c r="C571" s="28" t="s">
        <v>999</v>
      </c>
      <c r="D571" s="194">
        <v>8780500</v>
      </c>
      <c r="E571" s="194">
        <v>1356000</v>
      </c>
      <c r="F571" s="194">
        <v>0</v>
      </c>
      <c r="G571" s="194">
        <f t="shared" si="76"/>
        <v>8780500</v>
      </c>
      <c r="H571" s="29" t="s">
        <v>453</v>
      </c>
      <c r="I571" s="28" t="s">
        <v>631</v>
      </c>
      <c r="J571" s="30"/>
      <c r="K571" s="30"/>
      <c r="L571" s="30"/>
      <c r="M571" s="30"/>
      <c r="N571" s="30">
        <v>1356000</v>
      </c>
      <c r="O571" s="30"/>
      <c r="P571" s="30"/>
      <c r="Q571" s="30"/>
      <c r="R571" s="30"/>
      <c r="S571" s="30"/>
      <c r="T571" s="30"/>
      <c r="U571" s="30"/>
      <c r="V571" s="30"/>
      <c r="W571" s="197">
        <f t="shared" si="77"/>
        <v>1356000</v>
      </c>
    </row>
    <row r="572" spans="1:23" x14ac:dyDescent="0.3">
      <c r="A572" s="155">
        <v>571</v>
      </c>
      <c r="B572" s="28"/>
      <c r="C572" s="28" t="s">
        <v>1000</v>
      </c>
      <c r="D572" s="194">
        <v>1200000</v>
      </c>
      <c r="E572" s="194">
        <v>184000</v>
      </c>
      <c r="F572" s="194">
        <v>0</v>
      </c>
      <c r="G572" s="194">
        <f t="shared" si="76"/>
        <v>1200000</v>
      </c>
      <c r="H572" s="29" t="s">
        <v>453</v>
      </c>
      <c r="I572" s="28" t="s">
        <v>631</v>
      </c>
      <c r="J572" s="30"/>
      <c r="K572" s="30"/>
      <c r="L572" s="30"/>
      <c r="M572" s="30"/>
      <c r="N572" s="30">
        <v>184000</v>
      </c>
      <c r="O572" s="30"/>
      <c r="P572" s="30"/>
      <c r="Q572" s="30"/>
      <c r="R572" s="30"/>
      <c r="S572" s="30"/>
      <c r="T572" s="30"/>
      <c r="U572" s="30"/>
      <c r="V572" s="30"/>
      <c r="W572" s="197">
        <f t="shared" si="77"/>
        <v>184000</v>
      </c>
    </row>
    <row r="573" spans="1:23" x14ac:dyDescent="0.3">
      <c r="A573" s="155">
        <v>572</v>
      </c>
      <c r="B573" s="28"/>
      <c r="C573" s="28" t="s">
        <v>1001</v>
      </c>
      <c r="D573" s="194">
        <v>535000</v>
      </c>
      <c r="E573" s="194">
        <v>84000</v>
      </c>
      <c r="F573" s="194">
        <v>0</v>
      </c>
      <c r="G573" s="194">
        <f t="shared" si="76"/>
        <v>535000</v>
      </c>
      <c r="H573" s="29" t="s">
        <v>453</v>
      </c>
      <c r="I573" s="28" t="s">
        <v>631</v>
      </c>
      <c r="J573" s="30"/>
      <c r="K573" s="30"/>
      <c r="L573" s="30"/>
      <c r="M573" s="30"/>
      <c r="N573" s="194">
        <v>84000</v>
      </c>
      <c r="O573" s="30"/>
      <c r="P573" s="30"/>
      <c r="Q573" s="30"/>
      <c r="R573" s="30"/>
      <c r="S573" s="30"/>
      <c r="T573" s="30"/>
      <c r="U573" s="30"/>
      <c r="V573" s="30"/>
      <c r="W573" s="197">
        <f t="shared" si="77"/>
        <v>84000</v>
      </c>
    </row>
    <row r="574" spans="1:23" x14ac:dyDescent="0.3">
      <c r="A574" s="155">
        <v>573</v>
      </c>
      <c r="B574" s="28"/>
      <c r="C574" s="28" t="s">
        <v>1002</v>
      </c>
      <c r="D574" s="194">
        <v>990000</v>
      </c>
      <c r="E574" s="194">
        <v>152000</v>
      </c>
      <c r="F574" s="194">
        <v>0</v>
      </c>
      <c r="G574" s="194">
        <f t="shared" si="76"/>
        <v>990000</v>
      </c>
      <c r="H574" s="29" t="s">
        <v>453</v>
      </c>
      <c r="I574" s="28" t="s">
        <v>631</v>
      </c>
      <c r="J574" s="30"/>
      <c r="K574" s="30"/>
      <c r="L574" s="30"/>
      <c r="M574" s="30"/>
      <c r="N574" s="194">
        <v>152000</v>
      </c>
      <c r="O574" s="30"/>
      <c r="P574" s="30"/>
      <c r="Q574" s="30"/>
      <c r="R574" s="30"/>
      <c r="S574" s="30"/>
      <c r="T574" s="30"/>
      <c r="U574" s="30"/>
      <c r="V574" s="30"/>
      <c r="W574" s="197">
        <f t="shared" si="77"/>
        <v>152000</v>
      </c>
    </row>
    <row r="575" spans="1:23" x14ac:dyDescent="0.3">
      <c r="A575" s="155">
        <v>574</v>
      </c>
      <c r="B575" s="28"/>
      <c r="C575" s="28" t="s">
        <v>1002</v>
      </c>
      <c r="D575" s="194">
        <v>980000</v>
      </c>
      <c r="E575" s="194">
        <v>152000</v>
      </c>
      <c r="F575" s="194">
        <v>0</v>
      </c>
      <c r="G575" s="194">
        <f t="shared" si="76"/>
        <v>980000</v>
      </c>
      <c r="H575" s="29" t="s">
        <v>453</v>
      </c>
      <c r="I575" s="28" t="s">
        <v>631</v>
      </c>
      <c r="J575" s="30"/>
      <c r="K575" s="30"/>
      <c r="L575" s="30"/>
      <c r="M575" s="30"/>
      <c r="N575" s="194">
        <v>152000</v>
      </c>
      <c r="O575" s="30"/>
      <c r="P575" s="30"/>
      <c r="Q575" s="30"/>
      <c r="R575" s="30"/>
      <c r="S575" s="30"/>
      <c r="T575" s="30"/>
      <c r="U575" s="30"/>
      <c r="V575" s="30"/>
      <c r="W575" s="197">
        <f t="shared" si="77"/>
        <v>152000</v>
      </c>
    </row>
    <row r="576" spans="1:23" x14ac:dyDescent="0.3">
      <c r="A576" s="155">
        <v>575</v>
      </c>
      <c r="B576" s="28"/>
      <c r="C576" s="28" t="s">
        <v>1003</v>
      </c>
      <c r="D576" s="194">
        <v>977000</v>
      </c>
      <c r="E576" s="194">
        <v>152000</v>
      </c>
      <c r="F576" s="194">
        <v>0</v>
      </c>
      <c r="G576" s="194">
        <f t="shared" si="76"/>
        <v>977000</v>
      </c>
      <c r="H576" s="29" t="s">
        <v>453</v>
      </c>
      <c r="I576" s="28" t="s">
        <v>631</v>
      </c>
      <c r="J576" s="30"/>
      <c r="K576" s="30"/>
      <c r="L576" s="30"/>
      <c r="M576" s="30"/>
      <c r="N576" s="194">
        <v>152000</v>
      </c>
      <c r="O576" s="30"/>
      <c r="P576" s="30"/>
      <c r="Q576" s="30"/>
      <c r="R576" s="30"/>
      <c r="S576" s="30"/>
      <c r="T576" s="30"/>
      <c r="U576" s="30"/>
      <c r="V576" s="30"/>
      <c r="W576" s="197">
        <f t="shared" si="77"/>
        <v>152000</v>
      </c>
    </row>
    <row r="577" spans="1:23" x14ac:dyDescent="0.3">
      <c r="A577" s="155">
        <v>576</v>
      </c>
      <c r="B577" s="28"/>
      <c r="C577" s="28" t="s">
        <v>1004</v>
      </c>
      <c r="D577" s="194">
        <v>1600000</v>
      </c>
      <c r="E577" s="194">
        <v>248000</v>
      </c>
      <c r="F577" s="194">
        <v>250000</v>
      </c>
      <c r="G577" s="194"/>
      <c r="H577" s="29" t="s">
        <v>452</v>
      </c>
      <c r="I577" s="28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97"/>
    </row>
    <row r="578" spans="1:23" x14ac:dyDescent="0.3">
      <c r="A578" s="155">
        <v>577</v>
      </c>
      <c r="B578" s="28"/>
      <c r="C578" s="28" t="s">
        <v>1001</v>
      </c>
      <c r="D578" s="194">
        <v>12330000</v>
      </c>
      <c r="E578" s="194">
        <v>1904000</v>
      </c>
      <c r="F578" s="194">
        <v>0</v>
      </c>
      <c r="G578" s="194">
        <f t="shared" ref="G578:G583" si="78">D578</f>
        <v>12330000</v>
      </c>
      <c r="H578" s="29" t="s">
        <v>453</v>
      </c>
      <c r="I578" s="28" t="s">
        <v>631</v>
      </c>
      <c r="J578" s="30"/>
      <c r="K578" s="30"/>
      <c r="L578" s="30"/>
      <c r="M578" s="30"/>
      <c r="N578" s="194">
        <v>1904000</v>
      </c>
      <c r="O578" s="30"/>
      <c r="P578" s="30"/>
      <c r="Q578" s="30"/>
      <c r="R578" s="30"/>
      <c r="S578" s="30"/>
      <c r="T578" s="30"/>
      <c r="U578" s="30"/>
      <c r="V578" s="30"/>
      <c r="W578" s="197">
        <f t="shared" ref="W578:W583" si="79">SUM(J578:V578)</f>
        <v>1904000</v>
      </c>
    </row>
    <row r="579" spans="1:23" x14ac:dyDescent="0.3">
      <c r="A579" s="155">
        <v>578</v>
      </c>
      <c r="B579" s="28"/>
      <c r="C579" s="28" t="s">
        <v>1005</v>
      </c>
      <c r="D579" s="194">
        <v>1500000</v>
      </c>
      <c r="E579" s="194">
        <v>156000</v>
      </c>
      <c r="F579" s="194">
        <v>0</v>
      </c>
      <c r="G579" s="194">
        <f t="shared" si="78"/>
        <v>1500000</v>
      </c>
      <c r="H579" s="29" t="s">
        <v>453</v>
      </c>
      <c r="I579" s="28" t="s">
        <v>631</v>
      </c>
      <c r="J579" s="30"/>
      <c r="K579" s="30"/>
      <c r="L579" s="30"/>
      <c r="M579" s="30"/>
      <c r="N579" s="194">
        <v>156000</v>
      </c>
      <c r="O579" s="30"/>
      <c r="P579" s="30"/>
      <c r="Q579" s="30"/>
      <c r="R579" s="30"/>
      <c r="S579" s="30"/>
      <c r="T579" s="30"/>
      <c r="U579" s="30"/>
      <c r="V579" s="30"/>
      <c r="W579" s="197">
        <f t="shared" si="79"/>
        <v>156000</v>
      </c>
    </row>
    <row r="580" spans="1:23" x14ac:dyDescent="0.3">
      <c r="A580" s="155">
        <v>579</v>
      </c>
      <c r="B580" s="28"/>
      <c r="C580" s="28" t="s">
        <v>1006</v>
      </c>
      <c r="D580" s="194">
        <v>577000</v>
      </c>
      <c r="E580" s="194">
        <v>88000</v>
      </c>
      <c r="F580" s="194">
        <v>0</v>
      </c>
      <c r="G580" s="194">
        <f t="shared" si="78"/>
        <v>577000</v>
      </c>
      <c r="H580" s="29" t="s">
        <v>453</v>
      </c>
      <c r="I580" s="28" t="s">
        <v>631</v>
      </c>
      <c r="J580" s="30"/>
      <c r="K580" s="30"/>
      <c r="L580" s="30"/>
      <c r="M580" s="30"/>
      <c r="N580" s="30">
        <v>88000</v>
      </c>
      <c r="O580" s="30"/>
      <c r="P580" s="30"/>
      <c r="Q580" s="30"/>
      <c r="R580" s="30"/>
      <c r="S580" s="30"/>
      <c r="T580" s="30"/>
      <c r="U580" s="30"/>
      <c r="V580" s="30"/>
      <c r="W580" s="197">
        <f t="shared" si="79"/>
        <v>88000</v>
      </c>
    </row>
    <row r="581" spans="1:23" x14ac:dyDescent="0.3">
      <c r="A581" s="155">
        <v>580</v>
      </c>
      <c r="B581" s="28"/>
      <c r="C581" s="28" t="s">
        <v>1007</v>
      </c>
      <c r="D581" s="194">
        <v>4600000</v>
      </c>
      <c r="E581" s="194">
        <v>712000</v>
      </c>
      <c r="F581" s="194">
        <v>0</v>
      </c>
      <c r="G581" s="194">
        <f t="shared" si="78"/>
        <v>4600000</v>
      </c>
      <c r="H581" s="29" t="s">
        <v>453</v>
      </c>
      <c r="I581" s="28" t="s">
        <v>631</v>
      </c>
      <c r="J581" s="30"/>
      <c r="K581" s="30"/>
      <c r="L581" s="30"/>
      <c r="M581" s="30"/>
      <c r="N581" s="30">
        <v>712000</v>
      </c>
      <c r="O581" s="30"/>
      <c r="P581" s="30"/>
      <c r="Q581" s="30"/>
      <c r="R581" s="30"/>
      <c r="S581" s="30"/>
      <c r="T581" s="30"/>
      <c r="U581" s="30"/>
      <c r="V581" s="30"/>
      <c r="W581" s="197">
        <f t="shared" si="79"/>
        <v>712000</v>
      </c>
    </row>
    <row r="582" spans="1:23" x14ac:dyDescent="0.3">
      <c r="A582" s="155">
        <v>581</v>
      </c>
      <c r="B582" s="28"/>
      <c r="C582" s="28" t="s">
        <v>1008</v>
      </c>
      <c r="D582" s="194">
        <v>3440000</v>
      </c>
      <c r="E582" s="194">
        <v>532000</v>
      </c>
      <c r="F582" s="194">
        <v>0</v>
      </c>
      <c r="G582" s="194">
        <f t="shared" si="78"/>
        <v>3440000</v>
      </c>
      <c r="H582" s="29" t="s">
        <v>453</v>
      </c>
      <c r="I582" s="28" t="s">
        <v>631</v>
      </c>
      <c r="J582" s="30"/>
      <c r="K582" s="30"/>
      <c r="L582" s="30"/>
      <c r="M582" s="30"/>
      <c r="N582" s="30">
        <v>532000</v>
      </c>
      <c r="O582" s="30"/>
      <c r="P582" s="30"/>
      <c r="Q582" s="30"/>
      <c r="R582" s="30"/>
      <c r="S582" s="30"/>
      <c r="T582" s="30"/>
      <c r="U582" s="30"/>
      <c r="V582" s="30"/>
      <c r="W582" s="197">
        <f t="shared" si="79"/>
        <v>532000</v>
      </c>
    </row>
    <row r="583" spans="1:23" x14ac:dyDescent="0.3">
      <c r="A583" s="155">
        <v>582</v>
      </c>
      <c r="B583" s="28"/>
      <c r="C583" s="28" t="s">
        <v>1002</v>
      </c>
      <c r="D583" s="194">
        <v>2900000</v>
      </c>
      <c r="E583" s="194">
        <v>308000</v>
      </c>
      <c r="F583" s="194">
        <v>0</v>
      </c>
      <c r="G583" s="194">
        <f t="shared" si="78"/>
        <v>2900000</v>
      </c>
      <c r="H583" s="29" t="s">
        <v>453</v>
      </c>
      <c r="I583" s="28" t="s">
        <v>631</v>
      </c>
      <c r="J583" s="30"/>
      <c r="K583" s="30"/>
      <c r="L583" s="30"/>
      <c r="M583" s="30"/>
      <c r="N583" s="194">
        <v>308000</v>
      </c>
      <c r="O583" s="30"/>
      <c r="P583" s="30"/>
      <c r="Q583" s="30"/>
      <c r="R583" s="30"/>
      <c r="S583" s="30"/>
      <c r="T583" s="30"/>
      <c r="U583" s="30"/>
      <c r="V583" s="30"/>
      <c r="W583" s="197">
        <f t="shared" si="79"/>
        <v>308000</v>
      </c>
    </row>
    <row r="584" spans="1:23" x14ac:dyDescent="0.3">
      <c r="A584" s="155">
        <v>583</v>
      </c>
      <c r="B584" s="28"/>
      <c r="C584" s="28" t="s">
        <v>1009</v>
      </c>
      <c r="D584" s="194">
        <v>20000000</v>
      </c>
      <c r="E584" s="194">
        <v>3165200</v>
      </c>
      <c r="F584" s="194">
        <v>3300000</v>
      </c>
      <c r="G584" s="194"/>
      <c r="H584" s="29" t="s">
        <v>452</v>
      </c>
      <c r="I584" s="28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97"/>
    </row>
    <row r="585" spans="1:23" x14ac:dyDescent="0.3">
      <c r="A585" s="155">
        <v>584</v>
      </c>
      <c r="B585" s="28"/>
      <c r="C585" s="28" t="s">
        <v>1010</v>
      </c>
      <c r="D585" s="194">
        <v>2544500</v>
      </c>
      <c r="E585" s="194">
        <v>392000</v>
      </c>
      <c r="F585" s="194">
        <v>0</v>
      </c>
      <c r="G585" s="194">
        <f t="shared" ref="G585:G590" si="80">D585</f>
        <v>2544500</v>
      </c>
      <c r="H585" s="29" t="s">
        <v>453</v>
      </c>
      <c r="I585" s="28" t="s">
        <v>631</v>
      </c>
      <c r="J585" s="30"/>
      <c r="K585" s="30"/>
      <c r="L585" s="30"/>
      <c r="M585" s="30"/>
      <c r="N585" s="30">
        <v>392000</v>
      </c>
      <c r="O585" s="30"/>
      <c r="P585" s="30"/>
      <c r="Q585" s="30"/>
      <c r="R585" s="30"/>
      <c r="S585" s="30"/>
      <c r="T585" s="30"/>
      <c r="U585" s="30"/>
      <c r="V585" s="30"/>
      <c r="W585" s="197">
        <f t="shared" ref="W585:W590" si="81">SUM(J585:V585)</f>
        <v>392000</v>
      </c>
    </row>
    <row r="586" spans="1:23" x14ac:dyDescent="0.3">
      <c r="A586" s="155">
        <v>585</v>
      </c>
      <c r="B586" s="28"/>
      <c r="C586" s="28" t="s">
        <v>1011</v>
      </c>
      <c r="D586" s="194">
        <v>1574000</v>
      </c>
      <c r="E586" s="194">
        <v>24400</v>
      </c>
      <c r="F586" s="194">
        <v>0</v>
      </c>
      <c r="G586" s="194">
        <f t="shared" si="80"/>
        <v>1574000</v>
      </c>
      <c r="H586" s="29" t="s">
        <v>453</v>
      </c>
      <c r="I586" s="28" t="s">
        <v>631</v>
      </c>
      <c r="J586" s="30"/>
      <c r="K586" s="30"/>
      <c r="L586" s="30"/>
      <c r="M586" s="30"/>
      <c r="N586" s="30">
        <v>24400</v>
      </c>
      <c r="O586" s="30"/>
      <c r="P586" s="30"/>
      <c r="Q586" s="30"/>
      <c r="R586" s="30"/>
      <c r="S586" s="30"/>
      <c r="T586" s="30"/>
      <c r="U586" s="30"/>
      <c r="V586" s="30"/>
      <c r="W586" s="197">
        <f t="shared" si="81"/>
        <v>24400</v>
      </c>
    </row>
    <row r="587" spans="1:23" x14ac:dyDescent="0.3">
      <c r="A587" s="155">
        <v>586</v>
      </c>
      <c r="B587" s="28"/>
      <c r="C587" s="28" t="s">
        <v>1012</v>
      </c>
      <c r="D587" s="194">
        <v>1650000</v>
      </c>
      <c r="E587" s="194">
        <v>256000</v>
      </c>
      <c r="F587" s="194">
        <v>0</v>
      </c>
      <c r="G587" s="194">
        <f t="shared" si="80"/>
        <v>1650000</v>
      </c>
      <c r="H587" s="29" t="s">
        <v>453</v>
      </c>
      <c r="I587" s="28" t="s">
        <v>631</v>
      </c>
      <c r="J587" s="30"/>
      <c r="K587" s="30"/>
      <c r="L587" s="30"/>
      <c r="M587" s="30"/>
      <c r="N587" s="30">
        <v>256000</v>
      </c>
      <c r="O587" s="30"/>
      <c r="P587" s="30"/>
      <c r="Q587" s="30"/>
      <c r="R587" s="30"/>
      <c r="S587" s="30"/>
      <c r="T587" s="30"/>
      <c r="U587" s="30"/>
      <c r="V587" s="30"/>
      <c r="W587" s="197">
        <f t="shared" si="81"/>
        <v>256000</v>
      </c>
    </row>
    <row r="588" spans="1:23" x14ac:dyDescent="0.3">
      <c r="A588" s="155">
        <v>587</v>
      </c>
      <c r="B588" s="28"/>
      <c r="C588" s="28" t="s">
        <v>1013</v>
      </c>
      <c r="D588" s="194">
        <v>3300000</v>
      </c>
      <c r="E588" s="194">
        <v>508000</v>
      </c>
      <c r="F588" s="194">
        <v>0</v>
      </c>
      <c r="G588" s="194">
        <f t="shared" si="80"/>
        <v>3300000</v>
      </c>
      <c r="H588" s="29" t="s">
        <v>453</v>
      </c>
      <c r="I588" s="28" t="s">
        <v>631</v>
      </c>
      <c r="J588" s="30"/>
      <c r="K588" s="30"/>
      <c r="L588" s="30"/>
      <c r="M588" s="30"/>
      <c r="N588" s="30">
        <v>508000</v>
      </c>
      <c r="O588" s="30"/>
      <c r="P588" s="30"/>
      <c r="Q588" s="30"/>
      <c r="R588" s="30"/>
      <c r="S588" s="30"/>
      <c r="T588" s="30"/>
      <c r="U588" s="30"/>
      <c r="V588" s="30"/>
      <c r="W588" s="197">
        <f t="shared" si="81"/>
        <v>508000</v>
      </c>
    </row>
    <row r="589" spans="1:23" x14ac:dyDescent="0.3">
      <c r="A589" s="155">
        <v>588</v>
      </c>
      <c r="B589" s="28"/>
      <c r="C589" s="28" t="s">
        <v>1014</v>
      </c>
      <c r="D589" s="194">
        <v>3260000</v>
      </c>
      <c r="E589" s="194">
        <v>46400</v>
      </c>
      <c r="F589" s="194">
        <v>0</v>
      </c>
      <c r="G589" s="194">
        <f t="shared" si="80"/>
        <v>3260000</v>
      </c>
      <c r="H589" s="29" t="s">
        <v>453</v>
      </c>
      <c r="I589" s="28" t="s">
        <v>631</v>
      </c>
      <c r="J589" s="30"/>
      <c r="K589" s="30"/>
      <c r="L589" s="30"/>
      <c r="M589" s="30"/>
      <c r="N589" s="30">
        <v>46400</v>
      </c>
      <c r="O589" s="30"/>
      <c r="P589" s="30"/>
      <c r="Q589" s="30"/>
      <c r="R589" s="30"/>
      <c r="S589" s="30"/>
      <c r="T589" s="30"/>
      <c r="U589" s="30"/>
      <c r="V589" s="30"/>
      <c r="W589" s="197">
        <f t="shared" si="81"/>
        <v>46400</v>
      </c>
    </row>
    <row r="590" spans="1:23" x14ac:dyDescent="0.3">
      <c r="A590" s="155">
        <v>589</v>
      </c>
      <c r="B590" s="28"/>
      <c r="C590" s="28" t="s">
        <v>1015</v>
      </c>
      <c r="D590" s="194">
        <v>7500000</v>
      </c>
      <c r="E590" s="194">
        <v>184000</v>
      </c>
      <c r="F590" s="194">
        <v>0</v>
      </c>
      <c r="G590" s="194">
        <f t="shared" si="80"/>
        <v>7500000</v>
      </c>
      <c r="H590" s="29" t="s">
        <v>453</v>
      </c>
      <c r="I590" s="28" t="s">
        <v>631</v>
      </c>
      <c r="J590" s="30"/>
      <c r="K590" s="30"/>
      <c r="L590" s="30"/>
      <c r="M590" s="30"/>
      <c r="N590" s="30">
        <v>184000</v>
      </c>
      <c r="O590" s="30"/>
      <c r="P590" s="30"/>
      <c r="Q590" s="30"/>
      <c r="R590" s="30"/>
      <c r="S590" s="30"/>
      <c r="T590" s="30"/>
      <c r="U590" s="30"/>
      <c r="V590" s="30"/>
      <c r="W590" s="197">
        <f t="shared" si="81"/>
        <v>184000</v>
      </c>
    </row>
    <row r="591" spans="1:23" x14ac:dyDescent="0.3">
      <c r="A591" s="155">
        <v>590</v>
      </c>
      <c r="B591" s="28"/>
      <c r="C591" s="28" t="s">
        <v>1016</v>
      </c>
      <c r="D591" s="194">
        <v>3100000</v>
      </c>
      <c r="E591" s="194">
        <v>480000</v>
      </c>
      <c r="F591" s="194">
        <v>800000</v>
      </c>
      <c r="G591" s="194"/>
      <c r="H591" s="29" t="s">
        <v>452</v>
      </c>
      <c r="I591" s="28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97"/>
    </row>
    <row r="592" spans="1:23" x14ac:dyDescent="0.3">
      <c r="A592" s="155">
        <v>591</v>
      </c>
      <c r="B592" s="28"/>
      <c r="C592" s="28" t="s">
        <v>1017</v>
      </c>
      <c r="D592" s="194">
        <v>4650000</v>
      </c>
      <c r="E592" s="194">
        <v>720000</v>
      </c>
      <c r="F592" s="194">
        <v>800000</v>
      </c>
      <c r="G592" s="194"/>
      <c r="H592" s="29" t="s">
        <v>452</v>
      </c>
      <c r="I592" s="28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97"/>
    </row>
    <row r="593" spans="1:23" x14ac:dyDescent="0.3">
      <c r="A593" s="155">
        <v>592</v>
      </c>
      <c r="B593" s="28"/>
      <c r="C593" s="28" t="s">
        <v>1018</v>
      </c>
      <c r="D593" s="194">
        <v>0</v>
      </c>
      <c r="E593" s="194">
        <v>156000</v>
      </c>
      <c r="F593" s="194">
        <v>165000</v>
      </c>
      <c r="G593" s="194"/>
      <c r="H593" s="29" t="s">
        <v>452</v>
      </c>
      <c r="I593" s="28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97"/>
    </row>
    <row r="594" spans="1:23" x14ac:dyDescent="0.3">
      <c r="A594" s="155">
        <v>593</v>
      </c>
      <c r="B594" s="28"/>
      <c r="C594" s="28" t="s">
        <v>1019</v>
      </c>
      <c r="D594" s="194">
        <v>0</v>
      </c>
      <c r="E594" s="194">
        <v>180000</v>
      </c>
      <c r="F594" s="194">
        <v>200000</v>
      </c>
      <c r="G594" s="194"/>
      <c r="H594" s="29" t="s">
        <v>452</v>
      </c>
      <c r="I594" s="28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97"/>
    </row>
    <row r="595" spans="1:23" x14ac:dyDescent="0.3">
      <c r="A595" s="155">
        <v>594</v>
      </c>
      <c r="B595" s="28"/>
      <c r="C595" s="28" t="s">
        <v>1020</v>
      </c>
      <c r="D595" s="194">
        <v>0</v>
      </c>
      <c r="E595" s="194">
        <v>40000</v>
      </c>
      <c r="F595" s="194">
        <v>50000</v>
      </c>
      <c r="G595" s="194"/>
      <c r="H595" s="29" t="s">
        <v>452</v>
      </c>
      <c r="I595" s="28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97"/>
    </row>
    <row r="596" spans="1:23" x14ac:dyDescent="0.3">
      <c r="A596" s="155">
        <v>595</v>
      </c>
      <c r="B596" s="28"/>
      <c r="C596" s="28" t="s">
        <v>1021</v>
      </c>
      <c r="D596" s="194">
        <v>0</v>
      </c>
      <c r="E596" s="194">
        <v>20000</v>
      </c>
      <c r="F596" s="194">
        <v>0</v>
      </c>
      <c r="G596" s="194">
        <f t="shared" ref="G596:G635" si="82">D596</f>
        <v>0</v>
      </c>
      <c r="H596" s="29" t="s">
        <v>453</v>
      </c>
      <c r="I596" s="28" t="s">
        <v>631</v>
      </c>
      <c r="J596" s="30"/>
      <c r="K596" s="30"/>
      <c r="L596" s="30"/>
      <c r="M596" s="30"/>
      <c r="N596" s="30">
        <v>20000</v>
      </c>
      <c r="O596" s="30"/>
      <c r="P596" s="30"/>
      <c r="Q596" s="30"/>
      <c r="R596" s="30"/>
      <c r="S596" s="30"/>
      <c r="T596" s="30"/>
      <c r="U596" s="30"/>
      <c r="V596" s="30"/>
      <c r="W596" s="197">
        <f t="shared" ref="W596:W635" si="83">SUM(J596:V596)</f>
        <v>20000</v>
      </c>
    </row>
    <row r="597" spans="1:23" x14ac:dyDescent="0.3">
      <c r="A597" s="155">
        <v>596</v>
      </c>
      <c r="B597" s="28"/>
      <c r="C597" s="28" t="s">
        <v>1022</v>
      </c>
      <c r="D597" s="194">
        <v>0</v>
      </c>
      <c r="E597" s="194">
        <v>100000</v>
      </c>
      <c r="F597" s="194">
        <v>0</v>
      </c>
      <c r="G597" s="194">
        <f t="shared" si="82"/>
        <v>0</v>
      </c>
      <c r="H597" s="29" t="s">
        <v>453</v>
      </c>
      <c r="I597" s="28" t="s">
        <v>631</v>
      </c>
      <c r="J597" s="30"/>
      <c r="K597" s="30"/>
      <c r="L597" s="30"/>
      <c r="M597" s="30"/>
      <c r="N597" s="194">
        <v>100000</v>
      </c>
      <c r="O597" s="30"/>
      <c r="P597" s="30"/>
      <c r="Q597" s="30"/>
      <c r="R597" s="30"/>
      <c r="S597" s="30"/>
      <c r="T597" s="30"/>
      <c r="U597" s="30"/>
      <c r="V597" s="30"/>
      <c r="W597" s="197">
        <f t="shared" si="83"/>
        <v>100000</v>
      </c>
    </row>
    <row r="598" spans="1:23" x14ac:dyDescent="0.3">
      <c r="A598" s="155">
        <v>597</v>
      </c>
      <c r="B598" s="28"/>
      <c r="C598" s="28" t="s">
        <v>1023</v>
      </c>
      <c r="D598" s="194">
        <v>0</v>
      </c>
      <c r="E598" s="194">
        <v>4000</v>
      </c>
      <c r="F598" s="194">
        <v>0</v>
      </c>
      <c r="G598" s="194">
        <f t="shared" si="82"/>
        <v>0</v>
      </c>
      <c r="H598" s="29" t="s">
        <v>453</v>
      </c>
      <c r="I598" s="28" t="s">
        <v>631</v>
      </c>
      <c r="J598" s="30"/>
      <c r="K598" s="30"/>
      <c r="L598" s="30"/>
      <c r="M598" s="30"/>
      <c r="N598" s="30">
        <v>4000</v>
      </c>
      <c r="O598" s="30"/>
      <c r="P598" s="30"/>
      <c r="Q598" s="30"/>
      <c r="R598" s="30"/>
      <c r="S598" s="30"/>
      <c r="T598" s="30"/>
      <c r="U598" s="30"/>
      <c r="V598" s="30"/>
      <c r="W598" s="197">
        <f t="shared" si="83"/>
        <v>4000</v>
      </c>
    </row>
    <row r="599" spans="1:23" x14ac:dyDescent="0.3">
      <c r="A599" s="155">
        <v>598</v>
      </c>
      <c r="B599" s="28"/>
      <c r="C599" s="28" t="s">
        <v>1024</v>
      </c>
      <c r="D599" s="194">
        <v>0</v>
      </c>
      <c r="E599" s="194">
        <v>16000</v>
      </c>
      <c r="F599" s="194">
        <v>0</v>
      </c>
      <c r="G599" s="194">
        <f t="shared" si="82"/>
        <v>0</v>
      </c>
      <c r="H599" s="29" t="s">
        <v>453</v>
      </c>
      <c r="I599" s="28" t="s">
        <v>631</v>
      </c>
      <c r="J599" s="30"/>
      <c r="K599" s="30"/>
      <c r="L599" s="30"/>
      <c r="M599" s="30"/>
      <c r="N599" s="30">
        <v>16000</v>
      </c>
      <c r="O599" s="30"/>
      <c r="P599" s="30"/>
      <c r="Q599" s="30"/>
      <c r="R599" s="30"/>
      <c r="S599" s="30"/>
      <c r="T599" s="30"/>
      <c r="U599" s="30"/>
      <c r="V599" s="30"/>
      <c r="W599" s="197">
        <f t="shared" si="83"/>
        <v>16000</v>
      </c>
    </row>
    <row r="600" spans="1:23" x14ac:dyDescent="0.3">
      <c r="A600" s="155">
        <v>599</v>
      </c>
      <c r="B600" s="28"/>
      <c r="C600" s="28" t="s">
        <v>1025</v>
      </c>
      <c r="D600" s="194">
        <v>0</v>
      </c>
      <c r="E600" s="194">
        <v>4000</v>
      </c>
      <c r="F600" s="194">
        <v>0</v>
      </c>
      <c r="G600" s="194">
        <f t="shared" si="82"/>
        <v>0</v>
      </c>
      <c r="H600" s="29" t="s">
        <v>453</v>
      </c>
      <c r="I600" s="28" t="s">
        <v>631</v>
      </c>
      <c r="J600" s="30"/>
      <c r="K600" s="30"/>
      <c r="L600" s="30"/>
      <c r="M600" s="30"/>
      <c r="N600" s="30">
        <v>4000</v>
      </c>
      <c r="O600" s="30"/>
      <c r="P600" s="30"/>
      <c r="Q600" s="30"/>
      <c r="R600" s="30"/>
      <c r="S600" s="30"/>
      <c r="T600" s="30"/>
      <c r="U600" s="30"/>
      <c r="V600" s="30"/>
      <c r="W600" s="197">
        <f t="shared" si="83"/>
        <v>4000</v>
      </c>
    </row>
    <row r="601" spans="1:23" x14ac:dyDescent="0.3">
      <c r="A601" s="155">
        <v>600</v>
      </c>
      <c r="B601" s="28"/>
      <c r="C601" s="28" t="s">
        <v>1026</v>
      </c>
      <c r="D601" s="194">
        <v>0</v>
      </c>
      <c r="E601" s="194">
        <v>308000</v>
      </c>
      <c r="F601" s="194">
        <v>0</v>
      </c>
      <c r="G601" s="194">
        <f t="shared" si="82"/>
        <v>0</v>
      </c>
      <c r="H601" s="29" t="s">
        <v>453</v>
      </c>
      <c r="I601" s="28" t="s">
        <v>631</v>
      </c>
      <c r="J601" s="30"/>
      <c r="K601" s="30"/>
      <c r="L601" s="30"/>
      <c r="M601" s="30"/>
      <c r="N601" s="194">
        <v>308000</v>
      </c>
      <c r="O601" s="30"/>
      <c r="P601" s="30"/>
      <c r="Q601" s="30"/>
      <c r="R601" s="30"/>
      <c r="S601" s="30"/>
      <c r="T601" s="30"/>
      <c r="U601" s="30"/>
      <c r="V601" s="30"/>
      <c r="W601" s="197">
        <f t="shared" si="83"/>
        <v>308000</v>
      </c>
    </row>
    <row r="602" spans="1:23" x14ac:dyDescent="0.3">
      <c r="A602" s="155">
        <v>601</v>
      </c>
      <c r="B602" s="28"/>
      <c r="C602" s="28" t="s">
        <v>1027</v>
      </c>
      <c r="D602" s="194">
        <v>0</v>
      </c>
      <c r="E602" s="194">
        <v>11600</v>
      </c>
      <c r="F602" s="194">
        <v>0</v>
      </c>
      <c r="G602" s="194">
        <f t="shared" si="82"/>
        <v>0</v>
      </c>
      <c r="H602" s="29" t="s">
        <v>453</v>
      </c>
      <c r="I602" s="28" t="s">
        <v>631</v>
      </c>
      <c r="J602" s="30"/>
      <c r="K602" s="30"/>
      <c r="L602" s="30"/>
      <c r="M602" s="30"/>
      <c r="N602" s="194">
        <v>11600</v>
      </c>
      <c r="O602" s="30"/>
      <c r="P602" s="30"/>
      <c r="Q602" s="30"/>
      <c r="R602" s="30"/>
      <c r="S602" s="30"/>
      <c r="T602" s="30"/>
      <c r="U602" s="30"/>
      <c r="V602" s="30"/>
      <c r="W602" s="197">
        <f t="shared" si="83"/>
        <v>11600</v>
      </c>
    </row>
    <row r="603" spans="1:23" x14ac:dyDescent="0.3">
      <c r="A603" s="155">
        <v>602</v>
      </c>
      <c r="B603" s="28"/>
      <c r="C603" s="28" t="s">
        <v>1028</v>
      </c>
      <c r="D603" s="194">
        <v>0</v>
      </c>
      <c r="E603" s="194">
        <v>13200</v>
      </c>
      <c r="F603" s="194">
        <v>0</v>
      </c>
      <c r="G603" s="194">
        <f t="shared" si="82"/>
        <v>0</v>
      </c>
      <c r="H603" s="29" t="s">
        <v>453</v>
      </c>
      <c r="I603" s="28" t="s">
        <v>631</v>
      </c>
      <c r="J603" s="30"/>
      <c r="K603" s="30"/>
      <c r="L603" s="30"/>
      <c r="M603" s="30"/>
      <c r="N603" s="194">
        <v>13200</v>
      </c>
      <c r="O603" s="30"/>
      <c r="P603" s="30"/>
      <c r="Q603" s="30"/>
      <c r="R603" s="30"/>
      <c r="S603" s="30"/>
      <c r="T603" s="30"/>
      <c r="U603" s="30"/>
      <c r="V603" s="30"/>
      <c r="W603" s="197">
        <f t="shared" si="83"/>
        <v>13200</v>
      </c>
    </row>
    <row r="604" spans="1:23" x14ac:dyDescent="0.3">
      <c r="A604" s="155">
        <v>603</v>
      </c>
      <c r="B604" s="28"/>
      <c r="C604" s="28" t="s">
        <v>1029</v>
      </c>
      <c r="D604" s="194">
        <v>0</v>
      </c>
      <c r="E604" s="194">
        <v>1160000</v>
      </c>
      <c r="F604" s="194">
        <v>0</v>
      </c>
      <c r="G604" s="194">
        <f t="shared" si="82"/>
        <v>0</v>
      </c>
      <c r="H604" s="29" t="s">
        <v>453</v>
      </c>
      <c r="I604" s="28" t="s">
        <v>631</v>
      </c>
      <c r="J604" s="30"/>
      <c r="K604" s="30"/>
      <c r="L604" s="30"/>
      <c r="M604" s="30"/>
      <c r="N604" s="194">
        <v>1160000</v>
      </c>
      <c r="O604" s="30"/>
      <c r="P604" s="30"/>
      <c r="Q604" s="30"/>
      <c r="R604" s="30"/>
      <c r="S604" s="30"/>
      <c r="T604" s="30"/>
      <c r="U604" s="30"/>
      <c r="V604" s="30"/>
      <c r="W604" s="197">
        <f t="shared" si="83"/>
        <v>1160000</v>
      </c>
    </row>
    <row r="605" spans="1:23" x14ac:dyDescent="0.3">
      <c r="A605" s="155">
        <v>604</v>
      </c>
      <c r="B605" s="28"/>
      <c r="C605" s="28" t="s">
        <v>1030</v>
      </c>
      <c r="D605" s="194">
        <v>0</v>
      </c>
      <c r="E605" s="194">
        <v>7200</v>
      </c>
      <c r="F605" s="194">
        <v>0</v>
      </c>
      <c r="G605" s="194">
        <f t="shared" si="82"/>
        <v>0</v>
      </c>
      <c r="H605" s="29" t="s">
        <v>453</v>
      </c>
      <c r="I605" s="28" t="s">
        <v>631</v>
      </c>
      <c r="J605" s="30"/>
      <c r="K605" s="30"/>
      <c r="L605" s="30"/>
      <c r="M605" s="30"/>
      <c r="N605" s="30">
        <v>7200</v>
      </c>
      <c r="O605" s="30"/>
      <c r="P605" s="30"/>
      <c r="Q605" s="30"/>
      <c r="R605" s="30"/>
      <c r="S605" s="30"/>
      <c r="T605" s="30"/>
      <c r="U605" s="30"/>
      <c r="V605" s="30"/>
      <c r="W605" s="197">
        <f t="shared" si="83"/>
        <v>7200</v>
      </c>
    </row>
    <row r="606" spans="1:23" x14ac:dyDescent="0.3">
      <c r="A606" s="155">
        <v>605</v>
      </c>
      <c r="B606" s="28"/>
      <c r="C606" s="28" t="s">
        <v>1031</v>
      </c>
      <c r="D606" s="194">
        <v>0</v>
      </c>
      <c r="E606" s="194">
        <v>8400</v>
      </c>
      <c r="F606" s="194">
        <v>0</v>
      </c>
      <c r="G606" s="194">
        <f t="shared" si="82"/>
        <v>0</v>
      </c>
      <c r="H606" s="29" t="s">
        <v>453</v>
      </c>
      <c r="I606" s="28" t="s">
        <v>631</v>
      </c>
      <c r="J606" s="30"/>
      <c r="K606" s="30"/>
      <c r="L606" s="30"/>
      <c r="M606" s="30"/>
      <c r="N606" s="30">
        <v>8400</v>
      </c>
      <c r="O606" s="30"/>
      <c r="P606" s="30"/>
      <c r="Q606" s="30"/>
      <c r="R606" s="30"/>
      <c r="S606" s="30"/>
      <c r="T606" s="30"/>
      <c r="U606" s="30"/>
      <c r="V606" s="30"/>
      <c r="W606" s="197">
        <f t="shared" si="83"/>
        <v>8400</v>
      </c>
    </row>
    <row r="607" spans="1:23" x14ac:dyDescent="0.3">
      <c r="A607" s="155">
        <v>606</v>
      </c>
      <c r="B607" s="28"/>
      <c r="C607" s="28" t="s">
        <v>1021</v>
      </c>
      <c r="D607" s="194">
        <v>0</v>
      </c>
      <c r="E607" s="194">
        <v>7600</v>
      </c>
      <c r="F607" s="194">
        <v>0</v>
      </c>
      <c r="G607" s="194">
        <f t="shared" si="82"/>
        <v>0</v>
      </c>
      <c r="H607" s="29" t="s">
        <v>453</v>
      </c>
      <c r="I607" s="28" t="s">
        <v>631</v>
      </c>
      <c r="J607" s="30"/>
      <c r="K607" s="30"/>
      <c r="L607" s="30"/>
      <c r="M607" s="30"/>
      <c r="N607" s="30">
        <v>7600</v>
      </c>
      <c r="O607" s="30"/>
      <c r="P607" s="30"/>
      <c r="Q607" s="30"/>
      <c r="R607" s="30"/>
      <c r="S607" s="30"/>
      <c r="T607" s="30"/>
      <c r="U607" s="30"/>
      <c r="V607" s="30"/>
      <c r="W607" s="197">
        <f t="shared" si="83"/>
        <v>7600</v>
      </c>
    </row>
    <row r="608" spans="1:23" x14ac:dyDescent="0.3">
      <c r="A608" s="155">
        <v>607</v>
      </c>
      <c r="B608" s="28"/>
      <c r="C608" s="28" t="s">
        <v>873</v>
      </c>
      <c r="D608" s="194">
        <v>0</v>
      </c>
      <c r="E608" s="194">
        <v>92800</v>
      </c>
      <c r="F608" s="194">
        <v>0</v>
      </c>
      <c r="G608" s="194">
        <f t="shared" si="82"/>
        <v>0</v>
      </c>
      <c r="H608" s="29" t="s">
        <v>453</v>
      </c>
      <c r="I608" s="28" t="s">
        <v>631</v>
      </c>
      <c r="J608" s="30"/>
      <c r="K608" s="30"/>
      <c r="L608" s="30"/>
      <c r="M608" s="30"/>
      <c r="N608" s="194">
        <v>92800</v>
      </c>
      <c r="O608" s="30"/>
      <c r="P608" s="30"/>
      <c r="Q608" s="30"/>
      <c r="R608" s="30"/>
      <c r="S608" s="30"/>
      <c r="T608" s="30"/>
      <c r="U608" s="30"/>
      <c r="V608" s="30"/>
      <c r="W608" s="197">
        <f t="shared" si="83"/>
        <v>92800</v>
      </c>
    </row>
    <row r="609" spans="1:23" x14ac:dyDescent="0.3">
      <c r="A609" s="155">
        <v>608</v>
      </c>
      <c r="B609" s="28"/>
      <c r="C609" s="28" t="s">
        <v>1032</v>
      </c>
      <c r="D609" s="194">
        <v>0</v>
      </c>
      <c r="E609" s="194">
        <v>80000</v>
      </c>
      <c r="F609" s="194">
        <v>0</v>
      </c>
      <c r="G609" s="194">
        <f t="shared" si="82"/>
        <v>0</v>
      </c>
      <c r="H609" s="29" t="s">
        <v>453</v>
      </c>
      <c r="I609" s="28" t="s">
        <v>631</v>
      </c>
      <c r="J609" s="30"/>
      <c r="K609" s="30"/>
      <c r="L609" s="30"/>
      <c r="M609" s="30"/>
      <c r="N609" s="194">
        <v>80000</v>
      </c>
      <c r="O609" s="30"/>
      <c r="P609" s="30"/>
      <c r="Q609" s="30"/>
      <c r="R609" s="30"/>
      <c r="S609" s="30"/>
      <c r="T609" s="30"/>
      <c r="U609" s="30"/>
      <c r="V609" s="30"/>
      <c r="W609" s="197">
        <f t="shared" si="83"/>
        <v>80000</v>
      </c>
    </row>
    <row r="610" spans="1:23" x14ac:dyDescent="0.3">
      <c r="A610" s="155">
        <v>609</v>
      </c>
      <c r="B610" s="28"/>
      <c r="C610" s="28" t="s">
        <v>905</v>
      </c>
      <c r="D610" s="194">
        <v>0</v>
      </c>
      <c r="E610" s="194">
        <v>356000</v>
      </c>
      <c r="F610" s="194">
        <v>0</v>
      </c>
      <c r="G610" s="194">
        <f t="shared" si="82"/>
        <v>0</v>
      </c>
      <c r="H610" s="29" t="s">
        <v>453</v>
      </c>
      <c r="I610" s="28" t="s">
        <v>631</v>
      </c>
      <c r="J610" s="30"/>
      <c r="K610" s="30"/>
      <c r="L610" s="30"/>
      <c r="M610" s="30"/>
      <c r="N610" s="30">
        <v>356000</v>
      </c>
      <c r="O610" s="30"/>
      <c r="P610" s="30"/>
      <c r="Q610" s="30"/>
      <c r="R610" s="30"/>
      <c r="S610" s="30"/>
      <c r="T610" s="30"/>
      <c r="U610" s="30"/>
      <c r="V610" s="30"/>
      <c r="W610" s="197">
        <f t="shared" si="83"/>
        <v>356000</v>
      </c>
    </row>
    <row r="611" spans="1:23" x14ac:dyDescent="0.3">
      <c r="A611" s="155">
        <v>610</v>
      </c>
      <c r="B611" s="28"/>
      <c r="C611" s="28" t="s">
        <v>1033</v>
      </c>
      <c r="D611" s="194">
        <v>0</v>
      </c>
      <c r="E611" s="194">
        <v>5600</v>
      </c>
      <c r="F611" s="194">
        <v>0</v>
      </c>
      <c r="G611" s="194">
        <f t="shared" si="82"/>
        <v>0</v>
      </c>
      <c r="H611" s="29" t="s">
        <v>453</v>
      </c>
      <c r="I611" s="28" t="s">
        <v>631</v>
      </c>
      <c r="J611" s="30"/>
      <c r="K611" s="30"/>
      <c r="L611" s="30"/>
      <c r="M611" s="30"/>
      <c r="N611" s="30">
        <v>5600</v>
      </c>
      <c r="O611" s="30"/>
      <c r="P611" s="30"/>
      <c r="Q611" s="30"/>
      <c r="R611" s="30"/>
      <c r="S611" s="30"/>
      <c r="T611" s="30"/>
      <c r="U611" s="30"/>
      <c r="V611" s="30"/>
      <c r="W611" s="197">
        <f t="shared" si="83"/>
        <v>5600</v>
      </c>
    </row>
    <row r="612" spans="1:23" x14ac:dyDescent="0.3">
      <c r="A612" s="155">
        <v>611</v>
      </c>
      <c r="B612" s="28"/>
      <c r="C612" s="28" t="s">
        <v>1034</v>
      </c>
      <c r="D612" s="194">
        <v>0</v>
      </c>
      <c r="E612" s="194">
        <v>184000</v>
      </c>
      <c r="F612" s="194">
        <v>0</v>
      </c>
      <c r="G612" s="194">
        <f t="shared" si="82"/>
        <v>0</v>
      </c>
      <c r="H612" s="29" t="s">
        <v>453</v>
      </c>
      <c r="I612" s="28" t="s">
        <v>631</v>
      </c>
      <c r="J612" s="30"/>
      <c r="K612" s="30"/>
      <c r="L612" s="30"/>
      <c r="M612" s="30"/>
      <c r="N612" s="30">
        <v>184000</v>
      </c>
      <c r="O612" s="30"/>
      <c r="P612" s="30"/>
      <c r="Q612" s="30"/>
      <c r="R612" s="30"/>
      <c r="S612" s="30"/>
      <c r="T612" s="30"/>
      <c r="U612" s="30"/>
      <c r="V612" s="30"/>
      <c r="W612" s="197">
        <f t="shared" si="83"/>
        <v>184000</v>
      </c>
    </row>
    <row r="613" spans="1:23" x14ac:dyDescent="0.3">
      <c r="A613" s="155">
        <v>612</v>
      </c>
      <c r="B613" s="28"/>
      <c r="C613" s="28" t="s">
        <v>1035</v>
      </c>
      <c r="D613" s="194">
        <v>0</v>
      </c>
      <c r="E613" s="194">
        <v>2400</v>
      </c>
      <c r="F613" s="194">
        <v>0</v>
      </c>
      <c r="G613" s="194">
        <f t="shared" si="82"/>
        <v>0</v>
      </c>
      <c r="H613" s="29" t="s">
        <v>453</v>
      </c>
      <c r="I613" s="28" t="s">
        <v>631</v>
      </c>
      <c r="J613" s="30"/>
      <c r="K613" s="30"/>
      <c r="L613" s="30"/>
      <c r="M613" s="30"/>
      <c r="N613" s="30">
        <v>2400</v>
      </c>
      <c r="O613" s="30"/>
      <c r="P613" s="30"/>
      <c r="Q613" s="30"/>
      <c r="R613" s="30"/>
      <c r="S613" s="30"/>
      <c r="T613" s="30"/>
      <c r="U613" s="30"/>
      <c r="V613" s="30"/>
      <c r="W613" s="197">
        <f t="shared" si="83"/>
        <v>2400</v>
      </c>
    </row>
    <row r="614" spans="1:23" x14ac:dyDescent="0.3">
      <c r="A614" s="155">
        <v>613</v>
      </c>
      <c r="B614" s="28"/>
      <c r="C614" s="28" t="s">
        <v>1036</v>
      </c>
      <c r="D614" s="194">
        <v>0</v>
      </c>
      <c r="E614" s="194">
        <v>156000</v>
      </c>
      <c r="F614" s="194">
        <v>0</v>
      </c>
      <c r="G614" s="194">
        <f t="shared" si="82"/>
        <v>0</v>
      </c>
      <c r="H614" s="29" t="s">
        <v>453</v>
      </c>
      <c r="I614" s="28" t="s">
        <v>631</v>
      </c>
      <c r="J614" s="30"/>
      <c r="K614" s="30"/>
      <c r="L614" s="30"/>
      <c r="M614" s="30"/>
      <c r="N614" s="194">
        <v>156000</v>
      </c>
      <c r="O614" s="30"/>
      <c r="P614" s="30"/>
      <c r="Q614" s="30"/>
      <c r="R614" s="30"/>
      <c r="S614" s="30"/>
      <c r="T614" s="30"/>
      <c r="U614" s="30"/>
      <c r="V614" s="30"/>
      <c r="W614" s="197">
        <f t="shared" si="83"/>
        <v>156000</v>
      </c>
    </row>
    <row r="615" spans="1:23" x14ac:dyDescent="0.3">
      <c r="A615" s="155">
        <v>614</v>
      </c>
      <c r="B615" s="28"/>
      <c r="C615" s="28" t="s">
        <v>1037</v>
      </c>
      <c r="D615" s="194">
        <v>0</v>
      </c>
      <c r="E615" s="194">
        <v>280000</v>
      </c>
      <c r="F615" s="194">
        <v>0</v>
      </c>
      <c r="G615" s="194">
        <f t="shared" si="82"/>
        <v>0</v>
      </c>
      <c r="H615" s="29" t="s">
        <v>453</v>
      </c>
      <c r="I615" s="28" t="s">
        <v>631</v>
      </c>
      <c r="J615" s="30"/>
      <c r="K615" s="30"/>
      <c r="L615" s="30"/>
      <c r="M615" s="30"/>
      <c r="N615" s="30">
        <v>280000</v>
      </c>
      <c r="O615" s="30"/>
      <c r="P615" s="30"/>
      <c r="Q615" s="30"/>
      <c r="R615" s="30"/>
      <c r="S615" s="30"/>
      <c r="T615" s="30"/>
      <c r="U615" s="30"/>
      <c r="V615" s="30"/>
      <c r="W615" s="197">
        <f t="shared" si="83"/>
        <v>280000</v>
      </c>
    </row>
    <row r="616" spans="1:23" x14ac:dyDescent="0.3">
      <c r="A616" s="155">
        <v>615</v>
      </c>
      <c r="B616" s="28"/>
      <c r="C616" s="28" t="s">
        <v>1038</v>
      </c>
      <c r="D616" s="194">
        <v>0</v>
      </c>
      <c r="E616" s="194">
        <v>60000</v>
      </c>
      <c r="F616" s="194">
        <v>0</v>
      </c>
      <c r="G616" s="194">
        <f t="shared" si="82"/>
        <v>0</v>
      </c>
      <c r="H616" s="29" t="s">
        <v>453</v>
      </c>
      <c r="I616" s="28" t="s">
        <v>631</v>
      </c>
      <c r="J616" s="30"/>
      <c r="K616" s="30"/>
      <c r="L616" s="30"/>
      <c r="M616" s="30"/>
      <c r="N616" s="30">
        <v>60000</v>
      </c>
      <c r="O616" s="30"/>
      <c r="P616" s="30"/>
      <c r="Q616" s="30"/>
      <c r="R616" s="30"/>
      <c r="S616" s="30"/>
      <c r="T616" s="30"/>
      <c r="U616" s="30"/>
      <c r="V616" s="30"/>
      <c r="W616" s="197">
        <f t="shared" si="83"/>
        <v>60000</v>
      </c>
    </row>
    <row r="617" spans="1:23" x14ac:dyDescent="0.3">
      <c r="A617" s="155">
        <v>616</v>
      </c>
      <c r="B617" s="28"/>
      <c r="C617" s="28" t="s">
        <v>1039</v>
      </c>
      <c r="D617" s="194">
        <v>0</v>
      </c>
      <c r="E617" s="194">
        <v>83600</v>
      </c>
      <c r="F617" s="194">
        <v>0</v>
      </c>
      <c r="G617" s="194">
        <f t="shared" si="82"/>
        <v>0</v>
      </c>
      <c r="H617" s="29" t="s">
        <v>453</v>
      </c>
      <c r="I617" s="28" t="s">
        <v>631</v>
      </c>
      <c r="J617" s="30"/>
      <c r="K617" s="30"/>
      <c r="L617" s="30"/>
      <c r="M617" s="30"/>
      <c r="N617" s="30">
        <v>83600</v>
      </c>
      <c r="O617" s="30"/>
      <c r="P617" s="30"/>
      <c r="Q617" s="30"/>
      <c r="R617" s="30"/>
      <c r="S617" s="30"/>
      <c r="T617" s="30"/>
      <c r="U617" s="30"/>
      <c r="V617" s="30"/>
      <c r="W617" s="197">
        <f t="shared" si="83"/>
        <v>83600</v>
      </c>
    </row>
    <row r="618" spans="1:23" x14ac:dyDescent="0.3">
      <c r="A618" s="155">
        <v>617</v>
      </c>
      <c r="B618" s="28"/>
      <c r="C618" s="28" t="s">
        <v>1040</v>
      </c>
      <c r="D618" s="194">
        <v>0</v>
      </c>
      <c r="E618" s="194">
        <v>10400</v>
      </c>
      <c r="F618" s="194">
        <v>0</v>
      </c>
      <c r="G618" s="194">
        <f t="shared" si="82"/>
        <v>0</v>
      </c>
      <c r="H618" s="29" t="s">
        <v>453</v>
      </c>
      <c r="I618" s="28" t="s">
        <v>631</v>
      </c>
      <c r="J618" s="30"/>
      <c r="K618" s="30"/>
      <c r="L618" s="30"/>
      <c r="M618" s="30"/>
      <c r="N618" s="30">
        <v>10400</v>
      </c>
      <c r="O618" s="30"/>
      <c r="P618" s="30"/>
      <c r="Q618" s="30"/>
      <c r="R618" s="30"/>
      <c r="S618" s="30"/>
      <c r="T618" s="30"/>
      <c r="U618" s="30"/>
      <c r="V618" s="30"/>
      <c r="W618" s="197">
        <f t="shared" si="83"/>
        <v>10400</v>
      </c>
    </row>
    <row r="619" spans="1:23" x14ac:dyDescent="0.3">
      <c r="A619" s="155">
        <v>618</v>
      </c>
      <c r="B619" s="28"/>
      <c r="C619" s="28" t="s">
        <v>1040</v>
      </c>
      <c r="D619" s="194">
        <v>0</v>
      </c>
      <c r="E619" s="194">
        <v>104000</v>
      </c>
      <c r="F619" s="194">
        <v>0</v>
      </c>
      <c r="G619" s="194">
        <f t="shared" si="82"/>
        <v>0</v>
      </c>
      <c r="H619" s="29" t="s">
        <v>453</v>
      </c>
      <c r="I619" s="28" t="s">
        <v>631</v>
      </c>
      <c r="J619" s="30"/>
      <c r="K619" s="30"/>
      <c r="L619" s="30"/>
      <c r="M619" s="30"/>
      <c r="N619" s="30">
        <v>104000</v>
      </c>
      <c r="O619" s="30"/>
      <c r="P619" s="30"/>
      <c r="Q619" s="30"/>
      <c r="R619" s="30"/>
      <c r="S619" s="30"/>
      <c r="T619" s="30"/>
      <c r="U619" s="30"/>
      <c r="V619" s="30"/>
      <c r="W619" s="197">
        <f t="shared" si="83"/>
        <v>104000</v>
      </c>
    </row>
    <row r="620" spans="1:23" x14ac:dyDescent="0.3">
      <c r="A620" s="155">
        <v>619</v>
      </c>
      <c r="B620" s="28"/>
      <c r="C620" s="28" t="s">
        <v>1041</v>
      </c>
      <c r="D620" s="194">
        <v>0</v>
      </c>
      <c r="E620" s="194">
        <v>232000</v>
      </c>
      <c r="F620" s="194">
        <v>0</v>
      </c>
      <c r="G620" s="194">
        <f t="shared" si="82"/>
        <v>0</v>
      </c>
      <c r="H620" s="29" t="s">
        <v>453</v>
      </c>
      <c r="I620" s="28" t="s">
        <v>631</v>
      </c>
      <c r="J620" s="30"/>
      <c r="K620" s="30"/>
      <c r="L620" s="30"/>
      <c r="M620" s="30"/>
      <c r="N620" s="30">
        <v>232000</v>
      </c>
      <c r="O620" s="30"/>
      <c r="P620" s="30"/>
      <c r="Q620" s="30"/>
      <c r="R620" s="30"/>
      <c r="S620" s="30"/>
      <c r="T620" s="30"/>
      <c r="U620" s="30"/>
      <c r="V620" s="30"/>
      <c r="W620" s="197">
        <f t="shared" si="83"/>
        <v>232000</v>
      </c>
    </row>
    <row r="621" spans="1:23" x14ac:dyDescent="0.3">
      <c r="A621" s="155">
        <v>620</v>
      </c>
      <c r="B621" s="28"/>
      <c r="C621" s="28" t="s">
        <v>1042</v>
      </c>
      <c r="D621" s="194">
        <v>0</v>
      </c>
      <c r="E621" s="194">
        <v>156000</v>
      </c>
      <c r="F621" s="194">
        <v>0</v>
      </c>
      <c r="G621" s="194">
        <f t="shared" si="82"/>
        <v>0</v>
      </c>
      <c r="H621" s="29" t="s">
        <v>453</v>
      </c>
      <c r="I621" s="28" t="s">
        <v>631</v>
      </c>
      <c r="J621" s="30"/>
      <c r="K621" s="30"/>
      <c r="L621" s="30"/>
      <c r="M621" s="30"/>
      <c r="N621" s="30">
        <v>156000</v>
      </c>
      <c r="O621" s="30"/>
      <c r="P621" s="30"/>
      <c r="Q621" s="30"/>
      <c r="R621" s="30"/>
      <c r="S621" s="30"/>
      <c r="T621" s="30"/>
      <c r="U621" s="30"/>
      <c r="V621" s="30"/>
      <c r="W621" s="197">
        <f t="shared" si="83"/>
        <v>156000</v>
      </c>
    </row>
    <row r="622" spans="1:23" x14ac:dyDescent="0.3">
      <c r="A622" s="155">
        <v>621</v>
      </c>
      <c r="B622" s="28"/>
      <c r="C622" s="28" t="s">
        <v>1043</v>
      </c>
      <c r="D622" s="194">
        <v>0</v>
      </c>
      <c r="E622" s="194">
        <v>464000</v>
      </c>
      <c r="F622" s="194">
        <v>0</v>
      </c>
      <c r="G622" s="194">
        <f t="shared" si="82"/>
        <v>0</v>
      </c>
      <c r="H622" s="29" t="s">
        <v>453</v>
      </c>
      <c r="I622" s="28" t="s">
        <v>631</v>
      </c>
      <c r="J622" s="30"/>
      <c r="K622" s="30"/>
      <c r="L622" s="30"/>
      <c r="M622" s="30"/>
      <c r="N622" s="30">
        <v>464000</v>
      </c>
      <c r="O622" s="30"/>
      <c r="P622" s="30"/>
      <c r="Q622" s="30"/>
      <c r="R622" s="30"/>
      <c r="S622" s="30"/>
      <c r="T622" s="30"/>
      <c r="U622" s="30"/>
      <c r="V622" s="30"/>
      <c r="W622" s="197">
        <f t="shared" si="83"/>
        <v>464000</v>
      </c>
    </row>
    <row r="623" spans="1:23" x14ac:dyDescent="0.3">
      <c r="A623" s="155">
        <v>622</v>
      </c>
      <c r="B623" s="28"/>
      <c r="C623" s="28" t="s">
        <v>1044</v>
      </c>
      <c r="D623" s="194">
        <v>0</v>
      </c>
      <c r="E623" s="194">
        <v>46400</v>
      </c>
      <c r="F623" s="194">
        <v>0</v>
      </c>
      <c r="G623" s="194">
        <f t="shared" si="82"/>
        <v>0</v>
      </c>
      <c r="H623" s="29" t="s">
        <v>453</v>
      </c>
      <c r="I623" s="28" t="s">
        <v>631</v>
      </c>
      <c r="J623" s="30"/>
      <c r="K623" s="30"/>
      <c r="L623" s="30"/>
      <c r="M623" s="30"/>
      <c r="N623" s="30">
        <v>46400</v>
      </c>
      <c r="O623" s="30"/>
      <c r="P623" s="30"/>
      <c r="Q623" s="30"/>
      <c r="R623" s="30"/>
      <c r="S623" s="30"/>
      <c r="T623" s="30"/>
      <c r="U623" s="30"/>
      <c r="V623" s="30"/>
      <c r="W623" s="197">
        <f t="shared" si="83"/>
        <v>46400</v>
      </c>
    </row>
    <row r="624" spans="1:23" x14ac:dyDescent="0.3">
      <c r="A624" s="155">
        <v>623</v>
      </c>
      <c r="B624" s="28"/>
      <c r="C624" s="28" t="s">
        <v>1045</v>
      </c>
      <c r="D624" s="194">
        <v>0</v>
      </c>
      <c r="E624" s="194">
        <v>46400</v>
      </c>
      <c r="F624" s="194">
        <v>0</v>
      </c>
      <c r="G624" s="194">
        <f t="shared" si="82"/>
        <v>0</v>
      </c>
      <c r="H624" s="29" t="s">
        <v>453</v>
      </c>
      <c r="I624" s="28" t="s">
        <v>631</v>
      </c>
      <c r="J624" s="30"/>
      <c r="K624" s="30"/>
      <c r="L624" s="30"/>
      <c r="M624" s="30"/>
      <c r="N624" s="30">
        <v>46400</v>
      </c>
      <c r="O624" s="30"/>
      <c r="P624" s="30"/>
      <c r="Q624" s="30"/>
      <c r="R624" s="30"/>
      <c r="S624" s="30"/>
      <c r="T624" s="30"/>
      <c r="U624" s="30"/>
      <c r="V624" s="30"/>
      <c r="W624" s="197">
        <f t="shared" si="83"/>
        <v>46400</v>
      </c>
    </row>
    <row r="625" spans="1:23" x14ac:dyDescent="0.3">
      <c r="A625" s="155">
        <v>624</v>
      </c>
      <c r="B625" s="28"/>
      <c r="C625" s="28" t="s">
        <v>1046</v>
      </c>
      <c r="D625" s="194">
        <v>0</v>
      </c>
      <c r="E625" s="194">
        <v>46400</v>
      </c>
      <c r="F625" s="194">
        <v>0</v>
      </c>
      <c r="G625" s="194">
        <f t="shared" si="82"/>
        <v>0</v>
      </c>
      <c r="H625" s="29" t="s">
        <v>453</v>
      </c>
      <c r="I625" s="28" t="s">
        <v>631</v>
      </c>
      <c r="J625" s="30"/>
      <c r="K625" s="30"/>
      <c r="L625" s="30"/>
      <c r="M625" s="30"/>
      <c r="N625" s="30">
        <v>46400</v>
      </c>
      <c r="O625" s="30"/>
      <c r="P625" s="30"/>
      <c r="Q625" s="30"/>
      <c r="R625" s="30"/>
      <c r="S625" s="30"/>
      <c r="T625" s="30"/>
      <c r="U625" s="30"/>
      <c r="V625" s="30"/>
      <c r="W625" s="197">
        <f t="shared" si="83"/>
        <v>46400</v>
      </c>
    </row>
    <row r="626" spans="1:23" x14ac:dyDescent="0.3">
      <c r="A626" s="155">
        <v>625</v>
      </c>
      <c r="B626" s="28"/>
      <c r="C626" s="28" t="s">
        <v>1047</v>
      </c>
      <c r="D626" s="194">
        <v>0</v>
      </c>
      <c r="E626" s="194">
        <v>15600</v>
      </c>
      <c r="F626" s="194">
        <v>0</v>
      </c>
      <c r="G626" s="194">
        <f t="shared" si="82"/>
        <v>0</v>
      </c>
      <c r="H626" s="29" t="s">
        <v>453</v>
      </c>
      <c r="I626" s="28" t="s">
        <v>631</v>
      </c>
      <c r="J626" s="30"/>
      <c r="K626" s="30"/>
      <c r="L626" s="30"/>
      <c r="M626" s="30"/>
      <c r="N626" s="30">
        <v>15600</v>
      </c>
      <c r="O626" s="30"/>
      <c r="P626" s="30"/>
      <c r="Q626" s="30"/>
      <c r="R626" s="30"/>
      <c r="S626" s="30"/>
      <c r="T626" s="30"/>
      <c r="U626" s="30"/>
      <c r="V626" s="30"/>
      <c r="W626" s="197">
        <f t="shared" si="83"/>
        <v>15600</v>
      </c>
    </row>
    <row r="627" spans="1:23" x14ac:dyDescent="0.3">
      <c r="A627" s="155">
        <v>626</v>
      </c>
      <c r="B627" s="28"/>
      <c r="C627" s="28" t="s">
        <v>1048</v>
      </c>
      <c r="D627" s="194">
        <v>0</v>
      </c>
      <c r="E627" s="194">
        <v>30000</v>
      </c>
      <c r="F627" s="194">
        <v>0</v>
      </c>
      <c r="G627" s="194">
        <f t="shared" si="82"/>
        <v>0</v>
      </c>
      <c r="H627" s="29" t="s">
        <v>453</v>
      </c>
      <c r="I627" s="28" t="s">
        <v>631</v>
      </c>
      <c r="J627" s="30"/>
      <c r="K627" s="30"/>
      <c r="L627" s="30"/>
      <c r="M627" s="30"/>
      <c r="N627" s="194">
        <v>30000</v>
      </c>
      <c r="O627" s="30"/>
      <c r="P627" s="30"/>
      <c r="Q627" s="30"/>
      <c r="R627" s="30"/>
      <c r="S627" s="30"/>
      <c r="T627" s="30"/>
      <c r="U627" s="30"/>
      <c r="V627" s="30"/>
      <c r="W627" s="197">
        <f t="shared" si="83"/>
        <v>30000</v>
      </c>
    </row>
    <row r="628" spans="1:23" x14ac:dyDescent="0.3">
      <c r="A628" s="155">
        <v>627</v>
      </c>
      <c r="B628" s="28"/>
      <c r="C628" s="28" t="s">
        <v>1048</v>
      </c>
      <c r="D628" s="194">
        <v>0</v>
      </c>
      <c r="E628" s="194">
        <v>30000</v>
      </c>
      <c r="F628" s="194">
        <v>0</v>
      </c>
      <c r="G628" s="194">
        <f t="shared" si="82"/>
        <v>0</v>
      </c>
      <c r="H628" s="29" t="s">
        <v>453</v>
      </c>
      <c r="I628" s="28" t="s">
        <v>631</v>
      </c>
      <c r="J628" s="30"/>
      <c r="K628" s="30"/>
      <c r="L628" s="30"/>
      <c r="M628" s="30"/>
      <c r="N628" s="194">
        <v>30000</v>
      </c>
      <c r="O628" s="30"/>
      <c r="P628" s="30"/>
      <c r="Q628" s="30"/>
      <c r="R628" s="30"/>
      <c r="S628" s="30"/>
      <c r="T628" s="30"/>
      <c r="U628" s="30"/>
      <c r="V628" s="30"/>
      <c r="W628" s="197">
        <f t="shared" si="83"/>
        <v>30000</v>
      </c>
    </row>
    <row r="629" spans="1:23" x14ac:dyDescent="0.3">
      <c r="A629" s="155">
        <v>628</v>
      </c>
      <c r="B629" s="28"/>
      <c r="C629" s="28" t="s">
        <v>1019</v>
      </c>
      <c r="D629" s="194">
        <v>0</v>
      </c>
      <c r="E629" s="194">
        <v>156000</v>
      </c>
      <c r="F629" s="194">
        <v>0</v>
      </c>
      <c r="G629" s="194">
        <f t="shared" si="82"/>
        <v>0</v>
      </c>
      <c r="H629" s="29" t="s">
        <v>453</v>
      </c>
      <c r="I629" s="28" t="s">
        <v>631</v>
      </c>
      <c r="J629" s="30"/>
      <c r="K629" s="30"/>
      <c r="L629" s="30"/>
      <c r="M629" s="30"/>
      <c r="N629" s="194">
        <v>156000</v>
      </c>
      <c r="O629" s="30"/>
      <c r="P629" s="30"/>
      <c r="Q629" s="30"/>
      <c r="R629" s="30"/>
      <c r="S629" s="30"/>
      <c r="T629" s="30"/>
      <c r="U629" s="30"/>
      <c r="V629" s="30"/>
      <c r="W629" s="197">
        <f t="shared" si="83"/>
        <v>156000</v>
      </c>
    </row>
    <row r="630" spans="1:23" x14ac:dyDescent="0.3">
      <c r="A630" s="155">
        <v>629</v>
      </c>
      <c r="B630" s="28"/>
      <c r="C630" s="28" t="s">
        <v>1019</v>
      </c>
      <c r="D630" s="194">
        <v>0</v>
      </c>
      <c r="E630" s="194">
        <v>152000</v>
      </c>
      <c r="F630" s="194">
        <v>0</v>
      </c>
      <c r="G630" s="194">
        <f t="shared" si="82"/>
        <v>0</v>
      </c>
      <c r="H630" s="29" t="s">
        <v>453</v>
      </c>
      <c r="I630" s="28" t="s">
        <v>631</v>
      </c>
      <c r="J630" s="30"/>
      <c r="K630" s="30"/>
      <c r="L630" s="30"/>
      <c r="M630" s="30"/>
      <c r="N630" s="194">
        <v>152000</v>
      </c>
      <c r="O630" s="30"/>
      <c r="P630" s="30"/>
      <c r="Q630" s="30"/>
      <c r="R630" s="30"/>
      <c r="S630" s="30"/>
      <c r="T630" s="30"/>
      <c r="U630" s="30"/>
      <c r="V630" s="30"/>
      <c r="W630" s="197">
        <f t="shared" si="83"/>
        <v>152000</v>
      </c>
    </row>
    <row r="631" spans="1:23" x14ac:dyDescent="0.3">
      <c r="A631" s="155">
        <v>630</v>
      </c>
      <c r="B631" s="28"/>
      <c r="C631" s="28" t="s">
        <v>1049</v>
      </c>
      <c r="D631" s="194">
        <v>0</v>
      </c>
      <c r="E631" s="194">
        <v>76000</v>
      </c>
      <c r="F631" s="194">
        <v>0</v>
      </c>
      <c r="G631" s="194">
        <f t="shared" si="82"/>
        <v>0</v>
      </c>
      <c r="H631" s="29" t="s">
        <v>453</v>
      </c>
      <c r="I631" s="28" t="s">
        <v>631</v>
      </c>
      <c r="J631" s="30"/>
      <c r="K631" s="30"/>
      <c r="L631" s="30"/>
      <c r="M631" s="30"/>
      <c r="N631" s="30">
        <v>76000</v>
      </c>
      <c r="O631" s="30"/>
      <c r="P631" s="30"/>
      <c r="Q631" s="30"/>
      <c r="R631" s="30"/>
      <c r="S631" s="30"/>
      <c r="T631" s="30"/>
      <c r="U631" s="30"/>
      <c r="V631" s="30"/>
      <c r="W631" s="197">
        <f t="shared" si="83"/>
        <v>76000</v>
      </c>
    </row>
    <row r="632" spans="1:23" x14ac:dyDescent="0.3">
      <c r="A632" s="155">
        <v>631</v>
      </c>
      <c r="B632" s="28"/>
      <c r="C632" s="28" t="s">
        <v>1050</v>
      </c>
      <c r="D632" s="194">
        <v>0</v>
      </c>
      <c r="E632" s="194">
        <v>696000</v>
      </c>
      <c r="F632" s="194">
        <v>0</v>
      </c>
      <c r="G632" s="194">
        <f t="shared" si="82"/>
        <v>0</v>
      </c>
      <c r="H632" s="29" t="s">
        <v>453</v>
      </c>
      <c r="I632" s="28" t="s">
        <v>631</v>
      </c>
      <c r="J632" s="30"/>
      <c r="K632" s="30"/>
      <c r="L632" s="30"/>
      <c r="M632" s="30"/>
      <c r="N632" s="30">
        <v>696000</v>
      </c>
      <c r="O632" s="30"/>
      <c r="P632" s="30"/>
      <c r="Q632" s="30"/>
      <c r="R632" s="30"/>
      <c r="S632" s="30"/>
      <c r="T632" s="30"/>
      <c r="U632" s="30"/>
      <c r="V632" s="30"/>
      <c r="W632" s="197">
        <f t="shared" si="83"/>
        <v>696000</v>
      </c>
    </row>
    <row r="633" spans="1:23" x14ac:dyDescent="0.3">
      <c r="A633" s="155">
        <v>632</v>
      </c>
      <c r="B633" s="28"/>
      <c r="C633" s="28" t="s">
        <v>1051</v>
      </c>
      <c r="D633" s="194">
        <v>0</v>
      </c>
      <c r="E633" s="194">
        <v>156000</v>
      </c>
      <c r="F633" s="194">
        <v>0</v>
      </c>
      <c r="G633" s="194">
        <f t="shared" si="82"/>
        <v>0</v>
      </c>
      <c r="H633" s="29" t="s">
        <v>453</v>
      </c>
      <c r="I633" s="28" t="s">
        <v>631</v>
      </c>
      <c r="J633" s="30"/>
      <c r="K633" s="30"/>
      <c r="L633" s="30"/>
      <c r="M633" s="30"/>
      <c r="N633" s="30">
        <v>156000</v>
      </c>
      <c r="O633" s="30"/>
      <c r="P633" s="30"/>
      <c r="Q633" s="30"/>
      <c r="R633" s="30"/>
      <c r="S633" s="30"/>
      <c r="T633" s="30"/>
      <c r="U633" s="30"/>
      <c r="V633" s="30"/>
      <c r="W633" s="197">
        <f t="shared" si="83"/>
        <v>156000</v>
      </c>
    </row>
    <row r="634" spans="1:23" x14ac:dyDescent="0.3">
      <c r="A634" s="155">
        <v>633</v>
      </c>
      <c r="B634" s="28"/>
      <c r="C634" s="28" t="s">
        <v>1052</v>
      </c>
      <c r="D634" s="194">
        <v>0</v>
      </c>
      <c r="E634" s="194">
        <v>40000</v>
      </c>
      <c r="F634" s="194">
        <v>0</v>
      </c>
      <c r="G634" s="194">
        <f t="shared" si="82"/>
        <v>0</v>
      </c>
      <c r="H634" s="29" t="s">
        <v>453</v>
      </c>
      <c r="I634" s="28" t="s">
        <v>631</v>
      </c>
      <c r="J634" s="30"/>
      <c r="K634" s="30"/>
      <c r="L634" s="30"/>
      <c r="M634" s="30"/>
      <c r="N634" s="30">
        <v>40000</v>
      </c>
      <c r="O634" s="30"/>
      <c r="P634" s="30"/>
      <c r="Q634" s="30"/>
      <c r="R634" s="30"/>
      <c r="S634" s="30"/>
      <c r="T634" s="30"/>
      <c r="U634" s="30"/>
      <c r="V634" s="30"/>
      <c r="W634" s="197">
        <f t="shared" si="83"/>
        <v>40000</v>
      </c>
    </row>
    <row r="635" spans="1:23" x14ac:dyDescent="0.3">
      <c r="A635" s="155">
        <v>634</v>
      </c>
      <c r="B635" s="28"/>
      <c r="C635" s="28" t="s">
        <v>1053</v>
      </c>
      <c r="D635" s="194">
        <v>0</v>
      </c>
      <c r="E635" s="194">
        <v>32000</v>
      </c>
      <c r="F635" s="194">
        <v>0</v>
      </c>
      <c r="G635" s="194">
        <f t="shared" si="82"/>
        <v>0</v>
      </c>
      <c r="H635" s="29" t="s">
        <v>453</v>
      </c>
      <c r="I635" s="28" t="s">
        <v>631</v>
      </c>
      <c r="J635" s="30"/>
      <c r="K635" s="30"/>
      <c r="L635" s="30"/>
      <c r="M635" s="30"/>
      <c r="N635" s="30">
        <v>32000</v>
      </c>
      <c r="O635" s="30"/>
      <c r="P635" s="30"/>
      <c r="Q635" s="30"/>
      <c r="R635" s="30"/>
      <c r="S635" s="30"/>
      <c r="T635" s="30"/>
      <c r="U635" s="30"/>
      <c r="V635" s="30"/>
      <c r="W635" s="197">
        <f t="shared" si="83"/>
        <v>32000</v>
      </c>
    </row>
    <row r="636" spans="1:23" x14ac:dyDescent="0.3">
      <c r="A636" s="155">
        <v>635</v>
      </c>
      <c r="B636" s="28"/>
      <c r="C636" s="28" t="s">
        <v>1054</v>
      </c>
      <c r="D636" s="194">
        <v>0</v>
      </c>
      <c r="E636" s="194">
        <v>48000</v>
      </c>
      <c r="F636" s="194">
        <v>50000</v>
      </c>
      <c r="G636" s="194"/>
      <c r="H636" s="29" t="s">
        <v>452</v>
      </c>
      <c r="I636" s="28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97"/>
    </row>
    <row r="637" spans="1:23" x14ac:dyDescent="0.3">
      <c r="A637" s="155">
        <v>636</v>
      </c>
      <c r="B637" s="28"/>
      <c r="C637" s="28" t="s">
        <v>1055</v>
      </c>
      <c r="D637" s="194">
        <v>0</v>
      </c>
      <c r="E637" s="194">
        <v>48000</v>
      </c>
      <c r="F637" s="194">
        <v>0</v>
      </c>
      <c r="G637" s="194">
        <f t="shared" ref="G637:G638" si="84">D637</f>
        <v>0</v>
      </c>
      <c r="H637" s="29" t="s">
        <v>453</v>
      </c>
      <c r="I637" s="28" t="s">
        <v>631</v>
      </c>
      <c r="J637" s="30"/>
      <c r="K637" s="30"/>
      <c r="L637" s="30"/>
      <c r="M637" s="30"/>
      <c r="N637" s="30">
        <v>48000</v>
      </c>
      <c r="O637" s="30"/>
      <c r="P637" s="30"/>
      <c r="Q637" s="30"/>
      <c r="R637" s="30"/>
      <c r="S637" s="30"/>
      <c r="T637" s="30"/>
      <c r="U637" s="30"/>
      <c r="V637" s="30"/>
      <c r="W637" s="197">
        <f>SUM(J637:V637)</f>
        <v>48000</v>
      </c>
    </row>
    <row r="638" spans="1:23" x14ac:dyDescent="0.3">
      <c r="A638" s="155">
        <v>637</v>
      </c>
      <c r="B638" s="28"/>
      <c r="C638" s="28" t="s">
        <v>1056</v>
      </c>
      <c r="D638" s="194">
        <v>0</v>
      </c>
      <c r="E638" s="194">
        <v>16000</v>
      </c>
      <c r="F638" s="194">
        <v>0</v>
      </c>
      <c r="G638" s="194">
        <f t="shared" si="84"/>
        <v>0</v>
      </c>
      <c r="H638" s="29" t="s">
        <v>453</v>
      </c>
      <c r="I638" s="28" t="s">
        <v>631</v>
      </c>
      <c r="J638" s="30"/>
      <c r="K638" s="30"/>
      <c r="L638" s="30"/>
      <c r="M638" s="30"/>
      <c r="N638" s="30">
        <v>16000</v>
      </c>
      <c r="O638" s="30"/>
      <c r="P638" s="30"/>
      <c r="Q638" s="30"/>
      <c r="R638" s="30"/>
      <c r="S638" s="30"/>
      <c r="T638" s="30"/>
      <c r="U638" s="30"/>
      <c r="V638" s="30"/>
      <c r="W638" s="197">
        <f>SUM(J638:V638)</f>
        <v>16000</v>
      </c>
    </row>
    <row r="639" spans="1:23" x14ac:dyDescent="0.3">
      <c r="A639" s="155">
        <v>638</v>
      </c>
      <c r="B639" s="28"/>
      <c r="C639" s="28" t="s">
        <v>1057</v>
      </c>
      <c r="D639" s="194">
        <v>0</v>
      </c>
      <c r="E639" s="194">
        <v>8000</v>
      </c>
      <c r="F639" s="194">
        <v>15000</v>
      </c>
      <c r="G639" s="194"/>
      <c r="H639" s="29" t="s">
        <v>452</v>
      </c>
      <c r="I639" s="28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97"/>
    </row>
    <row r="640" spans="1:23" x14ac:dyDescent="0.3">
      <c r="A640" s="155">
        <v>639</v>
      </c>
      <c r="B640" s="28"/>
      <c r="C640" s="28" t="s">
        <v>1058</v>
      </c>
      <c r="D640" s="194">
        <v>0</v>
      </c>
      <c r="E640" s="194">
        <v>56000</v>
      </c>
      <c r="F640" s="194">
        <v>0</v>
      </c>
      <c r="G640" s="194">
        <f t="shared" ref="G640:G641" si="85">D640</f>
        <v>0</v>
      </c>
      <c r="H640" s="29" t="s">
        <v>453</v>
      </c>
      <c r="I640" s="28" t="s">
        <v>631</v>
      </c>
      <c r="J640" s="30"/>
      <c r="K640" s="30"/>
      <c r="L640" s="30"/>
      <c r="M640" s="30"/>
      <c r="N640" s="30">
        <v>56000</v>
      </c>
      <c r="O640" s="30"/>
      <c r="P640" s="30"/>
      <c r="Q640" s="30"/>
      <c r="R640" s="30"/>
      <c r="S640" s="30"/>
      <c r="T640" s="30"/>
      <c r="U640" s="30"/>
      <c r="V640" s="30"/>
      <c r="W640" s="197">
        <f>SUM(J640:V640)</f>
        <v>56000</v>
      </c>
    </row>
    <row r="641" spans="1:23" x14ac:dyDescent="0.3">
      <c r="A641" s="155">
        <v>640</v>
      </c>
      <c r="B641" s="28"/>
      <c r="C641" s="28" t="s">
        <v>1059</v>
      </c>
      <c r="D641" s="194">
        <v>0</v>
      </c>
      <c r="E641" s="194">
        <v>28000</v>
      </c>
      <c r="F641" s="194">
        <v>0</v>
      </c>
      <c r="G641" s="194">
        <f t="shared" si="85"/>
        <v>0</v>
      </c>
      <c r="H641" s="29" t="s">
        <v>453</v>
      </c>
      <c r="I641" s="28" t="s">
        <v>631</v>
      </c>
      <c r="J641" s="30"/>
      <c r="K641" s="30"/>
      <c r="L641" s="30"/>
      <c r="M641" s="30"/>
      <c r="N641" s="30">
        <v>28000</v>
      </c>
      <c r="O641" s="30"/>
      <c r="P641" s="30"/>
      <c r="Q641" s="30"/>
      <c r="R641" s="30"/>
      <c r="S641" s="30"/>
      <c r="T641" s="30"/>
      <c r="U641" s="30"/>
      <c r="V641" s="30"/>
      <c r="W641" s="197">
        <f>SUM(J641:V641)</f>
        <v>28000</v>
      </c>
    </row>
    <row r="642" spans="1:23" x14ac:dyDescent="0.3">
      <c r="A642" s="155">
        <v>641</v>
      </c>
      <c r="B642" s="28"/>
      <c r="C642" s="28" t="s">
        <v>1060</v>
      </c>
      <c r="D642" s="194">
        <v>0</v>
      </c>
      <c r="E642" s="194">
        <v>3999</v>
      </c>
      <c r="F642" s="194">
        <v>10000</v>
      </c>
      <c r="G642" s="194"/>
      <c r="H642" s="29" t="s">
        <v>452</v>
      </c>
      <c r="I642" s="28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97"/>
    </row>
    <row r="643" spans="1:23" x14ac:dyDescent="0.3">
      <c r="A643" s="155">
        <v>642</v>
      </c>
      <c r="B643" s="28"/>
      <c r="C643" s="28" t="s">
        <v>1061</v>
      </c>
      <c r="D643" s="194">
        <v>0</v>
      </c>
      <c r="E643" s="194">
        <v>16000</v>
      </c>
      <c r="F643" s="194">
        <v>0</v>
      </c>
      <c r="G643" s="194">
        <f t="shared" ref="G643:G646" si="86">D643</f>
        <v>0</v>
      </c>
      <c r="H643" s="29" t="s">
        <v>453</v>
      </c>
      <c r="I643" s="28" t="s">
        <v>631</v>
      </c>
      <c r="J643" s="30"/>
      <c r="K643" s="30"/>
      <c r="L643" s="30"/>
      <c r="M643" s="30"/>
      <c r="N643" s="30">
        <v>16000</v>
      </c>
      <c r="O643" s="30"/>
      <c r="P643" s="30"/>
      <c r="Q643" s="30"/>
      <c r="R643" s="30"/>
      <c r="S643" s="30"/>
      <c r="T643" s="30"/>
      <c r="U643" s="30"/>
      <c r="V643" s="30"/>
      <c r="W643" s="197">
        <f>SUM(J643:V643)</f>
        <v>16000</v>
      </c>
    </row>
    <row r="644" spans="1:23" x14ac:dyDescent="0.3">
      <c r="A644" s="155">
        <v>643</v>
      </c>
      <c r="B644" s="28"/>
      <c r="C644" s="28" t="s">
        <v>1062</v>
      </c>
      <c r="D644" s="194">
        <v>0</v>
      </c>
      <c r="E644" s="194">
        <v>90000</v>
      </c>
      <c r="F644" s="194">
        <v>0</v>
      </c>
      <c r="G644" s="194">
        <f t="shared" si="86"/>
        <v>0</v>
      </c>
      <c r="H644" s="29" t="s">
        <v>453</v>
      </c>
      <c r="I644" s="28" t="s">
        <v>631</v>
      </c>
      <c r="J644" s="30"/>
      <c r="K644" s="30"/>
      <c r="L644" s="30"/>
      <c r="M644" s="30"/>
      <c r="N644" s="30">
        <v>90000</v>
      </c>
      <c r="O644" s="30"/>
      <c r="P644" s="30"/>
      <c r="Q644" s="30"/>
      <c r="R644" s="30"/>
      <c r="S644" s="30"/>
      <c r="T644" s="30"/>
      <c r="U644" s="30"/>
      <c r="V644" s="30"/>
      <c r="W644" s="197">
        <f>SUM(J644:V644)</f>
        <v>90000</v>
      </c>
    </row>
    <row r="645" spans="1:23" x14ac:dyDescent="0.3">
      <c r="A645" s="155">
        <v>644</v>
      </c>
      <c r="B645" s="28"/>
      <c r="C645" s="28" t="s">
        <v>1063</v>
      </c>
      <c r="D645" s="194">
        <v>0</v>
      </c>
      <c r="E645" s="194">
        <v>16000</v>
      </c>
      <c r="F645" s="194">
        <v>0</v>
      </c>
      <c r="G645" s="194">
        <f t="shared" si="86"/>
        <v>0</v>
      </c>
      <c r="H645" s="29" t="s">
        <v>453</v>
      </c>
      <c r="I645" s="28" t="s">
        <v>631</v>
      </c>
      <c r="J645" s="30"/>
      <c r="K645" s="30"/>
      <c r="L645" s="30"/>
      <c r="M645" s="30"/>
      <c r="N645" s="30">
        <v>16000</v>
      </c>
      <c r="O645" s="30"/>
      <c r="P645" s="30"/>
      <c r="Q645" s="30"/>
      <c r="R645" s="30"/>
      <c r="S645" s="30"/>
      <c r="T645" s="30"/>
      <c r="U645" s="30"/>
      <c r="V645" s="30"/>
      <c r="W645" s="197">
        <f>SUM(J645:V645)</f>
        <v>16000</v>
      </c>
    </row>
    <row r="646" spans="1:23" x14ac:dyDescent="0.3">
      <c r="A646" s="155">
        <v>645</v>
      </c>
      <c r="B646" s="28"/>
      <c r="C646" s="28" t="s">
        <v>1064</v>
      </c>
      <c r="D646" s="194">
        <v>0</v>
      </c>
      <c r="E646" s="194">
        <v>16000</v>
      </c>
      <c r="F646" s="194">
        <v>0</v>
      </c>
      <c r="G646" s="194">
        <f t="shared" si="86"/>
        <v>0</v>
      </c>
      <c r="H646" s="29" t="s">
        <v>453</v>
      </c>
      <c r="I646" s="28" t="s">
        <v>631</v>
      </c>
      <c r="J646" s="30"/>
      <c r="K646" s="30"/>
      <c r="L646" s="30"/>
      <c r="M646" s="30"/>
      <c r="N646" s="30">
        <v>16000</v>
      </c>
      <c r="O646" s="30"/>
      <c r="P646" s="30"/>
      <c r="Q646" s="30"/>
      <c r="R646" s="30"/>
      <c r="S646" s="30"/>
      <c r="T646" s="30"/>
      <c r="U646" s="30"/>
      <c r="V646" s="30"/>
      <c r="W646" s="197">
        <f>SUM(J646:V646)</f>
        <v>16000</v>
      </c>
    </row>
    <row r="647" spans="1:23" x14ac:dyDescent="0.3">
      <c r="A647" s="155">
        <v>646</v>
      </c>
      <c r="B647" s="28"/>
      <c r="C647" s="28" t="s">
        <v>1065</v>
      </c>
      <c r="D647" s="194">
        <v>0</v>
      </c>
      <c r="E647" s="194">
        <v>232000</v>
      </c>
      <c r="F647" s="194">
        <v>240000</v>
      </c>
      <c r="G647" s="194"/>
      <c r="H647" s="29" t="s">
        <v>452</v>
      </c>
      <c r="I647" s="28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97"/>
    </row>
    <row r="648" spans="1:23" x14ac:dyDescent="0.3">
      <c r="A648" s="155">
        <v>647</v>
      </c>
      <c r="B648" s="28"/>
      <c r="C648" s="28" t="s">
        <v>1066</v>
      </c>
      <c r="D648" s="194">
        <v>0</v>
      </c>
      <c r="E648" s="194">
        <v>32000</v>
      </c>
      <c r="F648" s="194">
        <v>0</v>
      </c>
      <c r="G648" s="194">
        <f t="shared" ref="G648:G666" si="87">D648</f>
        <v>0</v>
      </c>
      <c r="H648" s="29" t="s">
        <v>453</v>
      </c>
      <c r="I648" s="28" t="s">
        <v>631</v>
      </c>
      <c r="J648" s="30"/>
      <c r="K648" s="30"/>
      <c r="L648" s="30"/>
      <c r="M648" s="30"/>
      <c r="N648" s="30">
        <v>32000</v>
      </c>
      <c r="O648" s="30"/>
      <c r="P648" s="30"/>
      <c r="Q648" s="30"/>
      <c r="R648" s="30"/>
      <c r="S648" s="30"/>
      <c r="T648" s="30"/>
      <c r="U648" s="30"/>
      <c r="V648" s="30"/>
      <c r="W648" s="197">
        <f t="shared" ref="W648:W666" si="88">SUM(J648:V648)</f>
        <v>32000</v>
      </c>
    </row>
    <row r="649" spans="1:23" x14ac:dyDescent="0.3">
      <c r="A649" s="155">
        <v>648</v>
      </c>
      <c r="B649" s="28"/>
      <c r="C649" s="28" t="s">
        <v>1067</v>
      </c>
      <c r="D649" s="194">
        <v>0</v>
      </c>
      <c r="E649" s="194">
        <v>8000</v>
      </c>
      <c r="F649" s="194">
        <v>0</v>
      </c>
      <c r="G649" s="194">
        <f t="shared" si="87"/>
        <v>0</v>
      </c>
      <c r="H649" s="29" t="s">
        <v>453</v>
      </c>
      <c r="I649" s="28" t="s">
        <v>631</v>
      </c>
      <c r="J649" s="30"/>
      <c r="K649" s="30"/>
      <c r="L649" s="30"/>
      <c r="M649" s="30"/>
      <c r="N649" s="30">
        <v>8000</v>
      </c>
      <c r="O649" s="30"/>
      <c r="P649" s="30"/>
      <c r="Q649" s="30"/>
      <c r="R649" s="30"/>
      <c r="S649" s="30"/>
      <c r="T649" s="30"/>
      <c r="U649" s="30"/>
      <c r="V649" s="30"/>
      <c r="W649" s="197">
        <f t="shared" si="88"/>
        <v>8000</v>
      </c>
    </row>
    <row r="650" spans="1:23" x14ac:dyDescent="0.3">
      <c r="A650" s="155">
        <v>649</v>
      </c>
      <c r="B650" s="28"/>
      <c r="C650" s="28" t="s">
        <v>1068</v>
      </c>
      <c r="D650" s="194">
        <v>0</v>
      </c>
      <c r="E650" s="194">
        <v>225000</v>
      </c>
      <c r="F650" s="194">
        <v>0</v>
      </c>
      <c r="G650" s="194">
        <f t="shared" si="87"/>
        <v>0</v>
      </c>
      <c r="H650" s="29" t="s">
        <v>453</v>
      </c>
      <c r="I650" s="28" t="s">
        <v>631</v>
      </c>
      <c r="J650" s="30"/>
      <c r="K650" s="30"/>
      <c r="L650" s="30"/>
      <c r="M650" s="30"/>
      <c r="N650" s="30">
        <v>225000</v>
      </c>
      <c r="O650" s="30"/>
      <c r="P650" s="30"/>
      <c r="Q650" s="30"/>
      <c r="R650" s="30"/>
      <c r="S650" s="30"/>
      <c r="T650" s="30"/>
      <c r="U650" s="30"/>
      <c r="V650" s="30"/>
      <c r="W650" s="197">
        <f t="shared" si="88"/>
        <v>225000</v>
      </c>
    </row>
    <row r="651" spans="1:23" x14ac:dyDescent="0.3">
      <c r="A651" s="155">
        <v>650</v>
      </c>
      <c r="B651" s="28"/>
      <c r="C651" s="28" t="s">
        <v>1069</v>
      </c>
      <c r="D651" s="194">
        <v>0</v>
      </c>
      <c r="E651" s="194">
        <v>4000</v>
      </c>
      <c r="F651" s="194">
        <v>0</v>
      </c>
      <c r="G651" s="194">
        <f t="shared" si="87"/>
        <v>0</v>
      </c>
      <c r="H651" s="29" t="s">
        <v>453</v>
      </c>
      <c r="I651" s="28" t="s">
        <v>631</v>
      </c>
      <c r="J651" s="30"/>
      <c r="K651" s="30"/>
      <c r="L651" s="30"/>
      <c r="M651" s="30"/>
      <c r="N651" s="30">
        <v>4000</v>
      </c>
      <c r="O651" s="30"/>
      <c r="P651" s="30"/>
      <c r="Q651" s="30"/>
      <c r="R651" s="30"/>
      <c r="S651" s="30"/>
      <c r="T651" s="30"/>
      <c r="U651" s="30"/>
      <c r="V651" s="30"/>
      <c r="W651" s="197">
        <f t="shared" si="88"/>
        <v>4000</v>
      </c>
    </row>
    <row r="652" spans="1:23" x14ac:dyDescent="0.3">
      <c r="A652" s="155">
        <v>651</v>
      </c>
      <c r="B652" s="28"/>
      <c r="C652" s="28" t="s">
        <v>1070</v>
      </c>
      <c r="D652" s="194">
        <v>0</v>
      </c>
      <c r="E652" s="194">
        <v>8000</v>
      </c>
      <c r="F652" s="194">
        <v>0</v>
      </c>
      <c r="G652" s="194">
        <f t="shared" si="87"/>
        <v>0</v>
      </c>
      <c r="H652" s="29" t="s">
        <v>453</v>
      </c>
      <c r="I652" s="28" t="s">
        <v>631</v>
      </c>
      <c r="J652" s="30"/>
      <c r="K652" s="30"/>
      <c r="L652" s="30"/>
      <c r="M652" s="30"/>
      <c r="N652" s="30">
        <v>8000</v>
      </c>
      <c r="O652" s="30"/>
      <c r="P652" s="30"/>
      <c r="Q652" s="30"/>
      <c r="R652" s="30"/>
      <c r="S652" s="30"/>
      <c r="T652" s="30"/>
      <c r="U652" s="30"/>
      <c r="V652" s="30"/>
      <c r="W652" s="197">
        <f t="shared" si="88"/>
        <v>8000</v>
      </c>
    </row>
    <row r="653" spans="1:23" x14ac:dyDescent="0.3">
      <c r="A653" s="155">
        <v>652</v>
      </c>
      <c r="B653" s="28"/>
      <c r="C653" s="28" t="s">
        <v>1071</v>
      </c>
      <c r="D653" s="194">
        <v>0</v>
      </c>
      <c r="E653" s="194">
        <v>32000</v>
      </c>
      <c r="F653" s="194">
        <v>0</v>
      </c>
      <c r="G653" s="194">
        <f t="shared" si="87"/>
        <v>0</v>
      </c>
      <c r="H653" s="29" t="s">
        <v>453</v>
      </c>
      <c r="I653" s="28" t="s">
        <v>631</v>
      </c>
      <c r="J653" s="30"/>
      <c r="K653" s="30"/>
      <c r="L653" s="30"/>
      <c r="M653" s="30"/>
      <c r="N653" s="30">
        <v>32000</v>
      </c>
      <c r="O653" s="30"/>
      <c r="P653" s="30"/>
      <c r="Q653" s="30"/>
      <c r="R653" s="30"/>
      <c r="S653" s="30"/>
      <c r="T653" s="30"/>
      <c r="U653" s="30"/>
      <c r="V653" s="30"/>
      <c r="W653" s="197">
        <f t="shared" si="88"/>
        <v>32000</v>
      </c>
    </row>
    <row r="654" spans="1:23" x14ac:dyDescent="0.3">
      <c r="A654" s="155">
        <v>653</v>
      </c>
      <c r="B654" s="28"/>
      <c r="C654" s="28" t="s">
        <v>1072</v>
      </c>
      <c r="D654" s="194">
        <v>0</v>
      </c>
      <c r="E654" s="194">
        <v>48000</v>
      </c>
      <c r="F654" s="194">
        <v>0</v>
      </c>
      <c r="G654" s="194">
        <f t="shared" si="87"/>
        <v>0</v>
      </c>
      <c r="H654" s="29" t="s">
        <v>453</v>
      </c>
      <c r="I654" s="28" t="s">
        <v>631</v>
      </c>
      <c r="J654" s="30"/>
      <c r="K654" s="30"/>
      <c r="L654" s="30"/>
      <c r="M654" s="30"/>
      <c r="N654" s="30">
        <v>48000</v>
      </c>
      <c r="O654" s="30"/>
      <c r="P654" s="30"/>
      <c r="Q654" s="30"/>
      <c r="R654" s="30"/>
      <c r="S654" s="30"/>
      <c r="T654" s="30"/>
      <c r="U654" s="30"/>
      <c r="V654" s="30"/>
      <c r="W654" s="197">
        <f t="shared" si="88"/>
        <v>48000</v>
      </c>
    </row>
    <row r="655" spans="1:23" x14ac:dyDescent="0.3">
      <c r="A655" s="155">
        <v>654</v>
      </c>
      <c r="B655" s="28"/>
      <c r="C655" s="28" t="s">
        <v>1073</v>
      </c>
      <c r="D655" s="194">
        <v>0</v>
      </c>
      <c r="E655" s="194">
        <v>16000</v>
      </c>
      <c r="F655" s="194">
        <v>0</v>
      </c>
      <c r="G655" s="194">
        <f t="shared" si="87"/>
        <v>0</v>
      </c>
      <c r="H655" s="29" t="s">
        <v>453</v>
      </c>
      <c r="I655" s="28" t="s">
        <v>631</v>
      </c>
      <c r="J655" s="30"/>
      <c r="K655" s="30"/>
      <c r="L655" s="30"/>
      <c r="M655" s="30"/>
      <c r="N655" s="30">
        <v>16000</v>
      </c>
      <c r="O655" s="30"/>
      <c r="P655" s="30"/>
      <c r="Q655" s="30"/>
      <c r="R655" s="30"/>
      <c r="S655" s="30"/>
      <c r="T655" s="30"/>
      <c r="U655" s="30"/>
      <c r="V655" s="30"/>
      <c r="W655" s="197">
        <f t="shared" si="88"/>
        <v>16000</v>
      </c>
    </row>
    <row r="656" spans="1:23" x14ac:dyDescent="0.3">
      <c r="A656" s="155">
        <v>655</v>
      </c>
      <c r="B656" s="28"/>
      <c r="C656" s="28" t="s">
        <v>1074</v>
      </c>
      <c r="D656" s="194">
        <v>0</v>
      </c>
      <c r="E656" s="194">
        <v>92000</v>
      </c>
      <c r="F656" s="194">
        <v>0</v>
      </c>
      <c r="G656" s="194">
        <f t="shared" si="87"/>
        <v>0</v>
      </c>
      <c r="H656" s="29" t="s">
        <v>453</v>
      </c>
      <c r="I656" s="28" t="s">
        <v>631</v>
      </c>
      <c r="J656" s="30"/>
      <c r="K656" s="30"/>
      <c r="L656" s="30"/>
      <c r="M656" s="30"/>
      <c r="N656" s="30">
        <v>92000</v>
      </c>
      <c r="O656" s="30"/>
      <c r="P656" s="30"/>
      <c r="Q656" s="30"/>
      <c r="R656" s="30"/>
      <c r="S656" s="30"/>
      <c r="T656" s="30"/>
      <c r="U656" s="30"/>
      <c r="V656" s="30"/>
      <c r="W656" s="197">
        <f t="shared" si="88"/>
        <v>92000</v>
      </c>
    </row>
    <row r="657" spans="1:23" x14ac:dyDescent="0.3">
      <c r="A657" s="155">
        <v>656</v>
      </c>
      <c r="B657" s="28"/>
      <c r="C657" s="28" t="s">
        <v>1075</v>
      </c>
      <c r="D657" s="194">
        <v>0</v>
      </c>
      <c r="E657" s="194">
        <v>8000</v>
      </c>
      <c r="F657" s="194">
        <v>0</v>
      </c>
      <c r="G657" s="194">
        <f t="shared" si="87"/>
        <v>0</v>
      </c>
      <c r="H657" s="29" t="s">
        <v>453</v>
      </c>
      <c r="I657" s="28" t="s">
        <v>631</v>
      </c>
      <c r="J657" s="30"/>
      <c r="K657" s="30"/>
      <c r="L657" s="30"/>
      <c r="M657" s="30"/>
      <c r="N657" s="30">
        <v>8000</v>
      </c>
      <c r="O657" s="30"/>
      <c r="P657" s="30"/>
      <c r="Q657" s="30"/>
      <c r="R657" s="30"/>
      <c r="S657" s="30"/>
      <c r="T657" s="30"/>
      <c r="U657" s="30"/>
      <c r="V657" s="30"/>
      <c r="W657" s="197">
        <f t="shared" si="88"/>
        <v>8000</v>
      </c>
    </row>
    <row r="658" spans="1:23" x14ac:dyDescent="0.3">
      <c r="A658" s="155">
        <v>657</v>
      </c>
      <c r="B658" s="28"/>
      <c r="C658" s="28" t="s">
        <v>1076</v>
      </c>
      <c r="D658" s="194">
        <v>0</v>
      </c>
      <c r="E658" s="194">
        <v>7600</v>
      </c>
      <c r="F658" s="194">
        <v>0</v>
      </c>
      <c r="G658" s="194">
        <f t="shared" si="87"/>
        <v>0</v>
      </c>
      <c r="H658" s="29" t="s">
        <v>453</v>
      </c>
      <c r="I658" s="28" t="s">
        <v>631</v>
      </c>
      <c r="J658" s="30"/>
      <c r="K658" s="30"/>
      <c r="L658" s="30"/>
      <c r="M658" s="30"/>
      <c r="N658" s="30">
        <v>7600</v>
      </c>
      <c r="O658" s="30"/>
      <c r="P658" s="30"/>
      <c r="Q658" s="30"/>
      <c r="R658" s="30"/>
      <c r="S658" s="30"/>
      <c r="T658" s="30"/>
      <c r="U658" s="30"/>
      <c r="V658" s="30"/>
      <c r="W658" s="197">
        <f t="shared" si="88"/>
        <v>7600</v>
      </c>
    </row>
    <row r="659" spans="1:23" x14ac:dyDescent="0.3">
      <c r="A659" s="155">
        <v>658</v>
      </c>
      <c r="B659" s="28"/>
      <c r="C659" s="28" t="s">
        <v>1077</v>
      </c>
      <c r="D659" s="194">
        <v>0</v>
      </c>
      <c r="E659" s="194">
        <v>16000</v>
      </c>
      <c r="F659" s="194">
        <v>0</v>
      </c>
      <c r="G659" s="194">
        <f t="shared" si="87"/>
        <v>0</v>
      </c>
      <c r="H659" s="29" t="s">
        <v>453</v>
      </c>
      <c r="I659" s="28" t="s">
        <v>631</v>
      </c>
      <c r="J659" s="30"/>
      <c r="K659" s="30"/>
      <c r="L659" s="30"/>
      <c r="M659" s="30"/>
      <c r="N659" s="30">
        <v>16000</v>
      </c>
      <c r="O659" s="30"/>
      <c r="P659" s="30"/>
      <c r="Q659" s="30"/>
      <c r="R659" s="30"/>
      <c r="S659" s="30"/>
      <c r="T659" s="30"/>
      <c r="U659" s="30"/>
      <c r="V659" s="30"/>
      <c r="W659" s="197">
        <f t="shared" si="88"/>
        <v>16000</v>
      </c>
    </row>
    <row r="660" spans="1:23" x14ac:dyDescent="0.3">
      <c r="A660" s="155">
        <v>659</v>
      </c>
      <c r="B660" s="28"/>
      <c r="C660" s="28" t="s">
        <v>1078</v>
      </c>
      <c r="D660" s="194">
        <v>0</v>
      </c>
      <c r="E660" s="194">
        <v>16000</v>
      </c>
      <c r="F660" s="194">
        <v>0</v>
      </c>
      <c r="G660" s="194">
        <f t="shared" si="87"/>
        <v>0</v>
      </c>
      <c r="H660" s="29" t="s">
        <v>453</v>
      </c>
      <c r="I660" s="28" t="s">
        <v>631</v>
      </c>
      <c r="J660" s="30"/>
      <c r="K660" s="30"/>
      <c r="L660" s="30"/>
      <c r="M660" s="30"/>
      <c r="N660" s="30">
        <v>16000</v>
      </c>
      <c r="O660" s="30"/>
      <c r="P660" s="30"/>
      <c r="Q660" s="30"/>
      <c r="R660" s="30"/>
      <c r="S660" s="30"/>
      <c r="T660" s="30"/>
      <c r="U660" s="30"/>
      <c r="V660" s="30"/>
      <c r="W660" s="197">
        <f t="shared" si="88"/>
        <v>16000</v>
      </c>
    </row>
    <row r="661" spans="1:23" x14ac:dyDescent="0.3">
      <c r="A661" s="155">
        <v>660</v>
      </c>
      <c r="B661" s="28"/>
      <c r="C661" s="28" t="s">
        <v>1079</v>
      </c>
      <c r="D661" s="194">
        <v>0</v>
      </c>
      <c r="E661" s="194">
        <v>92000</v>
      </c>
      <c r="F661" s="194">
        <v>0</v>
      </c>
      <c r="G661" s="194">
        <f t="shared" si="87"/>
        <v>0</v>
      </c>
      <c r="H661" s="29" t="s">
        <v>453</v>
      </c>
      <c r="I661" s="28" t="s">
        <v>631</v>
      </c>
      <c r="J661" s="30"/>
      <c r="K661" s="30"/>
      <c r="L661" s="30"/>
      <c r="M661" s="30"/>
      <c r="N661" s="30">
        <v>92000</v>
      </c>
      <c r="O661" s="30"/>
      <c r="P661" s="30"/>
      <c r="Q661" s="30"/>
      <c r="R661" s="30"/>
      <c r="S661" s="30"/>
      <c r="T661" s="30"/>
      <c r="U661" s="30"/>
      <c r="V661" s="30"/>
      <c r="W661" s="197">
        <f t="shared" si="88"/>
        <v>92000</v>
      </c>
    </row>
    <row r="662" spans="1:23" x14ac:dyDescent="0.3">
      <c r="A662" s="155">
        <v>661</v>
      </c>
      <c r="B662" s="28"/>
      <c r="C662" s="28" t="s">
        <v>1080</v>
      </c>
      <c r="D662" s="194">
        <v>0</v>
      </c>
      <c r="E662" s="194">
        <v>8000</v>
      </c>
      <c r="F662" s="194">
        <v>0</v>
      </c>
      <c r="G662" s="194">
        <f t="shared" si="87"/>
        <v>0</v>
      </c>
      <c r="H662" s="29" t="s">
        <v>453</v>
      </c>
      <c r="I662" s="28" t="s">
        <v>631</v>
      </c>
      <c r="J662" s="30"/>
      <c r="K662" s="30"/>
      <c r="L662" s="30"/>
      <c r="M662" s="30"/>
      <c r="N662" s="30">
        <v>8000</v>
      </c>
      <c r="O662" s="30"/>
      <c r="P662" s="30"/>
      <c r="Q662" s="30"/>
      <c r="R662" s="30"/>
      <c r="S662" s="30"/>
      <c r="T662" s="30"/>
      <c r="U662" s="30"/>
      <c r="V662" s="30"/>
      <c r="W662" s="197">
        <f t="shared" si="88"/>
        <v>8000</v>
      </c>
    </row>
    <row r="663" spans="1:23" x14ac:dyDescent="0.3">
      <c r="A663" s="155">
        <v>662</v>
      </c>
      <c r="B663" s="28"/>
      <c r="C663" s="28" t="s">
        <v>1081</v>
      </c>
      <c r="D663" s="194">
        <v>0</v>
      </c>
      <c r="E663" s="194">
        <v>20000</v>
      </c>
      <c r="F663" s="194">
        <v>0</v>
      </c>
      <c r="G663" s="194">
        <f t="shared" si="87"/>
        <v>0</v>
      </c>
      <c r="H663" s="29" t="s">
        <v>453</v>
      </c>
      <c r="I663" s="28" t="s">
        <v>631</v>
      </c>
      <c r="J663" s="30"/>
      <c r="K663" s="30"/>
      <c r="L663" s="30"/>
      <c r="M663" s="30"/>
      <c r="N663" s="30">
        <v>20000</v>
      </c>
      <c r="O663" s="30"/>
      <c r="P663" s="30"/>
      <c r="Q663" s="30"/>
      <c r="R663" s="30"/>
      <c r="S663" s="30"/>
      <c r="T663" s="30"/>
      <c r="U663" s="30"/>
      <c r="V663" s="30"/>
      <c r="W663" s="197">
        <f t="shared" si="88"/>
        <v>20000</v>
      </c>
    </row>
    <row r="664" spans="1:23" x14ac:dyDescent="0.3">
      <c r="A664" s="155">
        <v>663</v>
      </c>
      <c r="B664" s="28"/>
      <c r="C664" s="28" t="s">
        <v>1082</v>
      </c>
      <c r="D664" s="194">
        <v>0</v>
      </c>
      <c r="E664" s="194">
        <v>124000</v>
      </c>
      <c r="F664" s="194">
        <v>0</v>
      </c>
      <c r="G664" s="194">
        <f t="shared" si="87"/>
        <v>0</v>
      </c>
      <c r="H664" s="29" t="s">
        <v>453</v>
      </c>
      <c r="I664" s="28" t="s">
        <v>631</v>
      </c>
      <c r="J664" s="30"/>
      <c r="K664" s="30"/>
      <c r="L664" s="30"/>
      <c r="M664" s="30"/>
      <c r="N664" s="30">
        <v>124000</v>
      </c>
      <c r="O664" s="30"/>
      <c r="P664" s="30"/>
      <c r="Q664" s="30"/>
      <c r="R664" s="30"/>
      <c r="S664" s="30"/>
      <c r="T664" s="30"/>
      <c r="U664" s="30"/>
      <c r="V664" s="30"/>
      <c r="W664" s="197">
        <f t="shared" si="88"/>
        <v>124000</v>
      </c>
    </row>
    <row r="665" spans="1:23" x14ac:dyDescent="0.3">
      <c r="A665" s="155">
        <v>664</v>
      </c>
      <c r="B665" s="28"/>
      <c r="C665" s="28" t="s">
        <v>1083</v>
      </c>
      <c r="D665" s="194">
        <v>0</v>
      </c>
      <c r="E665" s="194">
        <v>92000</v>
      </c>
      <c r="F665" s="194">
        <v>0</v>
      </c>
      <c r="G665" s="194">
        <f t="shared" si="87"/>
        <v>0</v>
      </c>
      <c r="H665" s="29" t="s">
        <v>453</v>
      </c>
      <c r="I665" s="28" t="s">
        <v>631</v>
      </c>
      <c r="J665" s="30"/>
      <c r="K665" s="30"/>
      <c r="L665" s="30"/>
      <c r="M665" s="30"/>
      <c r="N665" s="30">
        <v>92000</v>
      </c>
      <c r="O665" s="30"/>
      <c r="P665" s="30"/>
      <c r="Q665" s="30"/>
      <c r="R665" s="30"/>
      <c r="S665" s="30"/>
      <c r="T665" s="30"/>
      <c r="U665" s="30"/>
      <c r="V665" s="30"/>
      <c r="W665" s="197">
        <f t="shared" si="88"/>
        <v>92000</v>
      </c>
    </row>
    <row r="666" spans="1:23" x14ac:dyDescent="0.3">
      <c r="A666" s="155">
        <v>665</v>
      </c>
      <c r="B666" s="28"/>
      <c r="C666" s="28" t="s">
        <v>1084</v>
      </c>
      <c r="D666" s="194">
        <v>0</v>
      </c>
      <c r="E666" s="194">
        <v>8000</v>
      </c>
      <c r="F666" s="194">
        <v>0</v>
      </c>
      <c r="G666" s="194">
        <f t="shared" si="87"/>
        <v>0</v>
      </c>
      <c r="H666" s="29" t="s">
        <v>453</v>
      </c>
      <c r="I666" s="28" t="s">
        <v>631</v>
      </c>
      <c r="J666" s="30"/>
      <c r="K666" s="30"/>
      <c r="L666" s="30"/>
      <c r="M666" s="30"/>
      <c r="N666" s="30">
        <v>8000</v>
      </c>
      <c r="O666" s="30"/>
      <c r="P666" s="30"/>
      <c r="Q666" s="30"/>
      <c r="R666" s="30"/>
      <c r="S666" s="30"/>
      <c r="T666" s="30"/>
      <c r="U666" s="30"/>
      <c r="V666" s="30"/>
      <c r="W666" s="197">
        <f t="shared" si="88"/>
        <v>8000</v>
      </c>
    </row>
    <row r="667" spans="1:23" x14ac:dyDescent="0.3">
      <c r="A667" s="155">
        <v>666</v>
      </c>
      <c r="B667" s="28"/>
      <c r="C667" s="28" t="s">
        <v>1085</v>
      </c>
      <c r="D667" s="194">
        <v>0</v>
      </c>
      <c r="E667" s="194">
        <v>8000</v>
      </c>
      <c r="F667" s="194">
        <v>10000</v>
      </c>
      <c r="G667" s="194"/>
      <c r="H667" s="29" t="s">
        <v>452</v>
      </c>
      <c r="I667" s="28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97"/>
    </row>
    <row r="668" spans="1:23" x14ac:dyDescent="0.3">
      <c r="A668" s="155">
        <v>667</v>
      </c>
      <c r="B668" s="28"/>
      <c r="C668" s="28" t="s">
        <v>1086</v>
      </c>
      <c r="D668" s="194">
        <v>0</v>
      </c>
      <c r="E668" s="194">
        <v>8001</v>
      </c>
      <c r="F668" s="194">
        <v>10000</v>
      </c>
      <c r="G668" s="194"/>
      <c r="H668" s="29" t="s">
        <v>452</v>
      </c>
      <c r="I668" s="28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97"/>
    </row>
    <row r="669" spans="1:23" x14ac:dyDescent="0.3">
      <c r="A669" s="155">
        <v>668</v>
      </c>
      <c r="B669" s="28"/>
      <c r="C669" s="28" t="s">
        <v>1087</v>
      </c>
      <c r="D669" s="194">
        <v>0</v>
      </c>
      <c r="E669" s="194">
        <v>24000</v>
      </c>
      <c r="F669" s="194">
        <v>0</v>
      </c>
      <c r="G669" s="194">
        <f t="shared" ref="G669:G672" si="89">D669</f>
        <v>0</v>
      </c>
      <c r="H669" s="29" t="s">
        <v>453</v>
      </c>
      <c r="I669" s="28" t="s">
        <v>631</v>
      </c>
      <c r="J669" s="30"/>
      <c r="K669" s="30"/>
      <c r="L669" s="30"/>
      <c r="M669" s="30"/>
      <c r="N669" s="30">
        <v>24000</v>
      </c>
      <c r="O669" s="30"/>
      <c r="P669" s="30"/>
      <c r="Q669" s="30"/>
      <c r="R669" s="30"/>
      <c r="S669" s="30"/>
      <c r="T669" s="30"/>
      <c r="U669" s="30"/>
      <c r="V669" s="30"/>
      <c r="W669" s="197">
        <f>SUM(J669:V669)</f>
        <v>24000</v>
      </c>
    </row>
    <row r="670" spans="1:23" x14ac:dyDescent="0.3">
      <c r="A670" s="155">
        <v>669</v>
      </c>
      <c r="B670" s="28"/>
      <c r="C670" s="28" t="s">
        <v>1088</v>
      </c>
      <c r="D670" s="194">
        <v>0</v>
      </c>
      <c r="E670" s="194">
        <v>1600</v>
      </c>
      <c r="F670" s="194">
        <v>0</v>
      </c>
      <c r="G670" s="194">
        <f t="shared" si="89"/>
        <v>0</v>
      </c>
      <c r="H670" s="29" t="s">
        <v>453</v>
      </c>
      <c r="I670" s="28" t="s">
        <v>631</v>
      </c>
      <c r="J670" s="30"/>
      <c r="K670" s="30"/>
      <c r="L670" s="30"/>
      <c r="M670" s="30"/>
      <c r="N670" s="30">
        <v>1600</v>
      </c>
      <c r="O670" s="30"/>
      <c r="P670" s="30"/>
      <c r="Q670" s="30"/>
      <c r="R670" s="30"/>
      <c r="S670" s="30"/>
      <c r="T670" s="30"/>
      <c r="U670" s="30"/>
      <c r="V670" s="30"/>
      <c r="W670" s="197">
        <f>SUM(J670:V670)</f>
        <v>1600</v>
      </c>
    </row>
    <row r="671" spans="1:23" x14ac:dyDescent="0.3">
      <c r="A671" s="155">
        <v>670</v>
      </c>
      <c r="B671" s="28"/>
      <c r="C671" s="28" t="s">
        <v>1089</v>
      </c>
      <c r="D671" s="194">
        <v>0</v>
      </c>
      <c r="E671" s="194">
        <v>20000</v>
      </c>
      <c r="F671" s="194">
        <v>0</v>
      </c>
      <c r="G671" s="194">
        <f t="shared" si="89"/>
        <v>0</v>
      </c>
      <c r="H671" s="29" t="s">
        <v>453</v>
      </c>
      <c r="I671" s="28" t="s">
        <v>631</v>
      </c>
      <c r="J671" s="30"/>
      <c r="K671" s="30"/>
      <c r="L671" s="30"/>
      <c r="M671" s="30"/>
      <c r="N671" s="30">
        <v>20000</v>
      </c>
      <c r="O671" s="30"/>
      <c r="P671" s="30"/>
      <c r="Q671" s="30"/>
      <c r="R671" s="30"/>
      <c r="S671" s="30"/>
      <c r="T671" s="30"/>
      <c r="U671" s="30"/>
      <c r="V671" s="30"/>
      <c r="W671" s="197">
        <f>SUM(J671:V671)</f>
        <v>20000</v>
      </c>
    </row>
    <row r="672" spans="1:23" x14ac:dyDescent="0.3">
      <c r="A672" s="155">
        <v>671</v>
      </c>
      <c r="B672" s="28"/>
      <c r="C672" s="28" t="s">
        <v>1090</v>
      </c>
      <c r="D672" s="194">
        <v>0</v>
      </c>
      <c r="E672" s="194">
        <v>40000</v>
      </c>
      <c r="F672" s="194">
        <v>0</v>
      </c>
      <c r="G672" s="194">
        <f t="shared" si="89"/>
        <v>0</v>
      </c>
      <c r="H672" s="29" t="s">
        <v>453</v>
      </c>
      <c r="I672" s="28" t="s">
        <v>631</v>
      </c>
      <c r="J672" s="30"/>
      <c r="K672" s="30"/>
      <c r="L672" s="30"/>
      <c r="M672" s="30"/>
      <c r="N672" s="30">
        <v>40000</v>
      </c>
      <c r="O672" s="30"/>
      <c r="P672" s="30"/>
      <c r="Q672" s="30"/>
      <c r="R672" s="30"/>
      <c r="S672" s="30"/>
      <c r="T672" s="30"/>
      <c r="U672" s="30"/>
      <c r="V672" s="30"/>
      <c r="W672" s="197">
        <f>SUM(J672:V672)</f>
        <v>40000</v>
      </c>
    </row>
    <row r="673" spans="1:23" x14ac:dyDescent="0.3">
      <c r="A673" s="155">
        <v>672</v>
      </c>
      <c r="B673" s="28"/>
      <c r="C673" s="28" t="s">
        <v>1091</v>
      </c>
      <c r="D673" s="194">
        <v>0</v>
      </c>
      <c r="E673" s="194">
        <v>16000</v>
      </c>
      <c r="F673" s="194">
        <v>20000</v>
      </c>
      <c r="G673" s="194"/>
      <c r="H673" s="29" t="s">
        <v>452</v>
      </c>
      <c r="I673" s="28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97"/>
    </row>
    <row r="674" spans="1:23" x14ac:dyDescent="0.3">
      <c r="A674" s="155">
        <v>673</v>
      </c>
      <c r="B674" s="28"/>
      <c r="C674" s="28" t="s">
        <v>1092</v>
      </c>
      <c r="D674" s="194">
        <v>0</v>
      </c>
      <c r="E674" s="194">
        <v>356000</v>
      </c>
      <c r="F674" s="194">
        <v>0</v>
      </c>
      <c r="G674" s="194">
        <f t="shared" ref="G674:G680" si="90">D674</f>
        <v>0</v>
      </c>
      <c r="H674" s="29" t="s">
        <v>453</v>
      </c>
      <c r="I674" s="28" t="s">
        <v>631</v>
      </c>
      <c r="J674" s="30"/>
      <c r="K674" s="30"/>
      <c r="L674" s="30"/>
      <c r="M674" s="30"/>
      <c r="N674" s="30">
        <v>356000</v>
      </c>
      <c r="O674" s="30"/>
      <c r="P674" s="30"/>
      <c r="Q674" s="30"/>
      <c r="R674" s="30"/>
      <c r="S674" s="30"/>
      <c r="T674" s="30"/>
      <c r="U674" s="30"/>
      <c r="V674" s="30"/>
      <c r="W674" s="197">
        <f t="shared" ref="W674:W680" si="91">SUM(J674:V674)</f>
        <v>356000</v>
      </c>
    </row>
    <row r="675" spans="1:23" x14ac:dyDescent="0.3">
      <c r="A675" s="155">
        <v>674</v>
      </c>
      <c r="B675" s="28"/>
      <c r="C675" s="28" t="s">
        <v>1093</v>
      </c>
      <c r="D675" s="194">
        <v>0</v>
      </c>
      <c r="E675" s="194">
        <v>280000</v>
      </c>
      <c r="F675" s="194">
        <v>0</v>
      </c>
      <c r="G675" s="194">
        <f t="shared" si="90"/>
        <v>0</v>
      </c>
      <c r="H675" s="29" t="s">
        <v>453</v>
      </c>
      <c r="I675" s="28" t="s">
        <v>631</v>
      </c>
      <c r="J675" s="30"/>
      <c r="K675" s="30"/>
      <c r="L675" s="30"/>
      <c r="M675" s="30"/>
      <c r="N675" s="30">
        <v>280000</v>
      </c>
      <c r="O675" s="30"/>
      <c r="P675" s="30"/>
      <c r="Q675" s="30"/>
      <c r="R675" s="30"/>
      <c r="S675" s="30"/>
      <c r="T675" s="30"/>
      <c r="U675" s="30"/>
      <c r="V675" s="30"/>
      <c r="W675" s="197">
        <f t="shared" si="91"/>
        <v>280000</v>
      </c>
    </row>
    <row r="676" spans="1:23" x14ac:dyDescent="0.3">
      <c r="A676" s="155">
        <v>675</v>
      </c>
      <c r="B676" s="28"/>
      <c r="C676" s="28" t="s">
        <v>1094</v>
      </c>
      <c r="D676" s="194">
        <v>0</v>
      </c>
      <c r="E676" s="194">
        <v>88000</v>
      </c>
      <c r="F676" s="194">
        <v>0</v>
      </c>
      <c r="G676" s="194">
        <f t="shared" si="90"/>
        <v>0</v>
      </c>
      <c r="H676" s="29" t="s">
        <v>453</v>
      </c>
      <c r="I676" s="28" t="s">
        <v>631</v>
      </c>
      <c r="J676" s="30"/>
      <c r="K676" s="30"/>
      <c r="L676" s="30"/>
      <c r="M676" s="30"/>
      <c r="N676" s="30">
        <v>88000</v>
      </c>
      <c r="O676" s="30"/>
      <c r="P676" s="30"/>
      <c r="Q676" s="30"/>
      <c r="R676" s="30"/>
      <c r="S676" s="30"/>
      <c r="T676" s="30"/>
      <c r="U676" s="30"/>
      <c r="V676" s="30"/>
      <c r="W676" s="197">
        <f t="shared" si="91"/>
        <v>88000</v>
      </c>
    </row>
    <row r="677" spans="1:23" x14ac:dyDescent="0.3">
      <c r="A677" s="155">
        <v>676</v>
      </c>
      <c r="B677" s="28"/>
      <c r="C677" s="28" t="s">
        <v>1095</v>
      </c>
      <c r="D677" s="194">
        <v>0</v>
      </c>
      <c r="E677" s="194">
        <v>28000</v>
      </c>
      <c r="F677" s="194">
        <v>0</v>
      </c>
      <c r="G677" s="194">
        <f t="shared" si="90"/>
        <v>0</v>
      </c>
      <c r="H677" s="29" t="s">
        <v>453</v>
      </c>
      <c r="I677" s="28" t="s">
        <v>631</v>
      </c>
      <c r="J677" s="30"/>
      <c r="K677" s="30"/>
      <c r="L677" s="30"/>
      <c r="M677" s="30"/>
      <c r="N677" s="30">
        <v>28000</v>
      </c>
      <c r="O677" s="30"/>
      <c r="P677" s="30"/>
      <c r="Q677" s="30"/>
      <c r="R677" s="30"/>
      <c r="S677" s="30"/>
      <c r="T677" s="30"/>
      <c r="U677" s="30"/>
      <c r="V677" s="30"/>
      <c r="W677" s="197">
        <f t="shared" si="91"/>
        <v>28000</v>
      </c>
    </row>
    <row r="678" spans="1:23" x14ac:dyDescent="0.3">
      <c r="A678" s="155">
        <v>677</v>
      </c>
      <c r="B678" s="28"/>
      <c r="C678" s="28" t="s">
        <v>1096</v>
      </c>
      <c r="D678" s="194">
        <v>0</v>
      </c>
      <c r="E678" s="194">
        <v>464000</v>
      </c>
      <c r="F678" s="194">
        <v>0</v>
      </c>
      <c r="G678" s="194">
        <f t="shared" si="90"/>
        <v>0</v>
      </c>
      <c r="H678" s="29" t="s">
        <v>453</v>
      </c>
      <c r="I678" s="28" t="s">
        <v>631</v>
      </c>
      <c r="J678" s="30"/>
      <c r="K678" s="30"/>
      <c r="L678" s="30"/>
      <c r="M678" s="30"/>
      <c r="N678" s="194">
        <v>464000</v>
      </c>
      <c r="O678" s="30"/>
      <c r="P678" s="30"/>
      <c r="Q678" s="30"/>
      <c r="R678" s="30"/>
      <c r="S678" s="30"/>
      <c r="T678" s="30"/>
      <c r="U678" s="30"/>
      <c r="V678" s="30"/>
      <c r="W678" s="197">
        <f t="shared" si="91"/>
        <v>464000</v>
      </c>
    </row>
    <row r="679" spans="1:23" x14ac:dyDescent="0.3">
      <c r="A679" s="155">
        <v>678</v>
      </c>
      <c r="B679" s="28"/>
      <c r="C679" s="28" t="s">
        <v>1097</v>
      </c>
      <c r="D679" s="194">
        <v>0</v>
      </c>
      <c r="E679" s="194">
        <v>56000</v>
      </c>
      <c r="F679" s="194">
        <v>0</v>
      </c>
      <c r="G679" s="194">
        <f t="shared" si="90"/>
        <v>0</v>
      </c>
      <c r="H679" s="29" t="s">
        <v>453</v>
      </c>
      <c r="I679" s="28" t="s">
        <v>631</v>
      </c>
      <c r="J679" s="30"/>
      <c r="K679" s="30"/>
      <c r="L679" s="30"/>
      <c r="M679" s="30"/>
      <c r="N679" s="30">
        <v>56000</v>
      </c>
      <c r="O679" s="30"/>
      <c r="P679" s="30"/>
      <c r="Q679" s="30"/>
      <c r="R679" s="30"/>
      <c r="S679" s="30"/>
      <c r="T679" s="30"/>
      <c r="U679" s="30"/>
      <c r="V679" s="30"/>
      <c r="W679" s="197">
        <f t="shared" si="91"/>
        <v>56000</v>
      </c>
    </row>
    <row r="680" spans="1:23" x14ac:dyDescent="0.3">
      <c r="A680" s="155">
        <v>679</v>
      </c>
      <c r="B680" s="28"/>
      <c r="C680" s="28" t="s">
        <v>874</v>
      </c>
      <c r="D680" s="194">
        <v>0</v>
      </c>
      <c r="E680" s="194">
        <v>156000</v>
      </c>
      <c r="F680" s="194">
        <v>0</v>
      </c>
      <c r="G680" s="194">
        <f t="shared" si="90"/>
        <v>0</v>
      </c>
      <c r="H680" s="29" t="s">
        <v>453</v>
      </c>
      <c r="I680" s="28" t="s">
        <v>631</v>
      </c>
      <c r="J680" s="30"/>
      <c r="K680" s="30"/>
      <c r="L680" s="30"/>
      <c r="M680" s="30"/>
      <c r="N680" s="194">
        <v>156000</v>
      </c>
      <c r="O680" s="30"/>
      <c r="P680" s="30"/>
      <c r="Q680" s="30"/>
      <c r="R680" s="30"/>
      <c r="S680" s="30"/>
      <c r="T680" s="30"/>
      <c r="U680" s="30"/>
      <c r="V680" s="30"/>
      <c r="W680" s="197">
        <f t="shared" si="91"/>
        <v>156000</v>
      </c>
    </row>
    <row r="681" spans="1:23" x14ac:dyDescent="0.3">
      <c r="A681" s="155">
        <v>680</v>
      </c>
      <c r="B681" s="28"/>
      <c r="C681" s="28" t="s">
        <v>1098</v>
      </c>
      <c r="D681" s="194">
        <v>0</v>
      </c>
      <c r="E681" s="194">
        <v>555000</v>
      </c>
      <c r="F681" s="194">
        <v>565000</v>
      </c>
      <c r="G681" s="194"/>
      <c r="H681" s="29" t="s">
        <v>452</v>
      </c>
      <c r="I681" s="28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97"/>
    </row>
    <row r="682" spans="1:23" x14ac:dyDescent="0.3">
      <c r="A682" s="155">
        <v>681</v>
      </c>
      <c r="B682" s="28"/>
      <c r="C682" s="28" t="s">
        <v>905</v>
      </c>
      <c r="D682" s="194">
        <v>0</v>
      </c>
      <c r="E682" s="194">
        <v>540000</v>
      </c>
      <c r="F682" s="194">
        <v>0</v>
      </c>
      <c r="G682" s="194">
        <f>D682</f>
        <v>0</v>
      </c>
      <c r="H682" s="29" t="s">
        <v>453</v>
      </c>
      <c r="I682" s="28" t="s">
        <v>631</v>
      </c>
      <c r="J682" s="30"/>
      <c r="K682" s="30"/>
      <c r="L682" s="30"/>
      <c r="M682" s="30"/>
      <c r="N682" s="30">
        <v>540000</v>
      </c>
      <c r="O682" s="30"/>
      <c r="P682" s="30"/>
      <c r="Q682" s="30"/>
      <c r="R682" s="30"/>
      <c r="S682" s="30"/>
      <c r="T682" s="30"/>
      <c r="U682" s="30"/>
      <c r="V682" s="30"/>
      <c r="W682" s="197">
        <f>SUM(J682:V682)</f>
        <v>540000</v>
      </c>
    </row>
    <row r="683" spans="1:23" x14ac:dyDescent="0.3">
      <c r="A683" s="155">
        <v>682</v>
      </c>
      <c r="B683" s="28"/>
      <c r="C683" s="28" t="s">
        <v>956</v>
      </c>
      <c r="D683" s="194">
        <v>0</v>
      </c>
      <c r="E683" s="194">
        <v>1096000</v>
      </c>
      <c r="F683" s="194">
        <v>1100000</v>
      </c>
      <c r="G683" s="194"/>
      <c r="H683" s="29" t="s">
        <v>452</v>
      </c>
      <c r="I683" s="28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97"/>
    </row>
    <row r="684" spans="1:23" x14ac:dyDescent="0.3">
      <c r="A684" s="155">
        <v>683</v>
      </c>
      <c r="B684" s="28"/>
      <c r="C684" s="28" t="s">
        <v>671</v>
      </c>
      <c r="D684" s="194">
        <v>0</v>
      </c>
      <c r="E684" s="194">
        <v>140000</v>
      </c>
      <c r="F684" s="194">
        <v>0</v>
      </c>
      <c r="G684" s="194">
        <f t="shared" ref="G684:G687" si="92">D684</f>
        <v>0</v>
      </c>
      <c r="H684" s="29" t="s">
        <v>453</v>
      </c>
      <c r="I684" s="28" t="s">
        <v>631</v>
      </c>
      <c r="J684" s="30"/>
      <c r="K684" s="30"/>
      <c r="L684" s="30"/>
      <c r="M684" s="30"/>
      <c r="N684" s="30">
        <v>140000</v>
      </c>
      <c r="O684" s="30"/>
      <c r="P684" s="30"/>
      <c r="Q684" s="30"/>
      <c r="R684" s="30"/>
      <c r="S684" s="30"/>
      <c r="T684" s="30"/>
      <c r="U684" s="30"/>
      <c r="V684" s="30"/>
      <c r="W684" s="197">
        <f>SUM(J684:V684)</f>
        <v>140000</v>
      </c>
    </row>
    <row r="685" spans="1:23" x14ac:dyDescent="0.3">
      <c r="A685" s="155">
        <v>684</v>
      </c>
      <c r="B685" s="28"/>
      <c r="C685" s="28" t="s">
        <v>1099</v>
      </c>
      <c r="D685" s="194">
        <v>0</v>
      </c>
      <c r="E685" s="194">
        <v>580000</v>
      </c>
      <c r="F685" s="194">
        <v>0</v>
      </c>
      <c r="G685" s="194">
        <f t="shared" si="92"/>
        <v>0</v>
      </c>
      <c r="H685" s="29" t="s">
        <v>453</v>
      </c>
      <c r="I685" s="28" t="s">
        <v>631</v>
      </c>
      <c r="J685" s="30"/>
      <c r="K685" s="30"/>
      <c r="L685" s="30"/>
      <c r="M685" s="30"/>
      <c r="N685" s="30">
        <v>580000</v>
      </c>
      <c r="O685" s="30"/>
      <c r="P685" s="30"/>
      <c r="Q685" s="30"/>
      <c r="R685" s="30"/>
      <c r="S685" s="30"/>
      <c r="T685" s="30"/>
      <c r="U685" s="30"/>
      <c r="V685" s="30"/>
      <c r="W685" s="197">
        <f>SUM(J685:V685)</f>
        <v>580000</v>
      </c>
    </row>
    <row r="686" spans="1:23" x14ac:dyDescent="0.3">
      <c r="A686" s="155">
        <v>685</v>
      </c>
      <c r="B686" s="28"/>
      <c r="C686" s="28" t="s">
        <v>1100</v>
      </c>
      <c r="D686" s="194">
        <v>0</v>
      </c>
      <c r="E686" s="194">
        <v>372000</v>
      </c>
      <c r="F686" s="194">
        <v>0</v>
      </c>
      <c r="G686" s="194">
        <f t="shared" si="92"/>
        <v>0</v>
      </c>
      <c r="H686" s="29" t="s">
        <v>453</v>
      </c>
      <c r="I686" s="28" t="s">
        <v>631</v>
      </c>
      <c r="J686" s="30"/>
      <c r="K686" s="30"/>
      <c r="L686" s="30"/>
      <c r="M686" s="30"/>
      <c r="N686" s="30">
        <v>372000</v>
      </c>
      <c r="O686" s="30"/>
      <c r="P686" s="30"/>
      <c r="Q686" s="30"/>
      <c r="R686" s="30"/>
      <c r="S686" s="30"/>
      <c r="T686" s="30"/>
      <c r="U686" s="30"/>
      <c r="V686" s="30"/>
      <c r="W686" s="197">
        <f>SUM(J686:V686)</f>
        <v>372000</v>
      </c>
    </row>
    <row r="687" spans="1:23" x14ac:dyDescent="0.3">
      <c r="A687" s="155">
        <v>686</v>
      </c>
      <c r="B687" s="28"/>
      <c r="C687" s="28" t="s">
        <v>623</v>
      </c>
      <c r="D687" s="194">
        <v>0</v>
      </c>
      <c r="E687" s="194">
        <v>2008000</v>
      </c>
      <c r="F687" s="194">
        <v>0</v>
      </c>
      <c r="G687" s="194">
        <f t="shared" si="92"/>
        <v>0</v>
      </c>
      <c r="H687" s="29" t="s">
        <v>453</v>
      </c>
      <c r="I687" s="28" t="s">
        <v>631</v>
      </c>
      <c r="J687" s="30"/>
      <c r="K687" s="30"/>
      <c r="L687" s="30"/>
      <c r="M687" s="30"/>
      <c r="N687" s="194">
        <v>2008000</v>
      </c>
      <c r="O687" s="30"/>
      <c r="P687" s="30"/>
      <c r="Q687" s="30"/>
      <c r="R687" s="30"/>
      <c r="S687" s="30"/>
      <c r="T687" s="30"/>
      <c r="U687" s="30"/>
      <c r="V687" s="30"/>
      <c r="W687" s="197">
        <f>SUM(J687:V687)</f>
        <v>2008000</v>
      </c>
    </row>
    <row r="688" spans="1:23" x14ac:dyDescent="0.3">
      <c r="A688" s="155">
        <v>687</v>
      </c>
      <c r="B688" s="28"/>
      <c r="C688" s="28" t="s">
        <v>1018</v>
      </c>
      <c r="D688" s="194">
        <v>0</v>
      </c>
      <c r="E688" s="194">
        <v>156000</v>
      </c>
      <c r="F688" s="194">
        <v>200000</v>
      </c>
      <c r="G688" s="194"/>
      <c r="H688" s="29" t="s">
        <v>452</v>
      </c>
      <c r="I688" s="28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97"/>
    </row>
    <row r="689" spans="1:23" x14ac:dyDescent="0.3">
      <c r="A689" s="155">
        <v>688</v>
      </c>
      <c r="B689" s="28"/>
      <c r="C689" s="28" t="s">
        <v>1017</v>
      </c>
      <c r="D689" s="194">
        <v>0</v>
      </c>
      <c r="E689" s="194">
        <v>2872000</v>
      </c>
      <c r="F689" s="194">
        <v>3300000</v>
      </c>
      <c r="G689" s="194"/>
      <c r="H689" s="29" t="s">
        <v>452</v>
      </c>
      <c r="I689" s="28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97"/>
    </row>
    <row r="690" spans="1:23" x14ac:dyDescent="0.3">
      <c r="A690" s="155">
        <v>689</v>
      </c>
      <c r="B690" s="28"/>
      <c r="C690" s="28" t="s">
        <v>1098</v>
      </c>
      <c r="D690" s="194">
        <v>0</v>
      </c>
      <c r="E690" s="194">
        <v>185000</v>
      </c>
      <c r="F690" s="194">
        <v>200000</v>
      </c>
      <c r="G690" s="194"/>
      <c r="H690" s="29" t="s">
        <v>452</v>
      </c>
      <c r="I690" s="28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97"/>
    </row>
    <row r="691" spans="1:23" x14ac:dyDescent="0.3">
      <c r="A691" s="155">
        <v>690</v>
      </c>
      <c r="B691" s="28"/>
      <c r="C691" s="28" t="s">
        <v>1101</v>
      </c>
      <c r="D691" s="194">
        <v>0</v>
      </c>
      <c r="E691" s="194">
        <v>124000</v>
      </c>
      <c r="F691" s="194">
        <v>150000</v>
      </c>
      <c r="G691" s="194"/>
      <c r="H691" s="29" t="s">
        <v>452</v>
      </c>
      <c r="I691" s="28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97"/>
    </row>
    <row r="692" spans="1:23" x14ac:dyDescent="0.3">
      <c r="A692" s="155">
        <v>691</v>
      </c>
      <c r="B692" s="28"/>
      <c r="C692" s="28" t="s">
        <v>1102</v>
      </c>
      <c r="D692" s="194">
        <v>0</v>
      </c>
      <c r="E692" s="194">
        <v>2316000</v>
      </c>
      <c r="F692" s="194">
        <v>0</v>
      </c>
      <c r="G692" s="194">
        <f t="shared" ref="G692:G693" si="93">D692</f>
        <v>0</v>
      </c>
      <c r="H692" s="29" t="s">
        <v>453</v>
      </c>
      <c r="I692" s="28" t="s">
        <v>631</v>
      </c>
      <c r="J692" s="30"/>
      <c r="K692" s="30"/>
      <c r="L692" s="30"/>
      <c r="M692" s="30"/>
      <c r="N692" s="194">
        <v>2316000</v>
      </c>
      <c r="O692" s="30"/>
      <c r="P692" s="30"/>
      <c r="Q692" s="30"/>
      <c r="R692" s="30"/>
      <c r="S692" s="30"/>
      <c r="T692" s="30"/>
      <c r="U692" s="30"/>
      <c r="V692" s="30"/>
      <c r="W692" s="197">
        <f>SUM(J692:V692)</f>
        <v>2316000</v>
      </c>
    </row>
    <row r="693" spans="1:23" x14ac:dyDescent="0.3">
      <c r="A693" s="155">
        <v>692</v>
      </c>
      <c r="B693" s="28"/>
      <c r="C693" s="28" t="s">
        <v>1103</v>
      </c>
      <c r="D693" s="194">
        <v>0</v>
      </c>
      <c r="E693" s="194">
        <v>1128000</v>
      </c>
      <c r="F693" s="194">
        <v>0</v>
      </c>
      <c r="G693" s="194">
        <f t="shared" si="93"/>
        <v>0</v>
      </c>
      <c r="H693" s="29" t="s">
        <v>453</v>
      </c>
      <c r="I693" s="28" t="s">
        <v>631</v>
      </c>
      <c r="J693" s="30"/>
      <c r="K693" s="30"/>
      <c r="L693" s="30"/>
      <c r="M693" s="30"/>
      <c r="N693" s="194">
        <v>1128000</v>
      </c>
      <c r="O693" s="30"/>
      <c r="P693" s="30"/>
      <c r="Q693" s="30"/>
      <c r="R693" s="30"/>
      <c r="S693" s="30"/>
      <c r="T693" s="30"/>
      <c r="U693" s="30"/>
      <c r="V693" s="30"/>
      <c r="W693" s="197">
        <f>SUM(J693:V693)</f>
        <v>1128000</v>
      </c>
    </row>
    <row r="694" spans="1:23" x14ac:dyDescent="0.3">
      <c r="A694" s="155">
        <v>693</v>
      </c>
      <c r="B694" s="28"/>
      <c r="C694" s="28" t="s">
        <v>987</v>
      </c>
      <c r="D694" s="194">
        <v>0</v>
      </c>
      <c r="E694" s="194">
        <v>1984000</v>
      </c>
      <c r="F694" s="194">
        <v>2000000</v>
      </c>
      <c r="G694" s="194"/>
      <c r="H694" s="29" t="s">
        <v>452</v>
      </c>
      <c r="I694" s="28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97"/>
    </row>
    <row r="695" spans="1:23" x14ac:dyDescent="0.3">
      <c r="A695" s="155">
        <v>694</v>
      </c>
      <c r="B695" s="28"/>
      <c r="C695" s="28" t="s">
        <v>1104</v>
      </c>
      <c r="D695" s="194">
        <v>0</v>
      </c>
      <c r="E695" s="194">
        <v>580000</v>
      </c>
      <c r="F695" s="194">
        <v>600000</v>
      </c>
      <c r="G695" s="194"/>
      <c r="H695" s="29" t="s">
        <v>452</v>
      </c>
      <c r="I695" s="28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97"/>
    </row>
    <row r="696" spans="1:23" x14ac:dyDescent="0.3">
      <c r="A696" s="155">
        <v>695</v>
      </c>
      <c r="B696" s="28"/>
      <c r="C696" s="28" t="s">
        <v>1105</v>
      </c>
      <c r="D696" s="194">
        <v>0</v>
      </c>
      <c r="E696" s="194">
        <v>3150000</v>
      </c>
      <c r="F696" s="194">
        <v>0</v>
      </c>
      <c r="G696" s="194">
        <f>D696</f>
        <v>0</v>
      </c>
      <c r="H696" s="29" t="s">
        <v>453</v>
      </c>
      <c r="I696" s="28" t="s">
        <v>631</v>
      </c>
      <c r="J696" s="30"/>
      <c r="K696" s="30"/>
      <c r="L696" s="30"/>
      <c r="M696" s="30"/>
      <c r="N696" s="30">
        <v>3150000</v>
      </c>
      <c r="O696" s="30"/>
      <c r="P696" s="30"/>
      <c r="Q696" s="30"/>
      <c r="R696" s="30"/>
      <c r="S696" s="30"/>
      <c r="T696" s="30"/>
      <c r="U696" s="30"/>
      <c r="V696" s="30"/>
      <c r="W696" s="197">
        <f>SUM(J696:V696)</f>
        <v>3150000</v>
      </c>
    </row>
    <row r="697" spans="1:23" x14ac:dyDescent="0.3">
      <c r="A697" s="155">
        <v>696</v>
      </c>
      <c r="B697" s="28"/>
      <c r="C697" s="28" t="s">
        <v>1106</v>
      </c>
      <c r="D697" s="194">
        <v>0</v>
      </c>
      <c r="E697" s="194">
        <v>76000</v>
      </c>
      <c r="F697" s="194">
        <v>100000</v>
      </c>
      <c r="G697" s="194"/>
      <c r="H697" s="29" t="s">
        <v>452</v>
      </c>
      <c r="I697" s="28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97"/>
    </row>
    <row r="698" spans="1:23" x14ac:dyDescent="0.3">
      <c r="A698" s="155">
        <v>697</v>
      </c>
      <c r="B698" s="28"/>
      <c r="C698" s="28" t="s">
        <v>1107</v>
      </c>
      <c r="D698" s="194">
        <v>0</v>
      </c>
      <c r="E698" s="194">
        <v>200000</v>
      </c>
      <c r="F698" s="194">
        <v>225000</v>
      </c>
      <c r="G698" s="194"/>
      <c r="H698" s="29" t="s">
        <v>452</v>
      </c>
      <c r="I698" s="28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97"/>
    </row>
    <row r="699" spans="1:23" x14ac:dyDescent="0.3">
      <c r="A699" s="155">
        <v>698</v>
      </c>
      <c r="B699" s="28"/>
      <c r="C699" s="28" t="s">
        <v>1108</v>
      </c>
      <c r="D699" s="194">
        <v>0</v>
      </c>
      <c r="E699" s="194">
        <v>92000</v>
      </c>
      <c r="F699" s="194">
        <v>0</v>
      </c>
      <c r="G699" s="194">
        <f>D699</f>
        <v>0</v>
      </c>
      <c r="H699" s="29" t="s">
        <v>453</v>
      </c>
      <c r="I699" s="28" t="s">
        <v>631</v>
      </c>
      <c r="J699" s="30"/>
      <c r="K699" s="30"/>
      <c r="L699" s="30"/>
      <c r="M699" s="30"/>
      <c r="N699" s="30">
        <v>92000</v>
      </c>
      <c r="O699" s="30"/>
      <c r="P699" s="30"/>
      <c r="Q699" s="30"/>
      <c r="R699" s="30"/>
      <c r="S699" s="30"/>
      <c r="T699" s="30"/>
      <c r="U699" s="30"/>
      <c r="V699" s="30"/>
      <c r="W699" s="197">
        <f>SUM(J699:V699)</f>
        <v>92000</v>
      </c>
    </row>
    <row r="700" spans="1:23" x14ac:dyDescent="0.3">
      <c r="A700" s="155">
        <v>699</v>
      </c>
      <c r="B700" s="28"/>
      <c r="C700" s="28" t="s">
        <v>1109</v>
      </c>
      <c r="D700" s="194">
        <v>0</v>
      </c>
      <c r="E700" s="194">
        <v>464000</v>
      </c>
      <c r="F700" s="194">
        <v>475000</v>
      </c>
      <c r="G700" s="194"/>
      <c r="H700" s="29" t="s">
        <v>452</v>
      </c>
      <c r="I700" s="28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97"/>
    </row>
    <row r="701" spans="1:23" x14ac:dyDescent="0.3">
      <c r="A701" s="155">
        <v>700</v>
      </c>
      <c r="B701" s="28"/>
      <c r="C701" s="28" t="s">
        <v>1110</v>
      </c>
      <c r="D701" s="194">
        <v>0</v>
      </c>
      <c r="E701" s="194">
        <v>152000</v>
      </c>
      <c r="F701" s="194">
        <v>160000</v>
      </c>
      <c r="G701" s="194"/>
      <c r="H701" s="29" t="s">
        <v>452</v>
      </c>
      <c r="I701" s="28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97"/>
    </row>
    <row r="702" spans="1:23" x14ac:dyDescent="0.3">
      <c r="A702" s="155">
        <v>701</v>
      </c>
      <c r="B702" s="28"/>
      <c r="C702" s="28" t="s">
        <v>1111</v>
      </c>
      <c r="D702" s="194">
        <v>0</v>
      </c>
      <c r="E702" s="194">
        <v>232000</v>
      </c>
      <c r="F702" s="194">
        <v>0</v>
      </c>
      <c r="G702" s="194">
        <f t="shared" ref="G702:G711" si="94">D702</f>
        <v>0</v>
      </c>
      <c r="H702" s="29" t="s">
        <v>453</v>
      </c>
      <c r="I702" s="28" t="s">
        <v>631</v>
      </c>
      <c r="J702" s="30"/>
      <c r="K702" s="30"/>
      <c r="L702" s="30"/>
      <c r="M702" s="30"/>
      <c r="N702" s="194">
        <v>232000</v>
      </c>
      <c r="O702" s="30"/>
      <c r="P702" s="30"/>
      <c r="Q702" s="30"/>
      <c r="R702" s="30"/>
      <c r="S702" s="30"/>
      <c r="T702" s="30"/>
      <c r="U702" s="30"/>
      <c r="V702" s="30"/>
      <c r="W702" s="197">
        <f t="shared" ref="W702:W711" si="95">SUM(J702:V702)</f>
        <v>232000</v>
      </c>
    </row>
    <row r="703" spans="1:23" x14ac:dyDescent="0.3">
      <c r="A703" s="155">
        <v>702</v>
      </c>
      <c r="B703" s="28"/>
      <c r="C703" s="28" t="s">
        <v>1112</v>
      </c>
      <c r="D703" s="194">
        <v>0</v>
      </c>
      <c r="E703" s="194">
        <v>464000</v>
      </c>
      <c r="F703" s="194">
        <v>0</v>
      </c>
      <c r="G703" s="194">
        <f t="shared" si="94"/>
        <v>0</v>
      </c>
      <c r="H703" s="29" t="s">
        <v>453</v>
      </c>
      <c r="I703" s="28" t="s">
        <v>631</v>
      </c>
      <c r="J703" s="30"/>
      <c r="K703" s="30"/>
      <c r="L703" s="30"/>
      <c r="M703" s="30"/>
      <c r="N703" s="30">
        <v>464000</v>
      </c>
      <c r="O703" s="30"/>
      <c r="P703" s="30"/>
      <c r="Q703" s="30"/>
      <c r="R703" s="30"/>
      <c r="S703" s="30"/>
      <c r="T703" s="30"/>
      <c r="U703" s="30"/>
      <c r="V703" s="30"/>
      <c r="W703" s="197">
        <f t="shared" si="95"/>
        <v>464000</v>
      </c>
    </row>
    <row r="704" spans="1:23" x14ac:dyDescent="0.3">
      <c r="A704" s="155">
        <v>703</v>
      </c>
      <c r="B704" s="28"/>
      <c r="C704" s="28" t="s">
        <v>1113</v>
      </c>
      <c r="D704" s="194">
        <v>0</v>
      </c>
      <c r="E704" s="194">
        <v>248000</v>
      </c>
      <c r="F704" s="194">
        <v>0</v>
      </c>
      <c r="G704" s="194">
        <f t="shared" si="94"/>
        <v>0</v>
      </c>
      <c r="H704" s="29" t="s">
        <v>453</v>
      </c>
      <c r="I704" s="28" t="s">
        <v>631</v>
      </c>
      <c r="J704" s="30"/>
      <c r="K704" s="30"/>
      <c r="L704" s="30"/>
      <c r="M704" s="30"/>
      <c r="N704" s="194">
        <v>248000</v>
      </c>
      <c r="O704" s="30"/>
      <c r="P704" s="30"/>
      <c r="Q704" s="30"/>
      <c r="R704" s="30"/>
      <c r="S704" s="30"/>
      <c r="T704" s="30"/>
      <c r="U704" s="30"/>
      <c r="V704" s="30"/>
      <c r="W704" s="197">
        <f t="shared" si="95"/>
        <v>248000</v>
      </c>
    </row>
    <row r="705" spans="1:23" x14ac:dyDescent="0.3">
      <c r="A705" s="155">
        <v>704</v>
      </c>
      <c r="B705" s="28"/>
      <c r="C705" s="28" t="s">
        <v>1114</v>
      </c>
      <c r="D705" s="194">
        <v>0</v>
      </c>
      <c r="E705" s="194">
        <v>340000</v>
      </c>
      <c r="F705" s="194">
        <v>0</v>
      </c>
      <c r="G705" s="194">
        <f t="shared" si="94"/>
        <v>0</v>
      </c>
      <c r="H705" s="29" t="s">
        <v>453</v>
      </c>
      <c r="I705" s="28" t="s">
        <v>631</v>
      </c>
      <c r="J705" s="30"/>
      <c r="K705" s="30"/>
      <c r="L705" s="30"/>
      <c r="M705" s="30"/>
      <c r="N705" s="30">
        <v>340000</v>
      </c>
      <c r="O705" s="30"/>
      <c r="P705" s="30"/>
      <c r="Q705" s="30"/>
      <c r="R705" s="30"/>
      <c r="S705" s="30"/>
      <c r="T705" s="30"/>
      <c r="U705" s="30"/>
      <c r="V705" s="30"/>
      <c r="W705" s="197">
        <f t="shared" si="95"/>
        <v>340000</v>
      </c>
    </row>
    <row r="706" spans="1:23" x14ac:dyDescent="0.3">
      <c r="A706" s="155">
        <v>705</v>
      </c>
      <c r="B706" s="28"/>
      <c r="C706" s="28" t="s">
        <v>1115</v>
      </c>
      <c r="D706" s="194">
        <v>0</v>
      </c>
      <c r="E706" s="194">
        <v>208000</v>
      </c>
      <c r="F706" s="194">
        <v>0</v>
      </c>
      <c r="G706" s="194">
        <f t="shared" si="94"/>
        <v>0</v>
      </c>
      <c r="H706" s="29" t="s">
        <v>453</v>
      </c>
      <c r="I706" s="28" t="s">
        <v>631</v>
      </c>
      <c r="J706" s="30"/>
      <c r="K706" s="30"/>
      <c r="L706" s="30"/>
      <c r="M706" s="30"/>
      <c r="N706" s="30">
        <v>208000</v>
      </c>
      <c r="O706" s="30"/>
      <c r="P706" s="30"/>
      <c r="Q706" s="30"/>
      <c r="R706" s="30"/>
      <c r="S706" s="30"/>
      <c r="T706" s="30"/>
      <c r="U706" s="30"/>
      <c r="V706" s="30"/>
      <c r="W706" s="197">
        <f t="shared" si="95"/>
        <v>208000</v>
      </c>
    </row>
    <row r="707" spans="1:23" x14ac:dyDescent="0.3">
      <c r="A707" s="155">
        <v>706</v>
      </c>
      <c r="B707" s="28"/>
      <c r="C707" s="28" t="s">
        <v>1116</v>
      </c>
      <c r="D707" s="194">
        <v>0</v>
      </c>
      <c r="E707" s="194">
        <v>184000</v>
      </c>
      <c r="F707" s="194">
        <v>0</v>
      </c>
      <c r="G707" s="194">
        <f t="shared" si="94"/>
        <v>0</v>
      </c>
      <c r="H707" s="29" t="s">
        <v>453</v>
      </c>
      <c r="I707" s="28" t="s">
        <v>631</v>
      </c>
      <c r="J707" s="30"/>
      <c r="K707" s="30"/>
      <c r="L707" s="30"/>
      <c r="M707" s="30"/>
      <c r="N707" s="30">
        <v>184000</v>
      </c>
      <c r="O707" s="30"/>
      <c r="P707" s="30"/>
      <c r="Q707" s="30"/>
      <c r="R707" s="30"/>
      <c r="S707" s="30"/>
      <c r="T707" s="30"/>
      <c r="U707" s="30"/>
      <c r="V707" s="30"/>
      <c r="W707" s="197">
        <f t="shared" si="95"/>
        <v>184000</v>
      </c>
    </row>
    <row r="708" spans="1:23" x14ac:dyDescent="0.3">
      <c r="A708" s="155">
        <v>707</v>
      </c>
      <c r="B708" s="28"/>
      <c r="C708" s="28" t="s">
        <v>1019</v>
      </c>
      <c r="D708" s="194">
        <v>0</v>
      </c>
      <c r="E708" s="194">
        <v>4024000</v>
      </c>
      <c r="F708" s="194">
        <v>0</v>
      </c>
      <c r="G708" s="194">
        <f t="shared" si="94"/>
        <v>0</v>
      </c>
      <c r="H708" s="29" t="s">
        <v>453</v>
      </c>
      <c r="I708" s="28" t="s">
        <v>631</v>
      </c>
      <c r="J708" s="30"/>
      <c r="K708" s="30"/>
      <c r="L708" s="30"/>
      <c r="M708" s="30"/>
      <c r="N708" s="30">
        <v>4024000</v>
      </c>
      <c r="O708" s="30"/>
      <c r="P708" s="30"/>
      <c r="Q708" s="30"/>
      <c r="R708" s="30"/>
      <c r="S708" s="30"/>
      <c r="T708" s="30"/>
      <c r="U708" s="30"/>
      <c r="V708" s="30"/>
      <c r="W708" s="197">
        <f t="shared" si="95"/>
        <v>4024000</v>
      </c>
    </row>
    <row r="709" spans="1:23" x14ac:dyDescent="0.3">
      <c r="A709" s="155">
        <v>708</v>
      </c>
      <c r="B709" s="28"/>
      <c r="C709" s="28" t="s">
        <v>1094</v>
      </c>
      <c r="D709" s="194">
        <v>0</v>
      </c>
      <c r="E709" s="194">
        <v>28000</v>
      </c>
      <c r="F709" s="194">
        <v>0</v>
      </c>
      <c r="G709" s="194">
        <f t="shared" si="94"/>
        <v>0</v>
      </c>
      <c r="H709" s="29" t="s">
        <v>453</v>
      </c>
      <c r="I709" s="28" t="s">
        <v>631</v>
      </c>
      <c r="J709" s="30"/>
      <c r="K709" s="30"/>
      <c r="L709" s="30"/>
      <c r="M709" s="30"/>
      <c r="N709" s="30">
        <v>28000</v>
      </c>
      <c r="O709" s="30"/>
      <c r="P709" s="30"/>
      <c r="Q709" s="30"/>
      <c r="R709" s="30"/>
      <c r="S709" s="30"/>
      <c r="T709" s="30"/>
      <c r="U709" s="30"/>
      <c r="V709" s="30"/>
      <c r="W709" s="197">
        <f t="shared" si="95"/>
        <v>28000</v>
      </c>
    </row>
    <row r="710" spans="1:23" x14ac:dyDescent="0.3">
      <c r="A710" s="155">
        <v>709</v>
      </c>
      <c r="B710" s="28"/>
      <c r="C710" s="28" t="s">
        <v>1117</v>
      </c>
      <c r="D710" s="194">
        <v>0</v>
      </c>
      <c r="E710" s="194">
        <v>68000</v>
      </c>
      <c r="F710" s="194">
        <v>0</v>
      </c>
      <c r="G710" s="194">
        <f t="shared" si="94"/>
        <v>0</v>
      </c>
      <c r="H710" s="29" t="s">
        <v>453</v>
      </c>
      <c r="I710" s="28" t="s">
        <v>631</v>
      </c>
      <c r="J710" s="30"/>
      <c r="K710" s="30"/>
      <c r="L710" s="30"/>
      <c r="M710" s="30"/>
      <c r="N710" s="30">
        <v>68000</v>
      </c>
      <c r="O710" s="30"/>
      <c r="P710" s="30"/>
      <c r="Q710" s="30"/>
      <c r="R710" s="30"/>
      <c r="S710" s="30"/>
      <c r="T710" s="30"/>
      <c r="U710" s="30"/>
      <c r="V710" s="30"/>
      <c r="W710" s="197">
        <f t="shared" si="95"/>
        <v>68000</v>
      </c>
    </row>
    <row r="711" spans="1:23" x14ac:dyDescent="0.3">
      <c r="A711" s="155">
        <v>710</v>
      </c>
      <c r="B711" s="28"/>
      <c r="C711" s="28" t="s">
        <v>1118</v>
      </c>
      <c r="D711" s="194">
        <v>0</v>
      </c>
      <c r="E711" s="194">
        <v>76000</v>
      </c>
      <c r="F711" s="194">
        <v>0</v>
      </c>
      <c r="G711" s="194">
        <f t="shared" si="94"/>
        <v>0</v>
      </c>
      <c r="H711" s="29" t="s">
        <v>453</v>
      </c>
      <c r="I711" s="28" t="s">
        <v>631</v>
      </c>
      <c r="J711" s="30"/>
      <c r="K711" s="30"/>
      <c r="L711" s="30"/>
      <c r="M711" s="30"/>
      <c r="N711" s="30">
        <v>76000</v>
      </c>
      <c r="O711" s="30"/>
      <c r="P711" s="30"/>
      <c r="Q711" s="30"/>
      <c r="R711" s="30"/>
      <c r="S711" s="30"/>
      <c r="T711" s="30"/>
      <c r="U711" s="30"/>
      <c r="V711" s="30"/>
      <c r="W711" s="197">
        <f t="shared" si="95"/>
        <v>76000</v>
      </c>
    </row>
    <row r="712" spans="1:23" x14ac:dyDescent="0.3">
      <c r="A712" s="155">
        <v>711</v>
      </c>
      <c r="B712" s="28"/>
      <c r="C712" s="28" t="s">
        <v>1119</v>
      </c>
      <c r="D712" s="194">
        <v>0</v>
      </c>
      <c r="E712" s="194">
        <v>32000</v>
      </c>
      <c r="F712" s="194">
        <v>50000</v>
      </c>
      <c r="G712" s="194"/>
      <c r="H712" s="29" t="s">
        <v>452</v>
      </c>
      <c r="I712" s="28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97"/>
    </row>
    <row r="713" spans="1:23" x14ac:dyDescent="0.3">
      <c r="A713" s="155">
        <v>712</v>
      </c>
      <c r="B713" s="28"/>
      <c r="C713" s="28" t="s">
        <v>1120</v>
      </c>
      <c r="D713" s="194">
        <v>0</v>
      </c>
      <c r="E713" s="194">
        <v>156000</v>
      </c>
      <c r="F713" s="194">
        <v>165000</v>
      </c>
      <c r="G713" s="194"/>
      <c r="H713" s="29" t="s">
        <v>452</v>
      </c>
      <c r="I713" s="28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97"/>
    </row>
    <row r="714" spans="1:23" x14ac:dyDescent="0.3">
      <c r="A714" s="155">
        <v>713</v>
      </c>
      <c r="B714" s="28"/>
      <c r="C714" s="28" t="s">
        <v>1121</v>
      </c>
      <c r="D714" s="194">
        <v>0</v>
      </c>
      <c r="E714" s="194">
        <v>604000</v>
      </c>
      <c r="F714" s="194">
        <v>800000</v>
      </c>
      <c r="G714" s="194"/>
      <c r="H714" s="29" t="s">
        <v>452</v>
      </c>
      <c r="I714" s="28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97"/>
    </row>
    <row r="715" spans="1:23" x14ac:dyDescent="0.3">
      <c r="A715" s="155">
        <v>714</v>
      </c>
      <c r="B715" s="28"/>
      <c r="C715" s="28" t="s">
        <v>1122</v>
      </c>
      <c r="D715" s="194">
        <v>0</v>
      </c>
      <c r="E715" s="194">
        <v>616000</v>
      </c>
      <c r="F715" s="194">
        <v>800000</v>
      </c>
      <c r="G715" s="194"/>
      <c r="H715" s="29" t="s">
        <v>452</v>
      </c>
      <c r="I715" s="28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97"/>
    </row>
    <row r="716" spans="1:23" x14ac:dyDescent="0.3">
      <c r="A716" s="155">
        <v>715</v>
      </c>
      <c r="B716" s="28"/>
      <c r="C716" s="28" t="s">
        <v>719</v>
      </c>
      <c r="D716" s="194">
        <v>0</v>
      </c>
      <c r="E716" s="194">
        <v>540000</v>
      </c>
      <c r="F716" s="194">
        <v>550000</v>
      </c>
      <c r="G716" s="194"/>
      <c r="H716" s="29" t="s">
        <v>452</v>
      </c>
      <c r="I716" s="28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97"/>
    </row>
    <row r="717" spans="1:23" x14ac:dyDescent="0.3">
      <c r="A717" s="155">
        <v>716</v>
      </c>
      <c r="B717" s="28"/>
      <c r="C717" s="28" t="s">
        <v>1123</v>
      </c>
      <c r="D717" s="194">
        <v>0</v>
      </c>
      <c r="E717" s="194">
        <v>72000</v>
      </c>
      <c r="F717" s="194">
        <v>0</v>
      </c>
      <c r="G717" s="194">
        <f t="shared" ref="G717:G719" si="96">D717</f>
        <v>0</v>
      </c>
      <c r="H717" s="29" t="s">
        <v>453</v>
      </c>
      <c r="I717" s="28" t="s">
        <v>631</v>
      </c>
      <c r="J717" s="30"/>
      <c r="K717" s="30"/>
      <c r="L717" s="30"/>
      <c r="M717" s="30"/>
      <c r="N717" s="30">
        <v>72000</v>
      </c>
      <c r="O717" s="30"/>
      <c r="P717" s="30"/>
      <c r="Q717" s="30"/>
      <c r="R717" s="30"/>
      <c r="S717" s="30"/>
      <c r="T717" s="30"/>
      <c r="U717" s="30"/>
      <c r="V717" s="30"/>
      <c r="W717" s="197">
        <f>SUM(J717:V717)</f>
        <v>72000</v>
      </c>
    </row>
    <row r="718" spans="1:23" x14ac:dyDescent="0.3">
      <c r="A718" s="155">
        <v>717</v>
      </c>
      <c r="B718" s="28"/>
      <c r="C718" s="28" t="s">
        <v>1124</v>
      </c>
      <c r="D718" s="194">
        <v>0</v>
      </c>
      <c r="E718" s="194">
        <v>276000</v>
      </c>
      <c r="F718" s="194">
        <v>0</v>
      </c>
      <c r="G718" s="194">
        <f t="shared" si="96"/>
        <v>0</v>
      </c>
      <c r="H718" s="29" t="s">
        <v>453</v>
      </c>
      <c r="I718" s="28" t="s">
        <v>631</v>
      </c>
      <c r="J718" s="30"/>
      <c r="K718" s="30"/>
      <c r="L718" s="30"/>
      <c r="M718" s="30"/>
      <c r="N718" s="30">
        <v>276000</v>
      </c>
      <c r="O718" s="30"/>
      <c r="P718" s="30"/>
      <c r="Q718" s="30"/>
      <c r="R718" s="30"/>
      <c r="S718" s="30"/>
      <c r="T718" s="30"/>
      <c r="U718" s="30"/>
      <c r="V718" s="30"/>
      <c r="W718" s="197">
        <f>SUM(J718:V718)</f>
        <v>276000</v>
      </c>
    </row>
    <row r="719" spans="1:23" x14ac:dyDescent="0.3">
      <c r="A719" s="155">
        <v>718</v>
      </c>
      <c r="B719" s="28"/>
      <c r="C719" s="28" t="s">
        <v>1125</v>
      </c>
      <c r="D719" s="194">
        <v>0</v>
      </c>
      <c r="E719" s="194">
        <v>276000</v>
      </c>
      <c r="F719" s="194">
        <v>0</v>
      </c>
      <c r="G719" s="194">
        <f t="shared" si="96"/>
        <v>0</v>
      </c>
      <c r="H719" s="29" t="s">
        <v>453</v>
      </c>
      <c r="I719" s="28" t="s">
        <v>631</v>
      </c>
      <c r="J719" s="30"/>
      <c r="K719" s="30"/>
      <c r="L719" s="30"/>
      <c r="M719" s="30"/>
      <c r="N719" s="30">
        <v>276000</v>
      </c>
      <c r="O719" s="30"/>
      <c r="P719" s="30"/>
      <c r="Q719" s="30"/>
      <c r="R719" s="30"/>
      <c r="S719" s="30"/>
      <c r="T719" s="30"/>
      <c r="U719" s="30"/>
      <c r="V719" s="30"/>
      <c r="W719" s="197">
        <f>SUM(J719:V719)</f>
        <v>276000</v>
      </c>
    </row>
    <row r="720" spans="1:23" x14ac:dyDescent="0.3">
      <c r="A720" s="155">
        <v>719</v>
      </c>
      <c r="B720" s="28"/>
      <c r="C720" s="28" t="s">
        <v>1126</v>
      </c>
      <c r="D720" s="194">
        <v>0</v>
      </c>
      <c r="E720" s="194">
        <v>36000</v>
      </c>
      <c r="F720" s="194">
        <v>50000</v>
      </c>
      <c r="G720" s="194"/>
      <c r="H720" s="29" t="s">
        <v>452</v>
      </c>
      <c r="I720" s="28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97"/>
    </row>
    <row r="721" spans="1:23" x14ac:dyDescent="0.3">
      <c r="A721" s="155">
        <v>720</v>
      </c>
      <c r="B721" s="28"/>
      <c r="C721" s="28" t="s">
        <v>1127</v>
      </c>
      <c r="D721" s="194">
        <v>0</v>
      </c>
      <c r="E721" s="194">
        <v>276000</v>
      </c>
      <c r="F721" s="194">
        <v>0</v>
      </c>
      <c r="G721" s="194">
        <f t="shared" ref="G721:G730" si="97">D721</f>
        <v>0</v>
      </c>
      <c r="H721" s="29" t="s">
        <v>453</v>
      </c>
      <c r="I721" s="28" t="s">
        <v>631</v>
      </c>
      <c r="J721" s="30"/>
      <c r="K721" s="30"/>
      <c r="L721" s="30"/>
      <c r="M721" s="30"/>
      <c r="N721" s="30">
        <v>276000</v>
      </c>
      <c r="O721" s="30"/>
      <c r="P721" s="30"/>
      <c r="Q721" s="30"/>
      <c r="R721" s="30"/>
      <c r="S721" s="30"/>
      <c r="T721" s="30"/>
      <c r="U721" s="30"/>
      <c r="V721" s="30"/>
      <c r="W721" s="197">
        <f t="shared" ref="W721:W730" si="98">SUM(J721:V721)</f>
        <v>276000</v>
      </c>
    </row>
    <row r="722" spans="1:23" x14ac:dyDescent="0.3">
      <c r="A722" s="155">
        <v>721</v>
      </c>
      <c r="B722" s="28"/>
      <c r="C722" s="28" t="s">
        <v>1128</v>
      </c>
      <c r="D722" s="194">
        <v>0</v>
      </c>
      <c r="E722" s="194">
        <v>274000</v>
      </c>
      <c r="F722" s="194">
        <v>0</v>
      </c>
      <c r="G722" s="194">
        <f t="shared" si="97"/>
        <v>0</v>
      </c>
      <c r="H722" s="29" t="s">
        <v>453</v>
      </c>
      <c r="I722" s="28" t="s">
        <v>631</v>
      </c>
      <c r="J722" s="30"/>
      <c r="K722" s="30"/>
      <c r="L722" s="30"/>
      <c r="M722" s="30"/>
      <c r="N722" s="30">
        <v>274000</v>
      </c>
      <c r="O722" s="30"/>
      <c r="P722" s="30"/>
      <c r="Q722" s="30"/>
      <c r="R722" s="30"/>
      <c r="S722" s="30"/>
      <c r="T722" s="30"/>
      <c r="U722" s="30"/>
      <c r="V722" s="30"/>
      <c r="W722" s="197">
        <f t="shared" si="98"/>
        <v>274000</v>
      </c>
    </row>
    <row r="723" spans="1:23" x14ac:dyDescent="0.3">
      <c r="A723" s="155">
        <v>722</v>
      </c>
      <c r="B723" s="28"/>
      <c r="C723" s="28" t="s">
        <v>1129</v>
      </c>
      <c r="D723" s="194">
        <v>0</v>
      </c>
      <c r="E723" s="194">
        <v>274000</v>
      </c>
      <c r="F723" s="194">
        <v>0</v>
      </c>
      <c r="G723" s="194">
        <f t="shared" si="97"/>
        <v>0</v>
      </c>
      <c r="H723" s="29" t="s">
        <v>453</v>
      </c>
      <c r="I723" s="28" t="s">
        <v>631</v>
      </c>
      <c r="J723" s="30"/>
      <c r="K723" s="30"/>
      <c r="L723" s="30"/>
      <c r="M723" s="30"/>
      <c r="N723" s="30">
        <v>274000</v>
      </c>
      <c r="O723" s="30"/>
      <c r="P723" s="30"/>
      <c r="Q723" s="30"/>
      <c r="R723" s="30"/>
      <c r="S723" s="30"/>
      <c r="T723" s="30"/>
      <c r="U723" s="30"/>
      <c r="V723" s="30"/>
      <c r="W723" s="197">
        <f t="shared" si="98"/>
        <v>274000</v>
      </c>
    </row>
    <row r="724" spans="1:23" x14ac:dyDescent="0.3">
      <c r="A724" s="155">
        <v>723</v>
      </c>
      <c r="B724" s="28"/>
      <c r="C724" s="28" t="s">
        <v>1130</v>
      </c>
      <c r="D724" s="194">
        <v>0</v>
      </c>
      <c r="E724" s="194">
        <v>464000</v>
      </c>
      <c r="F724" s="194">
        <v>0</v>
      </c>
      <c r="G724" s="194">
        <f t="shared" si="97"/>
        <v>0</v>
      </c>
      <c r="H724" s="29" t="s">
        <v>453</v>
      </c>
      <c r="I724" s="28" t="s">
        <v>631</v>
      </c>
      <c r="J724" s="30"/>
      <c r="K724" s="30"/>
      <c r="L724" s="30"/>
      <c r="M724" s="30"/>
      <c r="N724" s="30">
        <v>464000</v>
      </c>
      <c r="O724" s="30"/>
      <c r="P724" s="30"/>
      <c r="Q724" s="30"/>
      <c r="R724" s="30"/>
      <c r="S724" s="30"/>
      <c r="T724" s="30"/>
      <c r="U724" s="30"/>
      <c r="V724" s="30"/>
      <c r="W724" s="197">
        <f t="shared" si="98"/>
        <v>464000</v>
      </c>
    </row>
    <row r="725" spans="1:23" x14ac:dyDescent="0.3">
      <c r="A725" s="155">
        <v>724</v>
      </c>
      <c r="B725" s="28"/>
      <c r="C725" s="28" t="s">
        <v>1131</v>
      </c>
      <c r="D725" s="194">
        <v>0</v>
      </c>
      <c r="E725" s="194">
        <v>46400</v>
      </c>
      <c r="F725" s="194">
        <v>0</v>
      </c>
      <c r="G725" s="194">
        <f t="shared" si="97"/>
        <v>0</v>
      </c>
      <c r="H725" s="29" t="s">
        <v>453</v>
      </c>
      <c r="I725" s="28" t="s">
        <v>631</v>
      </c>
      <c r="J725" s="30"/>
      <c r="K725" s="30"/>
      <c r="L725" s="30"/>
      <c r="M725" s="30"/>
      <c r="N725" s="194">
        <v>46400</v>
      </c>
      <c r="O725" s="30"/>
      <c r="P725" s="30"/>
      <c r="Q725" s="30"/>
      <c r="R725" s="30"/>
      <c r="S725" s="30"/>
      <c r="T725" s="30"/>
      <c r="U725" s="30"/>
      <c r="V725" s="30"/>
      <c r="W725" s="197">
        <f t="shared" si="98"/>
        <v>46400</v>
      </c>
    </row>
    <row r="726" spans="1:23" x14ac:dyDescent="0.3">
      <c r="A726" s="155">
        <v>725</v>
      </c>
      <c r="B726" s="28"/>
      <c r="C726" s="28" t="s">
        <v>1132</v>
      </c>
      <c r="D726" s="194">
        <v>0</v>
      </c>
      <c r="E726" s="194">
        <v>46400</v>
      </c>
      <c r="F726" s="194">
        <v>0</v>
      </c>
      <c r="G726" s="194">
        <f t="shared" si="97"/>
        <v>0</v>
      </c>
      <c r="H726" s="29" t="s">
        <v>453</v>
      </c>
      <c r="I726" s="28" t="s">
        <v>631</v>
      </c>
      <c r="J726" s="30"/>
      <c r="K726" s="30"/>
      <c r="L726" s="30"/>
      <c r="M726" s="30"/>
      <c r="N726" s="194">
        <v>46400</v>
      </c>
      <c r="O726" s="30"/>
      <c r="P726" s="30"/>
      <c r="Q726" s="30"/>
      <c r="R726" s="30"/>
      <c r="S726" s="30"/>
      <c r="T726" s="30"/>
      <c r="U726" s="30"/>
      <c r="V726" s="30"/>
      <c r="W726" s="197">
        <f t="shared" si="98"/>
        <v>46400</v>
      </c>
    </row>
    <row r="727" spans="1:23" x14ac:dyDescent="0.3">
      <c r="A727" s="155">
        <v>726</v>
      </c>
      <c r="B727" s="28"/>
      <c r="C727" s="28" t="s">
        <v>1133</v>
      </c>
      <c r="D727" s="194">
        <v>0</v>
      </c>
      <c r="E727" s="194">
        <v>46400</v>
      </c>
      <c r="F727" s="194">
        <v>0</v>
      </c>
      <c r="G727" s="194">
        <f t="shared" si="97"/>
        <v>0</v>
      </c>
      <c r="H727" s="29" t="s">
        <v>453</v>
      </c>
      <c r="I727" s="28" t="s">
        <v>631</v>
      </c>
      <c r="J727" s="30"/>
      <c r="K727" s="30"/>
      <c r="L727" s="30"/>
      <c r="M727" s="30"/>
      <c r="N727" s="194">
        <v>46400</v>
      </c>
      <c r="O727" s="30"/>
      <c r="P727" s="30"/>
      <c r="Q727" s="30"/>
      <c r="R727" s="30"/>
      <c r="S727" s="30"/>
      <c r="T727" s="30"/>
      <c r="U727" s="30"/>
      <c r="V727" s="30"/>
      <c r="W727" s="197">
        <f t="shared" si="98"/>
        <v>46400</v>
      </c>
    </row>
    <row r="728" spans="1:23" x14ac:dyDescent="0.3">
      <c r="A728" s="155">
        <v>727</v>
      </c>
      <c r="B728" s="28"/>
      <c r="C728" s="28" t="s">
        <v>1134</v>
      </c>
      <c r="D728" s="194">
        <v>0</v>
      </c>
      <c r="E728" s="194">
        <v>276000</v>
      </c>
      <c r="F728" s="194">
        <v>0</v>
      </c>
      <c r="G728" s="194">
        <f t="shared" si="97"/>
        <v>0</v>
      </c>
      <c r="H728" s="29" t="s">
        <v>453</v>
      </c>
      <c r="I728" s="28" t="s">
        <v>631</v>
      </c>
      <c r="J728" s="30"/>
      <c r="K728" s="30"/>
      <c r="L728" s="30"/>
      <c r="M728" s="30"/>
      <c r="N728" s="30">
        <v>276000</v>
      </c>
      <c r="O728" s="30"/>
      <c r="P728" s="30"/>
      <c r="Q728" s="30"/>
      <c r="R728" s="30"/>
      <c r="S728" s="30"/>
      <c r="T728" s="30"/>
      <c r="U728" s="30"/>
      <c r="V728" s="30"/>
      <c r="W728" s="197">
        <f t="shared" si="98"/>
        <v>276000</v>
      </c>
    </row>
    <row r="729" spans="1:23" x14ac:dyDescent="0.3">
      <c r="A729" s="155">
        <v>728</v>
      </c>
      <c r="B729" s="28"/>
      <c r="C729" s="28" t="s">
        <v>1135</v>
      </c>
      <c r="D729" s="194">
        <v>0</v>
      </c>
      <c r="E729" s="194">
        <v>276000</v>
      </c>
      <c r="F729" s="194">
        <v>0</v>
      </c>
      <c r="G729" s="194">
        <f t="shared" si="97"/>
        <v>0</v>
      </c>
      <c r="H729" s="29" t="s">
        <v>453</v>
      </c>
      <c r="I729" s="28" t="s">
        <v>631</v>
      </c>
      <c r="J729" s="30"/>
      <c r="K729" s="30"/>
      <c r="L729" s="30"/>
      <c r="M729" s="30"/>
      <c r="N729" s="30">
        <v>276000</v>
      </c>
      <c r="O729" s="30"/>
      <c r="P729" s="30"/>
      <c r="Q729" s="30"/>
      <c r="R729" s="30"/>
      <c r="S729" s="30"/>
      <c r="T729" s="30"/>
      <c r="U729" s="30"/>
      <c r="V729" s="30"/>
      <c r="W729" s="197">
        <f t="shared" si="98"/>
        <v>276000</v>
      </c>
    </row>
    <row r="730" spans="1:23" x14ac:dyDescent="0.3">
      <c r="A730" s="155">
        <v>729</v>
      </c>
      <c r="B730" s="28"/>
      <c r="C730" s="28" t="s">
        <v>1136</v>
      </c>
      <c r="D730" s="194">
        <v>0</v>
      </c>
      <c r="E730" s="194">
        <v>276000</v>
      </c>
      <c r="F730" s="194">
        <v>0</v>
      </c>
      <c r="G730" s="194">
        <f t="shared" si="97"/>
        <v>0</v>
      </c>
      <c r="H730" s="29" t="s">
        <v>453</v>
      </c>
      <c r="I730" s="28" t="s">
        <v>631</v>
      </c>
      <c r="J730" s="30"/>
      <c r="K730" s="30"/>
      <c r="L730" s="30"/>
      <c r="M730" s="30"/>
      <c r="N730" s="30">
        <v>276000</v>
      </c>
      <c r="O730" s="30"/>
      <c r="P730" s="30"/>
      <c r="Q730" s="30"/>
      <c r="R730" s="30"/>
      <c r="S730" s="30"/>
      <c r="T730" s="30"/>
      <c r="U730" s="30"/>
      <c r="V730" s="30"/>
      <c r="W730" s="197">
        <f t="shared" si="98"/>
        <v>276000</v>
      </c>
    </row>
    <row r="731" spans="1:23" x14ac:dyDescent="0.3">
      <c r="A731" s="155">
        <v>730</v>
      </c>
      <c r="B731" s="28"/>
      <c r="C731" s="28" t="s">
        <v>1137</v>
      </c>
      <c r="D731" s="194">
        <v>0</v>
      </c>
      <c r="E731" s="194">
        <v>40000</v>
      </c>
      <c r="F731" s="194">
        <v>50000</v>
      </c>
      <c r="G731" s="194"/>
      <c r="H731" s="29" t="s">
        <v>452</v>
      </c>
      <c r="I731" s="28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97"/>
    </row>
    <row r="732" spans="1:23" x14ac:dyDescent="0.3">
      <c r="A732" s="155">
        <v>731</v>
      </c>
      <c r="B732" s="28"/>
      <c r="C732" s="28" t="s">
        <v>619</v>
      </c>
      <c r="D732" s="194">
        <v>0</v>
      </c>
      <c r="E732" s="194">
        <v>156000</v>
      </c>
      <c r="F732" s="194">
        <v>0</v>
      </c>
      <c r="G732" s="194">
        <f t="shared" ref="G732:G735" si="99">D732</f>
        <v>0</v>
      </c>
      <c r="H732" s="29" t="s">
        <v>453</v>
      </c>
      <c r="I732" s="28" t="s">
        <v>631</v>
      </c>
      <c r="J732" s="30"/>
      <c r="K732" s="30"/>
      <c r="L732" s="30"/>
      <c r="M732" s="30"/>
      <c r="N732" s="30">
        <v>156000</v>
      </c>
      <c r="O732" s="30"/>
      <c r="P732" s="30"/>
      <c r="Q732" s="30"/>
      <c r="R732" s="30"/>
      <c r="S732" s="30"/>
      <c r="T732" s="30"/>
      <c r="U732" s="30"/>
      <c r="V732" s="30"/>
      <c r="W732" s="197">
        <f>SUM(J732:V732)</f>
        <v>156000</v>
      </c>
    </row>
    <row r="733" spans="1:23" x14ac:dyDescent="0.3">
      <c r="A733" s="155">
        <v>732</v>
      </c>
      <c r="B733" s="28"/>
      <c r="C733" s="28" t="s">
        <v>1138</v>
      </c>
      <c r="D733" s="194">
        <v>0</v>
      </c>
      <c r="E733" s="194">
        <v>276000</v>
      </c>
      <c r="F733" s="194">
        <v>0</v>
      </c>
      <c r="G733" s="194">
        <f t="shared" si="99"/>
        <v>0</v>
      </c>
      <c r="H733" s="29" t="s">
        <v>453</v>
      </c>
      <c r="I733" s="28" t="s">
        <v>631</v>
      </c>
      <c r="J733" s="30"/>
      <c r="K733" s="30"/>
      <c r="L733" s="30"/>
      <c r="M733" s="30"/>
      <c r="N733" s="30">
        <v>276000</v>
      </c>
      <c r="O733" s="30"/>
      <c r="P733" s="30"/>
      <c r="Q733" s="30"/>
      <c r="R733" s="30"/>
      <c r="S733" s="30"/>
      <c r="T733" s="30"/>
      <c r="U733" s="30"/>
      <c r="V733" s="30"/>
      <c r="W733" s="197">
        <f>SUM(J733:V733)</f>
        <v>276000</v>
      </c>
    </row>
    <row r="734" spans="1:23" x14ac:dyDescent="0.3">
      <c r="A734" s="155">
        <v>733</v>
      </c>
      <c r="B734" s="28"/>
      <c r="C734" s="28" t="s">
        <v>1139</v>
      </c>
      <c r="D734" s="194">
        <v>0</v>
      </c>
      <c r="E734" s="194">
        <v>276000</v>
      </c>
      <c r="F734" s="194">
        <v>0</v>
      </c>
      <c r="G734" s="194">
        <f t="shared" si="99"/>
        <v>0</v>
      </c>
      <c r="H734" s="29" t="s">
        <v>453</v>
      </c>
      <c r="I734" s="28" t="s">
        <v>631</v>
      </c>
      <c r="J734" s="30"/>
      <c r="K734" s="30"/>
      <c r="L734" s="30"/>
      <c r="M734" s="30"/>
      <c r="N734" s="30">
        <v>276000</v>
      </c>
      <c r="O734" s="30"/>
      <c r="P734" s="30"/>
      <c r="Q734" s="30"/>
      <c r="R734" s="30"/>
      <c r="S734" s="30"/>
      <c r="T734" s="30"/>
      <c r="U734" s="30"/>
      <c r="V734" s="30"/>
      <c r="W734" s="197">
        <f>SUM(J734:V734)</f>
        <v>276000</v>
      </c>
    </row>
    <row r="735" spans="1:23" x14ac:dyDescent="0.3">
      <c r="A735" s="155">
        <v>734</v>
      </c>
      <c r="B735" s="28"/>
      <c r="C735" s="28" t="s">
        <v>881</v>
      </c>
      <c r="D735" s="194">
        <v>0</v>
      </c>
      <c r="E735" s="194">
        <v>26000</v>
      </c>
      <c r="F735" s="194">
        <v>0</v>
      </c>
      <c r="G735" s="194">
        <f t="shared" si="99"/>
        <v>0</v>
      </c>
      <c r="H735" s="29" t="s">
        <v>453</v>
      </c>
      <c r="I735" s="28" t="s">
        <v>631</v>
      </c>
      <c r="J735" s="30"/>
      <c r="K735" s="30"/>
      <c r="L735" s="30"/>
      <c r="M735" s="30"/>
      <c r="N735" s="194">
        <v>26000</v>
      </c>
      <c r="O735" s="30"/>
      <c r="P735" s="30"/>
      <c r="Q735" s="30"/>
      <c r="R735" s="30"/>
      <c r="S735" s="30"/>
      <c r="T735" s="30"/>
      <c r="U735" s="30"/>
      <c r="V735" s="30"/>
      <c r="W735" s="197">
        <f>SUM(J735:V735)</f>
        <v>26000</v>
      </c>
    </row>
    <row r="736" spans="1:23" x14ac:dyDescent="0.3">
      <c r="A736" s="155">
        <v>735</v>
      </c>
      <c r="B736" s="28"/>
      <c r="C736" s="28" t="s">
        <v>1140</v>
      </c>
      <c r="D736" s="194">
        <v>0</v>
      </c>
      <c r="E736" s="194">
        <v>156000</v>
      </c>
      <c r="F736" s="194">
        <v>200000</v>
      </c>
      <c r="G736" s="194"/>
      <c r="H736" s="29" t="s">
        <v>452</v>
      </c>
      <c r="I736" s="28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97"/>
    </row>
    <row r="737" spans="1:23" x14ac:dyDescent="0.3">
      <c r="A737" s="155">
        <v>736</v>
      </c>
      <c r="B737" s="28"/>
      <c r="C737" s="28" t="s">
        <v>1141</v>
      </c>
      <c r="D737" s="194">
        <v>0</v>
      </c>
      <c r="E737" s="194">
        <v>1125000</v>
      </c>
      <c r="F737" s="194">
        <v>0</v>
      </c>
      <c r="G737" s="194">
        <f>D737</f>
        <v>0</v>
      </c>
      <c r="H737" s="29" t="s">
        <v>453</v>
      </c>
      <c r="I737" s="28" t="s">
        <v>631</v>
      </c>
      <c r="J737" s="30"/>
      <c r="K737" s="30"/>
      <c r="L737" s="30"/>
      <c r="M737" s="30"/>
      <c r="N737" s="30">
        <v>1125000</v>
      </c>
      <c r="O737" s="30"/>
      <c r="P737" s="30"/>
      <c r="Q737" s="30"/>
      <c r="R737" s="30"/>
      <c r="S737" s="30"/>
      <c r="T737" s="30"/>
      <c r="U737" s="30"/>
      <c r="V737" s="30"/>
      <c r="W737" s="197">
        <f>SUM(J737:V737)</f>
        <v>1125000</v>
      </c>
    </row>
    <row r="738" spans="1:23" x14ac:dyDescent="0.3">
      <c r="A738" s="155">
        <v>737</v>
      </c>
      <c r="B738" s="28"/>
      <c r="C738" s="28" t="s">
        <v>1142</v>
      </c>
      <c r="D738" s="194">
        <v>0</v>
      </c>
      <c r="E738" s="194">
        <v>1700000</v>
      </c>
      <c r="F738" s="194">
        <v>1800000</v>
      </c>
      <c r="G738" s="194"/>
      <c r="H738" s="29" t="s">
        <v>452</v>
      </c>
      <c r="I738" s="28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97"/>
    </row>
    <row r="739" spans="1:23" x14ac:dyDescent="0.3">
      <c r="A739" s="155">
        <v>738</v>
      </c>
      <c r="B739" s="28"/>
      <c r="C739" s="28" t="s">
        <v>1143</v>
      </c>
      <c r="D739" s="194">
        <v>0</v>
      </c>
      <c r="E739" s="194">
        <v>1236000</v>
      </c>
      <c r="F739" s="194">
        <v>0</v>
      </c>
      <c r="G739" s="194">
        <f t="shared" ref="G739:G762" si="100">D739</f>
        <v>0</v>
      </c>
      <c r="H739" s="29" t="s">
        <v>453</v>
      </c>
      <c r="I739" s="28" t="s">
        <v>631</v>
      </c>
      <c r="J739" s="30"/>
      <c r="K739" s="30"/>
      <c r="L739" s="30"/>
      <c r="M739" s="30"/>
      <c r="N739" s="30">
        <v>1236000</v>
      </c>
      <c r="O739" s="30"/>
      <c r="P739" s="30"/>
      <c r="Q739" s="30"/>
      <c r="R739" s="30"/>
      <c r="S739" s="30"/>
      <c r="T739" s="30"/>
      <c r="U739" s="30"/>
      <c r="V739" s="30"/>
      <c r="W739" s="197">
        <f t="shared" ref="W739:W762" si="101">SUM(J739:V739)</f>
        <v>1236000</v>
      </c>
    </row>
    <row r="740" spans="1:23" x14ac:dyDescent="0.3">
      <c r="A740" s="155">
        <v>739</v>
      </c>
      <c r="B740" s="28"/>
      <c r="C740" s="28" t="s">
        <v>1144</v>
      </c>
      <c r="D740" s="194">
        <v>0</v>
      </c>
      <c r="E740" s="194">
        <v>180000</v>
      </c>
      <c r="F740" s="194">
        <v>0</v>
      </c>
      <c r="G740" s="194">
        <f t="shared" si="100"/>
        <v>0</v>
      </c>
      <c r="H740" s="29" t="s">
        <v>453</v>
      </c>
      <c r="I740" s="28" t="s">
        <v>631</v>
      </c>
      <c r="J740" s="30"/>
      <c r="K740" s="30"/>
      <c r="L740" s="30"/>
      <c r="M740" s="30"/>
      <c r="N740" s="30">
        <v>180000</v>
      </c>
      <c r="O740" s="30"/>
      <c r="P740" s="30"/>
      <c r="Q740" s="30"/>
      <c r="R740" s="30"/>
      <c r="S740" s="30"/>
      <c r="T740" s="30"/>
      <c r="U740" s="30"/>
      <c r="V740" s="30"/>
      <c r="W740" s="197">
        <f t="shared" si="101"/>
        <v>180000</v>
      </c>
    </row>
    <row r="741" spans="1:23" x14ac:dyDescent="0.3">
      <c r="A741" s="155">
        <v>740</v>
      </c>
      <c r="B741" s="28"/>
      <c r="C741" s="28" t="s">
        <v>676</v>
      </c>
      <c r="D741" s="194">
        <v>0</v>
      </c>
      <c r="E741" s="194">
        <v>676000</v>
      </c>
      <c r="F741" s="194">
        <v>0</v>
      </c>
      <c r="G741" s="194">
        <f t="shared" si="100"/>
        <v>0</v>
      </c>
      <c r="H741" s="29" t="s">
        <v>453</v>
      </c>
      <c r="I741" s="28" t="s">
        <v>631</v>
      </c>
      <c r="J741" s="30"/>
      <c r="K741" s="30"/>
      <c r="L741" s="30"/>
      <c r="M741" s="30"/>
      <c r="N741" s="30">
        <v>676000</v>
      </c>
      <c r="O741" s="30"/>
      <c r="P741" s="30"/>
      <c r="Q741" s="30"/>
      <c r="R741" s="30"/>
      <c r="S741" s="30"/>
      <c r="T741" s="30"/>
      <c r="U741" s="30"/>
      <c r="V741" s="30"/>
      <c r="W741" s="197">
        <f t="shared" si="101"/>
        <v>676000</v>
      </c>
    </row>
    <row r="742" spans="1:23" x14ac:dyDescent="0.3">
      <c r="A742" s="155">
        <v>741</v>
      </c>
      <c r="B742" s="28"/>
      <c r="C742" s="28" t="s">
        <v>1145</v>
      </c>
      <c r="D742" s="194">
        <v>0</v>
      </c>
      <c r="E742" s="194">
        <v>264000</v>
      </c>
      <c r="F742" s="194">
        <v>0</v>
      </c>
      <c r="G742" s="194">
        <f t="shared" si="100"/>
        <v>0</v>
      </c>
      <c r="H742" s="29" t="s">
        <v>453</v>
      </c>
      <c r="I742" s="28" t="s">
        <v>631</v>
      </c>
      <c r="J742" s="30"/>
      <c r="K742" s="30"/>
      <c r="L742" s="30"/>
      <c r="M742" s="30"/>
      <c r="N742" s="30">
        <v>264000</v>
      </c>
      <c r="O742" s="30"/>
      <c r="P742" s="30"/>
      <c r="Q742" s="30"/>
      <c r="R742" s="30"/>
      <c r="S742" s="30"/>
      <c r="T742" s="30"/>
      <c r="U742" s="30"/>
      <c r="V742" s="30"/>
      <c r="W742" s="197">
        <f t="shared" si="101"/>
        <v>264000</v>
      </c>
    </row>
    <row r="743" spans="1:23" x14ac:dyDescent="0.3">
      <c r="A743" s="155">
        <v>742</v>
      </c>
      <c r="B743" s="28"/>
      <c r="C743" s="28" t="s">
        <v>1146</v>
      </c>
      <c r="D743" s="194">
        <v>0</v>
      </c>
      <c r="E743" s="194">
        <v>256000</v>
      </c>
      <c r="F743" s="194">
        <v>0</v>
      </c>
      <c r="G743" s="194">
        <f t="shared" si="100"/>
        <v>0</v>
      </c>
      <c r="H743" s="29" t="s">
        <v>453</v>
      </c>
      <c r="I743" s="28" t="s">
        <v>631</v>
      </c>
      <c r="J743" s="30"/>
      <c r="K743" s="30"/>
      <c r="L743" s="30"/>
      <c r="M743" s="30"/>
      <c r="N743" s="30">
        <v>256000</v>
      </c>
      <c r="O743" s="30"/>
      <c r="P743" s="30"/>
      <c r="Q743" s="30"/>
      <c r="R743" s="30"/>
      <c r="S743" s="30"/>
      <c r="T743" s="30"/>
      <c r="U743" s="30"/>
      <c r="V743" s="30"/>
      <c r="W743" s="197">
        <f t="shared" si="101"/>
        <v>256000</v>
      </c>
    </row>
    <row r="744" spans="1:23" x14ac:dyDescent="0.3">
      <c r="A744" s="155">
        <v>743</v>
      </c>
      <c r="B744" s="28"/>
      <c r="C744" s="28" t="s">
        <v>1147</v>
      </c>
      <c r="D744" s="194">
        <v>0</v>
      </c>
      <c r="E744" s="194">
        <v>156000</v>
      </c>
      <c r="F744" s="194">
        <v>0</v>
      </c>
      <c r="G744" s="194">
        <f t="shared" si="100"/>
        <v>0</v>
      </c>
      <c r="H744" s="29" t="s">
        <v>453</v>
      </c>
      <c r="I744" s="28" t="s">
        <v>631</v>
      </c>
      <c r="J744" s="30"/>
      <c r="K744" s="30"/>
      <c r="L744" s="30"/>
      <c r="M744" s="30"/>
      <c r="N744" s="30">
        <v>156000</v>
      </c>
      <c r="O744" s="30"/>
      <c r="P744" s="30"/>
      <c r="Q744" s="30"/>
      <c r="R744" s="30"/>
      <c r="S744" s="30"/>
      <c r="T744" s="30"/>
      <c r="U744" s="30"/>
      <c r="V744" s="30"/>
      <c r="W744" s="197">
        <f t="shared" si="101"/>
        <v>156000</v>
      </c>
    </row>
    <row r="745" spans="1:23" x14ac:dyDescent="0.3">
      <c r="A745" s="155">
        <v>744</v>
      </c>
      <c r="B745" s="28"/>
      <c r="C745" s="28" t="s">
        <v>1148</v>
      </c>
      <c r="D745" s="194">
        <v>0</v>
      </c>
      <c r="E745" s="194">
        <v>616000</v>
      </c>
      <c r="F745" s="194">
        <v>0</v>
      </c>
      <c r="G745" s="194">
        <f t="shared" si="100"/>
        <v>0</v>
      </c>
      <c r="H745" s="29" t="s">
        <v>453</v>
      </c>
      <c r="I745" s="28" t="s">
        <v>631</v>
      </c>
      <c r="J745" s="30"/>
      <c r="K745" s="30"/>
      <c r="L745" s="30"/>
      <c r="M745" s="30"/>
      <c r="N745" s="30">
        <v>616000</v>
      </c>
      <c r="O745" s="30"/>
      <c r="P745" s="30"/>
      <c r="Q745" s="30"/>
      <c r="R745" s="30"/>
      <c r="S745" s="30"/>
      <c r="T745" s="30"/>
      <c r="U745" s="30"/>
      <c r="V745" s="30"/>
      <c r="W745" s="197">
        <f t="shared" si="101"/>
        <v>616000</v>
      </c>
    </row>
    <row r="746" spans="1:23" x14ac:dyDescent="0.3">
      <c r="A746" s="155">
        <v>745</v>
      </c>
      <c r="B746" s="28"/>
      <c r="C746" s="28" t="s">
        <v>1149</v>
      </c>
      <c r="D746" s="194">
        <v>0</v>
      </c>
      <c r="E746" s="194">
        <v>156000</v>
      </c>
      <c r="F746" s="194">
        <v>0</v>
      </c>
      <c r="G746" s="194">
        <f t="shared" si="100"/>
        <v>0</v>
      </c>
      <c r="H746" s="29" t="s">
        <v>453</v>
      </c>
      <c r="I746" s="28" t="s">
        <v>631</v>
      </c>
      <c r="J746" s="30"/>
      <c r="K746" s="30"/>
      <c r="L746" s="30"/>
      <c r="M746" s="30"/>
      <c r="N746" s="30">
        <v>156000</v>
      </c>
      <c r="O746" s="30"/>
      <c r="P746" s="30"/>
      <c r="Q746" s="30"/>
      <c r="R746" s="30"/>
      <c r="S746" s="30"/>
      <c r="T746" s="30"/>
      <c r="U746" s="30"/>
      <c r="V746" s="30"/>
      <c r="W746" s="197">
        <f t="shared" si="101"/>
        <v>156000</v>
      </c>
    </row>
    <row r="747" spans="1:23" x14ac:dyDescent="0.3">
      <c r="A747" s="155">
        <v>746</v>
      </c>
      <c r="B747" s="28"/>
      <c r="C747" s="28" t="s">
        <v>1150</v>
      </c>
      <c r="D747" s="194">
        <v>0</v>
      </c>
      <c r="E747" s="194">
        <v>1620000</v>
      </c>
      <c r="F747" s="194">
        <v>0</v>
      </c>
      <c r="G747" s="194">
        <f t="shared" si="100"/>
        <v>0</v>
      </c>
      <c r="H747" s="29" t="s">
        <v>453</v>
      </c>
      <c r="I747" s="28" t="s">
        <v>631</v>
      </c>
      <c r="J747" s="30"/>
      <c r="K747" s="30"/>
      <c r="L747" s="30"/>
      <c r="M747" s="30"/>
      <c r="N747" s="30">
        <v>1620000</v>
      </c>
      <c r="O747" s="30"/>
      <c r="P747" s="30"/>
      <c r="Q747" s="30"/>
      <c r="R747" s="30"/>
      <c r="S747" s="30"/>
      <c r="T747" s="30"/>
      <c r="U747" s="30"/>
      <c r="V747" s="30"/>
      <c r="W747" s="197">
        <f t="shared" si="101"/>
        <v>1620000</v>
      </c>
    </row>
    <row r="748" spans="1:23" x14ac:dyDescent="0.3">
      <c r="A748" s="155">
        <v>747</v>
      </c>
      <c r="B748" s="28"/>
      <c r="C748" s="28" t="s">
        <v>1151</v>
      </c>
      <c r="D748" s="194">
        <v>0</v>
      </c>
      <c r="E748" s="194">
        <v>616000</v>
      </c>
      <c r="F748" s="194">
        <v>0</v>
      </c>
      <c r="G748" s="194">
        <f t="shared" si="100"/>
        <v>0</v>
      </c>
      <c r="H748" s="29" t="s">
        <v>453</v>
      </c>
      <c r="I748" s="28" t="s">
        <v>631</v>
      </c>
      <c r="J748" s="30"/>
      <c r="K748" s="30"/>
      <c r="L748" s="30"/>
      <c r="M748" s="30"/>
      <c r="N748" s="30">
        <v>616000</v>
      </c>
      <c r="O748" s="30"/>
      <c r="P748" s="30"/>
      <c r="Q748" s="30"/>
      <c r="R748" s="30"/>
      <c r="S748" s="30"/>
      <c r="T748" s="30"/>
      <c r="U748" s="30"/>
      <c r="V748" s="30"/>
      <c r="W748" s="197">
        <f t="shared" si="101"/>
        <v>616000</v>
      </c>
    </row>
    <row r="749" spans="1:23" x14ac:dyDescent="0.3">
      <c r="A749" s="155">
        <v>748</v>
      </c>
      <c r="B749" s="28"/>
      <c r="C749" s="28" t="s">
        <v>1152</v>
      </c>
      <c r="D749" s="194">
        <v>0</v>
      </c>
      <c r="E749" s="194">
        <v>464000</v>
      </c>
      <c r="F749" s="194">
        <v>0</v>
      </c>
      <c r="G749" s="194">
        <f t="shared" si="100"/>
        <v>0</v>
      </c>
      <c r="H749" s="29" t="s">
        <v>453</v>
      </c>
      <c r="I749" s="28" t="s">
        <v>631</v>
      </c>
      <c r="J749" s="30"/>
      <c r="K749" s="30"/>
      <c r="L749" s="30"/>
      <c r="M749" s="30"/>
      <c r="N749" s="30">
        <v>464000</v>
      </c>
      <c r="O749" s="30"/>
      <c r="P749" s="30"/>
      <c r="Q749" s="30"/>
      <c r="R749" s="30"/>
      <c r="S749" s="30"/>
      <c r="T749" s="30"/>
      <c r="U749" s="30"/>
      <c r="V749" s="30"/>
      <c r="W749" s="197">
        <f t="shared" si="101"/>
        <v>464000</v>
      </c>
    </row>
    <row r="750" spans="1:23" x14ac:dyDescent="0.3">
      <c r="A750" s="155">
        <v>749</v>
      </c>
      <c r="B750" s="28"/>
      <c r="C750" s="28" t="s">
        <v>1153</v>
      </c>
      <c r="D750" s="194">
        <v>0</v>
      </c>
      <c r="E750" s="194">
        <v>156000</v>
      </c>
      <c r="F750" s="194">
        <v>0</v>
      </c>
      <c r="G750" s="194">
        <f t="shared" si="100"/>
        <v>0</v>
      </c>
      <c r="H750" s="29" t="s">
        <v>453</v>
      </c>
      <c r="I750" s="28" t="s">
        <v>631</v>
      </c>
      <c r="J750" s="30"/>
      <c r="K750" s="30"/>
      <c r="L750" s="30"/>
      <c r="M750" s="30"/>
      <c r="N750" s="30">
        <v>156000</v>
      </c>
      <c r="O750" s="30"/>
      <c r="P750" s="30"/>
      <c r="Q750" s="30"/>
      <c r="R750" s="30"/>
      <c r="S750" s="30"/>
      <c r="T750" s="30"/>
      <c r="U750" s="30"/>
      <c r="V750" s="30"/>
      <c r="W750" s="197">
        <f t="shared" si="101"/>
        <v>156000</v>
      </c>
    </row>
    <row r="751" spans="1:23" x14ac:dyDescent="0.3">
      <c r="A751" s="155">
        <v>750</v>
      </c>
      <c r="B751" s="28"/>
      <c r="C751" s="28" t="s">
        <v>1154</v>
      </c>
      <c r="D751" s="194">
        <v>0</v>
      </c>
      <c r="E751" s="194">
        <v>1600</v>
      </c>
      <c r="F751" s="194">
        <v>0</v>
      </c>
      <c r="G751" s="194">
        <f t="shared" si="100"/>
        <v>0</v>
      </c>
      <c r="H751" s="29" t="s">
        <v>453</v>
      </c>
      <c r="I751" s="28" t="s">
        <v>631</v>
      </c>
      <c r="J751" s="30"/>
      <c r="K751" s="30"/>
      <c r="L751" s="30"/>
      <c r="M751" s="30"/>
      <c r="N751" s="30">
        <v>1600</v>
      </c>
      <c r="O751" s="30"/>
      <c r="P751" s="30"/>
      <c r="Q751" s="30"/>
      <c r="R751" s="30"/>
      <c r="S751" s="30"/>
      <c r="T751" s="30"/>
      <c r="U751" s="30"/>
      <c r="V751" s="30"/>
      <c r="W751" s="197">
        <f t="shared" si="101"/>
        <v>1600</v>
      </c>
    </row>
    <row r="752" spans="1:23" x14ac:dyDescent="0.3">
      <c r="A752" s="155">
        <v>751</v>
      </c>
      <c r="B752" s="28"/>
      <c r="C752" s="28" t="s">
        <v>1155</v>
      </c>
      <c r="D752" s="194">
        <v>0</v>
      </c>
      <c r="E752" s="194">
        <v>48000</v>
      </c>
      <c r="F752" s="194">
        <v>0</v>
      </c>
      <c r="G752" s="194">
        <f t="shared" si="100"/>
        <v>0</v>
      </c>
      <c r="H752" s="29" t="s">
        <v>453</v>
      </c>
      <c r="I752" s="28" t="s">
        <v>631</v>
      </c>
      <c r="J752" s="30"/>
      <c r="K752" s="30"/>
      <c r="L752" s="30"/>
      <c r="M752" s="30"/>
      <c r="N752" s="30">
        <v>48000</v>
      </c>
      <c r="O752" s="30"/>
      <c r="P752" s="30"/>
      <c r="Q752" s="30"/>
      <c r="R752" s="30"/>
      <c r="S752" s="30"/>
      <c r="T752" s="30"/>
      <c r="U752" s="30"/>
      <c r="V752" s="30"/>
      <c r="W752" s="197">
        <f t="shared" si="101"/>
        <v>48000</v>
      </c>
    </row>
    <row r="753" spans="1:23" x14ac:dyDescent="0.3">
      <c r="A753" s="155">
        <v>752</v>
      </c>
      <c r="B753" s="28"/>
      <c r="C753" s="28" t="s">
        <v>1156</v>
      </c>
      <c r="D753" s="194">
        <v>0</v>
      </c>
      <c r="E753" s="194">
        <v>464000</v>
      </c>
      <c r="F753" s="194">
        <v>0</v>
      </c>
      <c r="G753" s="194">
        <f t="shared" si="100"/>
        <v>0</v>
      </c>
      <c r="H753" s="29" t="s">
        <v>453</v>
      </c>
      <c r="I753" s="28" t="s">
        <v>631</v>
      </c>
      <c r="J753" s="30"/>
      <c r="K753" s="30"/>
      <c r="L753" s="30"/>
      <c r="M753" s="30"/>
      <c r="N753" s="30">
        <v>464000</v>
      </c>
      <c r="O753" s="30"/>
      <c r="P753" s="30"/>
      <c r="Q753" s="30"/>
      <c r="R753" s="30"/>
      <c r="S753" s="30"/>
      <c r="T753" s="30"/>
      <c r="U753" s="30"/>
      <c r="V753" s="30"/>
      <c r="W753" s="197">
        <f t="shared" si="101"/>
        <v>464000</v>
      </c>
    </row>
    <row r="754" spans="1:23" x14ac:dyDescent="0.3">
      <c r="A754" s="155">
        <v>753</v>
      </c>
      <c r="B754" s="28"/>
      <c r="C754" s="28" t="s">
        <v>1157</v>
      </c>
      <c r="D754" s="194">
        <v>0</v>
      </c>
      <c r="E754" s="194">
        <v>84000</v>
      </c>
      <c r="F754" s="194">
        <v>0</v>
      </c>
      <c r="G754" s="194">
        <f t="shared" si="100"/>
        <v>0</v>
      </c>
      <c r="H754" s="29" t="s">
        <v>453</v>
      </c>
      <c r="I754" s="28" t="s">
        <v>631</v>
      </c>
      <c r="J754" s="30"/>
      <c r="K754" s="30"/>
      <c r="L754" s="30"/>
      <c r="M754" s="30"/>
      <c r="N754" s="30">
        <v>84000</v>
      </c>
      <c r="O754" s="30"/>
      <c r="P754" s="30"/>
      <c r="Q754" s="30"/>
      <c r="R754" s="30"/>
      <c r="S754" s="30"/>
      <c r="T754" s="30"/>
      <c r="U754" s="30"/>
      <c r="V754" s="30"/>
      <c r="W754" s="197">
        <f t="shared" si="101"/>
        <v>84000</v>
      </c>
    </row>
    <row r="755" spans="1:23" x14ac:dyDescent="0.3">
      <c r="A755" s="155">
        <v>754</v>
      </c>
      <c r="B755" s="28"/>
      <c r="C755" s="28" t="s">
        <v>672</v>
      </c>
      <c r="D755" s="194">
        <v>0</v>
      </c>
      <c r="E755" s="194">
        <v>232000</v>
      </c>
      <c r="F755" s="194">
        <v>0</v>
      </c>
      <c r="G755" s="194">
        <f t="shared" si="100"/>
        <v>0</v>
      </c>
      <c r="H755" s="29" t="s">
        <v>453</v>
      </c>
      <c r="I755" s="28" t="s">
        <v>631</v>
      </c>
      <c r="J755" s="30"/>
      <c r="K755" s="30"/>
      <c r="L755" s="30"/>
      <c r="M755" s="30"/>
      <c r="N755" s="30">
        <v>232000</v>
      </c>
      <c r="O755" s="30"/>
      <c r="P755" s="30"/>
      <c r="Q755" s="30"/>
      <c r="R755" s="30"/>
      <c r="S755" s="30"/>
      <c r="T755" s="30"/>
      <c r="U755" s="30"/>
      <c r="V755" s="30"/>
      <c r="W755" s="197">
        <f t="shared" si="101"/>
        <v>232000</v>
      </c>
    </row>
    <row r="756" spans="1:23" x14ac:dyDescent="0.3">
      <c r="A756" s="155">
        <v>755</v>
      </c>
      <c r="B756" s="28"/>
      <c r="C756" s="28" t="s">
        <v>1158</v>
      </c>
      <c r="D756" s="194">
        <v>0</v>
      </c>
      <c r="E756" s="194">
        <v>72000</v>
      </c>
      <c r="F756" s="194">
        <v>0</v>
      </c>
      <c r="G756" s="194">
        <f t="shared" si="100"/>
        <v>0</v>
      </c>
      <c r="H756" s="29" t="s">
        <v>453</v>
      </c>
      <c r="I756" s="28" t="s">
        <v>631</v>
      </c>
      <c r="J756" s="30"/>
      <c r="K756" s="30"/>
      <c r="L756" s="30"/>
      <c r="M756" s="30"/>
      <c r="N756" s="30">
        <v>72000</v>
      </c>
      <c r="O756" s="30"/>
      <c r="P756" s="30"/>
      <c r="Q756" s="30"/>
      <c r="R756" s="30"/>
      <c r="S756" s="30"/>
      <c r="T756" s="30"/>
      <c r="U756" s="30"/>
      <c r="V756" s="30"/>
      <c r="W756" s="197">
        <f t="shared" si="101"/>
        <v>72000</v>
      </c>
    </row>
    <row r="757" spans="1:23" x14ac:dyDescent="0.3">
      <c r="A757" s="155">
        <v>756</v>
      </c>
      <c r="B757" s="28"/>
      <c r="C757" s="28" t="s">
        <v>1159</v>
      </c>
      <c r="D757" s="194">
        <v>0</v>
      </c>
      <c r="E757" s="194">
        <v>232000</v>
      </c>
      <c r="F757" s="194">
        <v>0</v>
      </c>
      <c r="G757" s="194">
        <f t="shared" si="100"/>
        <v>0</v>
      </c>
      <c r="H757" s="29" t="s">
        <v>453</v>
      </c>
      <c r="I757" s="28" t="s">
        <v>631</v>
      </c>
      <c r="J757" s="30"/>
      <c r="K757" s="30"/>
      <c r="L757" s="30"/>
      <c r="M757" s="30"/>
      <c r="N757" s="30">
        <v>232000</v>
      </c>
      <c r="O757" s="30"/>
      <c r="P757" s="30"/>
      <c r="Q757" s="30"/>
      <c r="R757" s="30"/>
      <c r="S757" s="30"/>
      <c r="T757" s="30"/>
      <c r="U757" s="30"/>
      <c r="V757" s="30"/>
      <c r="W757" s="197">
        <f t="shared" si="101"/>
        <v>232000</v>
      </c>
    </row>
    <row r="758" spans="1:23" x14ac:dyDescent="0.3">
      <c r="A758" s="155">
        <v>757</v>
      </c>
      <c r="B758" s="28"/>
      <c r="C758" s="28" t="s">
        <v>1160</v>
      </c>
      <c r="D758" s="194">
        <v>0</v>
      </c>
      <c r="E758" s="194">
        <v>14800</v>
      </c>
      <c r="F758" s="194">
        <v>0</v>
      </c>
      <c r="G758" s="194">
        <f t="shared" si="100"/>
        <v>0</v>
      </c>
      <c r="H758" s="29" t="s">
        <v>453</v>
      </c>
      <c r="I758" s="28" t="s">
        <v>631</v>
      </c>
      <c r="J758" s="30"/>
      <c r="K758" s="30"/>
      <c r="L758" s="30"/>
      <c r="M758" s="30"/>
      <c r="N758" s="30">
        <v>14800</v>
      </c>
      <c r="O758" s="30"/>
      <c r="P758" s="30"/>
      <c r="Q758" s="30"/>
      <c r="R758" s="30"/>
      <c r="S758" s="30"/>
      <c r="T758" s="30"/>
      <c r="U758" s="30"/>
      <c r="V758" s="30"/>
      <c r="W758" s="197">
        <f t="shared" si="101"/>
        <v>14800</v>
      </c>
    </row>
    <row r="759" spans="1:23" x14ac:dyDescent="0.3">
      <c r="A759" s="155">
        <v>758</v>
      </c>
      <c r="B759" s="28"/>
      <c r="C759" s="28" t="s">
        <v>1161</v>
      </c>
      <c r="D759" s="194">
        <v>0</v>
      </c>
      <c r="E759" s="194">
        <v>92000</v>
      </c>
      <c r="F759" s="194">
        <v>0</v>
      </c>
      <c r="G759" s="194">
        <f t="shared" si="100"/>
        <v>0</v>
      </c>
      <c r="H759" s="29" t="s">
        <v>453</v>
      </c>
      <c r="I759" s="28" t="s">
        <v>631</v>
      </c>
      <c r="J759" s="30"/>
      <c r="K759" s="30"/>
      <c r="L759" s="30"/>
      <c r="M759" s="30"/>
      <c r="N759" s="30">
        <v>92000</v>
      </c>
      <c r="O759" s="30"/>
      <c r="P759" s="30"/>
      <c r="Q759" s="30"/>
      <c r="R759" s="30"/>
      <c r="S759" s="30"/>
      <c r="T759" s="30"/>
      <c r="U759" s="30"/>
      <c r="V759" s="30"/>
      <c r="W759" s="197">
        <f t="shared" si="101"/>
        <v>92000</v>
      </c>
    </row>
    <row r="760" spans="1:23" x14ac:dyDescent="0.3">
      <c r="A760" s="155">
        <v>759</v>
      </c>
      <c r="B760" s="28"/>
      <c r="C760" s="28" t="s">
        <v>1162</v>
      </c>
      <c r="D760" s="194">
        <v>0</v>
      </c>
      <c r="E760" s="194">
        <v>456000</v>
      </c>
      <c r="F760" s="194">
        <v>0</v>
      </c>
      <c r="G760" s="194">
        <f t="shared" si="100"/>
        <v>0</v>
      </c>
      <c r="H760" s="29" t="s">
        <v>453</v>
      </c>
      <c r="I760" s="28" t="s">
        <v>631</v>
      </c>
      <c r="J760" s="30"/>
      <c r="K760" s="30"/>
      <c r="L760" s="30"/>
      <c r="M760" s="30"/>
      <c r="N760" s="30">
        <v>456000</v>
      </c>
      <c r="O760" s="30"/>
      <c r="P760" s="30"/>
      <c r="Q760" s="30"/>
      <c r="R760" s="30"/>
      <c r="S760" s="30"/>
      <c r="T760" s="30"/>
      <c r="U760" s="30"/>
      <c r="V760" s="30"/>
      <c r="W760" s="197">
        <f t="shared" si="101"/>
        <v>456000</v>
      </c>
    </row>
    <row r="761" spans="1:23" x14ac:dyDescent="0.3">
      <c r="A761" s="155">
        <v>760</v>
      </c>
      <c r="B761" s="28"/>
      <c r="C761" s="28" t="s">
        <v>1163</v>
      </c>
      <c r="D761" s="194">
        <v>0</v>
      </c>
      <c r="E761" s="194">
        <v>260000</v>
      </c>
      <c r="F761" s="194">
        <v>0</v>
      </c>
      <c r="G761" s="194">
        <f t="shared" si="100"/>
        <v>0</v>
      </c>
      <c r="H761" s="29" t="s">
        <v>453</v>
      </c>
      <c r="I761" s="28" t="s">
        <v>631</v>
      </c>
      <c r="J761" s="30"/>
      <c r="K761" s="30"/>
      <c r="L761" s="30"/>
      <c r="M761" s="30"/>
      <c r="N761" s="30">
        <v>260000</v>
      </c>
      <c r="O761" s="30"/>
      <c r="P761" s="30"/>
      <c r="Q761" s="30"/>
      <c r="R761" s="30"/>
      <c r="S761" s="30"/>
      <c r="T761" s="30"/>
      <c r="U761" s="30"/>
      <c r="V761" s="30"/>
      <c r="W761" s="197">
        <f t="shared" si="101"/>
        <v>260000</v>
      </c>
    </row>
    <row r="762" spans="1:23" x14ac:dyDescent="0.3">
      <c r="A762" s="155">
        <v>761</v>
      </c>
      <c r="B762" s="28"/>
      <c r="C762" s="28" t="s">
        <v>1164</v>
      </c>
      <c r="D762" s="194">
        <v>0</v>
      </c>
      <c r="E762" s="194">
        <v>388000</v>
      </c>
      <c r="F762" s="194">
        <v>0</v>
      </c>
      <c r="G762" s="194">
        <f t="shared" si="100"/>
        <v>0</v>
      </c>
      <c r="H762" s="29" t="s">
        <v>453</v>
      </c>
      <c r="I762" s="28" t="s">
        <v>631</v>
      </c>
      <c r="J762" s="30"/>
      <c r="K762" s="30"/>
      <c r="L762" s="30"/>
      <c r="M762" s="30"/>
      <c r="N762" s="30">
        <v>388000</v>
      </c>
      <c r="O762" s="30"/>
      <c r="P762" s="30"/>
      <c r="Q762" s="30"/>
      <c r="R762" s="30"/>
      <c r="S762" s="30"/>
      <c r="T762" s="30"/>
      <c r="U762" s="30"/>
      <c r="V762" s="30"/>
      <c r="W762" s="197">
        <f t="shared" si="101"/>
        <v>388000</v>
      </c>
    </row>
    <row r="763" spans="1:23" x14ac:dyDescent="0.3">
      <c r="A763" s="155">
        <v>762</v>
      </c>
      <c r="B763" s="28"/>
      <c r="C763" s="28" t="s">
        <v>1165</v>
      </c>
      <c r="D763" s="194">
        <v>0</v>
      </c>
      <c r="E763" s="194">
        <v>232000</v>
      </c>
      <c r="F763" s="194">
        <v>245000</v>
      </c>
      <c r="G763" s="194"/>
      <c r="H763" s="29" t="s">
        <v>452</v>
      </c>
      <c r="I763" s="28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97"/>
    </row>
    <row r="764" spans="1:23" x14ac:dyDescent="0.3">
      <c r="A764" s="155">
        <v>763</v>
      </c>
      <c r="B764" s="28"/>
      <c r="C764" s="28" t="s">
        <v>1166</v>
      </c>
      <c r="D764" s="194">
        <v>0</v>
      </c>
      <c r="E764" s="194">
        <v>496000</v>
      </c>
      <c r="F764" s="194">
        <v>0</v>
      </c>
      <c r="G764" s="194">
        <f t="shared" ref="G764:G769" si="102">D764</f>
        <v>0</v>
      </c>
      <c r="H764" s="29" t="s">
        <v>453</v>
      </c>
      <c r="I764" s="28" t="s">
        <v>631</v>
      </c>
      <c r="J764" s="30"/>
      <c r="K764" s="30"/>
      <c r="L764" s="30"/>
      <c r="M764" s="30"/>
      <c r="N764" s="194">
        <v>496000</v>
      </c>
      <c r="O764" s="30"/>
      <c r="P764" s="30"/>
      <c r="Q764" s="30"/>
      <c r="R764" s="30"/>
      <c r="S764" s="30"/>
      <c r="T764" s="30"/>
      <c r="U764" s="30"/>
      <c r="V764" s="30"/>
      <c r="W764" s="197">
        <f t="shared" ref="W764:W769" si="103">SUM(J764:V764)</f>
        <v>496000</v>
      </c>
    </row>
    <row r="765" spans="1:23" x14ac:dyDescent="0.3">
      <c r="A765" s="155">
        <v>764</v>
      </c>
      <c r="B765" s="28"/>
      <c r="C765" s="28" t="s">
        <v>1167</v>
      </c>
      <c r="D765" s="194">
        <v>0</v>
      </c>
      <c r="E765" s="194">
        <v>2288000</v>
      </c>
      <c r="F765" s="194">
        <v>0</v>
      </c>
      <c r="G765" s="194">
        <f t="shared" si="102"/>
        <v>0</v>
      </c>
      <c r="H765" s="29" t="s">
        <v>453</v>
      </c>
      <c r="I765" s="28" t="s">
        <v>631</v>
      </c>
      <c r="J765" s="30"/>
      <c r="K765" s="30"/>
      <c r="L765" s="30"/>
      <c r="M765" s="30"/>
      <c r="N765" s="30">
        <v>2288000</v>
      </c>
      <c r="O765" s="30"/>
      <c r="P765" s="30"/>
      <c r="Q765" s="30"/>
      <c r="R765" s="30"/>
      <c r="S765" s="30"/>
      <c r="T765" s="30"/>
      <c r="U765" s="30"/>
      <c r="V765" s="30"/>
      <c r="W765" s="197">
        <f t="shared" si="103"/>
        <v>2288000</v>
      </c>
    </row>
    <row r="766" spans="1:23" x14ac:dyDescent="0.3">
      <c r="A766" s="155">
        <v>765</v>
      </c>
      <c r="B766" s="28"/>
      <c r="C766" s="28" t="s">
        <v>1168</v>
      </c>
      <c r="D766" s="194">
        <v>0</v>
      </c>
      <c r="E766" s="194">
        <v>450000</v>
      </c>
      <c r="F766" s="194">
        <v>0</v>
      </c>
      <c r="G766" s="194">
        <f t="shared" si="102"/>
        <v>0</v>
      </c>
      <c r="H766" s="29" t="s">
        <v>453</v>
      </c>
      <c r="I766" s="28" t="s">
        <v>631</v>
      </c>
      <c r="J766" s="30"/>
      <c r="K766" s="30"/>
      <c r="L766" s="30"/>
      <c r="M766" s="30"/>
      <c r="N766" s="30">
        <v>450000</v>
      </c>
      <c r="O766" s="30"/>
      <c r="P766" s="30"/>
      <c r="Q766" s="30"/>
      <c r="R766" s="30"/>
      <c r="S766" s="30"/>
      <c r="T766" s="30"/>
      <c r="U766" s="30"/>
      <c r="V766" s="30"/>
      <c r="W766" s="197">
        <f t="shared" si="103"/>
        <v>450000</v>
      </c>
    </row>
    <row r="767" spans="1:23" x14ac:dyDescent="0.3">
      <c r="A767" s="155">
        <v>766</v>
      </c>
      <c r="B767" s="28"/>
      <c r="C767" s="28" t="s">
        <v>1169</v>
      </c>
      <c r="D767" s="194">
        <v>0</v>
      </c>
      <c r="E767" s="194">
        <v>300000</v>
      </c>
      <c r="F767" s="194">
        <v>0</v>
      </c>
      <c r="G767" s="194">
        <f t="shared" si="102"/>
        <v>0</v>
      </c>
      <c r="H767" s="29" t="s">
        <v>453</v>
      </c>
      <c r="I767" s="28" t="s">
        <v>631</v>
      </c>
      <c r="J767" s="30"/>
      <c r="K767" s="30"/>
      <c r="L767" s="30"/>
      <c r="M767" s="30"/>
      <c r="N767" s="30">
        <v>300000</v>
      </c>
      <c r="O767" s="30"/>
      <c r="P767" s="30"/>
      <c r="Q767" s="30"/>
      <c r="R767" s="30"/>
      <c r="S767" s="30"/>
      <c r="T767" s="30"/>
      <c r="U767" s="30"/>
      <c r="V767" s="30"/>
      <c r="W767" s="197">
        <f t="shared" si="103"/>
        <v>300000</v>
      </c>
    </row>
    <row r="768" spans="1:23" x14ac:dyDescent="0.3">
      <c r="A768" s="155">
        <v>767</v>
      </c>
      <c r="B768" s="28"/>
      <c r="C768" s="28" t="s">
        <v>1170</v>
      </c>
      <c r="D768" s="194">
        <v>0</v>
      </c>
      <c r="E768" s="194">
        <v>8000</v>
      </c>
      <c r="F768" s="194">
        <v>0</v>
      </c>
      <c r="G768" s="194">
        <f t="shared" si="102"/>
        <v>0</v>
      </c>
      <c r="H768" s="29" t="s">
        <v>453</v>
      </c>
      <c r="I768" s="28" t="s">
        <v>631</v>
      </c>
      <c r="J768" s="30"/>
      <c r="K768" s="30"/>
      <c r="L768" s="30"/>
      <c r="M768" s="30"/>
      <c r="N768" s="30">
        <v>8000</v>
      </c>
      <c r="O768" s="30"/>
      <c r="P768" s="30"/>
      <c r="Q768" s="30"/>
      <c r="R768" s="30"/>
      <c r="S768" s="30"/>
      <c r="T768" s="30"/>
      <c r="U768" s="30"/>
      <c r="V768" s="30"/>
      <c r="W768" s="197">
        <f t="shared" si="103"/>
        <v>8000</v>
      </c>
    </row>
    <row r="769" spans="1:23" x14ac:dyDescent="0.3">
      <c r="A769" s="155">
        <v>768</v>
      </c>
      <c r="B769" s="28"/>
      <c r="C769" s="28" t="s">
        <v>1171</v>
      </c>
      <c r="D769" s="194">
        <v>0</v>
      </c>
      <c r="E769" s="194">
        <v>156000</v>
      </c>
      <c r="F769" s="194">
        <v>0</v>
      </c>
      <c r="G769" s="194">
        <f t="shared" si="102"/>
        <v>0</v>
      </c>
      <c r="H769" s="29" t="s">
        <v>453</v>
      </c>
      <c r="I769" s="28" t="s">
        <v>631</v>
      </c>
      <c r="J769" s="30"/>
      <c r="K769" s="30"/>
      <c r="L769" s="30"/>
      <c r="M769" s="30"/>
      <c r="N769" s="30">
        <v>156000</v>
      </c>
      <c r="O769" s="30"/>
      <c r="P769" s="30"/>
      <c r="Q769" s="30"/>
      <c r="R769" s="30"/>
      <c r="S769" s="30"/>
      <c r="T769" s="30"/>
      <c r="U769" s="30"/>
      <c r="V769" s="30"/>
      <c r="W769" s="197">
        <f t="shared" si="103"/>
        <v>156000</v>
      </c>
    </row>
    <row r="770" spans="1:23" x14ac:dyDescent="0.3">
      <c r="A770" s="155">
        <v>769</v>
      </c>
      <c r="B770" s="28"/>
      <c r="C770" s="28" t="s">
        <v>1172</v>
      </c>
      <c r="D770" s="194">
        <v>0</v>
      </c>
      <c r="E770" s="194">
        <v>300000</v>
      </c>
      <c r="F770" s="194">
        <v>320000</v>
      </c>
      <c r="G770" s="194"/>
      <c r="H770" s="29" t="s">
        <v>452</v>
      </c>
      <c r="I770" s="28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97"/>
    </row>
    <row r="771" spans="1:23" x14ac:dyDescent="0.3">
      <c r="A771" s="155">
        <v>770</v>
      </c>
      <c r="B771" s="28"/>
      <c r="C771" s="28" t="s">
        <v>1173</v>
      </c>
      <c r="D771" s="194">
        <v>0</v>
      </c>
      <c r="E771" s="194">
        <v>464000</v>
      </c>
      <c r="F771" s="194">
        <v>0</v>
      </c>
      <c r="G771" s="194">
        <f t="shared" ref="G771:G776" si="104">D771</f>
        <v>0</v>
      </c>
      <c r="H771" s="29" t="s">
        <v>453</v>
      </c>
      <c r="I771" s="28" t="s">
        <v>631</v>
      </c>
      <c r="J771" s="30"/>
      <c r="K771" s="30"/>
      <c r="L771" s="30"/>
      <c r="M771" s="30"/>
      <c r="N771" s="30">
        <v>464000</v>
      </c>
      <c r="O771" s="30"/>
      <c r="P771" s="30"/>
      <c r="Q771" s="30"/>
      <c r="R771" s="30"/>
      <c r="S771" s="30"/>
      <c r="T771" s="30"/>
      <c r="U771" s="30"/>
      <c r="V771" s="30"/>
      <c r="W771" s="197">
        <f t="shared" ref="W771:W776" si="105">SUM(J771:V771)</f>
        <v>464000</v>
      </c>
    </row>
    <row r="772" spans="1:23" x14ac:dyDescent="0.3">
      <c r="A772" s="155">
        <v>771</v>
      </c>
      <c r="B772" s="28"/>
      <c r="C772" s="28" t="s">
        <v>1174</v>
      </c>
      <c r="D772" s="194">
        <v>0</v>
      </c>
      <c r="E772" s="194">
        <v>339200</v>
      </c>
      <c r="F772" s="194">
        <v>0</v>
      </c>
      <c r="G772" s="194">
        <f t="shared" si="104"/>
        <v>0</v>
      </c>
      <c r="H772" s="29" t="s">
        <v>453</v>
      </c>
      <c r="I772" s="28" t="s">
        <v>631</v>
      </c>
      <c r="J772" s="30"/>
      <c r="K772" s="30"/>
      <c r="L772" s="30"/>
      <c r="M772" s="30"/>
      <c r="N772" s="30">
        <v>339200</v>
      </c>
      <c r="O772" s="30"/>
      <c r="P772" s="30"/>
      <c r="Q772" s="30"/>
      <c r="R772" s="30"/>
      <c r="S772" s="30"/>
      <c r="T772" s="30"/>
      <c r="U772" s="30"/>
      <c r="V772" s="30"/>
      <c r="W772" s="197">
        <f t="shared" si="105"/>
        <v>339200</v>
      </c>
    </row>
    <row r="773" spans="1:23" x14ac:dyDescent="0.3">
      <c r="A773" s="155">
        <v>772</v>
      </c>
      <c r="B773" s="28"/>
      <c r="C773" s="28" t="s">
        <v>1048</v>
      </c>
      <c r="D773" s="194">
        <v>0</v>
      </c>
      <c r="E773" s="194">
        <v>31200</v>
      </c>
      <c r="F773" s="194">
        <v>0</v>
      </c>
      <c r="G773" s="194">
        <f t="shared" si="104"/>
        <v>0</v>
      </c>
      <c r="H773" s="29" t="s">
        <v>453</v>
      </c>
      <c r="I773" s="28" t="s">
        <v>631</v>
      </c>
      <c r="J773" s="30"/>
      <c r="K773" s="30"/>
      <c r="L773" s="30"/>
      <c r="M773" s="30"/>
      <c r="N773" s="30">
        <v>31200</v>
      </c>
      <c r="O773" s="30"/>
      <c r="P773" s="30"/>
      <c r="Q773" s="30"/>
      <c r="R773" s="30"/>
      <c r="S773" s="30"/>
      <c r="T773" s="30"/>
      <c r="U773" s="30"/>
      <c r="V773" s="30"/>
      <c r="W773" s="197">
        <f t="shared" si="105"/>
        <v>31200</v>
      </c>
    </row>
    <row r="774" spans="1:23" x14ac:dyDescent="0.3">
      <c r="A774" s="155">
        <v>773</v>
      </c>
      <c r="B774" s="28"/>
      <c r="C774" s="28" t="s">
        <v>1175</v>
      </c>
      <c r="D774" s="194">
        <v>0</v>
      </c>
      <c r="E774" s="194">
        <v>1236000</v>
      </c>
      <c r="F774" s="194">
        <v>0</v>
      </c>
      <c r="G774" s="194">
        <f t="shared" si="104"/>
        <v>0</v>
      </c>
      <c r="H774" s="29" t="s">
        <v>453</v>
      </c>
      <c r="I774" s="28" t="s">
        <v>631</v>
      </c>
      <c r="J774" s="30"/>
      <c r="K774" s="30"/>
      <c r="L774" s="30"/>
      <c r="M774" s="30"/>
      <c r="N774" s="30">
        <v>1236000</v>
      </c>
      <c r="O774" s="30"/>
      <c r="P774" s="30"/>
      <c r="Q774" s="30"/>
      <c r="R774" s="30"/>
      <c r="S774" s="30"/>
      <c r="T774" s="30"/>
      <c r="U774" s="30"/>
      <c r="V774" s="30"/>
      <c r="W774" s="197">
        <f t="shared" si="105"/>
        <v>1236000</v>
      </c>
    </row>
    <row r="775" spans="1:23" x14ac:dyDescent="0.3">
      <c r="A775" s="155">
        <v>774</v>
      </c>
      <c r="B775" s="28"/>
      <c r="C775" s="28" t="s">
        <v>1176</v>
      </c>
      <c r="D775" s="194">
        <v>0</v>
      </c>
      <c r="E775" s="194">
        <v>276000</v>
      </c>
      <c r="F775" s="194">
        <v>0</v>
      </c>
      <c r="G775" s="194">
        <f t="shared" si="104"/>
        <v>0</v>
      </c>
      <c r="H775" s="29" t="s">
        <v>453</v>
      </c>
      <c r="I775" s="28" t="s">
        <v>631</v>
      </c>
      <c r="J775" s="30"/>
      <c r="K775" s="30"/>
      <c r="L775" s="30"/>
      <c r="M775" s="30"/>
      <c r="N775" s="30">
        <v>276000</v>
      </c>
      <c r="O775" s="30"/>
      <c r="P775" s="30"/>
      <c r="Q775" s="30"/>
      <c r="R775" s="30"/>
      <c r="S775" s="30"/>
      <c r="T775" s="30"/>
      <c r="U775" s="30"/>
      <c r="V775" s="30"/>
      <c r="W775" s="197">
        <f t="shared" si="105"/>
        <v>276000</v>
      </c>
    </row>
    <row r="776" spans="1:23" x14ac:dyDescent="0.3">
      <c r="A776" s="155">
        <v>775</v>
      </c>
      <c r="B776" s="28"/>
      <c r="C776" s="28" t="s">
        <v>1177</v>
      </c>
      <c r="D776" s="194">
        <v>0</v>
      </c>
      <c r="E776" s="194">
        <v>116000</v>
      </c>
      <c r="F776" s="194">
        <v>0</v>
      </c>
      <c r="G776" s="194">
        <f t="shared" si="104"/>
        <v>0</v>
      </c>
      <c r="H776" s="29" t="s">
        <v>453</v>
      </c>
      <c r="I776" s="28" t="s">
        <v>631</v>
      </c>
      <c r="J776" s="30"/>
      <c r="K776" s="30"/>
      <c r="L776" s="30"/>
      <c r="M776" s="30"/>
      <c r="N776" s="30">
        <v>116000</v>
      </c>
      <c r="O776" s="30"/>
      <c r="P776" s="30"/>
      <c r="Q776" s="30"/>
      <c r="R776" s="30"/>
      <c r="S776" s="30"/>
      <c r="T776" s="30"/>
      <c r="U776" s="30"/>
      <c r="V776" s="30"/>
      <c r="W776" s="197">
        <f t="shared" si="105"/>
        <v>116000</v>
      </c>
    </row>
    <row r="777" spans="1:23" x14ac:dyDescent="0.3">
      <c r="A777" s="155">
        <v>776</v>
      </c>
      <c r="B777" s="28"/>
      <c r="C777" s="28" t="s">
        <v>1178</v>
      </c>
      <c r="D777" s="194">
        <v>0</v>
      </c>
      <c r="E777" s="194">
        <v>46000</v>
      </c>
      <c r="F777" s="194">
        <v>50000</v>
      </c>
      <c r="G777" s="194"/>
      <c r="H777" s="29" t="s">
        <v>452</v>
      </c>
      <c r="I777" s="28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97"/>
    </row>
    <row r="778" spans="1:23" x14ac:dyDescent="0.3">
      <c r="A778" s="155">
        <v>777</v>
      </c>
      <c r="B778" s="28"/>
      <c r="C778" s="28" t="s">
        <v>1048</v>
      </c>
      <c r="D778" s="194">
        <v>0</v>
      </c>
      <c r="E778" s="194">
        <v>31200</v>
      </c>
      <c r="F778" s="194">
        <v>0</v>
      </c>
      <c r="G778" s="194">
        <f t="shared" ref="G778:G784" si="106">D778</f>
        <v>0</v>
      </c>
      <c r="H778" s="29" t="s">
        <v>453</v>
      </c>
      <c r="I778" s="28" t="s">
        <v>631</v>
      </c>
      <c r="J778" s="30"/>
      <c r="K778" s="30"/>
      <c r="L778" s="30"/>
      <c r="M778" s="30"/>
      <c r="N778" s="30">
        <v>31200</v>
      </c>
      <c r="O778" s="30"/>
      <c r="P778" s="30"/>
      <c r="Q778" s="30"/>
      <c r="R778" s="30"/>
      <c r="S778" s="30"/>
      <c r="T778" s="30"/>
      <c r="U778" s="30"/>
      <c r="V778" s="30"/>
      <c r="W778" s="197">
        <f t="shared" ref="W778:W784" si="107">SUM(J778:V778)</f>
        <v>31200</v>
      </c>
    </row>
    <row r="779" spans="1:23" x14ac:dyDescent="0.3">
      <c r="A779" s="155">
        <v>778</v>
      </c>
      <c r="B779" s="28"/>
      <c r="C779" s="28" t="s">
        <v>1179</v>
      </c>
      <c r="D779" s="194">
        <v>0</v>
      </c>
      <c r="E779" s="194">
        <v>32000</v>
      </c>
      <c r="F779" s="194">
        <v>0</v>
      </c>
      <c r="G779" s="194">
        <f t="shared" si="106"/>
        <v>0</v>
      </c>
      <c r="H779" s="29" t="s">
        <v>453</v>
      </c>
      <c r="I779" s="28" t="s">
        <v>631</v>
      </c>
      <c r="J779" s="30"/>
      <c r="K779" s="30"/>
      <c r="L779" s="30"/>
      <c r="M779" s="30"/>
      <c r="N779" s="30">
        <v>32000</v>
      </c>
      <c r="O779" s="30"/>
      <c r="P779" s="30"/>
      <c r="Q779" s="30"/>
      <c r="R779" s="30"/>
      <c r="S779" s="30"/>
      <c r="T779" s="30"/>
      <c r="U779" s="30"/>
      <c r="V779" s="30"/>
      <c r="W779" s="197">
        <f t="shared" si="107"/>
        <v>32000</v>
      </c>
    </row>
    <row r="780" spans="1:23" x14ac:dyDescent="0.3">
      <c r="A780" s="155">
        <v>779</v>
      </c>
      <c r="B780" s="28"/>
      <c r="C780" s="28" t="s">
        <v>1174</v>
      </c>
      <c r="D780" s="194">
        <v>0</v>
      </c>
      <c r="E780" s="194">
        <v>339200</v>
      </c>
      <c r="F780" s="194">
        <v>0</v>
      </c>
      <c r="G780" s="194">
        <f t="shared" si="106"/>
        <v>0</v>
      </c>
      <c r="H780" s="29" t="s">
        <v>453</v>
      </c>
      <c r="I780" s="28" t="s">
        <v>631</v>
      </c>
      <c r="J780" s="30"/>
      <c r="K780" s="30"/>
      <c r="L780" s="30"/>
      <c r="M780" s="30"/>
      <c r="N780" s="30">
        <v>339200</v>
      </c>
      <c r="O780" s="30"/>
      <c r="P780" s="30"/>
      <c r="Q780" s="30"/>
      <c r="R780" s="30"/>
      <c r="S780" s="30"/>
      <c r="T780" s="30"/>
      <c r="U780" s="30"/>
      <c r="V780" s="30"/>
      <c r="W780" s="197">
        <f t="shared" si="107"/>
        <v>339200</v>
      </c>
    </row>
    <row r="781" spans="1:23" x14ac:dyDescent="0.3">
      <c r="A781" s="155">
        <v>780</v>
      </c>
      <c r="B781" s="28"/>
      <c r="C781" s="28" t="s">
        <v>1144</v>
      </c>
      <c r="D781" s="194">
        <v>0</v>
      </c>
      <c r="E781" s="194">
        <v>25818</v>
      </c>
      <c r="F781" s="194">
        <v>0</v>
      </c>
      <c r="G781" s="194">
        <f t="shared" si="106"/>
        <v>0</v>
      </c>
      <c r="H781" s="29" t="s">
        <v>453</v>
      </c>
      <c r="I781" s="28" t="s">
        <v>631</v>
      </c>
      <c r="J781" s="30"/>
      <c r="K781" s="30"/>
      <c r="L781" s="30"/>
      <c r="M781" s="30"/>
      <c r="N781" s="30">
        <v>25818</v>
      </c>
      <c r="O781" s="30"/>
      <c r="P781" s="30"/>
      <c r="Q781" s="30"/>
      <c r="R781" s="30"/>
      <c r="S781" s="30"/>
      <c r="T781" s="30"/>
      <c r="U781" s="30"/>
      <c r="V781" s="30"/>
      <c r="W781" s="197">
        <f t="shared" si="107"/>
        <v>25818</v>
      </c>
    </row>
    <row r="782" spans="1:23" x14ac:dyDescent="0.3">
      <c r="A782" s="155">
        <v>781</v>
      </c>
      <c r="B782" s="28"/>
      <c r="C782" s="28" t="s">
        <v>1180</v>
      </c>
      <c r="D782" s="194">
        <v>0</v>
      </c>
      <c r="E782" s="194">
        <v>24000</v>
      </c>
      <c r="F782" s="194">
        <v>0</v>
      </c>
      <c r="G782" s="194">
        <f t="shared" si="106"/>
        <v>0</v>
      </c>
      <c r="H782" s="29" t="s">
        <v>453</v>
      </c>
      <c r="I782" s="28" t="s">
        <v>631</v>
      </c>
      <c r="J782" s="30"/>
      <c r="K782" s="30"/>
      <c r="L782" s="30"/>
      <c r="M782" s="30"/>
      <c r="N782" s="30">
        <v>24000</v>
      </c>
      <c r="O782" s="30"/>
      <c r="P782" s="30"/>
      <c r="Q782" s="30"/>
      <c r="R782" s="30"/>
      <c r="S782" s="30"/>
      <c r="T782" s="30"/>
      <c r="U782" s="30"/>
      <c r="V782" s="30"/>
      <c r="W782" s="197">
        <f t="shared" si="107"/>
        <v>24000</v>
      </c>
    </row>
    <row r="783" spans="1:23" x14ac:dyDescent="0.3">
      <c r="A783" s="155">
        <v>782</v>
      </c>
      <c r="B783" s="28"/>
      <c r="C783" s="28" t="s">
        <v>1181</v>
      </c>
      <c r="D783" s="194">
        <v>0</v>
      </c>
      <c r="E783" s="194">
        <v>188000</v>
      </c>
      <c r="F783" s="194">
        <v>0</v>
      </c>
      <c r="G783" s="194">
        <f t="shared" si="106"/>
        <v>0</v>
      </c>
      <c r="H783" s="29" t="s">
        <v>453</v>
      </c>
      <c r="I783" s="28" t="s">
        <v>631</v>
      </c>
      <c r="J783" s="30"/>
      <c r="K783" s="30"/>
      <c r="L783" s="30"/>
      <c r="M783" s="30"/>
      <c r="N783" s="30">
        <v>188000</v>
      </c>
      <c r="O783" s="30"/>
      <c r="P783" s="30"/>
      <c r="Q783" s="30"/>
      <c r="R783" s="30"/>
      <c r="S783" s="30"/>
      <c r="T783" s="30"/>
      <c r="U783" s="30"/>
      <c r="V783" s="30"/>
      <c r="W783" s="197">
        <f t="shared" si="107"/>
        <v>188000</v>
      </c>
    </row>
    <row r="784" spans="1:23" x14ac:dyDescent="0.3">
      <c r="A784" s="155">
        <v>783</v>
      </c>
      <c r="B784" s="28"/>
      <c r="C784" s="28" t="s">
        <v>1182</v>
      </c>
      <c r="D784" s="194">
        <v>0</v>
      </c>
      <c r="E784" s="194">
        <v>28000</v>
      </c>
      <c r="F784" s="194">
        <v>0</v>
      </c>
      <c r="G784" s="194">
        <f t="shared" si="106"/>
        <v>0</v>
      </c>
      <c r="H784" s="29" t="s">
        <v>453</v>
      </c>
      <c r="I784" s="28" t="s">
        <v>631</v>
      </c>
      <c r="J784" s="30"/>
      <c r="K784" s="30"/>
      <c r="L784" s="30"/>
      <c r="M784" s="30"/>
      <c r="N784" s="30">
        <v>28000</v>
      </c>
      <c r="O784" s="30"/>
      <c r="P784" s="30"/>
      <c r="Q784" s="30"/>
      <c r="R784" s="30"/>
      <c r="S784" s="30"/>
      <c r="T784" s="30"/>
      <c r="U784" s="30"/>
      <c r="V784" s="30"/>
      <c r="W784" s="197">
        <f t="shared" si="107"/>
        <v>28000</v>
      </c>
    </row>
    <row r="785" spans="1:23" x14ac:dyDescent="0.3">
      <c r="A785" s="155">
        <v>784</v>
      </c>
      <c r="B785" s="28"/>
      <c r="C785" s="28" t="s">
        <v>1183</v>
      </c>
      <c r="D785" s="194">
        <v>0</v>
      </c>
      <c r="E785" s="194">
        <v>76000</v>
      </c>
      <c r="F785" s="194">
        <v>100000</v>
      </c>
      <c r="G785" s="194"/>
      <c r="H785" s="29" t="s">
        <v>452</v>
      </c>
      <c r="I785" s="28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97"/>
    </row>
    <row r="786" spans="1:23" x14ac:dyDescent="0.3">
      <c r="A786" s="155">
        <v>785</v>
      </c>
      <c r="B786" s="28"/>
      <c r="C786" s="28" t="s">
        <v>1184</v>
      </c>
      <c r="D786" s="194">
        <v>0</v>
      </c>
      <c r="E786" s="194">
        <v>308000</v>
      </c>
      <c r="F786" s="194">
        <v>0</v>
      </c>
      <c r="G786" s="194">
        <f t="shared" ref="G786:G789" si="108">D786</f>
        <v>0</v>
      </c>
      <c r="H786" s="29" t="s">
        <v>453</v>
      </c>
      <c r="I786" s="28" t="s">
        <v>631</v>
      </c>
      <c r="J786" s="30"/>
      <c r="K786" s="30"/>
      <c r="L786" s="30"/>
      <c r="M786" s="30"/>
      <c r="N786" s="30">
        <v>308000</v>
      </c>
      <c r="O786" s="30"/>
      <c r="P786" s="30"/>
      <c r="Q786" s="30"/>
      <c r="R786" s="30"/>
      <c r="S786" s="30"/>
      <c r="T786" s="30"/>
      <c r="U786" s="30"/>
      <c r="V786" s="30"/>
      <c r="W786" s="197">
        <f>SUM(J786:V786)</f>
        <v>308000</v>
      </c>
    </row>
    <row r="787" spans="1:23" x14ac:dyDescent="0.3">
      <c r="A787" s="155">
        <v>786</v>
      </c>
      <c r="B787" s="28"/>
      <c r="C787" s="28" t="s">
        <v>1144</v>
      </c>
      <c r="D787" s="194">
        <v>0</v>
      </c>
      <c r="E787" s="194">
        <v>25818</v>
      </c>
      <c r="F787" s="194">
        <v>0</v>
      </c>
      <c r="G787" s="194">
        <f t="shared" si="108"/>
        <v>0</v>
      </c>
      <c r="H787" s="29" t="s">
        <v>453</v>
      </c>
      <c r="I787" s="28" t="s">
        <v>631</v>
      </c>
      <c r="J787" s="30"/>
      <c r="K787" s="30"/>
      <c r="L787" s="30"/>
      <c r="M787" s="30"/>
      <c r="N787" s="30">
        <v>25818</v>
      </c>
      <c r="O787" s="30"/>
      <c r="P787" s="30"/>
      <c r="Q787" s="30"/>
      <c r="R787" s="30"/>
      <c r="S787" s="30"/>
      <c r="T787" s="30"/>
      <c r="U787" s="30"/>
      <c r="V787" s="30"/>
      <c r="W787" s="197">
        <f>SUM(J787:V787)</f>
        <v>25818</v>
      </c>
    </row>
    <row r="788" spans="1:23" x14ac:dyDescent="0.3">
      <c r="A788" s="155">
        <v>787</v>
      </c>
      <c r="B788" s="28"/>
      <c r="C788" s="28" t="s">
        <v>1185</v>
      </c>
      <c r="D788" s="194">
        <v>0</v>
      </c>
      <c r="E788" s="194">
        <v>52000</v>
      </c>
      <c r="F788" s="194">
        <v>0</v>
      </c>
      <c r="G788" s="194">
        <f t="shared" si="108"/>
        <v>0</v>
      </c>
      <c r="H788" s="29" t="s">
        <v>453</v>
      </c>
      <c r="I788" s="28" t="s">
        <v>631</v>
      </c>
      <c r="J788" s="30"/>
      <c r="K788" s="30"/>
      <c r="L788" s="30"/>
      <c r="M788" s="30"/>
      <c r="N788" s="30">
        <v>52000</v>
      </c>
      <c r="O788" s="30"/>
      <c r="P788" s="30"/>
      <c r="Q788" s="30"/>
      <c r="R788" s="30"/>
      <c r="S788" s="30"/>
      <c r="T788" s="30"/>
      <c r="U788" s="30"/>
      <c r="V788" s="30"/>
      <c r="W788" s="197">
        <f>SUM(J788:V788)</f>
        <v>52000</v>
      </c>
    </row>
    <row r="789" spans="1:23" x14ac:dyDescent="0.3">
      <c r="A789" s="155">
        <v>788</v>
      </c>
      <c r="B789" s="28"/>
      <c r="C789" s="28" t="s">
        <v>1186</v>
      </c>
      <c r="D789" s="194">
        <v>0</v>
      </c>
      <c r="E789" s="194">
        <v>25333</v>
      </c>
      <c r="F789" s="194">
        <v>0</v>
      </c>
      <c r="G789" s="194">
        <f t="shared" si="108"/>
        <v>0</v>
      </c>
      <c r="H789" s="29" t="s">
        <v>453</v>
      </c>
      <c r="I789" s="28" t="s">
        <v>631</v>
      </c>
      <c r="J789" s="30"/>
      <c r="K789" s="30"/>
      <c r="L789" s="30"/>
      <c r="M789" s="30"/>
      <c r="N789" s="30">
        <v>25333</v>
      </c>
      <c r="O789" s="30"/>
      <c r="P789" s="30"/>
      <c r="Q789" s="30"/>
      <c r="R789" s="30"/>
      <c r="S789" s="30"/>
      <c r="T789" s="30"/>
      <c r="U789" s="30"/>
      <c r="V789" s="30"/>
      <c r="W789" s="197">
        <f>SUM(J789:V789)</f>
        <v>25333</v>
      </c>
    </row>
    <row r="790" spans="1:23" x14ac:dyDescent="0.3">
      <c r="A790" s="155">
        <v>789</v>
      </c>
      <c r="B790" s="28"/>
      <c r="C790" s="28" t="s">
        <v>1187</v>
      </c>
      <c r="D790" s="194">
        <v>0</v>
      </c>
      <c r="E790" s="194">
        <v>340000</v>
      </c>
      <c r="F790" s="194">
        <v>350000</v>
      </c>
      <c r="G790" s="194"/>
      <c r="H790" s="29" t="s">
        <v>452</v>
      </c>
      <c r="I790" s="28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97"/>
    </row>
    <row r="791" spans="1:23" x14ac:dyDescent="0.3">
      <c r="A791" s="155">
        <v>790</v>
      </c>
      <c r="B791" s="28"/>
      <c r="C791" s="28" t="s">
        <v>1182</v>
      </c>
      <c r="D791" s="194">
        <v>0</v>
      </c>
      <c r="E791" s="194">
        <v>28000</v>
      </c>
      <c r="F791" s="194">
        <v>0</v>
      </c>
      <c r="G791" s="194">
        <f t="shared" ref="G791:G794" si="109">D791</f>
        <v>0</v>
      </c>
      <c r="H791" s="29" t="s">
        <v>453</v>
      </c>
      <c r="I791" s="28" t="s">
        <v>631</v>
      </c>
      <c r="J791" s="30"/>
      <c r="K791" s="30"/>
      <c r="L791" s="30"/>
      <c r="M791" s="30"/>
      <c r="N791" s="30">
        <v>28000</v>
      </c>
      <c r="O791" s="30"/>
      <c r="P791" s="30"/>
      <c r="Q791" s="30"/>
      <c r="R791" s="30"/>
      <c r="S791" s="30"/>
      <c r="T791" s="30"/>
      <c r="U791" s="30"/>
      <c r="V791" s="30"/>
      <c r="W791" s="197">
        <f>SUM(J791:V791)</f>
        <v>28000</v>
      </c>
    </row>
    <row r="792" spans="1:23" x14ac:dyDescent="0.3">
      <c r="A792" s="155">
        <v>791</v>
      </c>
      <c r="B792" s="28"/>
      <c r="C792" s="28" t="s">
        <v>1188</v>
      </c>
      <c r="D792" s="194">
        <v>0</v>
      </c>
      <c r="E792" s="194">
        <v>988000</v>
      </c>
      <c r="F792" s="194">
        <v>0</v>
      </c>
      <c r="G792" s="194">
        <f t="shared" si="109"/>
        <v>0</v>
      </c>
      <c r="H792" s="29" t="s">
        <v>453</v>
      </c>
      <c r="I792" s="28" t="s">
        <v>631</v>
      </c>
      <c r="J792" s="30"/>
      <c r="K792" s="30"/>
      <c r="L792" s="30"/>
      <c r="M792" s="30"/>
      <c r="N792" s="194">
        <v>988000</v>
      </c>
      <c r="O792" s="30"/>
      <c r="P792" s="30"/>
      <c r="Q792" s="30"/>
      <c r="R792" s="30"/>
      <c r="S792" s="30"/>
      <c r="T792" s="30"/>
      <c r="U792" s="30"/>
      <c r="V792" s="30"/>
      <c r="W792" s="197">
        <f>SUM(J792:V792)</f>
        <v>988000</v>
      </c>
    </row>
    <row r="793" spans="1:23" x14ac:dyDescent="0.3">
      <c r="A793" s="155">
        <v>792</v>
      </c>
      <c r="B793" s="28"/>
      <c r="C793" s="28" t="s">
        <v>1048</v>
      </c>
      <c r="D793" s="194">
        <v>0</v>
      </c>
      <c r="E793" s="194">
        <v>62400</v>
      </c>
      <c r="F793" s="194">
        <v>0</v>
      </c>
      <c r="G793" s="194">
        <f t="shared" si="109"/>
        <v>0</v>
      </c>
      <c r="H793" s="29" t="s">
        <v>453</v>
      </c>
      <c r="I793" s="28" t="s">
        <v>631</v>
      </c>
      <c r="J793" s="30"/>
      <c r="K793" s="30"/>
      <c r="L793" s="30"/>
      <c r="M793" s="30"/>
      <c r="N793" s="30">
        <v>62400</v>
      </c>
      <c r="O793" s="30"/>
      <c r="P793" s="30"/>
      <c r="Q793" s="30"/>
      <c r="R793" s="30"/>
      <c r="S793" s="30"/>
      <c r="T793" s="30"/>
      <c r="U793" s="30"/>
      <c r="V793" s="30"/>
      <c r="W793" s="197">
        <f>SUM(J793:V793)</f>
        <v>62400</v>
      </c>
    </row>
    <row r="794" spans="1:23" x14ac:dyDescent="0.3">
      <c r="A794" s="155">
        <v>793</v>
      </c>
      <c r="B794" s="28"/>
      <c r="C794" s="28" t="s">
        <v>1189</v>
      </c>
      <c r="D794" s="194">
        <v>0</v>
      </c>
      <c r="E794" s="194">
        <v>156000</v>
      </c>
      <c r="F794" s="194">
        <v>0</v>
      </c>
      <c r="G794" s="194">
        <f t="shared" si="109"/>
        <v>0</v>
      </c>
      <c r="H794" s="29" t="s">
        <v>453</v>
      </c>
      <c r="I794" s="28" t="s">
        <v>631</v>
      </c>
      <c r="J794" s="30"/>
      <c r="K794" s="30"/>
      <c r="L794" s="30"/>
      <c r="M794" s="30"/>
      <c r="N794" s="194">
        <v>156000</v>
      </c>
      <c r="O794" s="30"/>
      <c r="P794" s="30"/>
      <c r="Q794" s="30"/>
      <c r="R794" s="30"/>
      <c r="S794" s="30"/>
      <c r="T794" s="30"/>
      <c r="U794" s="30"/>
      <c r="V794" s="30"/>
      <c r="W794" s="197">
        <f>SUM(J794:V794)</f>
        <v>156000</v>
      </c>
    </row>
    <row r="795" spans="1:23" x14ac:dyDescent="0.3">
      <c r="A795" s="155">
        <v>794</v>
      </c>
      <c r="B795" s="28"/>
      <c r="C795" s="28" t="s">
        <v>1190</v>
      </c>
      <c r="D795" s="194">
        <v>0</v>
      </c>
      <c r="E795" s="194">
        <v>1544000</v>
      </c>
      <c r="F795" s="194">
        <v>1550000</v>
      </c>
      <c r="G795" s="194"/>
      <c r="H795" s="29" t="s">
        <v>452</v>
      </c>
      <c r="I795" s="28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97"/>
    </row>
    <row r="796" spans="1:23" x14ac:dyDescent="0.3">
      <c r="A796" s="155">
        <v>795</v>
      </c>
      <c r="B796" s="28"/>
      <c r="C796" s="28" t="s">
        <v>665</v>
      </c>
      <c r="D796" s="194">
        <v>0</v>
      </c>
      <c r="E796" s="194">
        <v>98000</v>
      </c>
      <c r="F796" s="194">
        <v>100000</v>
      </c>
      <c r="G796" s="194"/>
      <c r="H796" s="29" t="s">
        <v>452</v>
      </c>
      <c r="I796" s="28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97"/>
    </row>
    <row r="797" spans="1:23" x14ac:dyDescent="0.3">
      <c r="A797" s="155">
        <v>796</v>
      </c>
      <c r="B797" s="28"/>
      <c r="C797" s="28" t="s">
        <v>1191</v>
      </c>
      <c r="D797" s="194">
        <v>0</v>
      </c>
      <c r="E797" s="194">
        <v>340000</v>
      </c>
      <c r="F797" s="194">
        <v>0</v>
      </c>
      <c r="G797" s="194">
        <f t="shared" ref="G797:G798" si="110">D797</f>
        <v>0</v>
      </c>
      <c r="H797" s="29" t="s">
        <v>453</v>
      </c>
      <c r="I797" s="28" t="s">
        <v>631</v>
      </c>
      <c r="J797" s="30"/>
      <c r="K797" s="30"/>
      <c r="L797" s="30"/>
      <c r="M797" s="30"/>
      <c r="N797" s="30">
        <v>340000</v>
      </c>
      <c r="O797" s="30"/>
      <c r="P797" s="30"/>
      <c r="Q797" s="30"/>
      <c r="R797" s="30"/>
      <c r="S797" s="30"/>
      <c r="T797" s="30"/>
      <c r="U797" s="30"/>
      <c r="V797" s="30"/>
      <c r="W797" s="197">
        <f>SUM(J797:V797)</f>
        <v>340000</v>
      </c>
    </row>
    <row r="798" spans="1:23" x14ac:dyDescent="0.3">
      <c r="A798" s="155">
        <v>797</v>
      </c>
      <c r="B798" s="28"/>
      <c r="C798" s="28" t="s">
        <v>1185</v>
      </c>
      <c r="D798" s="194">
        <v>0</v>
      </c>
      <c r="E798" s="194">
        <v>76000</v>
      </c>
      <c r="F798" s="194">
        <v>0</v>
      </c>
      <c r="G798" s="194">
        <f t="shared" si="110"/>
        <v>0</v>
      </c>
      <c r="H798" s="29" t="s">
        <v>453</v>
      </c>
      <c r="I798" s="28" t="s">
        <v>631</v>
      </c>
      <c r="J798" s="30"/>
      <c r="K798" s="30"/>
      <c r="L798" s="30"/>
      <c r="M798" s="30"/>
      <c r="N798" s="30">
        <v>76000</v>
      </c>
      <c r="O798" s="30"/>
      <c r="P798" s="30"/>
      <c r="Q798" s="30"/>
      <c r="R798" s="30"/>
      <c r="S798" s="30"/>
      <c r="T798" s="30"/>
      <c r="U798" s="30"/>
      <c r="V798" s="30"/>
      <c r="W798" s="197">
        <f>SUM(J798:V798)</f>
        <v>76000</v>
      </c>
    </row>
    <row r="799" spans="1:23" x14ac:dyDescent="0.3">
      <c r="A799" s="155">
        <v>798</v>
      </c>
      <c r="B799" s="28"/>
      <c r="C799" s="28" t="s">
        <v>1107</v>
      </c>
      <c r="D799" s="194">
        <v>0</v>
      </c>
      <c r="E799" s="194">
        <v>232000</v>
      </c>
      <c r="F799" s="194">
        <v>250000</v>
      </c>
      <c r="G799" s="194"/>
      <c r="H799" s="29" t="s">
        <v>452</v>
      </c>
      <c r="I799" s="28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97"/>
    </row>
    <row r="800" spans="1:23" x14ac:dyDescent="0.3">
      <c r="A800" s="155">
        <v>799</v>
      </c>
      <c r="B800" s="28"/>
      <c r="C800" s="28" t="s">
        <v>1178</v>
      </c>
      <c r="D800" s="194">
        <v>0</v>
      </c>
      <c r="E800" s="194">
        <v>46000</v>
      </c>
      <c r="F800" s="194">
        <v>50000</v>
      </c>
      <c r="G800" s="194"/>
      <c r="H800" s="29" t="s">
        <v>452</v>
      </c>
      <c r="I800" s="28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97"/>
    </row>
    <row r="801" spans="1:23" x14ac:dyDescent="0.3">
      <c r="A801" s="155">
        <v>800</v>
      </c>
      <c r="B801" s="28"/>
      <c r="C801" s="28" t="s">
        <v>665</v>
      </c>
      <c r="D801" s="194">
        <v>0</v>
      </c>
      <c r="E801" s="194">
        <v>98000</v>
      </c>
      <c r="F801" s="194">
        <v>100000</v>
      </c>
      <c r="G801" s="194"/>
      <c r="H801" s="29" t="s">
        <v>452</v>
      </c>
      <c r="I801" s="28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97"/>
    </row>
    <row r="802" spans="1:23" x14ac:dyDescent="0.3">
      <c r="A802" s="155">
        <v>801</v>
      </c>
      <c r="B802" s="28"/>
      <c r="C802" s="28" t="s">
        <v>1192</v>
      </c>
      <c r="D802" s="194">
        <v>0</v>
      </c>
      <c r="E802" s="194">
        <v>232000</v>
      </c>
      <c r="F802" s="194">
        <v>240000</v>
      </c>
      <c r="G802" s="194"/>
      <c r="H802" s="29" t="s">
        <v>452</v>
      </c>
      <c r="I802" s="28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97"/>
    </row>
    <row r="803" spans="1:23" x14ac:dyDescent="0.3">
      <c r="A803" s="155">
        <v>802</v>
      </c>
      <c r="B803" s="28"/>
      <c r="C803" s="28" t="s">
        <v>1193</v>
      </c>
      <c r="D803" s="194">
        <v>0</v>
      </c>
      <c r="E803" s="194">
        <v>168000</v>
      </c>
      <c r="F803" s="194">
        <v>0</v>
      </c>
      <c r="G803" s="194">
        <f t="shared" ref="G803:G804" si="111">D803</f>
        <v>0</v>
      </c>
      <c r="H803" s="29" t="s">
        <v>453</v>
      </c>
      <c r="I803" s="28" t="s">
        <v>631</v>
      </c>
      <c r="J803" s="30"/>
      <c r="K803" s="30"/>
      <c r="L803" s="30"/>
      <c r="M803" s="30"/>
      <c r="N803" s="30">
        <v>168000</v>
      </c>
      <c r="O803" s="30"/>
      <c r="P803" s="30"/>
      <c r="Q803" s="30"/>
      <c r="R803" s="30"/>
      <c r="S803" s="30"/>
      <c r="T803" s="30"/>
      <c r="U803" s="30"/>
      <c r="V803" s="30"/>
      <c r="W803" s="197">
        <f>SUM(J803:V803)</f>
        <v>168000</v>
      </c>
    </row>
    <row r="804" spans="1:23" x14ac:dyDescent="0.3">
      <c r="A804" s="155">
        <v>803</v>
      </c>
      <c r="B804" s="28"/>
      <c r="C804" s="28" t="s">
        <v>1194</v>
      </c>
      <c r="D804" s="194">
        <v>0</v>
      </c>
      <c r="E804" s="194">
        <v>1436000</v>
      </c>
      <c r="F804" s="194">
        <v>0</v>
      </c>
      <c r="G804" s="194">
        <f t="shared" si="111"/>
        <v>0</v>
      </c>
      <c r="H804" s="29" t="s">
        <v>453</v>
      </c>
      <c r="I804" s="28" t="s">
        <v>631</v>
      </c>
      <c r="J804" s="30"/>
      <c r="K804" s="30"/>
      <c r="L804" s="30"/>
      <c r="M804" s="30"/>
      <c r="N804" s="30">
        <v>1436000</v>
      </c>
      <c r="O804" s="30"/>
      <c r="P804" s="30"/>
      <c r="Q804" s="30"/>
      <c r="R804" s="30"/>
      <c r="S804" s="30"/>
      <c r="T804" s="30"/>
      <c r="U804" s="30"/>
      <c r="V804" s="30"/>
      <c r="W804" s="197">
        <f>SUM(J804:V804)</f>
        <v>1436000</v>
      </c>
    </row>
    <row r="805" spans="1:23" x14ac:dyDescent="0.3">
      <c r="A805" s="155">
        <v>804</v>
      </c>
      <c r="B805" s="28"/>
      <c r="C805" s="28" t="s">
        <v>1195</v>
      </c>
      <c r="D805" s="194">
        <v>0</v>
      </c>
      <c r="E805" s="194">
        <v>2008000</v>
      </c>
      <c r="F805" s="194">
        <v>2050000</v>
      </c>
      <c r="G805" s="194"/>
      <c r="H805" s="29" t="s">
        <v>452</v>
      </c>
      <c r="I805" s="28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97"/>
    </row>
    <row r="806" spans="1:23" x14ac:dyDescent="0.3">
      <c r="A806" s="155">
        <v>805</v>
      </c>
      <c r="B806" s="28"/>
      <c r="C806" s="28" t="s">
        <v>1196</v>
      </c>
      <c r="D806" s="194">
        <v>0</v>
      </c>
      <c r="E806" s="194">
        <v>772000</v>
      </c>
      <c r="F806" s="194">
        <v>800000</v>
      </c>
      <c r="G806" s="194"/>
      <c r="H806" s="29" t="s">
        <v>452</v>
      </c>
      <c r="I806" s="28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97"/>
    </row>
    <row r="807" spans="1:23" x14ac:dyDescent="0.3">
      <c r="A807" s="155">
        <v>806</v>
      </c>
      <c r="B807" s="28"/>
      <c r="C807" s="28" t="s">
        <v>1197</v>
      </c>
      <c r="D807" s="194">
        <v>0</v>
      </c>
      <c r="E807" s="194">
        <v>464000</v>
      </c>
      <c r="F807" s="194">
        <v>0</v>
      </c>
      <c r="G807" s="194">
        <f>D807</f>
        <v>0</v>
      </c>
      <c r="H807" s="29" t="s">
        <v>453</v>
      </c>
      <c r="I807" s="28" t="s">
        <v>631</v>
      </c>
      <c r="J807" s="30"/>
      <c r="K807" s="30"/>
      <c r="L807" s="30"/>
      <c r="M807" s="30"/>
      <c r="N807" s="30">
        <v>464000</v>
      </c>
      <c r="O807" s="30"/>
      <c r="P807" s="30"/>
      <c r="Q807" s="30"/>
      <c r="R807" s="30"/>
      <c r="S807" s="30"/>
      <c r="T807" s="30"/>
      <c r="U807" s="30"/>
      <c r="V807" s="30"/>
      <c r="W807" s="197">
        <f>SUM(J807:V807)</f>
        <v>464000</v>
      </c>
    </row>
    <row r="808" spans="1:23" x14ac:dyDescent="0.3">
      <c r="A808" s="155">
        <v>807</v>
      </c>
      <c r="B808" s="28"/>
      <c r="C808" s="28" t="s">
        <v>799</v>
      </c>
      <c r="D808" s="194">
        <v>0</v>
      </c>
      <c r="E808" s="194">
        <v>76000</v>
      </c>
      <c r="F808" s="194">
        <v>85000</v>
      </c>
      <c r="G808" s="194"/>
      <c r="H808" s="29" t="s">
        <v>452</v>
      </c>
      <c r="I808" s="28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97"/>
    </row>
    <row r="809" spans="1:23" x14ac:dyDescent="0.3">
      <c r="A809" s="155">
        <v>808</v>
      </c>
      <c r="B809" s="28"/>
      <c r="C809" s="28" t="s">
        <v>1198</v>
      </c>
      <c r="D809" s="194">
        <v>0</v>
      </c>
      <c r="E809" s="194">
        <v>1236000</v>
      </c>
      <c r="F809" s="194">
        <v>0</v>
      </c>
      <c r="G809" s="194">
        <f t="shared" ref="G809:G810" si="112">D809</f>
        <v>0</v>
      </c>
      <c r="H809" s="29" t="s">
        <v>453</v>
      </c>
      <c r="I809" s="28" t="s">
        <v>631</v>
      </c>
      <c r="J809" s="30"/>
      <c r="K809" s="30"/>
      <c r="L809" s="30"/>
      <c r="M809" s="30"/>
      <c r="N809" s="30">
        <v>1236000</v>
      </c>
      <c r="O809" s="30"/>
      <c r="P809" s="30"/>
      <c r="Q809" s="30"/>
      <c r="R809" s="30"/>
      <c r="S809" s="30"/>
      <c r="T809" s="30"/>
      <c r="U809" s="30"/>
      <c r="V809" s="30"/>
      <c r="W809" s="197">
        <f>SUM(J809:V809)</f>
        <v>1236000</v>
      </c>
    </row>
    <row r="810" spans="1:23" x14ac:dyDescent="0.3">
      <c r="A810" s="155">
        <v>809</v>
      </c>
      <c r="B810" s="28"/>
      <c r="C810" s="28" t="s">
        <v>1199</v>
      </c>
      <c r="D810" s="194">
        <v>0</v>
      </c>
      <c r="E810" s="194">
        <v>464000</v>
      </c>
      <c r="F810" s="194">
        <v>0</v>
      </c>
      <c r="G810" s="194">
        <f t="shared" si="112"/>
        <v>0</v>
      </c>
      <c r="H810" s="29" t="s">
        <v>453</v>
      </c>
      <c r="I810" s="28" t="s">
        <v>631</v>
      </c>
      <c r="J810" s="30"/>
      <c r="K810" s="30"/>
      <c r="L810" s="30"/>
      <c r="M810" s="30"/>
      <c r="N810" s="30">
        <v>464000</v>
      </c>
      <c r="O810" s="30"/>
      <c r="P810" s="30"/>
      <c r="Q810" s="30"/>
      <c r="R810" s="30"/>
      <c r="S810" s="30"/>
      <c r="T810" s="30"/>
      <c r="U810" s="30"/>
      <c r="V810" s="30"/>
      <c r="W810" s="197">
        <f>SUM(J810:V810)</f>
        <v>464000</v>
      </c>
    </row>
    <row r="811" spans="1:23" x14ac:dyDescent="0.3">
      <c r="A811" s="155">
        <v>810</v>
      </c>
      <c r="B811" s="28"/>
      <c r="C811" s="28" t="s">
        <v>1200</v>
      </c>
      <c r="D811" s="194">
        <v>0</v>
      </c>
      <c r="E811" s="194">
        <v>388000</v>
      </c>
      <c r="F811" s="194">
        <v>400000</v>
      </c>
      <c r="G811" s="194"/>
      <c r="H811" s="29" t="s">
        <v>452</v>
      </c>
      <c r="I811" s="28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97"/>
    </row>
    <row r="812" spans="1:23" x14ac:dyDescent="0.3">
      <c r="A812" s="155">
        <v>811</v>
      </c>
      <c r="B812" s="28"/>
      <c r="C812" s="28" t="s">
        <v>1201</v>
      </c>
      <c r="D812" s="194">
        <v>0</v>
      </c>
      <c r="E812" s="194">
        <v>1160000</v>
      </c>
      <c r="F812" s="194">
        <v>0</v>
      </c>
      <c r="G812" s="194">
        <f t="shared" ref="G812:G814" si="113">D812</f>
        <v>0</v>
      </c>
      <c r="H812" s="29" t="s">
        <v>453</v>
      </c>
      <c r="I812" s="28" t="s">
        <v>631</v>
      </c>
      <c r="J812" s="30"/>
      <c r="K812" s="30"/>
      <c r="L812" s="30"/>
      <c r="M812" s="30"/>
      <c r="N812" s="30">
        <v>1160000</v>
      </c>
      <c r="O812" s="30"/>
      <c r="P812" s="30"/>
      <c r="Q812" s="30"/>
      <c r="R812" s="30"/>
      <c r="S812" s="30"/>
      <c r="T812" s="30"/>
      <c r="U812" s="30"/>
      <c r="V812" s="30"/>
      <c r="W812" s="197">
        <f>SUM(J812:V812)</f>
        <v>1160000</v>
      </c>
    </row>
    <row r="813" spans="1:23" x14ac:dyDescent="0.3">
      <c r="A813" s="155">
        <v>812</v>
      </c>
      <c r="B813" s="28"/>
      <c r="C813" s="28" t="s">
        <v>1202</v>
      </c>
      <c r="D813" s="194">
        <v>0</v>
      </c>
      <c r="E813" s="194">
        <v>450000</v>
      </c>
      <c r="F813" s="194">
        <v>0</v>
      </c>
      <c r="G813" s="194">
        <f t="shared" si="113"/>
        <v>0</v>
      </c>
      <c r="H813" s="29" t="s">
        <v>453</v>
      </c>
      <c r="I813" s="28" t="s">
        <v>631</v>
      </c>
      <c r="J813" s="30"/>
      <c r="K813" s="30"/>
      <c r="L813" s="30"/>
      <c r="M813" s="30"/>
      <c r="N813" s="30">
        <v>450000</v>
      </c>
      <c r="O813" s="30"/>
      <c r="P813" s="30"/>
      <c r="Q813" s="30"/>
      <c r="R813" s="30"/>
      <c r="S813" s="30"/>
      <c r="T813" s="30"/>
      <c r="U813" s="30"/>
      <c r="V813" s="30"/>
      <c r="W813" s="197">
        <f>SUM(J813:V813)</f>
        <v>450000</v>
      </c>
    </row>
    <row r="814" spans="1:23" x14ac:dyDescent="0.3">
      <c r="A814" s="155">
        <v>813</v>
      </c>
      <c r="B814" s="28"/>
      <c r="C814" s="28" t="s">
        <v>1203</v>
      </c>
      <c r="D814" s="194">
        <v>0</v>
      </c>
      <c r="E814" s="194">
        <v>156000</v>
      </c>
      <c r="F814" s="194">
        <v>0</v>
      </c>
      <c r="G814" s="194">
        <f t="shared" si="113"/>
        <v>0</v>
      </c>
      <c r="H814" s="29" t="s">
        <v>453</v>
      </c>
      <c r="I814" s="28" t="s">
        <v>631</v>
      </c>
      <c r="J814" s="30"/>
      <c r="K814" s="30"/>
      <c r="L814" s="30"/>
      <c r="M814" s="30"/>
      <c r="N814" s="30">
        <v>156000</v>
      </c>
      <c r="O814" s="30"/>
      <c r="P814" s="30"/>
      <c r="Q814" s="30"/>
      <c r="R814" s="30"/>
      <c r="S814" s="30"/>
      <c r="T814" s="30"/>
      <c r="U814" s="30"/>
      <c r="V814" s="30"/>
      <c r="W814" s="197">
        <f>SUM(J814:V814)</f>
        <v>156000</v>
      </c>
    </row>
    <row r="815" spans="1:23" x14ac:dyDescent="0.3">
      <c r="A815" s="155">
        <v>814</v>
      </c>
      <c r="B815" s="28"/>
      <c r="C815" s="28" t="s">
        <v>1204</v>
      </c>
      <c r="D815" s="194">
        <v>0</v>
      </c>
      <c r="E815" s="194">
        <v>464000</v>
      </c>
      <c r="F815" s="194">
        <v>500000</v>
      </c>
      <c r="G815" s="194"/>
      <c r="H815" s="29" t="s">
        <v>452</v>
      </c>
      <c r="I815" s="28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97"/>
    </row>
    <row r="816" spans="1:23" x14ac:dyDescent="0.3">
      <c r="A816" s="155">
        <v>815</v>
      </c>
      <c r="B816" s="28"/>
      <c r="C816" s="28" t="s">
        <v>1205</v>
      </c>
      <c r="D816" s="194">
        <v>0</v>
      </c>
      <c r="E816" s="194">
        <v>24000</v>
      </c>
      <c r="F816" s="194">
        <v>0</v>
      </c>
      <c r="G816" s="194">
        <f t="shared" ref="G816:G818" si="114">D816</f>
        <v>0</v>
      </c>
      <c r="H816" s="29" t="s">
        <v>453</v>
      </c>
      <c r="I816" s="28" t="s">
        <v>631</v>
      </c>
      <c r="J816" s="30"/>
      <c r="K816" s="30"/>
      <c r="L816" s="30"/>
      <c r="M816" s="30"/>
      <c r="N816" s="30">
        <v>24000</v>
      </c>
      <c r="O816" s="30"/>
      <c r="P816" s="30"/>
      <c r="Q816" s="30"/>
      <c r="R816" s="30"/>
      <c r="S816" s="30"/>
      <c r="T816" s="30"/>
      <c r="U816" s="30"/>
      <c r="V816" s="30"/>
      <c r="W816" s="197">
        <f>SUM(J816:V816)</f>
        <v>24000</v>
      </c>
    </row>
    <row r="817" spans="1:23" x14ac:dyDescent="0.3">
      <c r="A817" s="155">
        <v>816</v>
      </c>
      <c r="B817" s="28"/>
      <c r="C817" s="28" t="s">
        <v>1206</v>
      </c>
      <c r="D817" s="194">
        <v>0</v>
      </c>
      <c r="E817" s="194">
        <v>64000</v>
      </c>
      <c r="F817" s="194">
        <v>0</v>
      </c>
      <c r="G817" s="194">
        <f t="shared" si="114"/>
        <v>0</v>
      </c>
      <c r="H817" s="29" t="s">
        <v>453</v>
      </c>
      <c r="I817" s="28" t="s">
        <v>631</v>
      </c>
      <c r="J817" s="30"/>
      <c r="K817" s="30"/>
      <c r="L817" s="30"/>
      <c r="M817" s="30"/>
      <c r="N817" s="30">
        <v>64000</v>
      </c>
      <c r="O817" s="30"/>
      <c r="P817" s="30"/>
      <c r="Q817" s="30"/>
      <c r="R817" s="30"/>
      <c r="S817" s="30"/>
      <c r="T817" s="30"/>
      <c r="U817" s="30"/>
      <c r="V817" s="30"/>
      <c r="W817" s="197">
        <f>SUM(J817:V817)</f>
        <v>64000</v>
      </c>
    </row>
    <row r="818" spans="1:23" x14ac:dyDescent="0.3">
      <c r="A818" s="155">
        <v>817</v>
      </c>
      <c r="B818" s="28"/>
      <c r="C818" s="28" t="s">
        <v>1207</v>
      </c>
      <c r="D818" s="194">
        <v>0</v>
      </c>
      <c r="E818" s="194">
        <v>1390500</v>
      </c>
      <c r="F818" s="194">
        <v>0</v>
      </c>
      <c r="G818" s="194">
        <f t="shared" si="114"/>
        <v>0</v>
      </c>
      <c r="H818" s="29" t="s">
        <v>453</v>
      </c>
      <c r="I818" s="28" t="s">
        <v>631</v>
      </c>
      <c r="J818" s="30"/>
      <c r="K818" s="30"/>
      <c r="L818" s="30"/>
      <c r="M818" s="30"/>
      <c r="N818" s="30">
        <v>1390500</v>
      </c>
      <c r="O818" s="30"/>
      <c r="P818" s="30"/>
      <c r="Q818" s="30"/>
      <c r="R818" s="30"/>
      <c r="S818" s="30"/>
      <c r="T818" s="30"/>
      <c r="U818" s="30"/>
      <c r="V818" s="30"/>
      <c r="W818" s="197">
        <f>SUM(J818:V818)</f>
        <v>1390500</v>
      </c>
    </row>
    <row r="819" spans="1:23" x14ac:dyDescent="0.3">
      <c r="A819" s="155">
        <v>818</v>
      </c>
      <c r="B819" s="28"/>
      <c r="C819" s="28" t="s">
        <v>1172</v>
      </c>
      <c r="D819" s="194">
        <v>0</v>
      </c>
      <c r="E819" s="194">
        <v>388000</v>
      </c>
      <c r="F819" s="194">
        <v>400000</v>
      </c>
      <c r="G819" s="194"/>
      <c r="H819" s="29" t="s">
        <v>452</v>
      </c>
      <c r="I819" s="28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97"/>
    </row>
    <row r="820" spans="1:23" x14ac:dyDescent="0.3">
      <c r="A820" s="155">
        <v>819</v>
      </c>
      <c r="B820" s="28"/>
      <c r="C820" s="28" t="s">
        <v>1208</v>
      </c>
      <c r="D820" s="194">
        <v>0</v>
      </c>
      <c r="E820" s="194">
        <v>225000</v>
      </c>
      <c r="F820" s="194">
        <v>0</v>
      </c>
      <c r="G820" s="194">
        <f t="shared" ref="G820:G828" si="115">D820</f>
        <v>0</v>
      </c>
      <c r="H820" s="29" t="s">
        <v>453</v>
      </c>
      <c r="I820" s="28" t="s">
        <v>631</v>
      </c>
      <c r="J820" s="30"/>
      <c r="K820" s="30"/>
      <c r="L820" s="30"/>
      <c r="M820" s="30"/>
      <c r="N820" s="30">
        <v>225000</v>
      </c>
      <c r="O820" s="30"/>
      <c r="P820" s="30"/>
      <c r="Q820" s="30"/>
      <c r="R820" s="30"/>
      <c r="S820" s="30"/>
      <c r="T820" s="30"/>
      <c r="U820" s="30"/>
      <c r="V820" s="30"/>
      <c r="W820" s="197">
        <f t="shared" ref="W820:W828" si="116">SUM(J820:V820)</f>
        <v>225000</v>
      </c>
    </row>
    <row r="821" spans="1:23" x14ac:dyDescent="0.3">
      <c r="A821" s="155">
        <v>820</v>
      </c>
      <c r="B821" s="28"/>
      <c r="C821" s="28" t="s">
        <v>1209</v>
      </c>
      <c r="D821" s="194">
        <v>0</v>
      </c>
      <c r="E821" s="194">
        <v>524000</v>
      </c>
      <c r="F821" s="194">
        <v>0</v>
      </c>
      <c r="G821" s="194">
        <f t="shared" si="115"/>
        <v>0</v>
      </c>
      <c r="H821" s="29" t="s">
        <v>453</v>
      </c>
      <c r="I821" s="28" t="s">
        <v>631</v>
      </c>
      <c r="J821" s="30"/>
      <c r="K821" s="30"/>
      <c r="L821" s="30"/>
      <c r="M821" s="30"/>
      <c r="N821" s="30">
        <v>524000</v>
      </c>
      <c r="O821" s="30"/>
      <c r="P821" s="30"/>
      <c r="Q821" s="30"/>
      <c r="R821" s="30"/>
      <c r="S821" s="30"/>
      <c r="T821" s="30"/>
      <c r="U821" s="30"/>
      <c r="V821" s="30"/>
      <c r="W821" s="197">
        <f t="shared" si="116"/>
        <v>524000</v>
      </c>
    </row>
    <row r="822" spans="1:23" x14ac:dyDescent="0.3">
      <c r="A822" s="155">
        <v>821</v>
      </c>
      <c r="B822" s="28"/>
      <c r="C822" s="28" t="s">
        <v>1207</v>
      </c>
      <c r="D822" s="194">
        <v>0</v>
      </c>
      <c r="E822" s="194">
        <v>463500</v>
      </c>
      <c r="F822" s="194">
        <v>0</v>
      </c>
      <c r="G822" s="194">
        <f t="shared" si="115"/>
        <v>0</v>
      </c>
      <c r="H822" s="29" t="s">
        <v>453</v>
      </c>
      <c r="I822" s="28" t="s">
        <v>631</v>
      </c>
      <c r="J822" s="30"/>
      <c r="K822" s="30"/>
      <c r="L822" s="30"/>
      <c r="M822" s="30"/>
      <c r="N822" s="30">
        <v>463500</v>
      </c>
      <c r="O822" s="30"/>
      <c r="P822" s="30"/>
      <c r="Q822" s="30"/>
      <c r="R822" s="30"/>
      <c r="S822" s="30"/>
      <c r="T822" s="30"/>
      <c r="U822" s="30"/>
      <c r="V822" s="30"/>
      <c r="W822" s="197">
        <f t="shared" si="116"/>
        <v>463500</v>
      </c>
    </row>
    <row r="823" spans="1:23" x14ac:dyDescent="0.3">
      <c r="A823" s="155">
        <v>822</v>
      </c>
      <c r="B823" s="28"/>
      <c r="C823" s="28" t="s">
        <v>1210</v>
      </c>
      <c r="D823" s="194">
        <v>0</v>
      </c>
      <c r="E823" s="194">
        <v>168000</v>
      </c>
      <c r="F823" s="194">
        <v>0</v>
      </c>
      <c r="G823" s="194">
        <f t="shared" si="115"/>
        <v>0</v>
      </c>
      <c r="H823" s="29" t="s">
        <v>453</v>
      </c>
      <c r="I823" s="28" t="s">
        <v>631</v>
      </c>
      <c r="J823" s="30"/>
      <c r="K823" s="30"/>
      <c r="L823" s="30"/>
      <c r="M823" s="30"/>
      <c r="N823" s="30">
        <v>168000</v>
      </c>
      <c r="O823" s="30"/>
      <c r="P823" s="30"/>
      <c r="Q823" s="30"/>
      <c r="R823" s="30"/>
      <c r="S823" s="30"/>
      <c r="T823" s="30"/>
      <c r="U823" s="30"/>
      <c r="V823" s="30"/>
      <c r="W823" s="197">
        <f t="shared" si="116"/>
        <v>168000</v>
      </c>
    </row>
    <row r="824" spans="1:23" x14ac:dyDescent="0.3">
      <c r="A824" s="155">
        <v>823</v>
      </c>
      <c r="B824" s="28"/>
      <c r="C824" s="28" t="s">
        <v>1211</v>
      </c>
      <c r="D824" s="194">
        <v>0</v>
      </c>
      <c r="E824" s="194">
        <v>78000</v>
      </c>
      <c r="F824" s="194">
        <v>0</v>
      </c>
      <c r="G824" s="194">
        <f t="shared" si="115"/>
        <v>0</v>
      </c>
      <c r="H824" s="29" t="s">
        <v>453</v>
      </c>
      <c r="I824" s="28" t="s">
        <v>631</v>
      </c>
      <c r="J824" s="30"/>
      <c r="K824" s="30"/>
      <c r="L824" s="30"/>
      <c r="M824" s="30"/>
      <c r="N824" s="30">
        <v>78000</v>
      </c>
      <c r="O824" s="30"/>
      <c r="P824" s="30"/>
      <c r="Q824" s="30"/>
      <c r="R824" s="30"/>
      <c r="S824" s="30"/>
      <c r="T824" s="30"/>
      <c r="U824" s="30"/>
      <c r="V824" s="30"/>
      <c r="W824" s="197">
        <f t="shared" si="116"/>
        <v>78000</v>
      </c>
    </row>
    <row r="825" spans="1:23" x14ac:dyDescent="0.3">
      <c r="A825" s="155">
        <v>824</v>
      </c>
      <c r="B825" s="28"/>
      <c r="C825" s="28" t="s">
        <v>1185</v>
      </c>
      <c r="D825" s="194">
        <v>0</v>
      </c>
      <c r="E825" s="194">
        <v>76000</v>
      </c>
      <c r="F825" s="194">
        <v>0</v>
      </c>
      <c r="G825" s="194">
        <f t="shared" si="115"/>
        <v>0</v>
      </c>
      <c r="H825" s="29" t="s">
        <v>453</v>
      </c>
      <c r="I825" s="28" t="s">
        <v>631</v>
      </c>
      <c r="J825" s="30"/>
      <c r="K825" s="30"/>
      <c r="L825" s="30"/>
      <c r="M825" s="30"/>
      <c r="N825" s="30">
        <v>76000</v>
      </c>
      <c r="O825" s="30"/>
      <c r="P825" s="30"/>
      <c r="Q825" s="30"/>
      <c r="R825" s="30"/>
      <c r="S825" s="30"/>
      <c r="T825" s="30"/>
      <c r="U825" s="30"/>
      <c r="V825" s="30"/>
      <c r="W825" s="197">
        <f t="shared" si="116"/>
        <v>76000</v>
      </c>
    </row>
    <row r="826" spans="1:23" x14ac:dyDescent="0.3">
      <c r="A826" s="155">
        <v>825</v>
      </c>
      <c r="B826" s="28"/>
      <c r="C826" s="28" t="s">
        <v>1212</v>
      </c>
      <c r="D826" s="194">
        <v>0</v>
      </c>
      <c r="E826" s="194">
        <v>526000</v>
      </c>
      <c r="F826" s="194">
        <v>0</v>
      </c>
      <c r="G826" s="194">
        <f t="shared" si="115"/>
        <v>0</v>
      </c>
      <c r="H826" s="29" t="s">
        <v>453</v>
      </c>
      <c r="I826" s="28" t="s">
        <v>631</v>
      </c>
      <c r="J826" s="30"/>
      <c r="K826" s="30"/>
      <c r="L826" s="30"/>
      <c r="M826" s="30"/>
      <c r="N826" s="30">
        <v>526000</v>
      </c>
      <c r="O826" s="30"/>
      <c r="P826" s="30"/>
      <c r="Q826" s="30"/>
      <c r="R826" s="30"/>
      <c r="S826" s="30"/>
      <c r="T826" s="30"/>
      <c r="U826" s="30"/>
      <c r="V826" s="30"/>
      <c r="W826" s="197">
        <f t="shared" si="116"/>
        <v>526000</v>
      </c>
    </row>
    <row r="827" spans="1:23" x14ac:dyDescent="0.3">
      <c r="A827" s="155">
        <v>826</v>
      </c>
      <c r="B827" s="28"/>
      <c r="C827" s="28" t="s">
        <v>1208</v>
      </c>
      <c r="D827" s="194">
        <v>0</v>
      </c>
      <c r="E827" s="194">
        <v>232000</v>
      </c>
      <c r="F827" s="194">
        <v>0</v>
      </c>
      <c r="G827" s="194">
        <f t="shared" si="115"/>
        <v>0</v>
      </c>
      <c r="H827" s="29" t="s">
        <v>453</v>
      </c>
      <c r="I827" s="28" t="s">
        <v>631</v>
      </c>
      <c r="J827" s="30"/>
      <c r="K827" s="30"/>
      <c r="L827" s="30"/>
      <c r="M827" s="30"/>
      <c r="N827" s="30">
        <v>232000</v>
      </c>
      <c r="O827" s="30"/>
      <c r="P827" s="30"/>
      <c r="Q827" s="30"/>
      <c r="R827" s="30"/>
      <c r="S827" s="30"/>
      <c r="T827" s="30"/>
      <c r="U827" s="30"/>
      <c r="V827" s="30"/>
      <c r="W827" s="197">
        <f t="shared" si="116"/>
        <v>232000</v>
      </c>
    </row>
    <row r="828" spans="1:23" x14ac:dyDescent="0.3">
      <c r="A828" s="155">
        <v>827</v>
      </c>
      <c r="B828" s="28"/>
      <c r="C828" s="28" t="s">
        <v>1211</v>
      </c>
      <c r="D828" s="194">
        <v>0</v>
      </c>
      <c r="E828" s="194">
        <v>78000</v>
      </c>
      <c r="F828" s="194">
        <v>0</v>
      </c>
      <c r="G828" s="194">
        <f t="shared" si="115"/>
        <v>0</v>
      </c>
      <c r="H828" s="29" t="s">
        <v>453</v>
      </c>
      <c r="I828" s="28" t="s">
        <v>631</v>
      </c>
      <c r="J828" s="30"/>
      <c r="K828" s="30"/>
      <c r="L828" s="30"/>
      <c r="M828" s="30"/>
      <c r="N828" s="30">
        <v>78000</v>
      </c>
      <c r="O828" s="30"/>
      <c r="P828" s="30"/>
      <c r="Q828" s="30"/>
      <c r="R828" s="30"/>
      <c r="S828" s="30"/>
      <c r="T828" s="30"/>
      <c r="U828" s="30"/>
      <c r="V828" s="30"/>
      <c r="W828" s="197">
        <f t="shared" si="116"/>
        <v>78000</v>
      </c>
    </row>
    <row r="829" spans="1:23" x14ac:dyDescent="0.3">
      <c r="A829" s="155">
        <v>828</v>
      </c>
      <c r="B829" s="28"/>
      <c r="C829" s="28" t="s">
        <v>1213</v>
      </c>
      <c r="D829" s="194">
        <v>0</v>
      </c>
      <c r="E829" s="194">
        <v>78000</v>
      </c>
      <c r="F829" s="194">
        <v>100000</v>
      </c>
      <c r="G829" s="194"/>
      <c r="H829" s="29" t="s">
        <v>452</v>
      </c>
      <c r="I829" s="28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97"/>
    </row>
    <row r="830" spans="1:23" x14ac:dyDescent="0.3">
      <c r="A830" s="155">
        <v>829</v>
      </c>
      <c r="B830" s="28"/>
      <c r="C830" s="28" t="s">
        <v>1214</v>
      </c>
      <c r="D830" s="194">
        <v>0</v>
      </c>
      <c r="E830" s="194">
        <v>25818</v>
      </c>
      <c r="F830" s="194">
        <v>0</v>
      </c>
      <c r="G830" s="194">
        <f t="shared" ref="G830:G833" si="117">D830</f>
        <v>0</v>
      </c>
      <c r="H830" s="29" t="s">
        <v>453</v>
      </c>
      <c r="I830" s="28" t="s">
        <v>631</v>
      </c>
      <c r="J830" s="30"/>
      <c r="K830" s="30"/>
      <c r="L830" s="30"/>
      <c r="M830" s="30"/>
      <c r="N830" s="30">
        <v>25818</v>
      </c>
      <c r="O830" s="30"/>
      <c r="P830" s="30"/>
      <c r="Q830" s="30"/>
      <c r="R830" s="30"/>
      <c r="S830" s="30"/>
      <c r="T830" s="30"/>
      <c r="U830" s="30"/>
      <c r="V830" s="30"/>
      <c r="W830" s="197">
        <f>SUM(J830:V830)</f>
        <v>25818</v>
      </c>
    </row>
    <row r="831" spans="1:23" x14ac:dyDescent="0.3">
      <c r="A831" s="155">
        <v>830</v>
      </c>
      <c r="B831" s="28"/>
      <c r="C831" s="28" t="s">
        <v>1174</v>
      </c>
      <c r="D831" s="194">
        <v>0</v>
      </c>
      <c r="E831" s="194">
        <v>169600</v>
      </c>
      <c r="F831" s="194">
        <v>0</v>
      </c>
      <c r="G831" s="194">
        <f t="shared" si="117"/>
        <v>0</v>
      </c>
      <c r="H831" s="29" t="s">
        <v>453</v>
      </c>
      <c r="I831" s="28" t="s">
        <v>631</v>
      </c>
      <c r="J831" s="30"/>
      <c r="K831" s="30"/>
      <c r="L831" s="30"/>
      <c r="M831" s="30"/>
      <c r="N831" s="30">
        <v>169600</v>
      </c>
      <c r="O831" s="30"/>
      <c r="P831" s="30"/>
      <c r="Q831" s="30"/>
      <c r="R831" s="30"/>
      <c r="S831" s="30"/>
      <c r="T831" s="30"/>
      <c r="U831" s="30"/>
      <c r="V831" s="30"/>
      <c r="W831" s="197">
        <f>SUM(J831:V831)</f>
        <v>169600</v>
      </c>
    </row>
    <row r="832" spans="1:23" x14ac:dyDescent="0.3">
      <c r="A832" s="155">
        <v>831</v>
      </c>
      <c r="B832" s="28"/>
      <c r="C832" s="28" t="s">
        <v>1215</v>
      </c>
      <c r="D832" s="194">
        <v>0</v>
      </c>
      <c r="E832" s="194">
        <v>170000</v>
      </c>
      <c r="F832" s="194">
        <v>0</v>
      </c>
      <c r="G832" s="194">
        <f t="shared" si="117"/>
        <v>0</v>
      </c>
      <c r="H832" s="29" t="s">
        <v>453</v>
      </c>
      <c r="I832" s="28" t="s">
        <v>631</v>
      </c>
      <c r="J832" s="30"/>
      <c r="K832" s="30"/>
      <c r="L832" s="30"/>
      <c r="M832" s="30"/>
      <c r="N832" s="30">
        <v>170000</v>
      </c>
      <c r="O832" s="30"/>
      <c r="P832" s="30"/>
      <c r="Q832" s="30"/>
      <c r="R832" s="30"/>
      <c r="S832" s="30"/>
      <c r="T832" s="30"/>
      <c r="U832" s="30"/>
      <c r="V832" s="30"/>
      <c r="W832" s="197">
        <f>SUM(J832:V832)</f>
        <v>170000</v>
      </c>
    </row>
    <row r="833" spans="1:23" x14ac:dyDescent="0.3">
      <c r="A833" s="155">
        <v>832</v>
      </c>
      <c r="B833" s="28"/>
      <c r="C833" s="28" t="s">
        <v>1207</v>
      </c>
      <c r="D833" s="194">
        <v>0</v>
      </c>
      <c r="E833" s="194">
        <v>463500</v>
      </c>
      <c r="F833" s="194">
        <v>0</v>
      </c>
      <c r="G833" s="194">
        <f t="shared" si="117"/>
        <v>0</v>
      </c>
      <c r="H833" s="29" t="s">
        <v>453</v>
      </c>
      <c r="I833" s="28" t="s">
        <v>631</v>
      </c>
      <c r="J833" s="30"/>
      <c r="K833" s="30"/>
      <c r="L833" s="30"/>
      <c r="M833" s="30"/>
      <c r="N833" s="30">
        <v>463500</v>
      </c>
      <c r="O833" s="30"/>
      <c r="P833" s="30"/>
      <c r="Q833" s="30"/>
      <c r="R833" s="30"/>
      <c r="S833" s="30"/>
      <c r="T833" s="30"/>
      <c r="U833" s="30"/>
      <c r="V833" s="30"/>
      <c r="W833" s="197">
        <f>SUM(J833:V833)</f>
        <v>463500</v>
      </c>
    </row>
    <row r="834" spans="1:23" x14ac:dyDescent="0.3">
      <c r="A834" s="155">
        <v>833</v>
      </c>
      <c r="B834" s="28"/>
      <c r="C834" s="28" t="s">
        <v>1216</v>
      </c>
      <c r="D834" s="194">
        <v>0</v>
      </c>
      <c r="E834" s="194">
        <v>772000</v>
      </c>
      <c r="F834" s="194">
        <v>780000</v>
      </c>
      <c r="G834" s="194"/>
      <c r="H834" s="29" t="s">
        <v>452</v>
      </c>
      <c r="I834" s="28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97"/>
    </row>
    <row r="835" spans="1:23" x14ac:dyDescent="0.3">
      <c r="A835" s="155">
        <v>834</v>
      </c>
      <c r="B835" s="28"/>
      <c r="C835" s="28" t="s">
        <v>1217</v>
      </c>
      <c r="D835" s="194">
        <v>0</v>
      </c>
      <c r="E835" s="194">
        <v>64000</v>
      </c>
      <c r="F835" s="194">
        <v>100000</v>
      </c>
      <c r="G835" s="194"/>
      <c r="H835" s="29" t="s">
        <v>452</v>
      </c>
      <c r="I835" s="28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97"/>
    </row>
    <row r="836" spans="1:23" x14ac:dyDescent="0.3">
      <c r="A836" s="155">
        <v>835</v>
      </c>
      <c r="B836" s="28"/>
      <c r="C836" s="28" t="s">
        <v>1218</v>
      </c>
      <c r="D836" s="194">
        <v>0</v>
      </c>
      <c r="E836" s="194">
        <v>76000</v>
      </c>
      <c r="F836" s="194">
        <v>80000</v>
      </c>
      <c r="G836" s="194"/>
      <c r="H836" s="29" t="s">
        <v>452</v>
      </c>
      <c r="I836" s="28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97"/>
    </row>
    <row r="837" spans="1:23" x14ac:dyDescent="0.3">
      <c r="A837" s="155">
        <v>836</v>
      </c>
      <c r="B837" s="28"/>
      <c r="C837" s="28" t="s">
        <v>1207</v>
      </c>
      <c r="D837" s="194">
        <v>0</v>
      </c>
      <c r="E837" s="194">
        <v>463500</v>
      </c>
      <c r="F837" s="194">
        <v>0</v>
      </c>
      <c r="G837" s="194">
        <f t="shared" ref="G837:G839" si="118">D837</f>
        <v>0</v>
      </c>
      <c r="H837" s="29" t="s">
        <v>453</v>
      </c>
      <c r="I837" s="28" t="s">
        <v>631</v>
      </c>
      <c r="J837" s="30"/>
      <c r="K837" s="30"/>
      <c r="L837" s="30"/>
      <c r="M837" s="30"/>
      <c r="N837" s="30">
        <v>463500</v>
      </c>
      <c r="O837" s="30"/>
      <c r="P837" s="30"/>
      <c r="Q837" s="30"/>
      <c r="R837" s="30"/>
      <c r="S837" s="30"/>
      <c r="T837" s="30"/>
      <c r="U837" s="30"/>
      <c r="V837" s="30"/>
      <c r="W837" s="197">
        <f>SUM(J837:V837)</f>
        <v>463500</v>
      </c>
    </row>
    <row r="838" spans="1:23" x14ac:dyDescent="0.3">
      <c r="A838" s="155">
        <v>837</v>
      </c>
      <c r="B838" s="28"/>
      <c r="C838" s="28" t="s">
        <v>1207</v>
      </c>
      <c r="D838" s="194">
        <v>0</v>
      </c>
      <c r="E838" s="194">
        <v>463500</v>
      </c>
      <c r="F838" s="194">
        <v>0</v>
      </c>
      <c r="G838" s="194">
        <f t="shared" si="118"/>
        <v>0</v>
      </c>
      <c r="H838" s="29" t="s">
        <v>453</v>
      </c>
      <c r="I838" s="28" t="s">
        <v>631</v>
      </c>
      <c r="J838" s="30"/>
      <c r="K838" s="30"/>
      <c r="L838" s="30"/>
      <c r="M838" s="30"/>
      <c r="N838" s="30">
        <v>463500</v>
      </c>
      <c r="O838" s="30"/>
      <c r="P838" s="30"/>
      <c r="Q838" s="30"/>
      <c r="R838" s="30"/>
      <c r="S838" s="30"/>
      <c r="T838" s="30"/>
      <c r="U838" s="30"/>
      <c r="V838" s="30"/>
      <c r="W838" s="197">
        <f>SUM(J838:V838)</f>
        <v>463500</v>
      </c>
    </row>
    <row r="839" spans="1:23" x14ac:dyDescent="0.3">
      <c r="A839" s="155">
        <v>838</v>
      </c>
      <c r="B839" s="28"/>
      <c r="C839" s="28" t="s">
        <v>1219</v>
      </c>
      <c r="D839" s="194">
        <v>0</v>
      </c>
      <c r="E839" s="194">
        <v>340000</v>
      </c>
      <c r="F839" s="194">
        <v>0</v>
      </c>
      <c r="G839" s="194">
        <f t="shared" si="118"/>
        <v>0</v>
      </c>
      <c r="H839" s="29" t="s">
        <v>453</v>
      </c>
      <c r="I839" s="28" t="s">
        <v>631</v>
      </c>
      <c r="J839" s="30"/>
      <c r="K839" s="30"/>
      <c r="L839" s="30"/>
      <c r="M839" s="30"/>
      <c r="N839" s="30">
        <v>340000</v>
      </c>
      <c r="O839" s="30"/>
      <c r="P839" s="30"/>
      <c r="Q839" s="30"/>
      <c r="R839" s="30"/>
      <c r="S839" s="30"/>
      <c r="T839" s="30"/>
      <c r="U839" s="30"/>
      <c r="V839" s="30"/>
      <c r="W839" s="197">
        <f>SUM(J839:V839)</f>
        <v>340000</v>
      </c>
    </row>
    <row r="840" spans="1:23" x14ac:dyDescent="0.3">
      <c r="A840" s="155">
        <v>839</v>
      </c>
      <c r="B840" s="28"/>
      <c r="C840" s="28" t="s">
        <v>1220</v>
      </c>
      <c r="D840" s="194">
        <v>0</v>
      </c>
      <c r="E840" s="194">
        <v>76000</v>
      </c>
      <c r="F840" s="194">
        <v>85000</v>
      </c>
      <c r="G840" s="194"/>
      <c r="H840" s="29" t="s">
        <v>452</v>
      </c>
      <c r="I840" s="28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97"/>
    </row>
    <row r="841" spans="1:23" x14ac:dyDescent="0.3">
      <c r="A841" s="155">
        <v>840</v>
      </c>
      <c r="B841" s="28"/>
      <c r="C841" s="28" t="s">
        <v>1221</v>
      </c>
      <c r="D841" s="194">
        <v>0</v>
      </c>
      <c r="E841" s="194">
        <v>388000</v>
      </c>
      <c r="F841" s="194">
        <v>400000</v>
      </c>
      <c r="G841" s="194"/>
      <c r="H841" s="29" t="s">
        <v>452</v>
      </c>
      <c r="I841" s="28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97"/>
    </row>
    <row r="842" spans="1:23" x14ac:dyDescent="0.3">
      <c r="A842" s="155">
        <v>841</v>
      </c>
      <c r="B842" s="28"/>
      <c r="C842" s="28" t="s">
        <v>1222</v>
      </c>
      <c r="D842" s="194">
        <v>0</v>
      </c>
      <c r="E842" s="194">
        <v>76000</v>
      </c>
      <c r="F842" s="194">
        <v>80000</v>
      </c>
      <c r="G842" s="194"/>
      <c r="H842" s="29" t="s">
        <v>452</v>
      </c>
      <c r="I842" s="28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97"/>
    </row>
    <row r="843" spans="1:23" x14ac:dyDescent="0.3">
      <c r="A843" s="155">
        <v>842</v>
      </c>
      <c r="B843" s="28"/>
      <c r="C843" s="28" t="s">
        <v>1212</v>
      </c>
      <c r="D843" s="194">
        <v>0</v>
      </c>
      <c r="E843" s="194">
        <v>526000</v>
      </c>
      <c r="F843" s="194">
        <v>0</v>
      </c>
      <c r="G843" s="194">
        <f t="shared" ref="G843:G847" si="119">D843</f>
        <v>0</v>
      </c>
      <c r="H843" s="29" t="s">
        <v>453</v>
      </c>
      <c r="I843" s="28" t="s">
        <v>631</v>
      </c>
      <c r="J843" s="30"/>
      <c r="K843" s="30"/>
      <c r="L843" s="30"/>
      <c r="M843" s="30"/>
      <c r="N843" s="30">
        <v>526000</v>
      </c>
      <c r="O843" s="30"/>
      <c r="P843" s="30"/>
      <c r="Q843" s="30"/>
      <c r="R843" s="30"/>
      <c r="S843" s="30"/>
      <c r="T843" s="30"/>
      <c r="U843" s="30"/>
      <c r="V843" s="30"/>
      <c r="W843" s="197">
        <f>SUM(J843:V843)</f>
        <v>526000</v>
      </c>
    </row>
    <row r="844" spans="1:23" x14ac:dyDescent="0.3">
      <c r="A844" s="155">
        <v>843</v>
      </c>
      <c r="B844" s="28"/>
      <c r="C844" s="28" t="s">
        <v>1213</v>
      </c>
      <c r="D844" s="194">
        <v>0</v>
      </c>
      <c r="E844" s="194">
        <v>78000</v>
      </c>
      <c r="F844" s="194">
        <v>0</v>
      </c>
      <c r="G844" s="194">
        <f t="shared" si="119"/>
        <v>0</v>
      </c>
      <c r="H844" s="29" t="s">
        <v>453</v>
      </c>
      <c r="I844" s="28" t="s">
        <v>631</v>
      </c>
      <c r="J844" s="30"/>
      <c r="K844" s="30"/>
      <c r="L844" s="30"/>
      <c r="M844" s="30"/>
      <c r="N844" s="30">
        <v>78000</v>
      </c>
      <c r="O844" s="30"/>
      <c r="P844" s="30"/>
      <c r="Q844" s="30"/>
      <c r="R844" s="30"/>
      <c r="S844" s="30"/>
      <c r="T844" s="30"/>
      <c r="U844" s="30"/>
      <c r="V844" s="30"/>
      <c r="W844" s="197">
        <f>SUM(J844:V844)</f>
        <v>78000</v>
      </c>
    </row>
    <row r="845" spans="1:23" x14ac:dyDescent="0.3">
      <c r="A845" s="155">
        <v>844</v>
      </c>
      <c r="B845" s="28"/>
      <c r="C845" s="28" t="s">
        <v>1207</v>
      </c>
      <c r="D845" s="194">
        <v>0</v>
      </c>
      <c r="E845" s="194">
        <v>463500</v>
      </c>
      <c r="F845" s="194">
        <v>0</v>
      </c>
      <c r="G845" s="194">
        <f t="shared" si="119"/>
        <v>0</v>
      </c>
      <c r="H845" s="29" t="s">
        <v>453</v>
      </c>
      <c r="I845" s="28" t="s">
        <v>631</v>
      </c>
      <c r="J845" s="30"/>
      <c r="K845" s="30"/>
      <c r="L845" s="30"/>
      <c r="M845" s="30"/>
      <c r="N845" s="30">
        <v>463500</v>
      </c>
      <c r="O845" s="30"/>
      <c r="P845" s="30"/>
      <c r="Q845" s="30"/>
      <c r="R845" s="30"/>
      <c r="S845" s="30"/>
      <c r="T845" s="30"/>
      <c r="U845" s="30"/>
      <c r="V845" s="30"/>
      <c r="W845" s="197">
        <f>SUM(J845:V845)</f>
        <v>463500</v>
      </c>
    </row>
    <row r="846" spans="1:23" x14ac:dyDescent="0.3">
      <c r="A846" s="155">
        <v>845</v>
      </c>
      <c r="B846" s="28"/>
      <c r="C846" s="28" t="s">
        <v>1223</v>
      </c>
      <c r="D846" s="194">
        <v>0</v>
      </c>
      <c r="E846" s="194">
        <v>432000</v>
      </c>
      <c r="F846" s="194">
        <v>0</v>
      </c>
      <c r="G846" s="194">
        <f t="shared" si="119"/>
        <v>0</v>
      </c>
      <c r="H846" s="29" t="s">
        <v>453</v>
      </c>
      <c r="I846" s="28" t="s">
        <v>631</v>
      </c>
      <c r="J846" s="30"/>
      <c r="K846" s="30"/>
      <c r="L846" s="30"/>
      <c r="M846" s="30"/>
      <c r="N846" s="30">
        <v>432000</v>
      </c>
      <c r="O846" s="30"/>
      <c r="P846" s="30"/>
      <c r="Q846" s="30"/>
      <c r="R846" s="30"/>
      <c r="S846" s="30"/>
      <c r="T846" s="30"/>
      <c r="U846" s="30"/>
      <c r="V846" s="30"/>
      <c r="W846" s="197">
        <f>SUM(J846:V846)</f>
        <v>432000</v>
      </c>
    </row>
    <row r="847" spans="1:23" x14ac:dyDescent="0.3">
      <c r="A847" s="155">
        <v>846</v>
      </c>
      <c r="B847" s="28"/>
      <c r="C847" s="28" t="s">
        <v>1224</v>
      </c>
      <c r="D847" s="194">
        <v>0</v>
      </c>
      <c r="E847" s="194">
        <v>216000</v>
      </c>
      <c r="F847" s="194">
        <v>0</v>
      </c>
      <c r="G847" s="194">
        <f t="shared" si="119"/>
        <v>0</v>
      </c>
      <c r="H847" s="29" t="s">
        <v>453</v>
      </c>
      <c r="I847" s="28" t="s">
        <v>631</v>
      </c>
      <c r="J847" s="30"/>
      <c r="K847" s="30"/>
      <c r="L847" s="30"/>
      <c r="M847" s="30"/>
      <c r="N847" s="30">
        <v>216000</v>
      </c>
      <c r="O847" s="30"/>
      <c r="P847" s="30"/>
      <c r="Q847" s="30"/>
      <c r="R847" s="30"/>
      <c r="S847" s="30"/>
      <c r="T847" s="30"/>
      <c r="U847" s="30"/>
      <c r="V847" s="30"/>
      <c r="W847" s="197">
        <f>SUM(J847:V847)</f>
        <v>216000</v>
      </c>
    </row>
    <row r="848" spans="1:23" x14ac:dyDescent="0.3">
      <c r="A848" s="155">
        <v>847</v>
      </c>
      <c r="B848" s="28"/>
      <c r="C848" s="28" t="s">
        <v>1223</v>
      </c>
      <c r="D848" s="194">
        <v>0</v>
      </c>
      <c r="E848" s="194">
        <v>216000</v>
      </c>
      <c r="F848" s="194">
        <v>220000</v>
      </c>
      <c r="G848" s="194"/>
      <c r="H848" s="29" t="s">
        <v>452</v>
      </c>
      <c r="I848" s="28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97"/>
    </row>
    <row r="849" spans="1:23" x14ac:dyDescent="0.3">
      <c r="A849" s="155">
        <v>848</v>
      </c>
      <c r="B849" s="28"/>
      <c r="C849" s="28" t="s">
        <v>1214</v>
      </c>
      <c r="D849" s="194">
        <v>0</v>
      </c>
      <c r="E849" s="194">
        <v>103273</v>
      </c>
      <c r="F849" s="194">
        <v>0</v>
      </c>
      <c r="G849" s="194">
        <f t="shared" ref="G849:G852" si="120">D849</f>
        <v>0</v>
      </c>
      <c r="H849" s="29" t="s">
        <v>453</v>
      </c>
      <c r="I849" s="28" t="s">
        <v>631</v>
      </c>
      <c r="J849" s="30"/>
      <c r="K849" s="30"/>
      <c r="L849" s="30"/>
      <c r="M849" s="30"/>
      <c r="N849" s="30">
        <v>103273</v>
      </c>
      <c r="O849" s="30"/>
      <c r="P849" s="30"/>
      <c r="Q849" s="30"/>
      <c r="R849" s="30"/>
      <c r="S849" s="30"/>
      <c r="T849" s="30"/>
      <c r="U849" s="30"/>
      <c r="V849" s="30"/>
      <c r="W849" s="197">
        <f>SUM(J849:V849)</f>
        <v>103273</v>
      </c>
    </row>
    <row r="850" spans="1:23" x14ac:dyDescent="0.3">
      <c r="A850" s="155">
        <v>849</v>
      </c>
      <c r="B850" s="28"/>
      <c r="C850" s="28" t="s">
        <v>1144</v>
      </c>
      <c r="D850" s="194">
        <v>0</v>
      </c>
      <c r="E850" s="194">
        <v>103273</v>
      </c>
      <c r="F850" s="194">
        <v>0</v>
      </c>
      <c r="G850" s="194">
        <f t="shared" si="120"/>
        <v>0</v>
      </c>
      <c r="H850" s="29" t="s">
        <v>453</v>
      </c>
      <c r="I850" s="28" t="s">
        <v>631</v>
      </c>
      <c r="J850" s="30"/>
      <c r="K850" s="30"/>
      <c r="L850" s="30"/>
      <c r="M850" s="30"/>
      <c r="N850" s="30">
        <v>103273</v>
      </c>
      <c r="O850" s="30"/>
      <c r="P850" s="30"/>
      <c r="Q850" s="30"/>
      <c r="R850" s="30"/>
      <c r="S850" s="30"/>
      <c r="T850" s="30"/>
      <c r="U850" s="30"/>
      <c r="V850" s="30"/>
      <c r="W850" s="197">
        <f>SUM(J850:V850)</f>
        <v>103273</v>
      </c>
    </row>
    <row r="851" spans="1:23" x14ac:dyDescent="0.3">
      <c r="A851" s="155">
        <v>850</v>
      </c>
      <c r="B851" s="28"/>
      <c r="C851" s="28" t="s">
        <v>1215</v>
      </c>
      <c r="D851" s="194">
        <v>0</v>
      </c>
      <c r="E851" s="194">
        <v>170000</v>
      </c>
      <c r="F851" s="194">
        <v>0</v>
      </c>
      <c r="G851" s="194">
        <f t="shared" si="120"/>
        <v>0</v>
      </c>
      <c r="H851" s="29" t="s">
        <v>453</v>
      </c>
      <c r="I851" s="28" t="s">
        <v>631</v>
      </c>
      <c r="J851" s="30"/>
      <c r="K851" s="30"/>
      <c r="L851" s="30"/>
      <c r="M851" s="30"/>
      <c r="N851" s="30">
        <v>170000</v>
      </c>
      <c r="O851" s="30"/>
      <c r="P851" s="30"/>
      <c r="Q851" s="30"/>
      <c r="R851" s="30"/>
      <c r="S851" s="30"/>
      <c r="T851" s="30"/>
      <c r="U851" s="30"/>
      <c r="V851" s="30"/>
      <c r="W851" s="197">
        <f>SUM(J851:V851)</f>
        <v>170000</v>
      </c>
    </row>
    <row r="852" spans="1:23" x14ac:dyDescent="0.3">
      <c r="A852" s="155">
        <v>851</v>
      </c>
      <c r="B852" s="28"/>
      <c r="C852" s="28" t="s">
        <v>1225</v>
      </c>
      <c r="D852" s="194">
        <v>0</v>
      </c>
      <c r="E852" s="194">
        <v>496000</v>
      </c>
      <c r="F852" s="194">
        <v>0</v>
      </c>
      <c r="G852" s="194">
        <f t="shared" si="120"/>
        <v>0</v>
      </c>
      <c r="H852" s="29" t="s">
        <v>453</v>
      </c>
      <c r="I852" s="28" t="s">
        <v>631</v>
      </c>
      <c r="J852" s="30"/>
      <c r="K852" s="30"/>
      <c r="L852" s="30"/>
      <c r="M852" s="30"/>
      <c r="N852" s="30">
        <v>496000</v>
      </c>
      <c r="O852" s="30"/>
      <c r="P852" s="30"/>
      <c r="Q852" s="30"/>
      <c r="R852" s="30"/>
      <c r="S852" s="30"/>
      <c r="T852" s="30"/>
      <c r="U852" s="30"/>
      <c r="V852" s="30"/>
      <c r="W852" s="197">
        <f>SUM(J852:V852)</f>
        <v>496000</v>
      </c>
    </row>
    <row r="853" spans="1:23" x14ac:dyDescent="0.3">
      <c r="A853" s="155">
        <v>852</v>
      </c>
      <c r="B853" s="28"/>
      <c r="C853" s="28" t="s">
        <v>623</v>
      </c>
      <c r="D853" s="194">
        <v>0</v>
      </c>
      <c r="E853" s="194">
        <v>2008000</v>
      </c>
      <c r="F853" s="194">
        <v>2010000</v>
      </c>
      <c r="G853" s="194"/>
      <c r="H853" s="29" t="s">
        <v>452</v>
      </c>
      <c r="I853" s="28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97"/>
    </row>
    <row r="854" spans="1:23" x14ac:dyDescent="0.3">
      <c r="A854" s="155">
        <v>853</v>
      </c>
      <c r="B854" s="28"/>
      <c r="C854" s="28" t="s">
        <v>1226</v>
      </c>
      <c r="D854" s="194">
        <v>0</v>
      </c>
      <c r="E854" s="194">
        <v>340000</v>
      </c>
      <c r="F854" s="194">
        <v>350000</v>
      </c>
      <c r="G854" s="194"/>
      <c r="H854" s="29" t="s">
        <v>452</v>
      </c>
      <c r="I854" s="28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97"/>
    </row>
    <row r="855" spans="1:23" x14ac:dyDescent="0.3">
      <c r="A855" s="155">
        <v>854</v>
      </c>
      <c r="B855" s="28"/>
      <c r="C855" s="28" t="s">
        <v>1227</v>
      </c>
      <c r="D855" s="194">
        <v>0</v>
      </c>
      <c r="E855" s="194">
        <v>135000</v>
      </c>
      <c r="F855" s="194">
        <v>0</v>
      </c>
      <c r="G855" s="194">
        <f t="shared" ref="G855:G874" si="121">D855</f>
        <v>0</v>
      </c>
      <c r="H855" s="29" t="s">
        <v>453</v>
      </c>
      <c r="I855" s="28" t="s">
        <v>631</v>
      </c>
      <c r="J855" s="30"/>
      <c r="K855" s="30"/>
      <c r="L855" s="30"/>
      <c r="M855" s="30"/>
      <c r="N855" s="30">
        <v>135000</v>
      </c>
      <c r="O855" s="30"/>
      <c r="P855" s="30"/>
      <c r="Q855" s="30"/>
      <c r="R855" s="30"/>
      <c r="S855" s="30"/>
      <c r="T855" s="30"/>
      <c r="U855" s="30"/>
      <c r="V855" s="30"/>
      <c r="W855" s="197">
        <f t="shared" ref="W855:W874" si="122">SUM(J855:V855)</f>
        <v>135000</v>
      </c>
    </row>
    <row r="856" spans="1:23" x14ac:dyDescent="0.3">
      <c r="A856" s="155">
        <v>855</v>
      </c>
      <c r="B856" s="28"/>
      <c r="C856" s="28" t="s">
        <v>1228</v>
      </c>
      <c r="D856" s="194">
        <v>0</v>
      </c>
      <c r="E856" s="194">
        <v>116000</v>
      </c>
      <c r="F856" s="194">
        <v>0</v>
      </c>
      <c r="G856" s="194">
        <f t="shared" si="121"/>
        <v>0</v>
      </c>
      <c r="H856" s="29" t="s">
        <v>453</v>
      </c>
      <c r="I856" s="28" t="s">
        <v>631</v>
      </c>
      <c r="J856" s="30"/>
      <c r="K856" s="30"/>
      <c r="L856" s="30"/>
      <c r="M856" s="30"/>
      <c r="N856" s="30">
        <v>116000</v>
      </c>
      <c r="O856" s="30"/>
      <c r="P856" s="30"/>
      <c r="Q856" s="30"/>
      <c r="R856" s="30"/>
      <c r="S856" s="30"/>
      <c r="T856" s="30"/>
      <c r="U856" s="30"/>
      <c r="V856" s="30"/>
      <c r="W856" s="197">
        <f t="shared" si="122"/>
        <v>116000</v>
      </c>
    </row>
    <row r="857" spans="1:23" x14ac:dyDescent="0.3">
      <c r="A857" s="155">
        <v>856</v>
      </c>
      <c r="B857" s="28"/>
      <c r="C857" s="28" t="s">
        <v>787</v>
      </c>
      <c r="D857" s="194">
        <v>0</v>
      </c>
      <c r="E857" s="194">
        <v>324000</v>
      </c>
      <c r="F857" s="194">
        <v>0</v>
      </c>
      <c r="G857" s="194">
        <f t="shared" si="121"/>
        <v>0</v>
      </c>
      <c r="H857" s="29" t="s">
        <v>453</v>
      </c>
      <c r="I857" s="28" t="s">
        <v>631</v>
      </c>
      <c r="J857" s="30"/>
      <c r="K857" s="30"/>
      <c r="L857" s="30"/>
      <c r="M857" s="30"/>
      <c r="N857" s="194">
        <v>324000</v>
      </c>
      <c r="O857" s="30"/>
      <c r="P857" s="30"/>
      <c r="Q857" s="30"/>
      <c r="R857" s="30"/>
      <c r="S857" s="30"/>
      <c r="T857" s="30"/>
      <c r="U857" s="30"/>
      <c r="V857" s="30"/>
      <c r="W857" s="197">
        <f t="shared" si="122"/>
        <v>324000</v>
      </c>
    </row>
    <row r="858" spans="1:23" x14ac:dyDescent="0.3">
      <c r="A858" s="155">
        <v>857</v>
      </c>
      <c r="B858" s="28"/>
      <c r="C858" s="28" t="s">
        <v>1044</v>
      </c>
      <c r="D858" s="194">
        <v>0</v>
      </c>
      <c r="E858" s="194">
        <v>216000</v>
      </c>
      <c r="F858" s="194">
        <v>0</v>
      </c>
      <c r="G858" s="194">
        <f t="shared" si="121"/>
        <v>0</v>
      </c>
      <c r="H858" s="29" t="s">
        <v>453</v>
      </c>
      <c r="I858" s="28" t="s">
        <v>631</v>
      </c>
      <c r="J858" s="30"/>
      <c r="K858" s="30"/>
      <c r="L858" s="30"/>
      <c r="M858" s="30"/>
      <c r="N858" s="30">
        <v>216000</v>
      </c>
      <c r="O858" s="30"/>
      <c r="P858" s="30"/>
      <c r="Q858" s="30"/>
      <c r="R858" s="30"/>
      <c r="S858" s="30"/>
      <c r="T858" s="30"/>
      <c r="U858" s="30"/>
      <c r="V858" s="30"/>
      <c r="W858" s="197">
        <f t="shared" si="122"/>
        <v>216000</v>
      </c>
    </row>
    <row r="859" spans="1:23" x14ac:dyDescent="0.3">
      <c r="A859" s="155">
        <v>858</v>
      </c>
      <c r="B859" s="28"/>
      <c r="C859" s="28" t="s">
        <v>1229</v>
      </c>
      <c r="D859" s="194">
        <v>0</v>
      </c>
      <c r="E859" s="194">
        <v>216000</v>
      </c>
      <c r="F859" s="194">
        <v>0</v>
      </c>
      <c r="G859" s="194">
        <f t="shared" si="121"/>
        <v>0</v>
      </c>
      <c r="H859" s="29" t="s">
        <v>453</v>
      </c>
      <c r="I859" s="28" t="s">
        <v>631</v>
      </c>
      <c r="J859" s="30"/>
      <c r="K859" s="30"/>
      <c r="L859" s="30"/>
      <c r="M859" s="30"/>
      <c r="N859" s="30">
        <v>216000</v>
      </c>
      <c r="O859" s="30"/>
      <c r="P859" s="30"/>
      <c r="Q859" s="30"/>
      <c r="R859" s="30"/>
      <c r="S859" s="30"/>
      <c r="T859" s="30"/>
      <c r="U859" s="30"/>
      <c r="V859" s="30"/>
      <c r="W859" s="197">
        <f t="shared" si="122"/>
        <v>216000</v>
      </c>
    </row>
    <row r="860" spans="1:23" x14ac:dyDescent="0.3">
      <c r="A860" s="155">
        <v>859</v>
      </c>
      <c r="B860" s="28"/>
      <c r="C860" s="28" t="s">
        <v>1230</v>
      </c>
      <c r="D860" s="194">
        <v>0</v>
      </c>
      <c r="E860" s="194">
        <v>944000</v>
      </c>
      <c r="F860" s="194">
        <v>0</v>
      </c>
      <c r="G860" s="194">
        <f t="shared" si="121"/>
        <v>0</v>
      </c>
      <c r="H860" s="29" t="s">
        <v>453</v>
      </c>
      <c r="I860" s="28" t="s">
        <v>631</v>
      </c>
      <c r="J860" s="30"/>
      <c r="K860" s="30"/>
      <c r="L860" s="30"/>
      <c r="M860" s="30"/>
      <c r="N860" s="194">
        <v>944000</v>
      </c>
      <c r="O860" s="30"/>
      <c r="P860" s="30"/>
      <c r="Q860" s="30"/>
      <c r="R860" s="30"/>
      <c r="S860" s="30"/>
      <c r="T860" s="30"/>
      <c r="U860" s="30"/>
      <c r="V860" s="30"/>
      <c r="W860" s="197">
        <f t="shared" si="122"/>
        <v>944000</v>
      </c>
    </row>
    <row r="861" spans="1:23" x14ac:dyDescent="0.3">
      <c r="A861" s="155">
        <v>860</v>
      </c>
      <c r="B861" s="28"/>
      <c r="C861" s="28" t="s">
        <v>1231</v>
      </c>
      <c r="D861" s="194">
        <v>0</v>
      </c>
      <c r="E861" s="194">
        <v>268000</v>
      </c>
      <c r="F861" s="194">
        <v>0</v>
      </c>
      <c r="G861" s="194">
        <f t="shared" si="121"/>
        <v>0</v>
      </c>
      <c r="H861" s="29" t="s">
        <v>453</v>
      </c>
      <c r="I861" s="28" t="s">
        <v>631</v>
      </c>
      <c r="J861" s="30"/>
      <c r="K861" s="30"/>
      <c r="L861" s="30"/>
      <c r="M861" s="30"/>
      <c r="N861" s="30">
        <v>268000</v>
      </c>
      <c r="O861" s="30"/>
      <c r="P861" s="30"/>
      <c r="Q861" s="30"/>
      <c r="R861" s="30"/>
      <c r="S861" s="30"/>
      <c r="T861" s="30"/>
      <c r="U861" s="30"/>
      <c r="V861" s="30"/>
      <c r="W861" s="197">
        <f t="shared" si="122"/>
        <v>268000</v>
      </c>
    </row>
    <row r="862" spans="1:23" x14ac:dyDescent="0.3">
      <c r="A862" s="155">
        <v>861</v>
      </c>
      <c r="B862" s="28"/>
      <c r="C862" s="28" t="s">
        <v>1232</v>
      </c>
      <c r="D862" s="194">
        <v>0</v>
      </c>
      <c r="E862" s="194">
        <v>52000</v>
      </c>
      <c r="F862" s="194">
        <v>0</v>
      </c>
      <c r="G862" s="194">
        <f t="shared" si="121"/>
        <v>0</v>
      </c>
      <c r="H862" s="29" t="s">
        <v>453</v>
      </c>
      <c r="I862" s="28" t="s">
        <v>631</v>
      </c>
      <c r="J862" s="30"/>
      <c r="K862" s="30"/>
      <c r="L862" s="30"/>
      <c r="M862" s="30"/>
      <c r="N862" s="30">
        <v>52000</v>
      </c>
      <c r="O862" s="30"/>
      <c r="P862" s="30"/>
      <c r="Q862" s="30"/>
      <c r="R862" s="30"/>
      <c r="S862" s="30"/>
      <c r="T862" s="30"/>
      <c r="U862" s="30"/>
      <c r="V862" s="30"/>
      <c r="W862" s="197">
        <f t="shared" si="122"/>
        <v>52000</v>
      </c>
    </row>
    <row r="863" spans="1:23" x14ac:dyDescent="0.3">
      <c r="A863" s="155">
        <v>862</v>
      </c>
      <c r="B863" s="28"/>
      <c r="C863" s="28" t="s">
        <v>1186</v>
      </c>
      <c r="D863" s="194">
        <v>0</v>
      </c>
      <c r="E863" s="194">
        <v>50667</v>
      </c>
      <c r="F863" s="194">
        <v>0</v>
      </c>
      <c r="G863" s="194">
        <f t="shared" si="121"/>
        <v>0</v>
      </c>
      <c r="H863" s="29" t="s">
        <v>453</v>
      </c>
      <c r="I863" s="28" t="s">
        <v>631</v>
      </c>
      <c r="J863" s="30"/>
      <c r="K863" s="30"/>
      <c r="L863" s="30"/>
      <c r="M863" s="30"/>
      <c r="N863" s="30">
        <v>50667</v>
      </c>
      <c r="O863" s="30"/>
      <c r="P863" s="30"/>
      <c r="Q863" s="30"/>
      <c r="R863" s="30"/>
      <c r="S863" s="30"/>
      <c r="T863" s="30"/>
      <c r="U863" s="30"/>
      <c r="V863" s="30"/>
      <c r="W863" s="197">
        <f t="shared" si="122"/>
        <v>50667</v>
      </c>
    </row>
    <row r="864" spans="1:23" x14ac:dyDescent="0.3">
      <c r="A864" s="155">
        <v>863</v>
      </c>
      <c r="B864" s="28"/>
      <c r="C864" s="28" t="s">
        <v>1233</v>
      </c>
      <c r="D864" s="194">
        <v>0</v>
      </c>
      <c r="E864" s="194">
        <v>124000</v>
      </c>
      <c r="F864" s="194">
        <v>0</v>
      </c>
      <c r="G864" s="194">
        <f t="shared" si="121"/>
        <v>0</v>
      </c>
      <c r="H864" s="29" t="s">
        <v>453</v>
      </c>
      <c r="I864" s="28" t="s">
        <v>631</v>
      </c>
      <c r="J864" s="30"/>
      <c r="K864" s="30"/>
      <c r="L864" s="30"/>
      <c r="M864" s="30"/>
      <c r="N864" s="30">
        <v>124000</v>
      </c>
      <c r="O864" s="30"/>
      <c r="P864" s="30"/>
      <c r="Q864" s="30"/>
      <c r="R864" s="30"/>
      <c r="S864" s="30"/>
      <c r="T864" s="30"/>
      <c r="U864" s="30"/>
      <c r="V864" s="30"/>
      <c r="W864" s="197">
        <f t="shared" si="122"/>
        <v>124000</v>
      </c>
    </row>
    <row r="865" spans="1:23" x14ac:dyDescent="0.3">
      <c r="A865" s="155">
        <v>864</v>
      </c>
      <c r="B865" s="28"/>
      <c r="C865" s="28" t="s">
        <v>1234</v>
      </c>
      <c r="D865" s="194">
        <v>0</v>
      </c>
      <c r="E865" s="194">
        <v>864000</v>
      </c>
      <c r="F865" s="194">
        <v>0</v>
      </c>
      <c r="G865" s="194">
        <f t="shared" si="121"/>
        <v>0</v>
      </c>
      <c r="H865" s="29" t="s">
        <v>453</v>
      </c>
      <c r="I865" s="28" t="s">
        <v>631</v>
      </c>
      <c r="J865" s="30"/>
      <c r="K865" s="30"/>
      <c r="L865" s="30"/>
      <c r="M865" s="30"/>
      <c r="N865" s="30">
        <v>864000</v>
      </c>
      <c r="O865" s="30"/>
      <c r="P865" s="30"/>
      <c r="Q865" s="30"/>
      <c r="R865" s="30"/>
      <c r="S865" s="30"/>
      <c r="T865" s="30"/>
      <c r="U865" s="30"/>
      <c r="V865" s="30"/>
      <c r="W865" s="197">
        <f t="shared" si="122"/>
        <v>864000</v>
      </c>
    </row>
    <row r="866" spans="1:23" x14ac:dyDescent="0.3">
      <c r="A866" s="155">
        <v>865</v>
      </c>
      <c r="B866" s="28"/>
      <c r="C866" s="28" t="s">
        <v>1189</v>
      </c>
      <c r="D866" s="194">
        <v>0</v>
      </c>
      <c r="E866" s="194">
        <v>77200</v>
      </c>
      <c r="F866" s="194">
        <v>0</v>
      </c>
      <c r="G866" s="194">
        <f t="shared" si="121"/>
        <v>0</v>
      </c>
      <c r="H866" s="29" t="s">
        <v>453</v>
      </c>
      <c r="I866" s="28" t="s">
        <v>631</v>
      </c>
      <c r="J866" s="30"/>
      <c r="K866" s="30"/>
      <c r="L866" s="30"/>
      <c r="M866" s="30"/>
      <c r="N866" s="194">
        <v>77200</v>
      </c>
      <c r="O866" s="30"/>
      <c r="P866" s="30"/>
      <c r="Q866" s="30"/>
      <c r="R866" s="30"/>
      <c r="S866" s="30"/>
      <c r="T866" s="30"/>
      <c r="U866" s="30"/>
      <c r="V866" s="30"/>
      <c r="W866" s="197">
        <f t="shared" si="122"/>
        <v>77200</v>
      </c>
    </row>
    <row r="867" spans="1:23" x14ac:dyDescent="0.3">
      <c r="A867" s="155">
        <v>866</v>
      </c>
      <c r="B867" s="28"/>
      <c r="C867" s="28" t="s">
        <v>1048</v>
      </c>
      <c r="D867" s="194">
        <v>0</v>
      </c>
      <c r="E867" s="194">
        <v>31200</v>
      </c>
      <c r="F867" s="194">
        <v>0</v>
      </c>
      <c r="G867" s="194">
        <f t="shared" si="121"/>
        <v>0</v>
      </c>
      <c r="H867" s="29" t="s">
        <v>453</v>
      </c>
      <c r="I867" s="28" t="s">
        <v>631</v>
      </c>
      <c r="J867" s="30"/>
      <c r="K867" s="30"/>
      <c r="L867" s="30"/>
      <c r="M867" s="30"/>
      <c r="N867" s="30">
        <v>31200</v>
      </c>
      <c r="O867" s="30"/>
      <c r="P867" s="30"/>
      <c r="Q867" s="30"/>
      <c r="R867" s="30"/>
      <c r="S867" s="30"/>
      <c r="T867" s="30"/>
      <c r="U867" s="30"/>
      <c r="V867" s="30"/>
      <c r="W867" s="197">
        <f t="shared" si="122"/>
        <v>31200</v>
      </c>
    </row>
    <row r="868" spans="1:23" x14ac:dyDescent="0.3">
      <c r="A868" s="155">
        <v>867</v>
      </c>
      <c r="B868" s="28"/>
      <c r="C868" s="28" t="s">
        <v>1235</v>
      </c>
      <c r="D868" s="194">
        <v>0</v>
      </c>
      <c r="E868" s="194">
        <v>464000</v>
      </c>
      <c r="F868" s="194">
        <v>0</v>
      </c>
      <c r="G868" s="194">
        <f t="shared" si="121"/>
        <v>0</v>
      </c>
      <c r="H868" s="29" t="s">
        <v>453</v>
      </c>
      <c r="I868" s="28" t="s">
        <v>631</v>
      </c>
      <c r="J868" s="30"/>
      <c r="K868" s="30"/>
      <c r="L868" s="30"/>
      <c r="M868" s="30"/>
      <c r="N868" s="30">
        <v>464000</v>
      </c>
      <c r="O868" s="30"/>
      <c r="P868" s="30"/>
      <c r="Q868" s="30"/>
      <c r="R868" s="30"/>
      <c r="S868" s="30"/>
      <c r="T868" s="30"/>
      <c r="U868" s="30"/>
      <c r="V868" s="30"/>
      <c r="W868" s="197">
        <f t="shared" si="122"/>
        <v>464000</v>
      </c>
    </row>
    <row r="869" spans="1:23" x14ac:dyDescent="0.3">
      <c r="A869" s="155">
        <v>868</v>
      </c>
      <c r="B869" s="28"/>
      <c r="C869" s="28" t="s">
        <v>1236</v>
      </c>
      <c r="D869" s="194">
        <v>0</v>
      </c>
      <c r="E869" s="194">
        <v>200000</v>
      </c>
      <c r="F869" s="194">
        <v>0</v>
      </c>
      <c r="G869" s="194">
        <f t="shared" si="121"/>
        <v>0</v>
      </c>
      <c r="H869" s="29" t="s">
        <v>453</v>
      </c>
      <c r="I869" s="28" t="s">
        <v>631</v>
      </c>
      <c r="J869" s="30"/>
      <c r="K869" s="30"/>
      <c r="L869" s="30"/>
      <c r="M869" s="30"/>
      <c r="N869" s="30">
        <v>200000</v>
      </c>
      <c r="O869" s="30"/>
      <c r="P869" s="30"/>
      <c r="Q869" s="30"/>
      <c r="R869" s="30"/>
      <c r="S869" s="30"/>
      <c r="T869" s="30"/>
      <c r="U869" s="30"/>
      <c r="V869" s="30"/>
      <c r="W869" s="197">
        <f t="shared" si="122"/>
        <v>200000</v>
      </c>
    </row>
    <row r="870" spans="1:23" x14ac:dyDescent="0.3">
      <c r="A870" s="155">
        <v>869</v>
      </c>
      <c r="B870" s="28"/>
      <c r="C870" s="28" t="s">
        <v>1229</v>
      </c>
      <c r="D870" s="194">
        <v>0</v>
      </c>
      <c r="E870" s="194">
        <v>432000</v>
      </c>
      <c r="F870" s="194">
        <v>0</v>
      </c>
      <c r="G870" s="194">
        <f t="shared" si="121"/>
        <v>0</v>
      </c>
      <c r="H870" s="29" t="s">
        <v>453</v>
      </c>
      <c r="I870" s="28" t="s">
        <v>631</v>
      </c>
      <c r="J870" s="30"/>
      <c r="K870" s="30"/>
      <c r="L870" s="30"/>
      <c r="M870" s="30"/>
      <c r="N870" s="30">
        <v>432000</v>
      </c>
      <c r="O870" s="30"/>
      <c r="P870" s="30"/>
      <c r="Q870" s="30"/>
      <c r="R870" s="30"/>
      <c r="S870" s="30"/>
      <c r="T870" s="30"/>
      <c r="U870" s="30"/>
      <c r="V870" s="30"/>
      <c r="W870" s="197">
        <f t="shared" si="122"/>
        <v>432000</v>
      </c>
    </row>
    <row r="871" spans="1:23" x14ac:dyDescent="0.3">
      <c r="A871" s="155">
        <v>870</v>
      </c>
      <c r="B871" s="28"/>
      <c r="C871" s="28" t="s">
        <v>1223</v>
      </c>
      <c r="D871" s="194">
        <v>0</v>
      </c>
      <c r="E871" s="194">
        <v>216000</v>
      </c>
      <c r="F871" s="194">
        <v>0</v>
      </c>
      <c r="G871" s="194">
        <f t="shared" si="121"/>
        <v>0</v>
      </c>
      <c r="H871" s="29" t="s">
        <v>453</v>
      </c>
      <c r="I871" s="28" t="s">
        <v>631</v>
      </c>
      <c r="J871" s="30"/>
      <c r="K871" s="30"/>
      <c r="L871" s="30"/>
      <c r="M871" s="30"/>
      <c r="N871" s="30">
        <v>216000</v>
      </c>
      <c r="O871" s="30"/>
      <c r="P871" s="30"/>
      <c r="Q871" s="30"/>
      <c r="R871" s="30"/>
      <c r="S871" s="30"/>
      <c r="T871" s="30"/>
      <c r="U871" s="30"/>
      <c r="V871" s="30"/>
      <c r="W871" s="197">
        <f t="shared" si="122"/>
        <v>216000</v>
      </c>
    </row>
    <row r="872" spans="1:23" x14ac:dyDescent="0.3">
      <c r="A872" s="155">
        <v>871</v>
      </c>
      <c r="B872" s="28"/>
      <c r="C872" s="28" t="s">
        <v>1237</v>
      </c>
      <c r="D872" s="194">
        <v>0</v>
      </c>
      <c r="E872" s="194">
        <v>156000</v>
      </c>
      <c r="F872" s="194">
        <v>0</v>
      </c>
      <c r="G872" s="194">
        <f t="shared" si="121"/>
        <v>0</v>
      </c>
      <c r="H872" s="29" t="s">
        <v>453</v>
      </c>
      <c r="I872" s="28" t="s">
        <v>631</v>
      </c>
      <c r="J872" s="30"/>
      <c r="K872" s="30"/>
      <c r="L872" s="30"/>
      <c r="M872" s="30"/>
      <c r="N872" s="30">
        <v>156000</v>
      </c>
      <c r="O872" s="30"/>
      <c r="P872" s="30"/>
      <c r="Q872" s="30"/>
      <c r="R872" s="30"/>
      <c r="S872" s="30"/>
      <c r="T872" s="30"/>
      <c r="U872" s="30"/>
      <c r="V872" s="30"/>
      <c r="W872" s="197">
        <f t="shared" si="122"/>
        <v>156000</v>
      </c>
    </row>
    <row r="873" spans="1:23" x14ac:dyDescent="0.3">
      <c r="A873" s="155">
        <v>872</v>
      </c>
      <c r="B873" s="28"/>
      <c r="C873" s="28" t="s">
        <v>1209</v>
      </c>
      <c r="D873" s="194">
        <v>0</v>
      </c>
      <c r="E873" s="194">
        <v>264000</v>
      </c>
      <c r="F873" s="194">
        <v>0</v>
      </c>
      <c r="G873" s="194">
        <f t="shared" si="121"/>
        <v>0</v>
      </c>
      <c r="H873" s="29" t="s">
        <v>453</v>
      </c>
      <c r="I873" s="28" t="s">
        <v>631</v>
      </c>
      <c r="J873" s="30"/>
      <c r="K873" s="30"/>
      <c r="L873" s="30"/>
      <c r="M873" s="30"/>
      <c r="N873" s="30">
        <v>264000</v>
      </c>
      <c r="O873" s="30"/>
      <c r="P873" s="30"/>
      <c r="Q873" s="30"/>
      <c r="R873" s="30"/>
      <c r="S873" s="30"/>
      <c r="T873" s="30"/>
      <c r="U873" s="30"/>
      <c r="V873" s="30"/>
      <c r="W873" s="197">
        <f t="shared" si="122"/>
        <v>264000</v>
      </c>
    </row>
    <row r="874" spans="1:23" x14ac:dyDescent="0.3">
      <c r="A874" s="155">
        <v>873</v>
      </c>
      <c r="B874" s="28"/>
      <c r="C874" s="28" t="s">
        <v>1238</v>
      </c>
      <c r="D874" s="194">
        <v>0</v>
      </c>
      <c r="E874" s="194">
        <v>616000</v>
      </c>
      <c r="F874" s="194">
        <v>0</v>
      </c>
      <c r="G874" s="194">
        <f t="shared" si="121"/>
        <v>0</v>
      </c>
      <c r="H874" s="29" t="s">
        <v>453</v>
      </c>
      <c r="I874" s="28" t="s">
        <v>631</v>
      </c>
      <c r="J874" s="30"/>
      <c r="K874" s="30"/>
      <c r="L874" s="30"/>
      <c r="M874" s="30"/>
      <c r="N874" s="30">
        <v>616000</v>
      </c>
      <c r="O874" s="30"/>
      <c r="P874" s="30"/>
      <c r="Q874" s="30"/>
      <c r="R874" s="30"/>
      <c r="S874" s="30"/>
      <c r="T874" s="30"/>
      <c r="U874" s="30"/>
      <c r="V874" s="30"/>
      <c r="W874" s="197">
        <f t="shared" si="122"/>
        <v>616000</v>
      </c>
    </row>
    <row r="875" spans="1:23" x14ac:dyDescent="0.3">
      <c r="A875" s="155">
        <v>874</v>
      </c>
      <c r="B875" s="28"/>
      <c r="C875" s="28" t="s">
        <v>1239</v>
      </c>
      <c r="D875" s="194">
        <v>0</v>
      </c>
      <c r="E875" s="194">
        <v>108000</v>
      </c>
      <c r="F875" s="194">
        <v>150000</v>
      </c>
      <c r="G875" s="194"/>
      <c r="H875" s="29" t="s">
        <v>452</v>
      </c>
      <c r="I875" s="28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97"/>
    </row>
    <row r="876" spans="1:23" x14ac:dyDescent="0.3">
      <c r="A876" s="155">
        <v>875</v>
      </c>
      <c r="B876" s="28"/>
      <c r="C876" s="28" t="s">
        <v>1240</v>
      </c>
      <c r="D876" s="194">
        <v>0</v>
      </c>
      <c r="E876" s="194">
        <v>556000</v>
      </c>
      <c r="F876" s="194">
        <v>0</v>
      </c>
      <c r="G876" s="194">
        <f t="shared" ref="G876:G878" si="123">D876</f>
        <v>0</v>
      </c>
      <c r="H876" s="29" t="s">
        <v>453</v>
      </c>
      <c r="I876" s="28" t="s">
        <v>631</v>
      </c>
      <c r="J876" s="30"/>
      <c r="K876" s="30"/>
      <c r="L876" s="30"/>
      <c r="M876" s="30"/>
      <c r="N876" s="30">
        <v>556000</v>
      </c>
      <c r="O876" s="30"/>
      <c r="P876" s="30"/>
      <c r="Q876" s="30"/>
      <c r="R876" s="30"/>
      <c r="S876" s="30"/>
      <c r="T876" s="30"/>
      <c r="U876" s="30"/>
      <c r="V876" s="30"/>
      <c r="W876" s="197">
        <f>SUM(J876:V876)</f>
        <v>556000</v>
      </c>
    </row>
    <row r="877" spans="1:23" x14ac:dyDescent="0.3">
      <c r="A877" s="155">
        <v>876</v>
      </c>
      <c r="B877" s="28"/>
      <c r="C877" s="28" t="s">
        <v>1241</v>
      </c>
      <c r="D877" s="194">
        <v>0</v>
      </c>
      <c r="E877" s="194">
        <v>156000</v>
      </c>
      <c r="F877" s="194">
        <v>0</v>
      </c>
      <c r="G877" s="194">
        <f t="shared" si="123"/>
        <v>0</v>
      </c>
      <c r="H877" s="29" t="s">
        <v>453</v>
      </c>
      <c r="I877" s="28" t="s">
        <v>631</v>
      </c>
      <c r="J877" s="30"/>
      <c r="K877" s="30"/>
      <c r="L877" s="30"/>
      <c r="M877" s="30"/>
      <c r="N877" s="30">
        <v>156000</v>
      </c>
      <c r="O877" s="30"/>
      <c r="P877" s="30"/>
      <c r="Q877" s="30"/>
      <c r="R877" s="30"/>
      <c r="S877" s="30"/>
      <c r="T877" s="30"/>
      <c r="U877" s="30"/>
      <c r="V877" s="30"/>
      <c r="W877" s="197">
        <f>SUM(J877:V877)</f>
        <v>156000</v>
      </c>
    </row>
    <row r="878" spans="1:23" x14ac:dyDescent="0.3">
      <c r="A878" s="155">
        <v>877</v>
      </c>
      <c r="B878" s="28"/>
      <c r="C878" s="28" t="s">
        <v>873</v>
      </c>
      <c r="D878" s="194">
        <v>0</v>
      </c>
      <c r="E878" s="194">
        <v>370800</v>
      </c>
      <c r="F878" s="194">
        <v>0</v>
      </c>
      <c r="G878" s="194">
        <f t="shared" si="123"/>
        <v>0</v>
      </c>
      <c r="H878" s="29" t="s">
        <v>453</v>
      </c>
      <c r="I878" s="28" t="s">
        <v>631</v>
      </c>
      <c r="J878" s="30"/>
      <c r="K878" s="30"/>
      <c r="L878" s="30"/>
      <c r="M878" s="30"/>
      <c r="N878" s="194">
        <v>370800</v>
      </c>
      <c r="O878" s="30"/>
      <c r="P878" s="30"/>
      <c r="Q878" s="30"/>
      <c r="R878" s="30"/>
      <c r="S878" s="30"/>
      <c r="T878" s="30"/>
      <c r="U878" s="30"/>
      <c r="V878" s="30"/>
      <c r="W878" s="197">
        <f>SUM(J878:V878)</f>
        <v>370800</v>
      </c>
    </row>
    <row r="879" spans="1:23" x14ac:dyDescent="0.3">
      <c r="A879" s="155">
        <v>878</v>
      </c>
      <c r="B879" s="28"/>
      <c r="C879" s="28" t="s">
        <v>1242</v>
      </c>
      <c r="D879" s="194">
        <v>0</v>
      </c>
      <c r="E879" s="194">
        <v>144000</v>
      </c>
      <c r="F879" s="194">
        <v>150000</v>
      </c>
      <c r="G879" s="194"/>
      <c r="H879" s="29" t="s">
        <v>452</v>
      </c>
      <c r="I879" s="28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97"/>
    </row>
    <row r="880" spans="1:23" x14ac:dyDescent="0.3">
      <c r="A880" s="155">
        <v>879</v>
      </c>
      <c r="B880" s="28"/>
      <c r="C880" s="28" t="s">
        <v>1147</v>
      </c>
      <c r="D880" s="194">
        <v>0</v>
      </c>
      <c r="E880" s="194">
        <v>156000</v>
      </c>
      <c r="F880" s="194">
        <v>0</v>
      </c>
      <c r="G880" s="194">
        <f t="shared" ref="G880:G893" si="124">D880</f>
        <v>0</v>
      </c>
      <c r="H880" s="29" t="s">
        <v>453</v>
      </c>
      <c r="I880" s="28" t="s">
        <v>631</v>
      </c>
      <c r="J880" s="30"/>
      <c r="K880" s="30"/>
      <c r="L880" s="30"/>
      <c r="M880" s="30"/>
      <c r="N880" s="30">
        <v>156000</v>
      </c>
      <c r="O880" s="30"/>
      <c r="P880" s="30"/>
      <c r="Q880" s="30"/>
      <c r="R880" s="30"/>
      <c r="S880" s="30"/>
      <c r="T880" s="30"/>
      <c r="U880" s="30"/>
      <c r="V880" s="30"/>
      <c r="W880" s="197">
        <f t="shared" ref="W880:W893" si="125">SUM(J880:V880)</f>
        <v>156000</v>
      </c>
    </row>
    <row r="881" spans="1:23" x14ac:dyDescent="0.3">
      <c r="A881" s="155">
        <v>880</v>
      </c>
      <c r="B881" s="28"/>
      <c r="C881" s="28" t="s">
        <v>1148</v>
      </c>
      <c r="D881" s="194">
        <v>0</v>
      </c>
      <c r="E881" s="194">
        <v>156000</v>
      </c>
      <c r="F881" s="194">
        <v>0</v>
      </c>
      <c r="G881" s="194">
        <f t="shared" si="124"/>
        <v>0</v>
      </c>
      <c r="H881" s="29" t="s">
        <v>453</v>
      </c>
      <c r="I881" s="28" t="s">
        <v>631</v>
      </c>
      <c r="J881" s="30"/>
      <c r="K881" s="30"/>
      <c r="L881" s="30"/>
      <c r="M881" s="30"/>
      <c r="N881" s="30">
        <v>156000</v>
      </c>
      <c r="O881" s="30"/>
      <c r="P881" s="30"/>
      <c r="Q881" s="30"/>
      <c r="R881" s="30"/>
      <c r="S881" s="30"/>
      <c r="T881" s="30"/>
      <c r="U881" s="30"/>
      <c r="V881" s="30"/>
      <c r="W881" s="197">
        <f t="shared" si="125"/>
        <v>156000</v>
      </c>
    </row>
    <row r="882" spans="1:23" x14ac:dyDescent="0.3">
      <c r="A882" s="155">
        <v>881</v>
      </c>
      <c r="B882" s="28"/>
      <c r="C882" s="28" t="s">
        <v>1195</v>
      </c>
      <c r="D882" s="194">
        <v>0</v>
      </c>
      <c r="E882" s="194">
        <v>1544000</v>
      </c>
      <c r="F882" s="194">
        <v>0</v>
      </c>
      <c r="G882" s="194">
        <f t="shared" si="124"/>
        <v>0</v>
      </c>
      <c r="H882" s="29" t="s">
        <v>453</v>
      </c>
      <c r="I882" s="28" t="s">
        <v>631</v>
      </c>
      <c r="J882" s="30"/>
      <c r="K882" s="30"/>
      <c r="L882" s="30"/>
      <c r="M882" s="30"/>
      <c r="N882" s="30">
        <v>1544000</v>
      </c>
      <c r="O882" s="30"/>
      <c r="P882" s="30"/>
      <c r="Q882" s="30"/>
      <c r="R882" s="30"/>
      <c r="S882" s="30"/>
      <c r="T882" s="30"/>
      <c r="U882" s="30"/>
      <c r="V882" s="30"/>
      <c r="W882" s="197">
        <f t="shared" si="125"/>
        <v>1544000</v>
      </c>
    </row>
    <row r="883" spans="1:23" x14ac:dyDescent="0.3">
      <c r="A883" s="155">
        <v>882</v>
      </c>
      <c r="B883" s="28"/>
      <c r="C883" s="28" t="s">
        <v>1243</v>
      </c>
      <c r="D883" s="194">
        <v>0</v>
      </c>
      <c r="E883" s="194">
        <v>308000</v>
      </c>
      <c r="F883" s="194">
        <v>0</v>
      </c>
      <c r="G883" s="194">
        <f t="shared" si="124"/>
        <v>0</v>
      </c>
      <c r="H883" s="29" t="s">
        <v>453</v>
      </c>
      <c r="I883" s="28" t="s">
        <v>631</v>
      </c>
      <c r="J883" s="30"/>
      <c r="K883" s="30"/>
      <c r="L883" s="30"/>
      <c r="M883" s="30"/>
      <c r="N883" s="30">
        <v>308000</v>
      </c>
      <c r="O883" s="30"/>
      <c r="P883" s="30"/>
      <c r="Q883" s="30"/>
      <c r="R883" s="30"/>
      <c r="S883" s="30"/>
      <c r="T883" s="30"/>
      <c r="U883" s="30"/>
      <c r="V883" s="30"/>
      <c r="W883" s="197">
        <f t="shared" si="125"/>
        <v>308000</v>
      </c>
    </row>
    <row r="884" spans="1:23" x14ac:dyDescent="0.3">
      <c r="A884" s="155">
        <v>883</v>
      </c>
      <c r="B884" s="28"/>
      <c r="C884" s="28" t="s">
        <v>1181</v>
      </c>
      <c r="D884" s="194">
        <v>0</v>
      </c>
      <c r="E884" s="194">
        <v>380000</v>
      </c>
      <c r="F884" s="194">
        <v>0</v>
      </c>
      <c r="G884" s="194">
        <f t="shared" si="124"/>
        <v>0</v>
      </c>
      <c r="H884" s="29" t="s">
        <v>453</v>
      </c>
      <c r="I884" s="28" t="s">
        <v>631</v>
      </c>
      <c r="J884" s="30"/>
      <c r="K884" s="30"/>
      <c r="L884" s="30"/>
      <c r="M884" s="30"/>
      <c r="N884" s="30">
        <v>380000</v>
      </c>
      <c r="O884" s="30"/>
      <c r="P884" s="30"/>
      <c r="Q884" s="30"/>
      <c r="R884" s="30"/>
      <c r="S884" s="30"/>
      <c r="T884" s="30"/>
      <c r="U884" s="30"/>
      <c r="V884" s="30"/>
      <c r="W884" s="197">
        <f t="shared" si="125"/>
        <v>380000</v>
      </c>
    </row>
    <row r="885" spans="1:23" x14ac:dyDescent="0.3">
      <c r="A885" s="155">
        <v>884</v>
      </c>
      <c r="B885" s="28"/>
      <c r="C885" s="28" t="s">
        <v>1244</v>
      </c>
      <c r="D885" s="194">
        <v>0</v>
      </c>
      <c r="E885" s="194">
        <v>772000</v>
      </c>
      <c r="F885" s="194">
        <v>0</v>
      </c>
      <c r="G885" s="194">
        <f t="shared" si="124"/>
        <v>0</v>
      </c>
      <c r="H885" s="29" t="s">
        <v>453</v>
      </c>
      <c r="I885" s="28" t="s">
        <v>631</v>
      </c>
      <c r="J885" s="30"/>
      <c r="K885" s="30"/>
      <c r="L885" s="30"/>
      <c r="M885" s="30"/>
      <c r="N885" s="30">
        <v>772000</v>
      </c>
      <c r="O885" s="30"/>
      <c r="P885" s="30"/>
      <c r="Q885" s="30"/>
      <c r="R885" s="30"/>
      <c r="S885" s="30"/>
      <c r="T885" s="30"/>
      <c r="U885" s="30"/>
      <c r="V885" s="30"/>
      <c r="W885" s="197">
        <f t="shared" si="125"/>
        <v>772000</v>
      </c>
    </row>
    <row r="886" spans="1:23" x14ac:dyDescent="0.3">
      <c r="A886" s="155">
        <v>885</v>
      </c>
      <c r="B886" s="28"/>
      <c r="C886" s="28" t="s">
        <v>1245</v>
      </c>
      <c r="D886" s="194">
        <v>0</v>
      </c>
      <c r="E886" s="194">
        <v>464000</v>
      </c>
      <c r="F886" s="194">
        <v>0</v>
      </c>
      <c r="G886" s="194">
        <f t="shared" si="124"/>
        <v>0</v>
      </c>
      <c r="H886" s="29" t="s">
        <v>453</v>
      </c>
      <c r="I886" s="28" t="s">
        <v>631</v>
      </c>
      <c r="J886" s="30"/>
      <c r="K886" s="30"/>
      <c r="L886" s="30"/>
      <c r="M886" s="30"/>
      <c r="N886" s="30">
        <v>464000</v>
      </c>
      <c r="O886" s="30"/>
      <c r="P886" s="30"/>
      <c r="Q886" s="30"/>
      <c r="R886" s="30"/>
      <c r="S886" s="30"/>
      <c r="T886" s="30"/>
      <c r="U886" s="30"/>
      <c r="V886" s="30"/>
      <c r="W886" s="197">
        <f t="shared" si="125"/>
        <v>464000</v>
      </c>
    </row>
    <row r="887" spans="1:23" x14ac:dyDescent="0.3">
      <c r="A887" s="155">
        <v>886</v>
      </c>
      <c r="B887" s="28"/>
      <c r="C887" s="28" t="s">
        <v>1246</v>
      </c>
      <c r="D887" s="194">
        <v>0</v>
      </c>
      <c r="E887" s="194">
        <v>540000</v>
      </c>
      <c r="F887" s="194">
        <v>0</v>
      </c>
      <c r="G887" s="194">
        <f t="shared" si="124"/>
        <v>0</v>
      </c>
      <c r="H887" s="29" t="s">
        <v>453</v>
      </c>
      <c r="I887" s="28" t="s">
        <v>631</v>
      </c>
      <c r="J887" s="30"/>
      <c r="K887" s="30"/>
      <c r="L887" s="30"/>
      <c r="M887" s="30"/>
      <c r="N887" s="30">
        <v>540000</v>
      </c>
      <c r="O887" s="30"/>
      <c r="P887" s="30"/>
      <c r="Q887" s="30"/>
      <c r="R887" s="30"/>
      <c r="S887" s="30"/>
      <c r="T887" s="30"/>
      <c r="U887" s="30"/>
      <c r="V887" s="30"/>
      <c r="W887" s="197">
        <f t="shared" si="125"/>
        <v>540000</v>
      </c>
    </row>
    <row r="888" spans="1:23" x14ac:dyDescent="0.3">
      <c r="A888" s="155">
        <v>887</v>
      </c>
      <c r="B888" s="28"/>
      <c r="C888" s="28" t="s">
        <v>1247</v>
      </c>
      <c r="D888" s="194">
        <v>0</v>
      </c>
      <c r="E888" s="194">
        <v>675000</v>
      </c>
      <c r="F888" s="194">
        <v>0</v>
      </c>
      <c r="G888" s="194">
        <f t="shared" si="124"/>
        <v>0</v>
      </c>
      <c r="H888" s="29" t="s">
        <v>453</v>
      </c>
      <c r="I888" s="28" t="s">
        <v>631</v>
      </c>
      <c r="J888" s="30"/>
      <c r="K888" s="30"/>
      <c r="L888" s="30"/>
      <c r="M888" s="30"/>
      <c r="N888" s="30">
        <v>675000</v>
      </c>
      <c r="O888" s="30"/>
      <c r="P888" s="30"/>
      <c r="Q888" s="30"/>
      <c r="R888" s="30"/>
      <c r="S888" s="30"/>
      <c r="T888" s="30"/>
      <c r="U888" s="30"/>
      <c r="V888" s="30"/>
      <c r="W888" s="197">
        <f t="shared" si="125"/>
        <v>675000</v>
      </c>
    </row>
    <row r="889" spans="1:23" x14ac:dyDescent="0.3">
      <c r="A889" s="155">
        <v>888</v>
      </c>
      <c r="B889" s="28"/>
      <c r="C889" s="28" t="s">
        <v>1208</v>
      </c>
      <c r="D889" s="194">
        <v>0</v>
      </c>
      <c r="E889" s="194">
        <v>540000</v>
      </c>
      <c r="F889" s="194">
        <v>0</v>
      </c>
      <c r="G889" s="194">
        <f t="shared" si="124"/>
        <v>0</v>
      </c>
      <c r="H889" s="29" t="s">
        <v>453</v>
      </c>
      <c r="I889" s="28" t="s">
        <v>631</v>
      </c>
      <c r="J889" s="30"/>
      <c r="K889" s="30"/>
      <c r="L889" s="30"/>
      <c r="M889" s="30"/>
      <c r="N889" s="30">
        <v>540000</v>
      </c>
      <c r="O889" s="30"/>
      <c r="P889" s="30"/>
      <c r="Q889" s="30"/>
      <c r="R889" s="30"/>
      <c r="S889" s="30"/>
      <c r="T889" s="30"/>
      <c r="U889" s="30"/>
      <c r="V889" s="30"/>
      <c r="W889" s="197">
        <f t="shared" si="125"/>
        <v>540000</v>
      </c>
    </row>
    <row r="890" spans="1:23" x14ac:dyDescent="0.3">
      <c r="A890" s="155">
        <v>889</v>
      </c>
      <c r="B890" s="28"/>
      <c r="C890" s="28" t="s">
        <v>1030</v>
      </c>
      <c r="D890" s="194">
        <v>0</v>
      </c>
      <c r="E890" s="194">
        <v>72000</v>
      </c>
      <c r="F890" s="194">
        <v>0</v>
      </c>
      <c r="G890" s="194">
        <f t="shared" si="124"/>
        <v>0</v>
      </c>
      <c r="H890" s="29" t="s">
        <v>453</v>
      </c>
      <c r="I890" s="28" t="s">
        <v>631</v>
      </c>
      <c r="J890" s="30"/>
      <c r="K890" s="30"/>
      <c r="L890" s="30"/>
      <c r="M890" s="30"/>
      <c r="N890" s="30">
        <v>72000</v>
      </c>
      <c r="O890" s="30"/>
      <c r="P890" s="30"/>
      <c r="Q890" s="30"/>
      <c r="R890" s="30"/>
      <c r="S890" s="30"/>
      <c r="T890" s="30"/>
      <c r="U890" s="30"/>
      <c r="V890" s="30"/>
      <c r="W890" s="197">
        <f t="shared" si="125"/>
        <v>72000</v>
      </c>
    </row>
    <row r="891" spans="1:23" x14ac:dyDescent="0.3">
      <c r="A891" s="155">
        <v>890</v>
      </c>
      <c r="B891" s="28"/>
      <c r="C891" s="28" t="s">
        <v>1248</v>
      </c>
      <c r="D891" s="194">
        <v>0</v>
      </c>
      <c r="E891" s="194">
        <v>154400</v>
      </c>
      <c r="F891" s="194">
        <v>0</v>
      </c>
      <c r="G891" s="194">
        <f t="shared" si="124"/>
        <v>0</v>
      </c>
      <c r="H891" s="29" t="s">
        <v>453</v>
      </c>
      <c r="I891" s="28" t="s">
        <v>631</v>
      </c>
      <c r="J891" s="30"/>
      <c r="K891" s="30"/>
      <c r="L891" s="30"/>
      <c r="M891" s="30"/>
      <c r="N891" s="194">
        <v>154400</v>
      </c>
      <c r="O891" s="30"/>
      <c r="P891" s="30"/>
      <c r="Q891" s="30"/>
      <c r="R891" s="30"/>
      <c r="S891" s="30"/>
      <c r="T891" s="30"/>
      <c r="U891" s="30"/>
      <c r="V891" s="30"/>
      <c r="W891" s="197">
        <f t="shared" si="125"/>
        <v>154400</v>
      </c>
    </row>
    <row r="892" spans="1:23" x14ac:dyDescent="0.3">
      <c r="A892" s="155">
        <v>891</v>
      </c>
      <c r="B892" s="28"/>
      <c r="C892" s="28" t="s">
        <v>1249</v>
      </c>
      <c r="D892" s="194">
        <v>0</v>
      </c>
      <c r="E892" s="194">
        <v>108000</v>
      </c>
      <c r="F892" s="194">
        <v>0</v>
      </c>
      <c r="G892" s="194">
        <f t="shared" si="124"/>
        <v>0</v>
      </c>
      <c r="H892" s="29" t="s">
        <v>453</v>
      </c>
      <c r="I892" s="28" t="s">
        <v>631</v>
      </c>
      <c r="J892" s="30"/>
      <c r="K892" s="30"/>
      <c r="L892" s="30"/>
      <c r="M892" s="30"/>
      <c r="N892" s="30">
        <v>108000</v>
      </c>
      <c r="O892" s="30"/>
      <c r="P892" s="30"/>
      <c r="Q892" s="30"/>
      <c r="R892" s="30"/>
      <c r="S892" s="30"/>
      <c r="T892" s="30"/>
      <c r="U892" s="30"/>
      <c r="V892" s="30"/>
      <c r="W892" s="197">
        <f t="shared" si="125"/>
        <v>108000</v>
      </c>
    </row>
    <row r="893" spans="1:23" x14ac:dyDescent="0.3">
      <c r="A893" s="155">
        <v>892</v>
      </c>
      <c r="B893" s="28"/>
      <c r="C893" s="28" t="s">
        <v>1182</v>
      </c>
      <c r="D893" s="194">
        <v>0</v>
      </c>
      <c r="E893" s="194">
        <v>28000</v>
      </c>
      <c r="F893" s="194">
        <v>0</v>
      </c>
      <c r="G893" s="194">
        <f t="shared" si="124"/>
        <v>0</v>
      </c>
      <c r="H893" s="29" t="s">
        <v>453</v>
      </c>
      <c r="I893" s="28" t="s">
        <v>631</v>
      </c>
      <c r="J893" s="30"/>
      <c r="K893" s="30"/>
      <c r="L893" s="30"/>
      <c r="M893" s="30"/>
      <c r="N893" s="30">
        <v>28000</v>
      </c>
      <c r="O893" s="30"/>
      <c r="P893" s="30"/>
      <c r="Q893" s="30"/>
      <c r="R893" s="30"/>
      <c r="S893" s="30"/>
      <c r="T893" s="30"/>
      <c r="U893" s="30"/>
      <c r="V893" s="30"/>
      <c r="W893" s="197">
        <f t="shared" si="125"/>
        <v>28000</v>
      </c>
    </row>
    <row r="894" spans="1:23" x14ac:dyDescent="0.3">
      <c r="A894" s="155">
        <v>893</v>
      </c>
      <c r="B894" s="28"/>
      <c r="C894" s="28" t="s">
        <v>1048</v>
      </c>
      <c r="D894" s="194">
        <v>0</v>
      </c>
      <c r="E894" s="194">
        <v>32000</v>
      </c>
      <c r="F894" s="194">
        <v>50000</v>
      </c>
      <c r="G894" s="194"/>
      <c r="H894" s="29" t="s">
        <v>452</v>
      </c>
      <c r="I894" s="28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97"/>
    </row>
    <row r="895" spans="1:23" x14ac:dyDescent="0.3">
      <c r="A895" s="155">
        <v>894</v>
      </c>
      <c r="B895" s="28"/>
      <c r="C895" s="28" t="s">
        <v>1250</v>
      </c>
      <c r="D895" s="194">
        <v>0</v>
      </c>
      <c r="E895" s="194">
        <v>388000</v>
      </c>
      <c r="F895" s="194">
        <v>0</v>
      </c>
      <c r="G895" s="194">
        <f>D895</f>
        <v>0</v>
      </c>
      <c r="H895" s="29" t="s">
        <v>453</v>
      </c>
      <c r="I895" s="28" t="s">
        <v>631</v>
      </c>
      <c r="J895" s="30"/>
      <c r="K895" s="30"/>
      <c r="L895" s="30"/>
      <c r="M895" s="30"/>
      <c r="N895" s="30">
        <v>388000</v>
      </c>
      <c r="O895" s="30"/>
      <c r="P895" s="30"/>
      <c r="Q895" s="30"/>
      <c r="R895" s="30"/>
      <c r="S895" s="30"/>
      <c r="T895" s="30"/>
      <c r="U895" s="30"/>
      <c r="V895" s="30"/>
      <c r="W895" s="197">
        <f>SUM(J895:V895)</f>
        <v>388000</v>
      </c>
    </row>
    <row r="896" spans="1:23" x14ac:dyDescent="0.3">
      <c r="A896" s="155">
        <v>895</v>
      </c>
      <c r="B896" s="28"/>
      <c r="C896" s="28" t="s">
        <v>1251</v>
      </c>
      <c r="D896" s="194">
        <v>0</v>
      </c>
      <c r="E896" s="194">
        <v>308000</v>
      </c>
      <c r="F896" s="194">
        <v>320000</v>
      </c>
      <c r="G896" s="194"/>
      <c r="H896" s="29" t="s">
        <v>452</v>
      </c>
      <c r="I896" s="28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97"/>
    </row>
    <row r="897" spans="1:23" x14ac:dyDescent="0.3">
      <c r="A897" s="155">
        <v>896</v>
      </c>
      <c r="B897" s="28"/>
      <c r="C897" s="28" t="s">
        <v>1252</v>
      </c>
      <c r="D897" s="194">
        <v>0</v>
      </c>
      <c r="E897" s="194">
        <v>504000</v>
      </c>
      <c r="F897" s="194">
        <v>0</v>
      </c>
      <c r="G897" s="194">
        <f t="shared" ref="G897:G900" si="126">D897</f>
        <v>0</v>
      </c>
      <c r="H897" s="29" t="s">
        <v>453</v>
      </c>
      <c r="I897" s="28" t="s">
        <v>631</v>
      </c>
      <c r="J897" s="30"/>
      <c r="K897" s="30"/>
      <c r="L897" s="30"/>
      <c r="M897" s="30"/>
      <c r="N897" s="30">
        <v>504000</v>
      </c>
      <c r="O897" s="30"/>
      <c r="P897" s="30"/>
      <c r="Q897" s="30"/>
      <c r="R897" s="30"/>
      <c r="S897" s="30"/>
      <c r="T897" s="30"/>
      <c r="U897" s="30"/>
      <c r="V897" s="30"/>
      <c r="W897" s="197">
        <f>SUM(J897:V897)</f>
        <v>504000</v>
      </c>
    </row>
    <row r="898" spans="1:23" x14ac:dyDescent="0.3">
      <c r="A898" s="155">
        <v>897</v>
      </c>
      <c r="B898" s="28"/>
      <c r="C898" s="28" t="s">
        <v>1253</v>
      </c>
      <c r="D898" s="194">
        <v>0</v>
      </c>
      <c r="E898" s="194">
        <v>100000</v>
      </c>
      <c r="F898" s="194">
        <v>0</v>
      </c>
      <c r="G898" s="194">
        <f t="shared" si="126"/>
        <v>0</v>
      </c>
      <c r="H898" s="29" t="s">
        <v>453</v>
      </c>
      <c r="I898" s="28" t="s">
        <v>631</v>
      </c>
      <c r="J898" s="30"/>
      <c r="K898" s="30"/>
      <c r="L898" s="30"/>
      <c r="M898" s="30"/>
      <c r="N898" s="30">
        <v>100000</v>
      </c>
      <c r="O898" s="30"/>
      <c r="P898" s="30"/>
      <c r="Q898" s="30"/>
      <c r="R898" s="30"/>
      <c r="S898" s="30"/>
      <c r="T898" s="30"/>
      <c r="U898" s="30"/>
      <c r="V898" s="30"/>
      <c r="W898" s="197">
        <f>SUM(J898:V898)</f>
        <v>100000</v>
      </c>
    </row>
    <row r="899" spans="1:23" x14ac:dyDescent="0.3">
      <c r="A899" s="155">
        <v>898</v>
      </c>
      <c r="B899" s="28"/>
      <c r="C899" s="28" t="s">
        <v>1254</v>
      </c>
      <c r="D899" s="194">
        <v>0</v>
      </c>
      <c r="E899" s="194">
        <v>450000</v>
      </c>
      <c r="F899" s="194">
        <v>0</v>
      </c>
      <c r="G899" s="194">
        <f t="shared" si="126"/>
        <v>0</v>
      </c>
      <c r="H899" s="29" t="s">
        <v>453</v>
      </c>
      <c r="I899" s="28" t="s">
        <v>631</v>
      </c>
      <c r="J899" s="30"/>
      <c r="K899" s="30"/>
      <c r="L899" s="30"/>
      <c r="M899" s="30"/>
      <c r="N899" s="30">
        <v>450000</v>
      </c>
      <c r="O899" s="30"/>
      <c r="P899" s="30"/>
      <c r="Q899" s="30"/>
      <c r="R899" s="30"/>
      <c r="S899" s="30"/>
      <c r="T899" s="30"/>
      <c r="U899" s="30"/>
      <c r="V899" s="30"/>
      <c r="W899" s="197">
        <f>SUM(J899:V899)</f>
        <v>450000</v>
      </c>
    </row>
    <row r="900" spans="1:23" x14ac:dyDescent="0.3">
      <c r="A900" s="155">
        <v>899</v>
      </c>
      <c r="B900" s="28"/>
      <c r="C900" s="28" t="s">
        <v>1255</v>
      </c>
      <c r="D900" s="194">
        <v>0</v>
      </c>
      <c r="E900" s="194">
        <v>4056000</v>
      </c>
      <c r="F900" s="194">
        <v>0</v>
      </c>
      <c r="G900" s="194">
        <f t="shared" si="126"/>
        <v>0</v>
      </c>
      <c r="H900" s="29" t="s">
        <v>453</v>
      </c>
      <c r="I900" s="28" t="s">
        <v>631</v>
      </c>
      <c r="J900" s="30"/>
      <c r="K900" s="30"/>
      <c r="L900" s="30"/>
      <c r="M900" s="30"/>
      <c r="N900" s="194">
        <v>4056000</v>
      </c>
      <c r="O900" s="30"/>
      <c r="P900" s="30"/>
      <c r="Q900" s="30"/>
      <c r="R900" s="30"/>
      <c r="S900" s="30"/>
      <c r="T900" s="30"/>
      <c r="U900" s="30"/>
      <c r="V900" s="30"/>
      <c r="W900" s="197">
        <f>SUM(J900:V900)</f>
        <v>4056000</v>
      </c>
    </row>
    <row r="901" spans="1:23" x14ac:dyDescent="0.3">
      <c r="A901" s="155">
        <v>900</v>
      </c>
      <c r="B901" s="28"/>
      <c r="C901" s="28" t="s">
        <v>864</v>
      </c>
      <c r="D901" s="194">
        <v>0</v>
      </c>
      <c r="E901" s="194">
        <v>388000</v>
      </c>
      <c r="F901" s="194">
        <v>400000</v>
      </c>
      <c r="G901" s="194"/>
      <c r="H901" s="29" t="s">
        <v>452</v>
      </c>
      <c r="I901" s="28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97"/>
    </row>
    <row r="902" spans="1:23" x14ac:dyDescent="0.3">
      <c r="A902" s="155">
        <v>901</v>
      </c>
      <c r="B902" s="28"/>
      <c r="C902" s="28" t="s">
        <v>1174</v>
      </c>
      <c r="D902" s="194">
        <v>0</v>
      </c>
      <c r="E902" s="194">
        <v>168000</v>
      </c>
      <c r="F902" s="194">
        <v>0</v>
      </c>
      <c r="G902" s="194">
        <f t="shared" ref="G902:G910" si="127">D902</f>
        <v>0</v>
      </c>
      <c r="H902" s="29" t="s">
        <v>453</v>
      </c>
      <c r="I902" s="28" t="s">
        <v>631</v>
      </c>
      <c r="J902" s="30"/>
      <c r="K902" s="30"/>
      <c r="L902" s="30"/>
      <c r="M902" s="30"/>
      <c r="N902" s="30">
        <v>168000</v>
      </c>
      <c r="O902" s="30"/>
      <c r="P902" s="30"/>
      <c r="Q902" s="30"/>
      <c r="R902" s="30"/>
      <c r="S902" s="30"/>
      <c r="T902" s="30"/>
      <c r="U902" s="30"/>
      <c r="V902" s="30"/>
      <c r="W902" s="197">
        <f t="shared" ref="W902:W910" si="128">SUM(J902:V902)</f>
        <v>168000</v>
      </c>
    </row>
    <row r="903" spans="1:23" x14ac:dyDescent="0.3">
      <c r="A903" s="155">
        <v>902</v>
      </c>
      <c r="B903" s="28"/>
      <c r="C903" s="28" t="s">
        <v>1256</v>
      </c>
      <c r="D903" s="194">
        <v>0</v>
      </c>
      <c r="E903" s="194">
        <v>108000</v>
      </c>
      <c r="F903" s="194">
        <v>0</v>
      </c>
      <c r="G903" s="194">
        <f t="shared" si="127"/>
        <v>0</v>
      </c>
      <c r="H903" s="29" t="s">
        <v>453</v>
      </c>
      <c r="I903" s="28" t="s">
        <v>631</v>
      </c>
      <c r="J903" s="30"/>
      <c r="K903" s="30"/>
      <c r="L903" s="30"/>
      <c r="M903" s="30"/>
      <c r="N903" s="30">
        <v>108000</v>
      </c>
      <c r="O903" s="30"/>
      <c r="P903" s="30"/>
      <c r="Q903" s="30"/>
      <c r="R903" s="30"/>
      <c r="S903" s="30"/>
      <c r="T903" s="30"/>
      <c r="U903" s="30"/>
      <c r="V903" s="30"/>
      <c r="W903" s="197">
        <f t="shared" si="128"/>
        <v>108000</v>
      </c>
    </row>
    <row r="904" spans="1:23" x14ac:dyDescent="0.3">
      <c r="A904" s="155">
        <v>903</v>
      </c>
      <c r="B904" s="28"/>
      <c r="C904" s="28" t="s">
        <v>1257</v>
      </c>
      <c r="D904" s="194">
        <v>0</v>
      </c>
      <c r="E904" s="194">
        <v>388000</v>
      </c>
      <c r="F904" s="194">
        <v>0</v>
      </c>
      <c r="G904" s="194">
        <f t="shared" si="127"/>
        <v>0</v>
      </c>
      <c r="H904" s="29" t="s">
        <v>453</v>
      </c>
      <c r="I904" s="28" t="s">
        <v>631</v>
      </c>
      <c r="J904" s="30"/>
      <c r="K904" s="30"/>
      <c r="L904" s="30"/>
      <c r="M904" s="30"/>
      <c r="N904" s="30">
        <v>388000</v>
      </c>
      <c r="O904" s="30"/>
      <c r="P904" s="30"/>
      <c r="Q904" s="30"/>
      <c r="R904" s="30"/>
      <c r="S904" s="30"/>
      <c r="T904" s="30"/>
      <c r="U904" s="30"/>
      <c r="V904" s="30"/>
      <c r="W904" s="197">
        <f t="shared" si="128"/>
        <v>388000</v>
      </c>
    </row>
    <row r="905" spans="1:23" x14ac:dyDescent="0.3">
      <c r="A905" s="155">
        <v>904</v>
      </c>
      <c r="B905" s="28"/>
      <c r="C905" s="28" t="s">
        <v>1258</v>
      </c>
      <c r="D905" s="194">
        <v>0</v>
      </c>
      <c r="E905" s="194">
        <v>232000</v>
      </c>
      <c r="F905" s="194">
        <v>0</v>
      </c>
      <c r="G905" s="194">
        <f t="shared" si="127"/>
        <v>0</v>
      </c>
      <c r="H905" s="29" t="s">
        <v>453</v>
      </c>
      <c r="I905" s="28" t="s">
        <v>631</v>
      </c>
      <c r="J905" s="30"/>
      <c r="K905" s="30"/>
      <c r="L905" s="30"/>
      <c r="M905" s="30"/>
      <c r="N905" s="30">
        <v>232000</v>
      </c>
      <c r="O905" s="30"/>
      <c r="P905" s="30"/>
      <c r="Q905" s="30"/>
      <c r="R905" s="30"/>
      <c r="S905" s="30"/>
      <c r="T905" s="30"/>
      <c r="U905" s="30"/>
      <c r="V905" s="30"/>
      <c r="W905" s="197">
        <f t="shared" si="128"/>
        <v>232000</v>
      </c>
    </row>
    <row r="906" spans="1:23" x14ac:dyDescent="0.3">
      <c r="A906" s="155">
        <v>905</v>
      </c>
      <c r="B906" s="28"/>
      <c r="C906" s="28" t="s">
        <v>1259</v>
      </c>
      <c r="D906" s="194">
        <v>0</v>
      </c>
      <c r="E906" s="194">
        <v>77200</v>
      </c>
      <c r="F906" s="194">
        <v>0</v>
      </c>
      <c r="G906" s="194">
        <f t="shared" si="127"/>
        <v>0</v>
      </c>
      <c r="H906" s="29" t="s">
        <v>453</v>
      </c>
      <c r="I906" s="28" t="s">
        <v>631</v>
      </c>
      <c r="J906" s="30"/>
      <c r="K906" s="30"/>
      <c r="L906" s="30"/>
      <c r="M906" s="30"/>
      <c r="N906" s="194">
        <v>77200</v>
      </c>
      <c r="O906" s="30"/>
      <c r="P906" s="30"/>
      <c r="Q906" s="30"/>
      <c r="R906" s="30"/>
      <c r="S906" s="30"/>
      <c r="T906" s="30"/>
      <c r="U906" s="30"/>
      <c r="V906" s="30"/>
      <c r="W906" s="197">
        <f t="shared" si="128"/>
        <v>77200</v>
      </c>
    </row>
    <row r="907" spans="1:23" x14ac:dyDescent="0.3">
      <c r="A907" s="155">
        <v>906</v>
      </c>
      <c r="B907" s="28"/>
      <c r="C907" s="28" t="s">
        <v>873</v>
      </c>
      <c r="D907" s="194">
        <v>0</v>
      </c>
      <c r="E907" s="194">
        <v>92800</v>
      </c>
      <c r="F907" s="194">
        <v>0</v>
      </c>
      <c r="G907" s="194">
        <f t="shared" si="127"/>
        <v>0</v>
      </c>
      <c r="H907" s="29" t="s">
        <v>453</v>
      </c>
      <c r="I907" s="28" t="s">
        <v>631</v>
      </c>
      <c r="J907" s="30"/>
      <c r="K907" s="30"/>
      <c r="L907" s="30"/>
      <c r="M907" s="30"/>
      <c r="N907" s="194">
        <v>92800</v>
      </c>
      <c r="O907" s="30"/>
      <c r="P907" s="30"/>
      <c r="Q907" s="30"/>
      <c r="R907" s="30"/>
      <c r="S907" s="30"/>
      <c r="T907" s="30"/>
      <c r="U907" s="30"/>
      <c r="V907" s="30"/>
      <c r="W907" s="197">
        <f t="shared" si="128"/>
        <v>92800</v>
      </c>
    </row>
    <row r="908" spans="1:23" x14ac:dyDescent="0.3">
      <c r="A908" s="155">
        <v>907</v>
      </c>
      <c r="B908" s="28"/>
      <c r="C908" s="28" t="s">
        <v>1260</v>
      </c>
      <c r="D908" s="194">
        <v>0</v>
      </c>
      <c r="E908" s="194">
        <v>108000</v>
      </c>
      <c r="F908" s="194">
        <v>0</v>
      </c>
      <c r="G908" s="194">
        <f t="shared" si="127"/>
        <v>0</v>
      </c>
      <c r="H908" s="29" t="s">
        <v>453</v>
      </c>
      <c r="I908" s="28" t="s">
        <v>631</v>
      </c>
      <c r="J908" s="30"/>
      <c r="K908" s="30"/>
      <c r="L908" s="30"/>
      <c r="M908" s="30"/>
      <c r="N908" s="30">
        <v>108000</v>
      </c>
      <c r="O908" s="30"/>
      <c r="P908" s="30"/>
      <c r="Q908" s="30"/>
      <c r="R908" s="30"/>
      <c r="S908" s="30"/>
      <c r="T908" s="30"/>
      <c r="U908" s="30"/>
      <c r="V908" s="30"/>
      <c r="W908" s="197">
        <f t="shared" si="128"/>
        <v>108000</v>
      </c>
    </row>
    <row r="909" spans="1:23" x14ac:dyDescent="0.3">
      <c r="A909" s="155">
        <v>908</v>
      </c>
      <c r="B909" s="28"/>
      <c r="C909" s="28" t="s">
        <v>1261</v>
      </c>
      <c r="D909" s="194">
        <v>0</v>
      </c>
      <c r="E909" s="194">
        <v>192000</v>
      </c>
      <c r="F909" s="194">
        <v>0</v>
      </c>
      <c r="G909" s="194">
        <f t="shared" si="127"/>
        <v>0</v>
      </c>
      <c r="H909" s="29" t="s">
        <v>453</v>
      </c>
      <c r="I909" s="28" t="s">
        <v>631</v>
      </c>
      <c r="J909" s="30"/>
      <c r="K909" s="30"/>
      <c r="L909" s="30"/>
      <c r="M909" s="30"/>
      <c r="N909" s="30">
        <v>192000</v>
      </c>
      <c r="O909" s="30"/>
      <c r="P909" s="30"/>
      <c r="Q909" s="30"/>
      <c r="R909" s="30"/>
      <c r="S909" s="30"/>
      <c r="T909" s="30"/>
      <c r="U909" s="30"/>
      <c r="V909" s="30"/>
      <c r="W909" s="197">
        <f t="shared" si="128"/>
        <v>192000</v>
      </c>
    </row>
    <row r="910" spans="1:23" x14ac:dyDescent="0.3">
      <c r="A910" s="155">
        <v>909</v>
      </c>
      <c r="B910" s="28"/>
      <c r="C910" s="28" t="s">
        <v>1262</v>
      </c>
      <c r="D910" s="194">
        <v>0</v>
      </c>
      <c r="E910" s="194">
        <v>3852000</v>
      </c>
      <c r="F910" s="194">
        <v>0</v>
      </c>
      <c r="G910" s="194">
        <f t="shared" si="127"/>
        <v>0</v>
      </c>
      <c r="H910" s="29" t="s">
        <v>453</v>
      </c>
      <c r="I910" s="28" t="s">
        <v>631</v>
      </c>
      <c r="J910" s="30"/>
      <c r="K910" s="30"/>
      <c r="L910" s="30"/>
      <c r="M910" s="30"/>
      <c r="N910" s="30">
        <v>3852000</v>
      </c>
      <c r="O910" s="30"/>
      <c r="P910" s="30"/>
      <c r="Q910" s="30"/>
      <c r="R910" s="30"/>
      <c r="S910" s="30"/>
      <c r="T910" s="30"/>
      <c r="U910" s="30"/>
      <c r="V910" s="30"/>
      <c r="W910" s="197">
        <f t="shared" si="128"/>
        <v>3852000</v>
      </c>
    </row>
    <row r="911" spans="1:23" x14ac:dyDescent="0.3">
      <c r="A911" s="155">
        <v>910</v>
      </c>
      <c r="B911" s="28"/>
      <c r="C911" s="28" t="s">
        <v>1263</v>
      </c>
      <c r="D911" s="194">
        <v>0</v>
      </c>
      <c r="E911" s="194">
        <v>28000</v>
      </c>
      <c r="F911" s="194">
        <v>50000</v>
      </c>
      <c r="G911" s="194"/>
      <c r="H911" s="29" t="s">
        <v>452</v>
      </c>
      <c r="I911" s="28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97"/>
    </row>
    <row r="912" spans="1:23" x14ac:dyDescent="0.3">
      <c r="A912" s="155">
        <v>911</v>
      </c>
      <c r="B912" s="28"/>
      <c r="C912" s="28" t="s">
        <v>1210</v>
      </c>
      <c r="D912" s="194">
        <v>0</v>
      </c>
      <c r="E912" s="194">
        <v>184000</v>
      </c>
      <c r="F912" s="194">
        <v>0</v>
      </c>
      <c r="G912" s="194">
        <f t="shared" ref="G912:G936" si="129">D912</f>
        <v>0</v>
      </c>
      <c r="H912" s="29" t="s">
        <v>453</v>
      </c>
      <c r="I912" s="28" t="s">
        <v>631</v>
      </c>
      <c r="J912" s="30"/>
      <c r="K912" s="30"/>
      <c r="L912" s="30"/>
      <c r="M912" s="30"/>
      <c r="N912" s="30">
        <v>184000</v>
      </c>
      <c r="O912" s="30"/>
      <c r="P912" s="30"/>
      <c r="Q912" s="30"/>
      <c r="R912" s="30"/>
      <c r="S912" s="30"/>
      <c r="T912" s="30"/>
      <c r="U912" s="30"/>
      <c r="V912" s="30"/>
      <c r="W912" s="197">
        <f t="shared" ref="W912:W936" si="130">SUM(J912:V912)</f>
        <v>184000</v>
      </c>
    </row>
    <row r="913" spans="1:23" x14ac:dyDescent="0.3">
      <c r="A913" s="155">
        <v>912</v>
      </c>
      <c r="B913" s="28"/>
      <c r="C913" s="28" t="s">
        <v>1264</v>
      </c>
      <c r="D913" s="194">
        <v>0</v>
      </c>
      <c r="E913" s="194">
        <v>1236000</v>
      </c>
      <c r="F913" s="194">
        <v>0</v>
      </c>
      <c r="G913" s="194">
        <f t="shared" si="129"/>
        <v>0</v>
      </c>
      <c r="H913" s="29" t="s">
        <v>453</v>
      </c>
      <c r="I913" s="28" t="s">
        <v>631</v>
      </c>
      <c r="J913" s="30"/>
      <c r="K913" s="30"/>
      <c r="L913" s="30"/>
      <c r="M913" s="30"/>
      <c r="N913" s="30">
        <v>1236000</v>
      </c>
      <c r="O913" s="30"/>
      <c r="P913" s="30"/>
      <c r="Q913" s="30"/>
      <c r="R913" s="30"/>
      <c r="S913" s="30"/>
      <c r="T913" s="30"/>
      <c r="U913" s="30"/>
      <c r="V913" s="30"/>
      <c r="W913" s="197">
        <f t="shared" si="130"/>
        <v>1236000</v>
      </c>
    </row>
    <row r="914" spans="1:23" x14ac:dyDescent="0.3">
      <c r="A914" s="155">
        <v>913</v>
      </c>
      <c r="B914" s="28"/>
      <c r="C914" s="28" t="s">
        <v>1265</v>
      </c>
      <c r="D914" s="194">
        <v>0</v>
      </c>
      <c r="E914" s="194">
        <v>276000</v>
      </c>
      <c r="F914" s="194">
        <v>0</v>
      </c>
      <c r="G914" s="194">
        <f t="shared" si="129"/>
        <v>0</v>
      </c>
      <c r="H914" s="29" t="s">
        <v>453</v>
      </c>
      <c r="I914" s="28" t="s">
        <v>631</v>
      </c>
      <c r="J914" s="30"/>
      <c r="K914" s="30"/>
      <c r="L914" s="30"/>
      <c r="M914" s="30"/>
      <c r="N914" s="30">
        <v>276000</v>
      </c>
      <c r="O914" s="30"/>
      <c r="P914" s="30"/>
      <c r="Q914" s="30"/>
      <c r="R914" s="30"/>
      <c r="S914" s="30"/>
      <c r="T914" s="30"/>
      <c r="U914" s="30"/>
      <c r="V914" s="30"/>
      <c r="W914" s="197">
        <f t="shared" si="130"/>
        <v>276000</v>
      </c>
    </row>
    <row r="915" spans="1:23" x14ac:dyDescent="0.3">
      <c r="A915" s="155">
        <v>914</v>
      </c>
      <c r="B915" s="28"/>
      <c r="C915" s="28" t="s">
        <v>1266</v>
      </c>
      <c r="D915" s="194">
        <v>0</v>
      </c>
      <c r="E915" s="194">
        <v>184000</v>
      </c>
      <c r="F915" s="194">
        <v>0</v>
      </c>
      <c r="G915" s="194">
        <f t="shared" si="129"/>
        <v>0</v>
      </c>
      <c r="H915" s="29" t="s">
        <v>453</v>
      </c>
      <c r="I915" s="28" t="s">
        <v>631</v>
      </c>
      <c r="J915" s="30"/>
      <c r="K915" s="30"/>
      <c r="L915" s="30"/>
      <c r="M915" s="30"/>
      <c r="N915" s="30">
        <v>184000</v>
      </c>
      <c r="O915" s="30"/>
      <c r="P915" s="30"/>
      <c r="Q915" s="30"/>
      <c r="R915" s="30"/>
      <c r="S915" s="30"/>
      <c r="T915" s="30"/>
      <c r="U915" s="30"/>
      <c r="V915" s="30"/>
      <c r="W915" s="197">
        <f t="shared" si="130"/>
        <v>184000</v>
      </c>
    </row>
    <row r="916" spans="1:23" x14ac:dyDescent="0.3">
      <c r="A916" s="155">
        <v>915</v>
      </c>
      <c r="B916" s="28"/>
      <c r="C916" s="28" t="s">
        <v>1144</v>
      </c>
      <c r="D916" s="194">
        <v>0</v>
      </c>
      <c r="E916" s="194">
        <v>24000</v>
      </c>
      <c r="F916" s="194">
        <v>0</v>
      </c>
      <c r="G916" s="194">
        <f t="shared" si="129"/>
        <v>0</v>
      </c>
      <c r="H916" s="29" t="s">
        <v>453</v>
      </c>
      <c r="I916" s="28" t="s">
        <v>631</v>
      </c>
      <c r="J916" s="30"/>
      <c r="K916" s="30"/>
      <c r="L916" s="30"/>
      <c r="M916" s="30"/>
      <c r="N916" s="30">
        <v>24000</v>
      </c>
      <c r="O916" s="30"/>
      <c r="P916" s="30"/>
      <c r="Q916" s="30"/>
      <c r="R916" s="30"/>
      <c r="S916" s="30"/>
      <c r="T916" s="30"/>
      <c r="U916" s="30"/>
      <c r="V916" s="30"/>
      <c r="W916" s="197">
        <f t="shared" si="130"/>
        <v>24000</v>
      </c>
    </row>
    <row r="917" spans="1:23" x14ac:dyDescent="0.3">
      <c r="A917" s="155">
        <v>916</v>
      </c>
      <c r="B917" s="28"/>
      <c r="C917" s="28" t="s">
        <v>1267</v>
      </c>
      <c r="D917" s="194">
        <v>0</v>
      </c>
      <c r="E917" s="194">
        <v>116000</v>
      </c>
      <c r="F917" s="194">
        <v>0</v>
      </c>
      <c r="G917" s="194">
        <f t="shared" si="129"/>
        <v>0</v>
      </c>
      <c r="H917" s="29" t="s">
        <v>453</v>
      </c>
      <c r="I917" s="28" t="s">
        <v>631</v>
      </c>
      <c r="J917" s="30"/>
      <c r="K917" s="30"/>
      <c r="L917" s="30"/>
      <c r="M917" s="30"/>
      <c r="N917" s="30">
        <v>116000</v>
      </c>
      <c r="O917" s="30"/>
      <c r="P917" s="30"/>
      <c r="Q917" s="30"/>
      <c r="R917" s="30"/>
      <c r="S917" s="30"/>
      <c r="T917" s="30"/>
      <c r="U917" s="30"/>
      <c r="V917" s="30"/>
      <c r="W917" s="197">
        <f t="shared" si="130"/>
        <v>116000</v>
      </c>
    </row>
    <row r="918" spans="1:23" x14ac:dyDescent="0.3">
      <c r="A918" s="155">
        <v>917</v>
      </c>
      <c r="B918" s="28"/>
      <c r="C918" s="28" t="s">
        <v>1268</v>
      </c>
      <c r="D918" s="194">
        <v>0</v>
      </c>
      <c r="E918" s="194">
        <v>772000</v>
      </c>
      <c r="F918" s="194">
        <v>0</v>
      </c>
      <c r="G918" s="194">
        <f t="shared" si="129"/>
        <v>0</v>
      </c>
      <c r="H918" s="29" t="s">
        <v>453</v>
      </c>
      <c r="I918" s="28" t="s">
        <v>631</v>
      </c>
      <c r="J918" s="30"/>
      <c r="K918" s="30"/>
      <c r="L918" s="30"/>
      <c r="M918" s="30"/>
      <c r="N918" s="30">
        <v>772000</v>
      </c>
      <c r="O918" s="30"/>
      <c r="P918" s="30"/>
      <c r="Q918" s="30"/>
      <c r="R918" s="30"/>
      <c r="S918" s="30"/>
      <c r="T918" s="30"/>
      <c r="U918" s="30"/>
      <c r="V918" s="30"/>
      <c r="W918" s="197">
        <f t="shared" si="130"/>
        <v>772000</v>
      </c>
    </row>
    <row r="919" spans="1:23" x14ac:dyDescent="0.3">
      <c r="A919" s="155">
        <v>918</v>
      </c>
      <c r="B919" s="28"/>
      <c r="C919" s="28" t="s">
        <v>1269</v>
      </c>
      <c r="D919" s="194">
        <v>0</v>
      </c>
      <c r="E919" s="194">
        <v>278000</v>
      </c>
      <c r="F919" s="194">
        <v>0</v>
      </c>
      <c r="G919" s="194">
        <f t="shared" si="129"/>
        <v>0</v>
      </c>
      <c r="H919" s="29" t="s">
        <v>453</v>
      </c>
      <c r="I919" s="28" t="s">
        <v>631</v>
      </c>
      <c r="J919" s="30"/>
      <c r="K919" s="30"/>
      <c r="L919" s="30"/>
      <c r="M919" s="30"/>
      <c r="N919" s="30">
        <v>278000</v>
      </c>
      <c r="O919" s="30"/>
      <c r="P919" s="30"/>
      <c r="Q919" s="30"/>
      <c r="R919" s="30"/>
      <c r="S919" s="30"/>
      <c r="T919" s="30"/>
      <c r="U919" s="30"/>
      <c r="V919" s="30"/>
      <c r="W919" s="197">
        <f t="shared" si="130"/>
        <v>278000</v>
      </c>
    </row>
    <row r="920" spans="1:23" x14ac:dyDescent="0.3">
      <c r="A920" s="155">
        <v>919</v>
      </c>
      <c r="B920" s="28"/>
      <c r="C920" s="28" t="s">
        <v>1270</v>
      </c>
      <c r="D920" s="194">
        <v>0</v>
      </c>
      <c r="E920" s="194">
        <v>4000</v>
      </c>
      <c r="F920" s="194">
        <v>0</v>
      </c>
      <c r="G920" s="194">
        <f t="shared" si="129"/>
        <v>0</v>
      </c>
      <c r="H920" s="29" t="s">
        <v>453</v>
      </c>
      <c r="I920" s="28" t="s">
        <v>631</v>
      </c>
      <c r="J920" s="30"/>
      <c r="K920" s="30"/>
      <c r="L920" s="30"/>
      <c r="M920" s="30"/>
      <c r="N920" s="30">
        <v>4000</v>
      </c>
      <c r="O920" s="30"/>
      <c r="P920" s="30"/>
      <c r="Q920" s="30"/>
      <c r="R920" s="30"/>
      <c r="S920" s="30"/>
      <c r="T920" s="30"/>
      <c r="U920" s="30"/>
      <c r="V920" s="30"/>
      <c r="W920" s="197">
        <f t="shared" si="130"/>
        <v>4000</v>
      </c>
    </row>
    <row r="921" spans="1:23" x14ac:dyDescent="0.3">
      <c r="A921" s="155">
        <v>920</v>
      </c>
      <c r="B921" s="28"/>
      <c r="C921" s="28" t="s">
        <v>1208</v>
      </c>
      <c r="D921" s="194">
        <v>0</v>
      </c>
      <c r="E921" s="194">
        <v>360000</v>
      </c>
      <c r="F921" s="194">
        <v>0</v>
      </c>
      <c r="G921" s="194">
        <f t="shared" si="129"/>
        <v>0</v>
      </c>
      <c r="H921" s="29" t="s">
        <v>453</v>
      </c>
      <c r="I921" s="28" t="s">
        <v>631</v>
      </c>
      <c r="J921" s="30"/>
      <c r="K921" s="30"/>
      <c r="L921" s="30"/>
      <c r="M921" s="30"/>
      <c r="N921" s="30">
        <v>360000</v>
      </c>
      <c r="O921" s="30"/>
      <c r="P921" s="30"/>
      <c r="Q921" s="30"/>
      <c r="R921" s="30"/>
      <c r="S921" s="30"/>
      <c r="T921" s="30"/>
      <c r="U921" s="30"/>
      <c r="V921" s="30"/>
      <c r="W921" s="197">
        <f t="shared" si="130"/>
        <v>360000</v>
      </c>
    </row>
    <row r="922" spans="1:23" x14ac:dyDescent="0.3">
      <c r="A922" s="155">
        <v>921</v>
      </c>
      <c r="B922" s="28"/>
      <c r="C922" s="28" t="s">
        <v>1269</v>
      </c>
      <c r="D922" s="194">
        <v>0</v>
      </c>
      <c r="E922" s="194">
        <v>278000</v>
      </c>
      <c r="F922" s="194">
        <v>0</v>
      </c>
      <c r="G922" s="194">
        <f t="shared" si="129"/>
        <v>0</v>
      </c>
      <c r="H922" s="29" t="s">
        <v>453</v>
      </c>
      <c r="I922" s="28" t="s">
        <v>631</v>
      </c>
      <c r="J922" s="30"/>
      <c r="K922" s="30"/>
      <c r="L922" s="30"/>
      <c r="M922" s="30"/>
      <c r="N922" s="30">
        <v>278000</v>
      </c>
      <c r="O922" s="30"/>
      <c r="P922" s="30"/>
      <c r="Q922" s="30"/>
      <c r="R922" s="30"/>
      <c r="S922" s="30"/>
      <c r="T922" s="30"/>
      <c r="U922" s="30"/>
      <c r="V922" s="30"/>
      <c r="W922" s="197">
        <f t="shared" si="130"/>
        <v>278000</v>
      </c>
    </row>
    <row r="923" spans="1:23" x14ac:dyDescent="0.3">
      <c r="A923" s="155">
        <v>922</v>
      </c>
      <c r="B923" s="28"/>
      <c r="C923" s="28" t="s">
        <v>1271</v>
      </c>
      <c r="D923" s="194">
        <v>0</v>
      </c>
      <c r="E923" s="194">
        <v>772000</v>
      </c>
      <c r="F923" s="194">
        <v>0</v>
      </c>
      <c r="G923" s="194">
        <f t="shared" si="129"/>
        <v>0</v>
      </c>
      <c r="H923" s="29" t="s">
        <v>453</v>
      </c>
      <c r="I923" s="28" t="s">
        <v>631</v>
      </c>
      <c r="J923" s="30"/>
      <c r="K923" s="30"/>
      <c r="L923" s="30"/>
      <c r="M923" s="30"/>
      <c r="N923" s="30">
        <v>772000</v>
      </c>
      <c r="O923" s="30"/>
      <c r="P923" s="30"/>
      <c r="Q923" s="30"/>
      <c r="R923" s="30"/>
      <c r="S923" s="30"/>
      <c r="T923" s="30"/>
      <c r="U923" s="30"/>
      <c r="V923" s="30"/>
      <c r="W923" s="197">
        <f t="shared" si="130"/>
        <v>772000</v>
      </c>
    </row>
    <row r="924" spans="1:23" x14ac:dyDescent="0.3">
      <c r="A924" s="155">
        <v>923</v>
      </c>
      <c r="B924" s="28"/>
      <c r="C924" s="28" t="s">
        <v>1272</v>
      </c>
      <c r="D924" s="194">
        <v>0</v>
      </c>
      <c r="E924" s="194">
        <v>184000</v>
      </c>
      <c r="F924" s="194">
        <v>0</v>
      </c>
      <c r="G924" s="194">
        <f t="shared" si="129"/>
        <v>0</v>
      </c>
      <c r="H924" s="29" t="s">
        <v>453</v>
      </c>
      <c r="I924" s="28" t="s">
        <v>631</v>
      </c>
      <c r="J924" s="30"/>
      <c r="K924" s="30"/>
      <c r="L924" s="30"/>
      <c r="M924" s="30"/>
      <c r="N924" s="30">
        <v>184000</v>
      </c>
      <c r="O924" s="30"/>
      <c r="P924" s="30"/>
      <c r="Q924" s="30"/>
      <c r="R924" s="30"/>
      <c r="S924" s="30"/>
      <c r="T924" s="30"/>
      <c r="U924" s="30"/>
      <c r="V924" s="30"/>
      <c r="W924" s="197">
        <f t="shared" si="130"/>
        <v>184000</v>
      </c>
    </row>
    <row r="925" spans="1:23" x14ac:dyDescent="0.3">
      <c r="A925" s="155">
        <v>924</v>
      </c>
      <c r="B925" s="28"/>
      <c r="C925" s="28" t="s">
        <v>1273</v>
      </c>
      <c r="D925" s="194">
        <v>0</v>
      </c>
      <c r="E925" s="194">
        <v>72000</v>
      </c>
      <c r="F925" s="194">
        <v>0</v>
      </c>
      <c r="G925" s="194">
        <f t="shared" si="129"/>
        <v>0</v>
      </c>
      <c r="H925" s="29" t="s">
        <v>453</v>
      </c>
      <c r="I925" s="28" t="s">
        <v>631</v>
      </c>
      <c r="J925" s="30"/>
      <c r="K925" s="30"/>
      <c r="L925" s="30"/>
      <c r="M925" s="30"/>
      <c r="N925" s="30">
        <v>72000</v>
      </c>
      <c r="O925" s="30"/>
      <c r="P925" s="30"/>
      <c r="Q925" s="30"/>
      <c r="R925" s="30"/>
      <c r="S925" s="30"/>
      <c r="T925" s="30"/>
      <c r="U925" s="30"/>
      <c r="V925" s="30"/>
      <c r="W925" s="197">
        <f t="shared" si="130"/>
        <v>72000</v>
      </c>
    </row>
    <row r="926" spans="1:23" x14ac:dyDescent="0.3">
      <c r="A926" s="155">
        <v>925</v>
      </c>
      <c r="B926" s="28"/>
      <c r="C926" s="28" t="s">
        <v>1274</v>
      </c>
      <c r="D926" s="194">
        <v>0</v>
      </c>
      <c r="E926" s="194">
        <v>4000</v>
      </c>
      <c r="F926" s="194">
        <v>0</v>
      </c>
      <c r="G926" s="194">
        <f t="shared" si="129"/>
        <v>0</v>
      </c>
      <c r="H926" s="29" t="s">
        <v>453</v>
      </c>
      <c r="I926" s="28" t="s">
        <v>631</v>
      </c>
      <c r="J926" s="30"/>
      <c r="K926" s="30"/>
      <c r="L926" s="30"/>
      <c r="M926" s="30"/>
      <c r="N926" s="30">
        <v>4000</v>
      </c>
      <c r="O926" s="30"/>
      <c r="P926" s="30"/>
      <c r="Q926" s="30"/>
      <c r="R926" s="30"/>
      <c r="S926" s="30"/>
      <c r="T926" s="30"/>
      <c r="U926" s="30"/>
      <c r="V926" s="30"/>
      <c r="W926" s="197">
        <f t="shared" si="130"/>
        <v>4000</v>
      </c>
    </row>
    <row r="927" spans="1:23" x14ac:dyDescent="0.3">
      <c r="A927" s="155">
        <v>926</v>
      </c>
      <c r="B927" s="28"/>
      <c r="C927" s="28" t="s">
        <v>1275</v>
      </c>
      <c r="D927" s="194">
        <v>0</v>
      </c>
      <c r="E927" s="194">
        <v>372000</v>
      </c>
      <c r="F927" s="194">
        <v>0</v>
      </c>
      <c r="G927" s="194">
        <f t="shared" si="129"/>
        <v>0</v>
      </c>
      <c r="H927" s="29" t="s">
        <v>453</v>
      </c>
      <c r="I927" s="28" t="s">
        <v>631</v>
      </c>
      <c r="J927" s="30"/>
      <c r="K927" s="30"/>
      <c r="L927" s="30"/>
      <c r="M927" s="30"/>
      <c r="N927" s="194">
        <v>372000</v>
      </c>
      <c r="O927" s="30"/>
      <c r="P927" s="30"/>
      <c r="Q927" s="30"/>
      <c r="R927" s="30"/>
      <c r="S927" s="30"/>
      <c r="T927" s="30"/>
      <c r="U927" s="30"/>
      <c r="V927" s="30"/>
      <c r="W927" s="197">
        <f t="shared" si="130"/>
        <v>372000</v>
      </c>
    </row>
    <row r="928" spans="1:23" x14ac:dyDescent="0.3">
      <c r="A928" s="155">
        <v>927</v>
      </c>
      <c r="B928" s="28"/>
      <c r="C928" s="28" t="s">
        <v>1276</v>
      </c>
      <c r="D928" s="194">
        <v>0</v>
      </c>
      <c r="E928" s="194">
        <v>432000</v>
      </c>
      <c r="F928" s="194">
        <v>0</v>
      </c>
      <c r="G928" s="194">
        <f t="shared" si="129"/>
        <v>0</v>
      </c>
      <c r="H928" s="29" t="s">
        <v>453</v>
      </c>
      <c r="I928" s="28" t="s">
        <v>631</v>
      </c>
      <c r="J928" s="30"/>
      <c r="K928" s="30"/>
      <c r="L928" s="30"/>
      <c r="M928" s="30"/>
      <c r="N928" s="30">
        <v>432000</v>
      </c>
      <c r="O928" s="30"/>
      <c r="P928" s="30"/>
      <c r="Q928" s="30"/>
      <c r="R928" s="30"/>
      <c r="S928" s="30"/>
      <c r="T928" s="30"/>
      <c r="U928" s="30"/>
      <c r="V928" s="30"/>
      <c r="W928" s="197">
        <f t="shared" si="130"/>
        <v>432000</v>
      </c>
    </row>
    <row r="929" spans="1:23" x14ac:dyDescent="0.3">
      <c r="A929" s="155">
        <v>928</v>
      </c>
      <c r="B929" s="28"/>
      <c r="C929" s="28" t="s">
        <v>1277</v>
      </c>
      <c r="D929" s="194">
        <v>0</v>
      </c>
      <c r="E929" s="194">
        <v>464000</v>
      </c>
      <c r="F929" s="194">
        <v>0</v>
      </c>
      <c r="G929" s="194">
        <f t="shared" si="129"/>
        <v>0</v>
      </c>
      <c r="H929" s="29" t="s">
        <v>453</v>
      </c>
      <c r="I929" s="28" t="s">
        <v>631</v>
      </c>
      <c r="J929" s="30"/>
      <c r="K929" s="30"/>
      <c r="L929" s="30"/>
      <c r="M929" s="30"/>
      <c r="N929" s="30">
        <v>464000</v>
      </c>
      <c r="O929" s="30"/>
      <c r="P929" s="30"/>
      <c r="Q929" s="30"/>
      <c r="R929" s="30"/>
      <c r="S929" s="30"/>
      <c r="T929" s="30"/>
      <c r="U929" s="30"/>
      <c r="V929" s="30"/>
      <c r="W929" s="197">
        <f t="shared" si="130"/>
        <v>464000</v>
      </c>
    </row>
    <row r="930" spans="1:23" x14ac:dyDescent="0.3">
      <c r="A930" s="155">
        <v>929</v>
      </c>
      <c r="B930" s="28"/>
      <c r="C930" s="28" t="s">
        <v>1278</v>
      </c>
      <c r="D930" s="194">
        <v>0</v>
      </c>
      <c r="E930" s="194">
        <v>680000</v>
      </c>
      <c r="F930" s="194">
        <v>0</v>
      </c>
      <c r="G930" s="194">
        <f t="shared" si="129"/>
        <v>0</v>
      </c>
      <c r="H930" s="29" t="s">
        <v>453</v>
      </c>
      <c r="I930" s="28" t="s">
        <v>631</v>
      </c>
      <c r="J930" s="30"/>
      <c r="K930" s="30"/>
      <c r="L930" s="30"/>
      <c r="M930" s="30"/>
      <c r="N930" s="30">
        <v>680000</v>
      </c>
      <c r="O930" s="30"/>
      <c r="P930" s="30"/>
      <c r="Q930" s="30"/>
      <c r="R930" s="30"/>
      <c r="S930" s="30"/>
      <c r="T930" s="30"/>
      <c r="U930" s="30"/>
      <c r="V930" s="30"/>
      <c r="W930" s="197">
        <f t="shared" si="130"/>
        <v>680000</v>
      </c>
    </row>
    <row r="931" spans="1:23" x14ac:dyDescent="0.3">
      <c r="A931" s="155">
        <v>930</v>
      </c>
      <c r="B931" s="28"/>
      <c r="C931" s="28" t="s">
        <v>1279</v>
      </c>
      <c r="D931" s="194">
        <v>0</v>
      </c>
      <c r="E931" s="194">
        <v>92000</v>
      </c>
      <c r="F931" s="194">
        <v>0</v>
      </c>
      <c r="G931" s="194">
        <f t="shared" si="129"/>
        <v>0</v>
      </c>
      <c r="H931" s="29" t="s">
        <v>453</v>
      </c>
      <c r="I931" s="28" t="s">
        <v>631</v>
      </c>
      <c r="J931" s="30"/>
      <c r="K931" s="30"/>
      <c r="L931" s="30"/>
      <c r="M931" s="30"/>
      <c r="N931" s="30">
        <v>92000</v>
      </c>
      <c r="O931" s="30"/>
      <c r="P931" s="30"/>
      <c r="Q931" s="30"/>
      <c r="R931" s="30"/>
      <c r="S931" s="30"/>
      <c r="T931" s="30"/>
      <c r="U931" s="30"/>
      <c r="V931" s="30"/>
      <c r="W931" s="197">
        <f t="shared" si="130"/>
        <v>92000</v>
      </c>
    </row>
    <row r="932" spans="1:23" x14ac:dyDescent="0.3">
      <c r="A932" s="155">
        <v>931</v>
      </c>
      <c r="B932" s="28"/>
      <c r="C932" s="28" t="s">
        <v>1189</v>
      </c>
      <c r="D932" s="194">
        <v>0</v>
      </c>
      <c r="E932" s="194">
        <v>30800</v>
      </c>
      <c r="F932" s="194">
        <v>0</v>
      </c>
      <c r="G932" s="194">
        <f t="shared" si="129"/>
        <v>0</v>
      </c>
      <c r="H932" s="29" t="s">
        <v>453</v>
      </c>
      <c r="I932" s="28" t="s">
        <v>631</v>
      </c>
      <c r="J932" s="30"/>
      <c r="K932" s="30"/>
      <c r="L932" s="30"/>
      <c r="M932" s="30"/>
      <c r="N932" s="194">
        <v>30800</v>
      </c>
      <c r="O932" s="30"/>
      <c r="P932" s="30"/>
      <c r="Q932" s="30"/>
      <c r="R932" s="30"/>
      <c r="S932" s="30"/>
      <c r="T932" s="30"/>
      <c r="U932" s="30"/>
      <c r="V932" s="30"/>
      <c r="W932" s="197">
        <f t="shared" si="130"/>
        <v>30800</v>
      </c>
    </row>
    <row r="933" spans="1:23" x14ac:dyDescent="0.3">
      <c r="A933" s="155">
        <v>932</v>
      </c>
      <c r="B933" s="28"/>
      <c r="C933" s="28" t="s">
        <v>873</v>
      </c>
      <c r="D933" s="194">
        <v>0</v>
      </c>
      <c r="E933" s="194">
        <v>92800</v>
      </c>
      <c r="F933" s="194">
        <v>0</v>
      </c>
      <c r="G933" s="194">
        <f t="shared" si="129"/>
        <v>0</v>
      </c>
      <c r="H933" s="29" t="s">
        <v>453</v>
      </c>
      <c r="I933" s="28" t="s">
        <v>631</v>
      </c>
      <c r="J933" s="30"/>
      <c r="K933" s="30"/>
      <c r="L933" s="30"/>
      <c r="M933" s="30"/>
      <c r="N933" s="194">
        <v>92800</v>
      </c>
      <c r="O933" s="30"/>
      <c r="P933" s="30"/>
      <c r="Q933" s="30"/>
      <c r="R933" s="30"/>
      <c r="S933" s="30"/>
      <c r="T933" s="30"/>
      <c r="U933" s="30"/>
      <c r="V933" s="30"/>
      <c r="W933" s="197">
        <f t="shared" si="130"/>
        <v>92800</v>
      </c>
    </row>
    <row r="934" spans="1:23" x14ac:dyDescent="0.3">
      <c r="A934" s="155">
        <v>933</v>
      </c>
      <c r="B934" s="28"/>
      <c r="C934" s="28" t="s">
        <v>1280</v>
      </c>
      <c r="D934" s="194">
        <v>0</v>
      </c>
      <c r="E934" s="194">
        <v>25600</v>
      </c>
      <c r="F934" s="194">
        <v>0</v>
      </c>
      <c r="G934" s="194">
        <f t="shared" si="129"/>
        <v>0</v>
      </c>
      <c r="H934" s="29" t="s">
        <v>453</v>
      </c>
      <c r="I934" s="28" t="s">
        <v>631</v>
      </c>
      <c r="J934" s="30"/>
      <c r="K934" s="30"/>
      <c r="L934" s="30"/>
      <c r="M934" s="30"/>
      <c r="N934" s="194">
        <v>25600</v>
      </c>
      <c r="O934" s="30"/>
      <c r="P934" s="30"/>
      <c r="Q934" s="30"/>
      <c r="R934" s="30"/>
      <c r="S934" s="30"/>
      <c r="T934" s="30"/>
      <c r="U934" s="30"/>
      <c r="V934" s="30"/>
      <c r="W934" s="197">
        <f t="shared" si="130"/>
        <v>25600</v>
      </c>
    </row>
    <row r="935" spans="1:23" x14ac:dyDescent="0.3">
      <c r="A935" s="155">
        <v>934</v>
      </c>
      <c r="B935" s="28"/>
      <c r="C935" s="28" t="s">
        <v>1281</v>
      </c>
      <c r="D935" s="194">
        <v>0</v>
      </c>
      <c r="E935" s="194">
        <v>11600</v>
      </c>
      <c r="F935" s="194">
        <v>0</v>
      </c>
      <c r="G935" s="194">
        <f t="shared" si="129"/>
        <v>0</v>
      </c>
      <c r="H935" s="29" t="s">
        <v>453</v>
      </c>
      <c r="I935" s="28" t="s">
        <v>631</v>
      </c>
      <c r="J935" s="30"/>
      <c r="K935" s="30"/>
      <c r="L935" s="30"/>
      <c r="M935" s="30"/>
      <c r="N935" s="194">
        <v>11600</v>
      </c>
      <c r="O935" s="30"/>
      <c r="P935" s="30"/>
      <c r="Q935" s="30"/>
      <c r="R935" s="30"/>
      <c r="S935" s="30"/>
      <c r="T935" s="30"/>
      <c r="U935" s="30"/>
      <c r="V935" s="30"/>
      <c r="W935" s="197">
        <f t="shared" si="130"/>
        <v>11600</v>
      </c>
    </row>
    <row r="936" spans="1:23" x14ac:dyDescent="0.3">
      <c r="A936" s="155">
        <v>935</v>
      </c>
      <c r="B936" s="28"/>
      <c r="C936" s="28" t="s">
        <v>873</v>
      </c>
      <c r="D936" s="194">
        <v>0</v>
      </c>
      <c r="E936" s="194">
        <v>1390400</v>
      </c>
      <c r="F936" s="194">
        <v>0</v>
      </c>
      <c r="G936" s="194">
        <f t="shared" si="129"/>
        <v>0</v>
      </c>
      <c r="H936" s="29" t="s">
        <v>453</v>
      </c>
      <c r="I936" s="28" t="s">
        <v>631</v>
      </c>
      <c r="J936" s="30"/>
      <c r="K936" s="30"/>
      <c r="L936" s="30"/>
      <c r="M936" s="30"/>
      <c r="N936" s="194">
        <v>1390400</v>
      </c>
      <c r="O936" s="30"/>
      <c r="P936" s="30"/>
      <c r="Q936" s="30"/>
      <c r="R936" s="30"/>
      <c r="S936" s="30"/>
      <c r="T936" s="30"/>
      <c r="U936" s="30"/>
      <c r="V936" s="30"/>
      <c r="W936" s="197">
        <f t="shared" si="130"/>
        <v>1390400</v>
      </c>
    </row>
    <row r="937" spans="1:23" x14ac:dyDescent="0.3">
      <c r="A937" s="155">
        <v>936</v>
      </c>
      <c r="B937" s="28"/>
      <c r="C937" s="28" t="s">
        <v>1282</v>
      </c>
      <c r="D937" s="194">
        <v>0</v>
      </c>
      <c r="E937" s="194">
        <v>8000</v>
      </c>
      <c r="F937" s="194">
        <v>10000</v>
      </c>
      <c r="G937" s="194"/>
      <c r="H937" s="29" t="s">
        <v>452</v>
      </c>
      <c r="I937" s="28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97"/>
    </row>
    <row r="938" spans="1:23" x14ac:dyDescent="0.3">
      <c r="A938" s="155">
        <v>937</v>
      </c>
      <c r="B938" s="28"/>
      <c r="C938" s="28" t="s">
        <v>1283</v>
      </c>
      <c r="D938" s="194">
        <v>0</v>
      </c>
      <c r="E938" s="194">
        <v>8000</v>
      </c>
      <c r="F938" s="194">
        <v>10000</v>
      </c>
      <c r="G938" s="194"/>
      <c r="H938" s="29" t="s">
        <v>452</v>
      </c>
      <c r="I938" s="28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97"/>
    </row>
    <row r="939" spans="1:23" x14ac:dyDescent="0.3">
      <c r="A939" s="155">
        <v>938</v>
      </c>
      <c r="B939" s="28"/>
      <c r="C939" s="28" t="s">
        <v>957</v>
      </c>
      <c r="D939" s="194">
        <v>0</v>
      </c>
      <c r="E939" s="194">
        <v>232000</v>
      </c>
      <c r="F939" s="194">
        <v>0</v>
      </c>
      <c r="G939" s="194">
        <f t="shared" ref="G939:G942" si="131">D939</f>
        <v>0</v>
      </c>
      <c r="H939" s="29" t="s">
        <v>453</v>
      </c>
      <c r="I939" s="28" t="s">
        <v>631</v>
      </c>
      <c r="J939" s="30"/>
      <c r="K939" s="30"/>
      <c r="L939" s="30"/>
      <c r="M939" s="30"/>
      <c r="N939" s="30">
        <v>232000</v>
      </c>
      <c r="O939" s="30"/>
      <c r="P939" s="30"/>
      <c r="Q939" s="30"/>
      <c r="R939" s="30"/>
      <c r="S939" s="30"/>
      <c r="T939" s="30"/>
      <c r="U939" s="30"/>
      <c r="V939" s="30"/>
      <c r="W939" s="197">
        <f>SUM(J939:V939)</f>
        <v>232000</v>
      </c>
    </row>
    <row r="940" spans="1:23" x14ac:dyDescent="0.3">
      <c r="A940" s="155">
        <v>939</v>
      </c>
      <c r="B940" s="28"/>
      <c r="C940" s="28" t="s">
        <v>1284</v>
      </c>
      <c r="D940" s="194">
        <v>0</v>
      </c>
      <c r="E940" s="194">
        <v>18800</v>
      </c>
      <c r="F940" s="194">
        <v>0</v>
      </c>
      <c r="G940" s="194">
        <f t="shared" si="131"/>
        <v>0</v>
      </c>
      <c r="H940" s="29" t="s">
        <v>453</v>
      </c>
      <c r="I940" s="28" t="s">
        <v>631</v>
      </c>
      <c r="J940" s="30"/>
      <c r="K940" s="30"/>
      <c r="L940" s="30"/>
      <c r="M940" s="30"/>
      <c r="N940" s="30">
        <v>18800</v>
      </c>
      <c r="O940" s="30"/>
      <c r="P940" s="30"/>
      <c r="Q940" s="30"/>
      <c r="R940" s="30"/>
      <c r="S940" s="30"/>
      <c r="T940" s="30"/>
      <c r="U940" s="30"/>
      <c r="V940" s="30"/>
      <c r="W940" s="197">
        <f>SUM(J940:V940)</f>
        <v>18800</v>
      </c>
    </row>
    <row r="941" spans="1:23" x14ac:dyDescent="0.3">
      <c r="A941" s="155">
        <v>940</v>
      </c>
      <c r="B941" s="28"/>
      <c r="C941" s="28" t="s">
        <v>1285</v>
      </c>
      <c r="D941" s="194">
        <v>0</v>
      </c>
      <c r="E941" s="194">
        <v>7200</v>
      </c>
      <c r="F941" s="194">
        <v>0</v>
      </c>
      <c r="G941" s="194">
        <f t="shared" si="131"/>
        <v>0</v>
      </c>
      <c r="H941" s="29" t="s">
        <v>453</v>
      </c>
      <c r="I941" s="28" t="s">
        <v>631</v>
      </c>
      <c r="J941" s="30"/>
      <c r="K941" s="30"/>
      <c r="L941" s="30"/>
      <c r="M941" s="30"/>
      <c r="N941" s="30">
        <v>7200</v>
      </c>
      <c r="O941" s="30"/>
      <c r="P941" s="30"/>
      <c r="Q941" s="30"/>
      <c r="R941" s="30"/>
      <c r="S941" s="30"/>
      <c r="T941" s="30"/>
      <c r="U941" s="30"/>
      <c r="V941" s="30"/>
      <c r="W941" s="197">
        <f>SUM(J941:V941)</f>
        <v>7200</v>
      </c>
    </row>
    <row r="942" spans="1:23" x14ac:dyDescent="0.3">
      <c r="A942" s="155">
        <v>941</v>
      </c>
      <c r="B942" s="28"/>
      <c r="C942" s="28" t="s">
        <v>1286</v>
      </c>
      <c r="D942" s="194">
        <v>0</v>
      </c>
      <c r="E942" s="194">
        <v>628400</v>
      </c>
      <c r="F942" s="194">
        <v>0</v>
      </c>
      <c r="G942" s="194">
        <f t="shared" si="131"/>
        <v>0</v>
      </c>
      <c r="H942" s="29" t="s">
        <v>453</v>
      </c>
      <c r="I942" s="28" t="s">
        <v>631</v>
      </c>
      <c r="J942" s="30"/>
      <c r="K942" s="30"/>
      <c r="L942" s="30"/>
      <c r="M942" s="30"/>
      <c r="N942" s="30">
        <v>628400</v>
      </c>
      <c r="O942" s="30"/>
      <c r="P942" s="30"/>
      <c r="Q942" s="30"/>
      <c r="R942" s="30"/>
      <c r="S942" s="30"/>
      <c r="T942" s="30"/>
      <c r="U942" s="30"/>
      <c r="V942" s="30"/>
      <c r="W942" s="197">
        <f>SUM(J942:V942)</f>
        <v>628400</v>
      </c>
    </row>
    <row r="943" spans="1:23" x14ac:dyDescent="0.3">
      <c r="A943" s="155">
        <v>942</v>
      </c>
      <c r="B943" s="28"/>
      <c r="C943" s="28" t="s">
        <v>1287</v>
      </c>
      <c r="D943" s="194">
        <v>0</v>
      </c>
      <c r="E943" s="194">
        <v>124000</v>
      </c>
      <c r="F943" s="194">
        <v>150000</v>
      </c>
      <c r="G943" s="194"/>
      <c r="H943" s="29" t="s">
        <v>452</v>
      </c>
      <c r="I943" s="28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97"/>
    </row>
    <row r="944" spans="1:23" x14ac:dyDescent="0.3">
      <c r="A944" s="155">
        <v>943</v>
      </c>
      <c r="B944" s="28"/>
      <c r="C944" s="28" t="s">
        <v>1288</v>
      </c>
      <c r="D944" s="194">
        <v>0</v>
      </c>
      <c r="E944" s="194">
        <v>2008000</v>
      </c>
      <c r="F944" s="194">
        <v>0</v>
      </c>
      <c r="G944" s="194">
        <f>D944</f>
        <v>0</v>
      </c>
      <c r="H944" s="29" t="s">
        <v>453</v>
      </c>
      <c r="I944" s="28" t="s">
        <v>631</v>
      </c>
      <c r="J944" s="30"/>
      <c r="K944" s="30"/>
      <c r="L944" s="30"/>
      <c r="M944" s="30"/>
      <c r="N944" s="30">
        <v>2008000</v>
      </c>
      <c r="O944" s="30"/>
      <c r="P944" s="30"/>
      <c r="Q944" s="30"/>
      <c r="R944" s="30"/>
      <c r="S944" s="30"/>
      <c r="T944" s="30"/>
      <c r="U944" s="30"/>
      <c r="V944" s="30"/>
      <c r="W944" s="197">
        <f>SUM(J944:V944)</f>
        <v>2008000</v>
      </c>
    </row>
    <row r="945" spans="1:23" x14ac:dyDescent="0.3">
      <c r="A945" s="155">
        <v>944</v>
      </c>
      <c r="B945" s="28"/>
      <c r="C945" s="28" t="s">
        <v>1289</v>
      </c>
      <c r="D945" s="194">
        <v>0</v>
      </c>
      <c r="E945" s="194">
        <v>200000</v>
      </c>
      <c r="F945" s="194">
        <v>250000</v>
      </c>
      <c r="G945" s="194"/>
      <c r="H945" s="29" t="s">
        <v>452</v>
      </c>
      <c r="I945" s="28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97"/>
    </row>
    <row r="946" spans="1:23" x14ac:dyDescent="0.3">
      <c r="A946" s="155">
        <v>945</v>
      </c>
      <c r="B946" s="28"/>
      <c r="C946" s="28" t="s">
        <v>1290</v>
      </c>
      <c r="D946" s="194">
        <v>0</v>
      </c>
      <c r="E946" s="194">
        <v>100000</v>
      </c>
      <c r="F946" s="194">
        <v>0</v>
      </c>
      <c r="G946" s="194">
        <f t="shared" ref="G946:G959" si="132">D946</f>
        <v>0</v>
      </c>
      <c r="H946" s="29" t="s">
        <v>453</v>
      </c>
      <c r="I946" s="28" t="s">
        <v>631</v>
      </c>
      <c r="J946" s="30"/>
      <c r="K946" s="30"/>
      <c r="L946" s="30"/>
      <c r="M946" s="30"/>
      <c r="N946" s="30">
        <v>100000</v>
      </c>
      <c r="O946" s="30"/>
      <c r="P946" s="30"/>
      <c r="Q946" s="30"/>
      <c r="R946" s="30"/>
      <c r="S946" s="30"/>
      <c r="T946" s="30"/>
      <c r="U946" s="30"/>
      <c r="V946" s="30"/>
      <c r="W946" s="197">
        <f t="shared" ref="W946:W959" si="133">SUM(J946:V946)</f>
        <v>100000</v>
      </c>
    </row>
    <row r="947" spans="1:23" x14ac:dyDescent="0.3">
      <c r="A947" s="155">
        <v>946</v>
      </c>
      <c r="B947" s="28"/>
      <c r="C947" s="28" t="s">
        <v>1291</v>
      </c>
      <c r="D947" s="194">
        <v>0</v>
      </c>
      <c r="E947" s="194">
        <v>15600</v>
      </c>
      <c r="F947" s="194">
        <v>0</v>
      </c>
      <c r="G947" s="194">
        <f t="shared" si="132"/>
        <v>0</v>
      </c>
      <c r="H947" s="29" t="s">
        <v>453</v>
      </c>
      <c r="I947" s="28" t="s">
        <v>631</v>
      </c>
      <c r="J947" s="30"/>
      <c r="K947" s="30"/>
      <c r="L947" s="30"/>
      <c r="M947" s="30"/>
      <c r="N947" s="30">
        <v>15600</v>
      </c>
      <c r="O947" s="30"/>
      <c r="P947" s="30"/>
      <c r="Q947" s="30"/>
      <c r="R947" s="30"/>
      <c r="S947" s="30"/>
      <c r="T947" s="30"/>
      <c r="U947" s="30"/>
      <c r="V947" s="30"/>
      <c r="W947" s="197">
        <f t="shared" si="133"/>
        <v>15600</v>
      </c>
    </row>
    <row r="948" spans="1:23" x14ac:dyDescent="0.3">
      <c r="A948" s="155">
        <v>947</v>
      </c>
      <c r="B948" s="28"/>
      <c r="C948" s="28" t="s">
        <v>1292</v>
      </c>
      <c r="D948" s="194">
        <v>0</v>
      </c>
      <c r="E948" s="194">
        <v>15600</v>
      </c>
      <c r="F948" s="194">
        <v>0</v>
      </c>
      <c r="G948" s="194">
        <f t="shared" si="132"/>
        <v>0</v>
      </c>
      <c r="H948" s="29" t="s">
        <v>453</v>
      </c>
      <c r="I948" s="28" t="s">
        <v>631</v>
      </c>
      <c r="J948" s="30"/>
      <c r="K948" s="30"/>
      <c r="L948" s="30"/>
      <c r="M948" s="30"/>
      <c r="N948" s="194">
        <v>15600</v>
      </c>
      <c r="O948" s="30"/>
      <c r="P948" s="30"/>
      <c r="Q948" s="30"/>
      <c r="R948" s="30"/>
      <c r="S948" s="30"/>
      <c r="T948" s="30"/>
      <c r="U948" s="30"/>
      <c r="V948" s="30"/>
      <c r="W948" s="197">
        <f t="shared" si="133"/>
        <v>15600</v>
      </c>
    </row>
    <row r="949" spans="1:23" x14ac:dyDescent="0.3">
      <c r="A949" s="155">
        <v>948</v>
      </c>
      <c r="B949" s="28"/>
      <c r="C949" s="28" t="s">
        <v>1293</v>
      </c>
      <c r="D949" s="194">
        <v>0</v>
      </c>
      <c r="E949" s="194">
        <v>8400</v>
      </c>
      <c r="F949" s="194">
        <v>0</v>
      </c>
      <c r="G949" s="194">
        <f t="shared" si="132"/>
        <v>0</v>
      </c>
      <c r="H949" s="29" t="s">
        <v>453</v>
      </c>
      <c r="I949" s="28" t="s">
        <v>631</v>
      </c>
      <c r="J949" s="30"/>
      <c r="K949" s="30"/>
      <c r="L949" s="30"/>
      <c r="M949" s="30"/>
      <c r="N949" s="30">
        <v>8400</v>
      </c>
      <c r="O949" s="30"/>
      <c r="P949" s="30"/>
      <c r="Q949" s="30"/>
      <c r="R949" s="30"/>
      <c r="S949" s="30"/>
      <c r="T949" s="30"/>
      <c r="U949" s="30"/>
      <c r="V949" s="30"/>
      <c r="W949" s="197">
        <f t="shared" si="133"/>
        <v>8400</v>
      </c>
    </row>
    <row r="950" spans="1:23" x14ac:dyDescent="0.3">
      <c r="A950" s="155">
        <v>949</v>
      </c>
      <c r="B950" s="28"/>
      <c r="C950" s="28" t="s">
        <v>1294</v>
      </c>
      <c r="D950" s="194">
        <v>0</v>
      </c>
      <c r="E950" s="194">
        <v>15600</v>
      </c>
      <c r="F950" s="194">
        <v>0</v>
      </c>
      <c r="G950" s="194">
        <f t="shared" si="132"/>
        <v>0</v>
      </c>
      <c r="H950" s="29" t="s">
        <v>453</v>
      </c>
      <c r="I950" s="28" t="s">
        <v>631</v>
      </c>
      <c r="J950" s="30"/>
      <c r="K950" s="30"/>
      <c r="L950" s="30"/>
      <c r="M950" s="30"/>
      <c r="N950" s="194">
        <v>15600</v>
      </c>
      <c r="O950" s="30"/>
      <c r="P950" s="30"/>
      <c r="Q950" s="30"/>
      <c r="R950" s="30"/>
      <c r="S950" s="30"/>
      <c r="T950" s="30"/>
      <c r="U950" s="30"/>
      <c r="V950" s="30"/>
      <c r="W950" s="197">
        <f t="shared" si="133"/>
        <v>15600</v>
      </c>
    </row>
    <row r="951" spans="1:23" x14ac:dyDescent="0.3">
      <c r="A951" s="155">
        <v>950</v>
      </c>
      <c r="B951" s="28"/>
      <c r="C951" s="28" t="s">
        <v>1295</v>
      </c>
      <c r="D951" s="194">
        <v>0</v>
      </c>
      <c r="E951" s="194">
        <v>29200</v>
      </c>
      <c r="F951" s="194">
        <v>0</v>
      </c>
      <c r="G951" s="194">
        <f t="shared" si="132"/>
        <v>0</v>
      </c>
      <c r="H951" s="29" t="s">
        <v>453</v>
      </c>
      <c r="I951" s="28" t="s">
        <v>631</v>
      </c>
      <c r="J951" s="30"/>
      <c r="K951" s="30"/>
      <c r="L951" s="30"/>
      <c r="M951" s="30"/>
      <c r="N951" s="30">
        <v>29200</v>
      </c>
      <c r="O951" s="30"/>
      <c r="P951" s="30"/>
      <c r="Q951" s="30"/>
      <c r="R951" s="30"/>
      <c r="S951" s="30"/>
      <c r="T951" s="30"/>
      <c r="U951" s="30"/>
      <c r="V951" s="30"/>
      <c r="W951" s="197">
        <f t="shared" si="133"/>
        <v>29200</v>
      </c>
    </row>
    <row r="952" spans="1:23" x14ac:dyDescent="0.3">
      <c r="A952" s="155">
        <v>951</v>
      </c>
      <c r="B952" s="28"/>
      <c r="C952" s="28" t="s">
        <v>1296</v>
      </c>
      <c r="D952" s="194">
        <v>0</v>
      </c>
      <c r="E952" s="194">
        <v>8400</v>
      </c>
      <c r="F952" s="194">
        <v>0</v>
      </c>
      <c r="G952" s="194">
        <f t="shared" si="132"/>
        <v>0</v>
      </c>
      <c r="H952" s="29" t="s">
        <v>453</v>
      </c>
      <c r="I952" s="28" t="s">
        <v>631</v>
      </c>
      <c r="J952" s="30"/>
      <c r="K952" s="30"/>
      <c r="L952" s="30"/>
      <c r="M952" s="30"/>
      <c r="N952" s="30">
        <v>8400</v>
      </c>
      <c r="O952" s="30"/>
      <c r="P952" s="30"/>
      <c r="Q952" s="30"/>
      <c r="R952" s="30"/>
      <c r="S952" s="30"/>
      <c r="T952" s="30"/>
      <c r="U952" s="30"/>
      <c r="V952" s="30"/>
      <c r="W952" s="197">
        <f t="shared" si="133"/>
        <v>8400</v>
      </c>
    </row>
    <row r="953" spans="1:23" x14ac:dyDescent="0.3">
      <c r="A953" s="155">
        <v>952</v>
      </c>
      <c r="B953" s="28"/>
      <c r="C953" s="28" t="s">
        <v>1297</v>
      </c>
      <c r="D953" s="194">
        <v>0</v>
      </c>
      <c r="E953" s="194">
        <v>8400</v>
      </c>
      <c r="F953" s="194">
        <v>0</v>
      </c>
      <c r="G953" s="194">
        <f t="shared" si="132"/>
        <v>0</v>
      </c>
      <c r="H953" s="29" t="s">
        <v>453</v>
      </c>
      <c r="I953" s="28" t="s">
        <v>631</v>
      </c>
      <c r="J953" s="30"/>
      <c r="K953" s="30"/>
      <c r="L953" s="30"/>
      <c r="M953" s="30"/>
      <c r="N953" s="30">
        <v>8400</v>
      </c>
      <c r="O953" s="30"/>
      <c r="P953" s="30"/>
      <c r="Q953" s="30"/>
      <c r="R953" s="30"/>
      <c r="S953" s="30"/>
      <c r="T953" s="30"/>
      <c r="U953" s="30"/>
      <c r="V953" s="30"/>
      <c r="W953" s="197">
        <f t="shared" si="133"/>
        <v>8400</v>
      </c>
    </row>
    <row r="954" spans="1:23" x14ac:dyDescent="0.3">
      <c r="A954" s="155">
        <v>953</v>
      </c>
      <c r="B954" s="28"/>
      <c r="C954" s="28" t="s">
        <v>857</v>
      </c>
      <c r="D954" s="194">
        <v>0</v>
      </c>
      <c r="E954" s="194">
        <v>1236000</v>
      </c>
      <c r="F954" s="194">
        <v>0</v>
      </c>
      <c r="G954" s="194">
        <f t="shared" si="132"/>
        <v>0</v>
      </c>
      <c r="H954" s="29" t="s">
        <v>453</v>
      </c>
      <c r="I954" s="28" t="s">
        <v>631</v>
      </c>
      <c r="J954" s="30"/>
      <c r="K954" s="30"/>
      <c r="L954" s="30"/>
      <c r="M954" s="30"/>
      <c r="N954" s="30">
        <v>1236000</v>
      </c>
      <c r="O954" s="30"/>
      <c r="P954" s="30"/>
      <c r="Q954" s="30"/>
      <c r="R954" s="30"/>
      <c r="S954" s="30"/>
      <c r="T954" s="30"/>
      <c r="U954" s="30"/>
      <c r="V954" s="30"/>
      <c r="W954" s="197">
        <f t="shared" si="133"/>
        <v>1236000</v>
      </c>
    </row>
    <row r="955" spans="1:23" x14ac:dyDescent="0.3">
      <c r="A955" s="155">
        <v>954</v>
      </c>
      <c r="B955" s="28"/>
      <c r="C955" s="28" t="s">
        <v>1298</v>
      </c>
      <c r="D955" s="194">
        <v>0</v>
      </c>
      <c r="E955" s="194">
        <v>76000</v>
      </c>
      <c r="F955" s="194">
        <v>0</v>
      </c>
      <c r="G955" s="194">
        <f t="shared" si="132"/>
        <v>0</v>
      </c>
      <c r="H955" s="29" t="s">
        <v>453</v>
      </c>
      <c r="I955" s="28" t="s">
        <v>631</v>
      </c>
      <c r="J955" s="30"/>
      <c r="K955" s="30"/>
      <c r="L955" s="30"/>
      <c r="M955" s="30"/>
      <c r="N955" s="30">
        <v>76000</v>
      </c>
      <c r="O955" s="30"/>
      <c r="P955" s="30"/>
      <c r="Q955" s="30"/>
      <c r="R955" s="30"/>
      <c r="S955" s="30"/>
      <c r="T955" s="30"/>
      <c r="U955" s="30"/>
      <c r="V955" s="30"/>
      <c r="W955" s="197">
        <f t="shared" si="133"/>
        <v>76000</v>
      </c>
    </row>
    <row r="956" spans="1:23" x14ac:dyDescent="0.3">
      <c r="A956" s="155">
        <v>955</v>
      </c>
      <c r="B956" s="28"/>
      <c r="C956" s="28" t="s">
        <v>1299</v>
      </c>
      <c r="D956" s="194">
        <v>0</v>
      </c>
      <c r="E956" s="194">
        <v>76000</v>
      </c>
      <c r="F956" s="194">
        <v>0</v>
      </c>
      <c r="G956" s="194">
        <f t="shared" si="132"/>
        <v>0</v>
      </c>
      <c r="H956" s="29" t="s">
        <v>453</v>
      </c>
      <c r="I956" s="28" t="s">
        <v>631</v>
      </c>
      <c r="J956" s="30"/>
      <c r="K956" s="30"/>
      <c r="L956" s="30"/>
      <c r="M956" s="30"/>
      <c r="N956" s="30">
        <v>76000</v>
      </c>
      <c r="O956" s="30"/>
      <c r="P956" s="30"/>
      <c r="Q956" s="30"/>
      <c r="R956" s="30"/>
      <c r="S956" s="30"/>
      <c r="T956" s="30"/>
      <c r="U956" s="30"/>
      <c r="V956" s="30"/>
      <c r="W956" s="197">
        <f t="shared" si="133"/>
        <v>76000</v>
      </c>
    </row>
    <row r="957" spans="1:23" x14ac:dyDescent="0.3">
      <c r="A957" s="155">
        <v>956</v>
      </c>
      <c r="B957" s="28"/>
      <c r="C957" s="28" t="s">
        <v>497</v>
      </c>
      <c r="D957" s="194">
        <v>0</v>
      </c>
      <c r="E957" s="194">
        <v>360000</v>
      </c>
      <c r="F957" s="194">
        <v>0</v>
      </c>
      <c r="G957" s="194">
        <f t="shared" si="132"/>
        <v>0</v>
      </c>
      <c r="H957" s="29" t="s">
        <v>453</v>
      </c>
      <c r="I957" s="28" t="s">
        <v>631</v>
      </c>
      <c r="J957" s="30"/>
      <c r="K957" s="30"/>
      <c r="L957" s="30"/>
      <c r="M957" s="30"/>
      <c r="N957" s="30">
        <v>360000</v>
      </c>
      <c r="O957" s="30"/>
      <c r="P957" s="30"/>
      <c r="Q957" s="30"/>
      <c r="R957" s="30"/>
      <c r="S957" s="30"/>
      <c r="T957" s="30"/>
      <c r="U957" s="30"/>
      <c r="V957" s="30"/>
      <c r="W957" s="197">
        <f t="shared" si="133"/>
        <v>360000</v>
      </c>
    </row>
    <row r="958" spans="1:23" x14ac:dyDescent="0.3">
      <c r="A958" s="155">
        <v>957</v>
      </c>
      <c r="B958" s="28"/>
      <c r="C958" s="28" t="s">
        <v>1300</v>
      </c>
      <c r="D958" s="194">
        <v>0</v>
      </c>
      <c r="E958" s="194">
        <v>315000</v>
      </c>
      <c r="F958" s="194">
        <v>0</v>
      </c>
      <c r="G958" s="194">
        <f t="shared" si="132"/>
        <v>0</v>
      </c>
      <c r="H958" s="29" t="s">
        <v>453</v>
      </c>
      <c r="I958" s="28" t="s">
        <v>631</v>
      </c>
      <c r="J958" s="30"/>
      <c r="K958" s="30"/>
      <c r="L958" s="30"/>
      <c r="M958" s="30"/>
      <c r="N958" s="30">
        <v>315000</v>
      </c>
      <c r="O958" s="30"/>
      <c r="P958" s="30"/>
      <c r="Q958" s="30"/>
      <c r="R958" s="30"/>
      <c r="S958" s="30"/>
      <c r="T958" s="30"/>
      <c r="U958" s="30"/>
      <c r="V958" s="30"/>
      <c r="W958" s="197">
        <f t="shared" si="133"/>
        <v>315000</v>
      </c>
    </row>
    <row r="959" spans="1:23" x14ac:dyDescent="0.3">
      <c r="A959" s="155">
        <v>958</v>
      </c>
      <c r="B959" s="28"/>
      <c r="C959" s="28" t="s">
        <v>1068</v>
      </c>
      <c r="D959" s="194">
        <v>0</v>
      </c>
      <c r="E959" s="194">
        <v>135000</v>
      </c>
      <c r="F959" s="194">
        <v>0</v>
      </c>
      <c r="G959" s="194">
        <f t="shared" si="132"/>
        <v>0</v>
      </c>
      <c r="H959" s="29" t="s">
        <v>453</v>
      </c>
      <c r="I959" s="28" t="s">
        <v>631</v>
      </c>
      <c r="J959" s="30"/>
      <c r="K959" s="30"/>
      <c r="L959" s="30"/>
      <c r="M959" s="30"/>
      <c r="N959" s="30">
        <v>135000</v>
      </c>
      <c r="O959" s="30"/>
      <c r="P959" s="30"/>
      <c r="Q959" s="30"/>
      <c r="R959" s="30"/>
      <c r="S959" s="30"/>
      <c r="T959" s="30"/>
      <c r="U959" s="30"/>
      <c r="V959" s="30"/>
      <c r="W959" s="197">
        <f t="shared" si="133"/>
        <v>135000</v>
      </c>
    </row>
    <row r="960" spans="1:23" x14ac:dyDescent="0.3">
      <c r="A960" s="155">
        <v>959</v>
      </c>
      <c r="B960" s="28"/>
      <c r="C960" s="28" t="s">
        <v>1301</v>
      </c>
      <c r="D960" s="194">
        <v>0</v>
      </c>
      <c r="E960" s="194">
        <v>135000</v>
      </c>
      <c r="F960" s="194">
        <v>140000</v>
      </c>
      <c r="G960" s="194"/>
      <c r="H960" s="29" t="s">
        <v>452</v>
      </c>
      <c r="I960" s="28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97"/>
    </row>
    <row r="961" spans="1:23" x14ac:dyDescent="0.3">
      <c r="A961" s="155">
        <v>960</v>
      </c>
      <c r="B961" s="28"/>
      <c r="C961" s="28" t="s">
        <v>1302</v>
      </c>
      <c r="D961" s="194">
        <v>0</v>
      </c>
      <c r="E961" s="194">
        <v>135000</v>
      </c>
      <c r="F961" s="194">
        <v>0</v>
      </c>
      <c r="G961" s="194">
        <f t="shared" ref="G961:G967" si="134">D961</f>
        <v>0</v>
      </c>
      <c r="H961" s="29" t="s">
        <v>453</v>
      </c>
      <c r="I961" s="28" t="s">
        <v>631</v>
      </c>
      <c r="J961" s="30"/>
      <c r="K961" s="30"/>
      <c r="L961" s="30"/>
      <c r="M961" s="30"/>
      <c r="N961" s="30">
        <v>135000</v>
      </c>
      <c r="O961" s="30"/>
      <c r="P961" s="30"/>
      <c r="Q961" s="30"/>
      <c r="R961" s="30"/>
      <c r="S961" s="30"/>
      <c r="T961" s="30"/>
      <c r="U961" s="30"/>
      <c r="V961" s="30"/>
      <c r="W961" s="197">
        <f t="shared" ref="W961:W967" si="135">SUM(J961:V961)</f>
        <v>135000</v>
      </c>
    </row>
    <row r="962" spans="1:23" x14ac:dyDescent="0.3">
      <c r="A962" s="155">
        <v>961</v>
      </c>
      <c r="B962" s="28"/>
      <c r="C962" s="28" t="s">
        <v>1303</v>
      </c>
      <c r="D962" s="194">
        <v>0</v>
      </c>
      <c r="E962" s="194">
        <v>135000</v>
      </c>
      <c r="F962" s="194">
        <v>0</v>
      </c>
      <c r="G962" s="194">
        <f t="shared" si="134"/>
        <v>0</v>
      </c>
      <c r="H962" s="29" t="s">
        <v>453</v>
      </c>
      <c r="I962" s="28" t="s">
        <v>631</v>
      </c>
      <c r="J962" s="30"/>
      <c r="K962" s="30"/>
      <c r="L962" s="30"/>
      <c r="M962" s="30"/>
      <c r="N962" s="30">
        <v>135000</v>
      </c>
      <c r="O962" s="30"/>
      <c r="P962" s="30"/>
      <c r="Q962" s="30"/>
      <c r="R962" s="30"/>
      <c r="S962" s="30"/>
      <c r="T962" s="30"/>
      <c r="U962" s="30"/>
      <c r="V962" s="30"/>
      <c r="W962" s="197">
        <f t="shared" si="135"/>
        <v>135000</v>
      </c>
    </row>
    <row r="963" spans="1:23" x14ac:dyDescent="0.3">
      <c r="A963" s="155">
        <v>962</v>
      </c>
      <c r="B963" s="28"/>
      <c r="C963" s="28" t="s">
        <v>1304</v>
      </c>
      <c r="D963" s="194">
        <v>0</v>
      </c>
      <c r="E963" s="194">
        <v>45000</v>
      </c>
      <c r="F963" s="194">
        <v>0</v>
      </c>
      <c r="G963" s="194">
        <f t="shared" si="134"/>
        <v>0</v>
      </c>
      <c r="H963" s="29" t="s">
        <v>453</v>
      </c>
      <c r="I963" s="28" t="s">
        <v>631</v>
      </c>
      <c r="J963" s="30"/>
      <c r="K963" s="30"/>
      <c r="L963" s="30"/>
      <c r="M963" s="30"/>
      <c r="N963" s="30">
        <v>45000</v>
      </c>
      <c r="O963" s="30"/>
      <c r="P963" s="30"/>
      <c r="Q963" s="30"/>
      <c r="R963" s="30"/>
      <c r="S963" s="30"/>
      <c r="T963" s="30"/>
      <c r="U963" s="30"/>
      <c r="V963" s="30"/>
      <c r="W963" s="197">
        <f t="shared" si="135"/>
        <v>45000</v>
      </c>
    </row>
    <row r="964" spans="1:23" x14ac:dyDescent="0.3">
      <c r="A964" s="155">
        <v>963</v>
      </c>
      <c r="B964" s="28"/>
      <c r="C964" s="28" t="s">
        <v>1305</v>
      </c>
      <c r="D964" s="194">
        <v>0</v>
      </c>
      <c r="E964" s="194">
        <v>45000</v>
      </c>
      <c r="F964" s="194">
        <v>0</v>
      </c>
      <c r="G964" s="194">
        <f t="shared" si="134"/>
        <v>0</v>
      </c>
      <c r="H964" s="29" t="s">
        <v>453</v>
      </c>
      <c r="I964" s="28" t="s">
        <v>631</v>
      </c>
      <c r="J964" s="30"/>
      <c r="K964" s="30"/>
      <c r="L964" s="30"/>
      <c r="M964" s="30"/>
      <c r="N964" s="30">
        <v>45000</v>
      </c>
      <c r="O964" s="30"/>
      <c r="P964" s="30"/>
      <c r="Q964" s="30"/>
      <c r="R964" s="30"/>
      <c r="S964" s="30"/>
      <c r="T964" s="30"/>
      <c r="U964" s="30"/>
      <c r="V964" s="30"/>
      <c r="W964" s="197">
        <f t="shared" si="135"/>
        <v>45000</v>
      </c>
    </row>
    <row r="965" spans="1:23" x14ac:dyDescent="0.3">
      <c r="A965" s="155">
        <v>964</v>
      </c>
      <c r="B965" s="28"/>
      <c r="C965" s="28" t="s">
        <v>1306</v>
      </c>
      <c r="D965" s="194">
        <v>0</v>
      </c>
      <c r="E965" s="194">
        <v>22500</v>
      </c>
      <c r="F965" s="194">
        <v>0</v>
      </c>
      <c r="G965" s="194">
        <f t="shared" si="134"/>
        <v>0</v>
      </c>
      <c r="H965" s="29" t="s">
        <v>453</v>
      </c>
      <c r="I965" s="28" t="s">
        <v>631</v>
      </c>
      <c r="J965" s="30"/>
      <c r="K965" s="30"/>
      <c r="L965" s="30"/>
      <c r="M965" s="30"/>
      <c r="N965" s="30">
        <v>22500</v>
      </c>
      <c r="O965" s="30"/>
      <c r="P965" s="30"/>
      <c r="Q965" s="30"/>
      <c r="R965" s="30"/>
      <c r="S965" s="30"/>
      <c r="T965" s="30"/>
      <c r="U965" s="30"/>
      <c r="V965" s="30"/>
      <c r="W965" s="197">
        <f t="shared" si="135"/>
        <v>22500</v>
      </c>
    </row>
    <row r="966" spans="1:23" x14ac:dyDescent="0.3">
      <c r="A966" s="155">
        <v>965</v>
      </c>
      <c r="B966" s="28"/>
      <c r="C966" s="28" t="s">
        <v>1307</v>
      </c>
      <c r="D966" s="194">
        <v>0</v>
      </c>
      <c r="E966" s="194">
        <v>22500</v>
      </c>
      <c r="F966" s="194">
        <v>0</v>
      </c>
      <c r="G966" s="194">
        <f t="shared" si="134"/>
        <v>0</v>
      </c>
      <c r="H966" s="29" t="s">
        <v>453</v>
      </c>
      <c r="I966" s="28" t="s">
        <v>631</v>
      </c>
      <c r="J966" s="30"/>
      <c r="K966" s="30"/>
      <c r="L966" s="30"/>
      <c r="M966" s="30"/>
      <c r="N966" s="30">
        <v>22500</v>
      </c>
      <c r="O966" s="30"/>
      <c r="P966" s="30"/>
      <c r="Q966" s="30"/>
      <c r="R966" s="30"/>
      <c r="S966" s="30"/>
      <c r="T966" s="30"/>
      <c r="U966" s="30"/>
      <c r="V966" s="30"/>
      <c r="W966" s="197">
        <f t="shared" si="135"/>
        <v>22500</v>
      </c>
    </row>
    <row r="967" spans="1:23" x14ac:dyDescent="0.3">
      <c r="A967" s="155">
        <v>966</v>
      </c>
      <c r="B967" s="28"/>
      <c r="C967" s="28" t="s">
        <v>1308</v>
      </c>
      <c r="D967" s="194">
        <v>0</v>
      </c>
      <c r="E967" s="194">
        <v>22500</v>
      </c>
      <c r="F967" s="194">
        <v>0</v>
      </c>
      <c r="G967" s="194">
        <f t="shared" si="134"/>
        <v>0</v>
      </c>
      <c r="H967" s="29" t="s">
        <v>453</v>
      </c>
      <c r="I967" s="28" t="s">
        <v>631</v>
      </c>
      <c r="J967" s="30"/>
      <c r="K967" s="30"/>
      <c r="L967" s="30"/>
      <c r="M967" s="30"/>
      <c r="N967" s="30">
        <v>22500</v>
      </c>
      <c r="O967" s="30"/>
      <c r="P967" s="30"/>
      <c r="Q967" s="30"/>
      <c r="R967" s="30"/>
      <c r="S967" s="30"/>
      <c r="T967" s="30"/>
      <c r="U967" s="30"/>
      <c r="V967" s="30"/>
      <c r="W967" s="197">
        <f t="shared" si="135"/>
        <v>22500</v>
      </c>
    </row>
    <row r="968" spans="1:23" x14ac:dyDescent="0.3">
      <c r="A968" s="155">
        <v>967</v>
      </c>
      <c r="B968" s="28"/>
      <c r="C968" s="28" t="s">
        <v>488</v>
      </c>
      <c r="D968" s="194">
        <v>0</v>
      </c>
      <c r="E968" s="194">
        <v>135000</v>
      </c>
      <c r="F968" s="194">
        <v>140000</v>
      </c>
      <c r="G968" s="194"/>
      <c r="H968" s="29" t="s">
        <v>452</v>
      </c>
      <c r="I968" s="28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97"/>
    </row>
    <row r="969" spans="1:23" ht="15" thickBot="1" x14ac:dyDescent="0.35">
      <c r="A969" s="155">
        <v>968</v>
      </c>
      <c r="B969" s="57"/>
      <c r="C969" s="57" t="s">
        <v>873</v>
      </c>
      <c r="D969" s="196">
        <v>0</v>
      </c>
      <c r="E969" s="196">
        <v>103600</v>
      </c>
      <c r="F969" s="196">
        <v>0</v>
      </c>
      <c r="G969" s="194">
        <f>D969</f>
        <v>0</v>
      </c>
      <c r="H969" s="58" t="s">
        <v>453</v>
      </c>
      <c r="I969" s="28" t="s">
        <v>631</v>
      </c>
      <c r="J969" s="59"/>
      <c r="K969" s="59"/>
      <c r="L969" s="59"/>
      <c r="M969" s="59"/>
      <c r="N969" s="196">
        <v>103600</v>
      </c>
      <c r="O969" s="59"/>
      <c r="P969" s="59"/>
      <c r="Q969" s="59"/>
      <c r="R969" s="59"/>
      <c r="S969" s="59"/>
      <c r="T969" s="59"/>
      <c r="U969" s="59"/>
      <c r="V969" s="59"/>
      <c r="W969" s="197">
        <f>SUM(J969:V969)</f>
        <v>103600</v>
      </c>
    </row>
    <row r="970" spans="1:23" ht="15" thickBot="1" x14ac:dyDescent="0.35">
      <c r="A970" s="191"/>
      <c r="B970" s="168"/>
      <c r="C970" s="168"/>
      <c r="D970" s="103">
        <f>SUM(D2:D969)</f>
        <v>4798201244</v>
      </c>
      <c r="E970" s="103">
        <f>SUM(E2:E969)</f>
        <v>672095500</v>
      </c>
      <c r="F970" s="103">
        <f>SUM(F2:F969)</f>
        <v>179000000</v>
      </c>
      <c r="G970" s="103">
        <f>SUM(G2:G969)</f>
        <v>3767014229</v>
      </c>
      <c r="H970" s="168"/>
      <c r="I970" s="168"/>
      <c r="J970" s="103">
        <f>SUM(J2:J969)</f>
        <v>0</v>
      </c>
      <c r="K970" s="103">
        <f t="shared" ref="K970:W970" si="136">SUM(K2:K969)</f>
        <v>0</v>
      </c>
      <c r="L970" s="103">
        <f t="shared" si="136"/>
        <v>0</v>
      </c>
      <c r="M970" s="103">
        <f t="shared" si="136"/>
        <v>0</v>
      </c>
      <c r="N970" s="103">
        <f t="shared" si="136"/>
        <v>196004100</v>
      </c>
      <c r="O970" s="103">
        <f t="shared" si="136"/>
        <v>310309000</v>
      </c>
      <c r="P970" s="103">
        <f t="shared" si="136"/>
        <v>0</v>
      </c>
      <c r="Q970" s="103">
        <f t="shared" si="136"/>
        <v>0</v>
      </c>
      <c r="R970" s="103">
        <f t="shared" si="136"/>
        <v>0</v>
      </c>
      <c r="S970" s="103">
        <f t="shared" si="136"/>
        <v>0</v>
      </c>
      <c r="T970" s="103">
        <f t="shared" si="136"/>
        <v>0</v>
      </c>
      <c r="U970" s="103">
        <f t="shared" si="136"/>
        <v>0</v>
      </c>
      <c r="V970" s="103">
        <f t="shared" si="136"/>
        <v>0</v>
      </c>
      <c r="W970" s="198">
        <f t="shared" si="136"/>
        <v>506313100</v>
      </c>
    </row>
  </sheetData>
  <autoFilter ref="A1:W970" xr:uid="{C22B9D5F-244F-4DFC-B6A8-3E81CCC640DE}"/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J970:W97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D163-7830-4E91-B9ED-DE32FA0B02F5}">
  <dimension ref="A1:X969"/>
  <sheetViews>
    <sheetView zoomScale="76" workbookViewId="0">
      <selection activeCell="J1" sqref="J1"/>
    </sheetView>
  </sheetViews>
  <sheetFormatPr defaultRowHeight="14.4" x14ac:dyDescent="0.3"/>
  <cols>
    <col min="1" max="1" width="9.88671875" bestFit="1" customWidth="1"/>
    <col min="2" max="2" width="21.44140625" bestFit="1" customWidth="1"/>
    <col min="3" max="3" width="38.21875" bestFit="1" customWidth="1"/>
    <col min="4" max="4" width="17.6640625" bestFit="1" customWidth="1"/>
    <col min="5" max="5" width="15.33203125" bestFit="1" customWidth="1"/>
    <col min="6" max="6" width="24" bestFit="1" customWidth="1"/>
    <col min="7" max="7" width="23.21875" bestFit="1" customWidth="1"/>
    <col min="8" max="8" width="26.33203125" bestFit="1" customWidth="1"/>
    <col min="9" max="9" width="24.33203125" bestFit="1" customWidth="1"/>
    <col min="10" max="10" width="25.44140625" bestFit="1" customWidth="1"/>
    <col min="11" max="11" width="14.33203125" bestFit="1" customWidth="1"/>
    <col min="12" max="12" width="6" bestFit="1" customWidth="1"/>
    <col min="13" max="13" width="7" bestFit="1" customWidth="1"/>
    <col min="14" max="14" width="6.88671875" bestFit="1" customWidth="1"/>
    <col min="15" max="15" width="6.5546875" bestFit="1" customWidth="1"/>
    <col min="16" max="16" width="14.33203125" bestFit="1" customWidth="1"/>
    <col min="17" max="17" width="12.5546875" bestFit="1" customWidth="1"/>
    <col min="18" max="19" width="14.33203125" bestFit="1" customWidth="1"/>
    <col min="20" max="20" width="12.5546875" bestFit="1" customWidth="1"/>
    <col min="21" max="21" width="14.33203125" bestFit="1" customWidth="1"/>
    <col min="22" max="22" width="12.5546875" bestFit="1" customWidth="1"/>
    <col min="23" max="23" width="6.6640625" bestFit="1" customWidth="1"/>
    <col min="24" max="24" width="15.33203125" bestFit="1" customWidth="1"/>
  </cols>
  <sheetData>
    <row r="1" spans="1:24" ht="28.8" x14ac:dyDescent="0.3">
      <c r="A1" s="93" t="s">
        <v>32</v>
      </c>
      <c r="B1" s="94" t="s">
        <v>42</v>
      </c>
      <c r="C1" s="95" t="s">
        <v>25</v>
      </c>
      <c r="D1" s="95" t="s">
        <v>46</v>
      </c>
      <c r="E1" s="95" t="s">
        <v>449</v>
      </c>
      <c r="F1" s="95" t="s">
        <v>1326</v>
      </c>
      <c r="G1" s="95" t="s">
        <v>451</v>
      </c>
      <c r="H1" s="95" t="s">
        <v>47</v>
      </c>
      <c r="I1" s="179" t="s">
        <v>1328</v>
      </c>
      <c r="J1" s="112" t="s">
        <v>36</v>
      </c>
      <c r="K1" s="120">
        <v>44348</v>
      </c>
      <c r="L1" s="121">
        <v>44378</v>
      </c>
      <c r="M1" s="121">
        <v>44409</v>
      </c>
      <c r="N1" s="121">
        <v>44440</v>
      </c>
      <c r="O1" s="121">
        <v>44470</v>
      </c>
      <c r="P1" s="121">
        <v>44501</v>
      </c>
      <c r="Q1" s="121">
        <v>44531</v>
      </c>
      <c r="R1" s="121">
        <v>44562</v>
      </c>
      <c r="S1" s="121">
        <v>44593</v>
      </c>
      <c r="T1" s="121">
        <v>44621</v>
      </c>
      <c r="U1" s="121">
        <v>44652</v>
      </c>
      <c r="V1" s="121">
        <v>44682</v>
      </c>
      <c r="W1" s="137">
        <v>44713</v>
      </c>
      <c r="X1" s="181" t="s">
        <v>34</v>
      </c>
    </row>
    <row r="2" spans="1:24" s="202" customFormat="1" x14ac:dyDescent="0.3">
      <c r="A2" s="157">
        <v>1</v>
      </c>
      <c r="B2" s="149"/>
      <c r="C2" s="150" t="s">
        <v>1309</v>
      </c>
      <c r="D2" s="200">
        <v>245255670.31</v>
      </c>
      <c r="E2" s="200">
        <v>278022075.42000002</v>
      </c>
      <c r="F2" s="200">
        <v>0</v>
      </c>
      <c r="G2" s="151">
        <v>278022075.42000002</v>
      </c>
      <c r="H2" s="149" t="s">
        <v>417</v>
      </c>
      <c r="I2" s="201"/>
      <c r="J2" s="201"/>
      <c r="K2" s="206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207"/>
      <c r="X2" s="182">
        <f>SUM(K2:W2)</f>
        <v>0</v>
      </c>
    </row>
    <row r="3" spans="1:24" s="202" customFormat="1" x14ac:dyDescent="0.3">
      <c r="A3" s="157">
        <v>2</v>
      </c>
      <c r="B3" s="149"/>
      <c r="C3" s="150" t="s">
        <v>1310</v>
      </c>
      <c r="D3" s="200">
        <v>375614154.62</v>
      </c>
      <c r="E3" s="200">
        <v>375614154.62</v>
      </c>
      <c r="F3" s="200">
        <v>751000000</v>
      </c>
      <c r="G3" s="151">
        <v>0</v>
      </c>
      <c r="H3" s="149" t="s">
        <v>416</v>
      </c>
      <c r="I3" s="201" t="s">
        <v>1329</v>
      </c>
      <c r="J3" s="201" t="s">
        <v>1327</v>
      </c>
      <c r="K3" s="206"/>
      <c r="L3" s="151"/>
      <c r="M3" s="151"/>
      <c r="N3" s="151"/>
      <c r="O3" s="151"/>
      <c r="P3" s="151">
        <v>159000000</v>
      </c>
      <c r="Q3" s="151"/>
      <c r="R3" s="151"/>
      <c r="S3" s="151"/>
      <c r="T3" s="151"/>
      <c r="U3" s="151"/>
      <c r="V3" s="151">
        <v>592000000</v>
      </c>
      <c r="W3" s="207"/>
      <c r="X3" s="182">
        <f t="shared" ref="X3:X24" si="0">SUM(K3:W3)</f>
        <v>751000000</v>
      </c>
    </row>
    <row r="4" spans="1:24" s="202" customFormat="1" x14ac:dyDescent="0.3">
      <c r="A4" s="157">
        <v>3</v>
      </c>
      <c r="B4" s="149"/>
      <c r="C4" s="150" t="s">
        <v>1311</v>
      </c>
      <c r="D4" s="200">
        <v>802961501.66999996</v>
      </c>
      <c r="E4" s="200">
        <v>593000000</v>
      </c>
      <c r="F4" s="200">
        <v>593000000</v>
      </c>
      <c r="G4" s="151">
        <v>0</v>
      </c>
      <c r="H4" s="149" t="s">
        <v>416</v>
      </c>
      <c r="I4" s="201" t="s">
        <v>1329</v>
      </c>
      <c r="J4" s="201" t="s">
        <v>1327</v>
      </c>
      <c r="K4" s="206"/>
      <c r="L4" s="151"/>
      <c r="M4" s="151"/>
      <c r="N4" s="151"/>
      <c r="O4" s="151"/>
      <c r="P4" s="151"/>
      <c r="Q4" s="151">
        <v>593000000</v>
      </c>
      <c r="R4" s="151"/>
      <c r="S4" s="151"/>
      <c r="T4" s="151"/>
      <c r="U4" s="151"/>
      <c r="V4" s="151"/>
      <c r="W4" s="207"/>
      <c r="X4" s="182">
        <f t="shared" si="0"/>
        <v>593000000</v>
      </c>
    </row>
    <row r="5" spans="1:24" s="202" customFormat="1" x14ac:dyDescent="0.3">
      <c r="A5" s="157">
        <v>4</v>
      </c>
      <c r="B5" s="149"/>
      <c r="C5" s="150" t="s">
        <v>1312</v>
      </c>
      <c r="D5" s="200">
        <v>307822870.75999999</v>
      </c>
      <c r="E5" s="200">
        <v>132000000</v>
      </c>
      <c r="F5" s="200">
        <v>132000000</v>
      </c>
      <c r="G5" s="151">
        <v>0</v>
      </c>
      <c r="H5" s="149" t="s">
        <v>416</v>
      </c>
      <c r="I5" s="201" t="s">
        <v>1329</v>
      </c>
      <c r="J5" s="201" t="s">
        <v>1327</v>
      </c>
      <c r="K5" s="206"/>
      <c r="L5" s="151"/>
      <c r="M5" s="151"/>
      <c r="N5" s="151"/>
      <c r="O5" s="151"/>
      <c r="P5" s="151"/>
      <c r="Q5" s="151"/>
      <c r="R5" s="151">
        <v>132000000</v>
      </c>
      <c r="S5" s="151"/>
      <c r="T5" s="151"/>
      <c r="U5" s="151"/>
      <c r="V5" s="151"/>
      <c r="W5" s="207"/>
      <c r="X5" s="182">
        <f t="shared" si="0"/>
        <v>132000000</v>
      </c>
    </row>
    <row r="6" spans="1:24" s="202" customFormat="1" x14ac:dyDescent="0.3">
      <c r="A6" s="157">
        <v>5</v>
      </c>
      <c r="B6" s="149"/>
      <c r="C6" s="150" t="s">
        <v>1313</v>
      </c>
      <c r="D6" s="200">
        <v>465835595.27999997</v>
      </c>
      <c r="E6" s="200">
        <v>233000000</v>
      </c>
      <c r="F6" s="200">
        <v>233000000</v>
      </c>
      <c r="G6" s="151">
        <v>0</v>
      </c>
      <c r="H6" s="149" t="s">
        <v>416</v>
      </c>
      <c r="I6" s="201" t="s">
        <v>1329</v>
      </c>
      <c r="J6" s="201" t="s">
        <v>1327</v>
      </c>
      <c r="K6" s="206">
        <v>233000000</v>
      </c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207"/>
      <c r="X6" s="182">
        <f t="shared" si="0"/>
        <v>233000000</v>
      </c>
    </row>
    <row r="7" spans="1:24" s="202" customFormat="1" x14ac:dyDescent="0.3">
      <c r="A7" s="157">
        <v>6</v>
      </c>
      <c r="B7" s="149"/>
      <c r="C7" s="150" t="s">
        <v>1314</v>
      </c>
      <c r="D7" s="200">
        <v>1098038253</v>
      </c>
      <c r="E7" s="200">
        <v>779000000</v>
      </c>
      <c r="F7" s="200">
        <v>779000000</v>
      </c>
      <c r="G7" s="151">
        <v>0</v>
      </c>
      <c r="H7" s="149" t="s">
        <v>416</v>
      </c>
      <c r="I7" s="201" t="s">
        <v>1329</v>
      </c>
      <c r="J7" s="201" t="s">
        <v>1327</v>
      </c>
      <c r="K7" s="206">
        <v>779000000</v>
      </c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207"/>
      <c r="X7" s="182">
        <f t="shared" si="0"/>
        <v>779000000</v>
      </c>
    </row>
    <row r="8" spans="1:24" s="202" customFormat="1" x14ac:dyDescent="0.3">
      <c r="A8" s="157">
        <v>7</v>
      </c>
      <c r="B8" s="149"/>
      <c r="C8" s="150" t="s">
        <v>1315</v>
      </c>
      <c r="D8" s="200">
        <v>2288187706.54</v>
      </c>
      <c r="E8" s="200">
        <v>1070000000</v>
      </c>
      <c r="F8" s="200">
        <v>1070000000</v>
      </c>
      <c r="G8" s="151">
        <v>1309670503</v>
      </c>
      <c r="H8" s="149" t="s">
        <v>416</v>
      </c>
      <c r="I8" s="201" t="s">
        <v>1330</v>
      </c>
      <c r="J8" s="201"/>
      <c r="K8" s="206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207"/>
      <c r="X8" s="182">
        <f t="shared" si="0"/>
        <v>0</v>
      </c>
    </row>
    <row r="9" spans="1:24" s="202" customFormat="1" x14ac:dyDescent="0.3">
      <c r="A9" s="157">
        <v>8</v>
      </c>
      <c r="B9" s="149"/>
      <c r="C9" s="150" t="s">
        <v>1316</v>
      </c>
      <c r="D9" s="200">
        <v>968266113.48000002</v>
      </c>
      <c r="E9" s="200">
        <v>440000000</v>
      </c>
      <c r="F9" s="200">
        <v>440000000</v>
      </c>
      <c r="G9" s="151">
        <v>0</v>
      </c>
      <c r="H9" s="149" t="s">
        <v>416</v>
      </c>
      <c r="I9" s="201" t="s">
        <v>1329</v>
      </c>
      <c r="J9" s="201" t="s">
        <v>1327</v>
      </c>
      <c r="K9" s="206"/>
      <c r="L9" s="151"/>
      <c r="M9" s="151"/>
      <c r="N9" s="151"/>
      <c r="O9" s="151"/>
      <c r="P9" s="151"/>
      <c r="Q9" s="151"/>
      <c r="R9" s="151"/>
      <c r="S9" s="151">
        <v>440000000</v>
      </c>
      <c r="T9" s="151"/>
      <c r="U9" s="151"/>
      <c r="V9" s="151"/>
      <c r="W9" s="207"/>
      <c r="X9" s="182">
        <f t="shared" si="0"/>
        <v>440000000</v>
      </c>
    </row>
    <row r="10" spans="1:24" s="202" customFormat="1" x14ac:dyDescent="0.3">
      <c r="A10" s="157">
        <v>9</v>
      </c>
      <c r="B10" s="149"/>
      <c r="C10" s="150" t="s">
        <v>1317</v>
      </c>
      <c r="D10" s="200">
        <v>335000000</v>
      </c>
      <c r="E10" s="200">
        <v>335000000</v>
      </c>
      <c r="F10" s="200">
        <v>624000000</v>
      </c>
      <c r="G10" s="151">
        <v>0</v>
      </c>
      <c r="H10" s="149" t="s">
        <v>416</v>
      </c>
      <c r="I10" s="201" t="s">
        <v>1329</v>
      </c>
      <c r="J10" s="201" t="s">
        <v>1327</v>
      </c>
      <c r="K10" s="206"/>
      <c r="L10" s="151"/>
      <c r="M10" s="151"/>
      <c r="N10" s="151"/>
      <c r="O10" s="151"/>
      <c r="P10" s="151"/>
      <c r="Q10" s="151"/>
      <c r="R10" s="151"/>
      <c r="S10" s="151"/>
      <c r="T10" s="151">
        <v>464533333.33333337</v>
      </c>
      <c r="U10" s="151"/>
      <c r="V10" s="151"/>
      <c r="W10" s="207"/>
      <c r="X10" s="182">
        <f t="shared" si="0"/>
        <v>464533333.33333337</v>
      </c>
    </row>
    <row r="11" spans="1:24" s="202" customFormat="1" x14ac:dyDescent="0.3">
      <c r="A11" s="157">
        <v>10</v>
      </c>
      <c r="B11" s="149"/>
      <c r="C11" s="150" t="s">
        <v>1317</v>
      </c>
      <c r="D11" s="200">
        <v>115000000</v>
      </c>
      <c r="E11" s="200">
        <v>115000000</v>
      </c>
      <c r="F11" s="200">
        <v>0</v>
      </c>
      <c r="G11" s="151">
        <v>0</v>
      </c>
      <c r="H11" s="149" t="s">
        <v>416</v>
      </c>
      <c r="I11" s="201" t="s">
        <v>1329</v>
      </c>
      <c r="J11" s="201" t="s">
        <v>1327</v>
      </c>
      <c r="K11" s="206"/>
      <c r="L11" s="151"/>
      <c r="M11" s="151"/>
      <c r="N11" s="151"/>
      <c r="O11" s="151"/>
      <c r="P11" s="151"/>
      <c r="Q11" s="151"/>
      <c r="R11" s="151"/>
      <c r="S11" s="151"/>
      <c r="T11" s="151">
        <v>159466666.66666666</v>
      </c>
      <c r="U11" s="151"/>
      <c r="V11" s="151"/>
      <c r="W11" s="207"/>
      <c r="X11" s="182">
        <f t="shared" si="0"/>
        <v>159466666.66666666</v>
      </c>
    </row>
    <row r="12" spans="1:24" s="202" customFormat="1" x14ac:dyDescent="0.3">
      <c r="A12" s="157">
        <v>11</v>
      </c>
      <c r="B12" s="149"/>
      <c r="C12" s="150" t="s">
        <v>1318</v>
      </c>
      <c r="D12" s="200">
        <v>46506318.520000003</v>
      </c>
      <c r="E12" s="200">
        <v>46506319</v>
      </c>
      <c r="F12" s="200">
        <v>967000000</v>
      </c>
      <c r="G12" s="151">
        <v>0</v>
      </c>
      <c r="H12" s="149" t="s">
        <v>416</v>
      </c>
      <c r="I12" s="201" t="s">
        <v>1329</v>
      </c>
      <c r="J12" s="201" t="s">
        <v>1327</v>
      </c>
      <c r="K12" s="206"/>
      <c r="L12" s="151"/>
      <c r="M12" s="151"/>
      <c r="N12" s="151"/>
      <c r="O12" s="151"/>
      <c r="P12" s="151"/>
      <c r="Q12" s="151"/>
      <c r="R12" s="151">
        <v>46053694.452673651</v>
      </c>
      <c r="S12" s="151"/>
      <c r="T12" s="151"/>
      <c r="U12" s="151"/>
      <c r="V12" s="151"/>
      <c r="W12" s="207"/>
      <c r="X12" s="182">
        <f t="shared" si="0"/>
        <v>46053694.452673651</v>
      </c>
    </row>
    <row r="13" spans="1:24" s="202" customFormat="1" x14ac:dyDescent="0.3">
      <c r="A13" s="157">
        <v>12</v>
      </c>
      <c r="B13" s="149"/>
      <c r="C13" s="150" t="s">
        <v>1318</v>
      </c>
      <c r="D13" s="200">
        <v>163330867.97999999</v>
      </c>
      <c r="E13" s="200">
        <v>163330868</v>
      </c>
      <c r="F13" s="200">
        <v>0</v>
      </c>
      <c r="G13" s="151">
        <v>0</v>
      </c>
      <c r="H13" s="149" t="s">
        <v>416</v>
      </c>
      <c r="I13" s="201" t="s">
        <v>1329</v>
      </c>
      <c r="J13" s="201" t="s">
        <v>1327</v>
      </c>
      <c r="K13" s="206"/>
      <c r="L13" s="151"/>
      <c r="M13" s="151"/>
      <c r="N13" s="151"/>
      <c r="O13" s="151"/>
      <c r="P13" s="151"/>
      <c r="Q13" s="151"/>
      <c r="R13" s="151">
        <v>161741245.66334081</v>
      </c>
      <c r="S13" s="151"/>
      <c r="T13" s="151"/>
      <c r="U13" s="151"/>
      <c r="V13" s="151"/>
      <c r="W13" s="207"/>
      <c r="X13" s="182">
        <f t="shared" si="0"/>
        <v>161741245.66334081</v>
      </c>
    </row>
    <row r="14" spans="1:24" s="202" customFormat="1" x14ac:dyDescent="0.3">
      <c r="A14" s="157">
        <v>13</v>
      </c>
      <c r="B14" s="149"/>
      <c r="C14" s="150" t="s">
        <v>1318</v>
      </c>
      <c r="D14" s="200">
        <v>766666665</v>
      </c>
      <c r="E14" s="200">
        <v>766666665</v>
      </c>
      <c r="F14" s="200">
        <v>0</v>
      </c>
      <c r="G14" s="151">
        <v>0</v>
      </c>
      <c r="H14" s="149" t="s">
        <v>416</v>
      </c>
      <c r="I14" s="201" t="s">
        <v>1329</v>
      </c>
      <c r="J14" s="201" t="s">
        <v>1327</v>
      </c>
      <c r="K14" s="206"/>
      <c r="L14" s="151"/>
      <c r="M14" s="151"/>
      <c r="N14" s="151"/>
      <c r="O14" s="151"/>
      <c r="P14" s="151"/>
      <c r="Q14" s="151"/>
      <c r="R14" s="151">
        <v>759205059.88398552</v>
      </c>
      <c r="S14" s="151"/>
      <c r="T14" s="151"/>
      <c r="U14" s="151"/>
      <c r="V14" s="151"/>
      <c r="W14" s="207"/>
      <c r="X14" s="182">
        <f t="shared" si="0"/>
        <v>759205059.88398552</v>
      </c>
    </row>
    <row r="15" spans="1:24" s="202" customFormat="1" x14ac:dyDescent="0.3">
      <c r="A15" s="157">
        <v>14</v>
      </c>
      <c r="B15" s="149"/>
      <c r="C15" s="150" t="s">
        <v>1319</v>
      </c>
      <c r="D15" s="200">
        <v>2457500251.1500001</v>
      </c>
      <c r="E15" s="200">
        <v>2183000000</v>
      </c>
      <c r="F15" s="200">
        <v>2183000000</v>
      </c>
      <c r="G15" s="151">
        <v>0</v>
      </c>
      <c r="H15" s="149" t="s">
        <v>416</v>
      </c>
      <c r="I15" s="201" t="s">
        <v>1329</v>
      </c>
      <c r="J15" s="201" t="s">
        <v>1332</v>
      </c>
      <c r="K15" s="206"/>
      <c r="L15" s="151"/>
      <c r="M15" s="151"/>
      <c r="N15" s="151"/>
      <c r="O15" s="151"/>
      <c r="P15" s="151"/>
      <c r="Q15" s="151"/>
      <c r="R15" s="151"/>
      <c r="S15" s="151">
        <v>1879532332.231122</v>
      </c>
      <c r="T15" s="151"/>
      <c r="U15" s="151"/>
      <c r="V15" s="151"/>
      <c r="W15" s="207"/>
      <c r="X15" s="182">
        <f t="shared" si="0"/>
        <v>1879532332.231122</v>
      </c>
    </row>
    <row r="16" spans="1:24" s="202" customFormat="1" x14ac:dyDescent="0.3">
      <c r="A16" s="157">
        <v>15</v>
      </c>
      <c r="B16" s="149"/>
      <c r="C16" s="150" t="s">
        <v>1319</v>
      </c>
      <c r="D16" s="200">
        <v>396785869</v>
      </c>
      <c r="E16" s="200">
        <v>0</v>
      </c>
      <c r="F16" s="200">
        <v>0</v>
      </c>
      <c r="G16" s="151">
        <v>0</v>
      </c>
      <c r="H16" s="149" t="s">
        <v>416</v>
      </c>
      <c r="I16" s="201" t="s">
        <v>1329</v>
      </c>
      <c r="J16" s="201" t="s">
        <v>1332</v>
      </c>
      <c r="K16" s="206"/>
      <c r="L16" s="151"/>
      <c r="M16" s="151"/>
      <c r="N16" s="151"/>
      <c r="O16" s="151"/>
      <c r="P16" s="151"/>
      <c r="Q16" s="151"/>
      <c r="R16" s="151"/>
      <c r="S16" s="151">
        <v>303467667.76887798</v>
      </c>
      <c r="T16" s="151"/>
      <c r="U16" s="151"/>
      <c r="V16" s="151"/>
      <c r="W16" s="207"/>
      <c r="X16" s="182">
        <f t="shared" si="0"/>
        <v>303467667.76887798</v>
      </c>
    </row>
    <row r="17" spans="1:24" s="202" customFormat="1" x14ac:dyDescent="0.3">
      <c r="A17" s="157">
        <v>16</v>
      </c>
      <c r="B17" s="149"/>
      <c r="C17" s="150" t="s">
        <v>1320</v>
      </c>
      <c r="D17" s="200">
        <v>2490959583.9200001</v>
      </c>
      <c r="E17" s="200">
        <v>2012000000</v>
      </c>
      <c r="F17" s="200">
        <v>2012000000</v>
      </c>
      <c r="G17" s="151">
        <v>0</v>
      </c>
      <c r="H17" s="149" t="s">
        <v>416</v>
      </c>
      <c r="I17" s="201" t="s">
        <v>1329</v>
      </c>
      <c r="J17" s="201" t="s">
        <v>1327</v>
      </c>
      <c r="K17" s="206"/>
      <c r="L17" s="151"/>
      <c r="M17" s="151"/>
      <c r="N17" s="151"/>
      <c r="O17" s="151"/>
      <c r="P17" s="151">
        <v>1754860506.8031063</v>
      </c>
      <c r="Q17" s="151"/>
      <c r="R17" s="151"/>
      <c r="S17" s="151"/>
      <c r="T17" s="151"/>
      <c r="U17" s="151"/>
      <c r="V17" s="151"/>
      <c r="W17" s="207"/>
      <c r="X17" s="182">
        <f t="shared" si="0"/>
        <v>1754860506.8031063</v>
      </c>
    </row>
    <row r="18" spans="1:24" s="202" customFormat="1" x14ac:dyDescent="0.3">
      <c r="A18" s="157">
        <v>17</v>
      </c>
      <c r="B18" s="149"/>
      <c r="C18" s="150" t="s">
        <v>1320</v>
      </c>
      <c r="D18" s="200">
        <v>365000000</v>
      </c>
      <c r="E18" s="200">
        <v>0</v>
      </c>
      <c r="F18" s="200">
        <v>0</v>
      </c>
      <c r="G18" s="151">
        <v>0</v>
      </c>
      <c r="H18" s="149" t="s">
        <v>416</v>
      </c>
      <c r="I18" s="201" t="s">
        <v>1329</v>
      </c>
      <c r="J18" s="201" t="s">
        <v>1327</v>
      </c>
      <c r="K18" s="206"/>
      <c r="L18" s="151"/>
      <c r="M18" s="151"/>
      <c r="N18" s="151"/>
      <c r="O18" s="151"/>
      <c r="P18" s="151">
        <v>257139493.19689363</v>
      </c>
      <c r="Q18" s="151"/>
      <c r="R18" s="151"/>
      <c r="S18" s="151"/>
      <c r="T18" s="151"/>
      <c r="U18" s="151"/>
      <c r="V18" s="151"/>
      <c r="W18" s="207"/>
      <c r="X18" s="182">
        <f t="shared" si="0"/>
        <v>257139493.19689363</v>
      </c>
    </row>
    <row r="19" spans="1:24" s="202" customFormat="1" x14ac:dyDescent="0.3">
      <c r="A19" s="157">
        <v>18</v>
      </c>
      <c r="B19" s="149"/>
      <c r="C19" s="150" t="s">
        <v>1321</v>
      </c>
      <c r="D19" s="200">
        <v>961572053.91999996</v>
      </c>
      <c r="E19" s="200">
        <v>600000000</v>
      </c>
      <c r="F19" s="200">
        <v>600000000</v>
      </c>
      <c r="G19" s="151">
        <v>0</v>
      </c>
      <c r="H19" s="149" t="s">
        <v>416</v>
      </c>
      <c r="I19" s="201" t="s">
        <v>1331</v>
      </c>
      <c r="J19" s="201" t="s">
        <v>436</v>
      </c>
      <c r="K19" s="206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207">
        <v>1</v>
      </c>
      <c r="X19" s="182">
        <f t="shared" si="0"/>
        <v>1</v>
      </c>
    </row>
    <row r="20" spans="1:24" s="202" customFormat="1" x14ac:dyDescent="0.3">
      <c r="A20" s="157">
        <v>19</v>
      </c>
      <c r="B20" s="149"/>
      <c r="C20" s="150" t="s">
        <v>1322</v>
      </c>
      <c r="D20" s="200">
        <v>2160197635.0700002</v>
      </c>
      <c r="E20" s="200">
        <v>315920000</v>
      </c>
      <c r="F20" s="200">
        <v>0</v>
      </c>
      <c r="G20" s="151">
        <v>0</v>
      </c>
      <c r="H20" s="149" t="s">
        <v>416</v>
      </c>
      <c r="I20" s="201" t="s">
        <v>1333</v>
      </c>
      <c r="J20" s="201" t="s">
        <v>1334</v>
      </c>
      <c r="K20" s="206"/>
      <c r="L20" s="151"/>
      <c r="M20" s="151"/>
      <c r="N20" s="151"/>
      <c r="O20" s="151"/>
      <c r="P20" s="151"/>
      <c r="Q20" s="151"/>
      <c r="R20" s="151"/>
      <c r="S20" s="151"/>
      <c r="T20" s="151"/>
      <c r="U20" s="151">
        <v>2160197635.0700002</v>
      </c>
      <c r="V20" s="151"/>
      <c r="W20" s="207"/>
      <c r="X20" s="182">
        <f t="shared" si="0"/>
        <v>2160197635.0700002</v>
      </c>
    </row>
    <row r="21" spans="1:24" s="202" customFormat="1" x14ac:dyDescent="0.3">
      <c r="A21" s="157">
        <v>20</v>
      </c>
      <c r="B21" s="149"/>
      <c r="C21" s="150" t="s">
        <v>1323</v>
      </c>
      <c r="D21" s="200">
        <v>1413090694.4300001</v>
      </c>
      <c r="E21" s="200">
        <v>1413090694</v>
      </c>
      <c r="F21" s="200">
        <v>1658000000</v>
      </c>
      <c r="G21" s="151">
        <v>0</v>
      </c>
      <c r="H21" s="149" t="s">
        <v>416</v>
      </c>
      <c r="I21" s="201" t="s">
        <v>1331</v>
      </c>
      <c r="J21" s="201" t="s">
        <v>436</v>
      </c>
      <c r="K21" s="206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207">
        <v>1</v>
      </c>
      <c r="X21" s="182">
        <f t="shared" si="0"/>
        <v>1</v>
      </c>
    </row>
    <row r="22" spans="1:24" s="202" customFormat="1" x14ac:dyDescent="0.3">
      <c r="A22" s="157">
        <v>21</v>
      </c>
      <c r="B22" s="149"/>
      <c r="C22" s="150" t="s">
        <v>1324</v>
      </c>
      <c r="D22" s="200">
        <v>747287872.58000004</v>
      </c>
      <c r="E22" s="200">
        <v>440000000</v>
      </c>
      <c r="F22" s="200">
        <v>404000000</v>
      </c>
      <c r="G22" s="151">
        <v>470812100</v>
      </c>
      <c r="H22" s="149" t="s">
        <v>416</v>
      </c>
      <c r="I22" s="201" t="s">
        <v>1330</v>
      </c>
      <c r="J22" s="201"/>
      <c r="K22" s="206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207"/>
      <c r="X22" s="182">
        <f t="shared" si="0"/>
        <v>0</v>
      </c>
    </row>
    <row r="23" spans="1:24" s="202" customFormat="1" x14ac:dyDescent="0.3">
      <c r="A23" s="157">
        <v>22</v>
      </c>
      <c r="B23" s="149"/>
      <c r="C23" s="150" t="s">
        <v>1324</v>
      </c>
      <c r="D23" s="200">
        <v>99951047</v>
      </c>
      <c r="E23" s="200">
        <v>0</v>
      </c>
      <c r="F23" s="200">
        <v>0</v>
      </c>
      <c r="G23" s="151">
        <v>0</v>
      </c>
      <c r="H23" s="149" t="s">
        <v>416</v>
      </c>
      <c r="I23" s="201" t="s">
        <v>1330</v>
      </c>
      <c r="J23" s="201"/>
      <c r="K23" s="206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207"/>
      <c r="X23" s="182">
        <f t="shared" si="0"/>
        <v>0</v>
      </c>
    </row>
    <row r="24" spans="1:24" s="202" customFormat="1" ht="15" thickBot="1" x14ac:dyDescent="0.35">
      <c r="A24" s="161">
        <v>23</v>
      </c>
      <c r="B24" s="165"/>
      <c r="C24" s="162" t="s">
        <v>1325</v>
      </c>
      <c r="D24" s="203">
        <v>1027927366.76</v>
      </c>
      <c r="E24" s="203">
        <v>1027927367</v>
      </c>
      <c r="F24" s="203">
        <v>1058000000</v>
      </c>
      <c r="G24" s="164">
        <v>0</v>
      </c>
      <c r="H24" s="165" t="s">
        <v>416</v>
      </c>
      <c r="I24" s="201" t="s">
        <v>1331</v>
      </c>
      <c r="J24" s="204" t="s">
        <v>436</v>
      </c>
      <c r="K24" s="208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209">
        <v>1</v>
      </c>
      <c r="X24" s="182">
        <f t="shared" si="0"/>
        <v>1</v>
      </c>
    </row>
    <row r="25" spans="1:24" ht="15" thickBot="1" x14ac:dyDescent="0.35">
      <c r="A25" s="167"/>
      <c r="B25" s="170"/>
      <c r="C25" s="168"/>
      <c r="D25" s="103">
        <f>SUM(D2:D24)</f>
        <v>20098758090.989998</v>
      </c>
      <c r="E25" s="103">
        <f>SUM(E2:E24)</f>
        <v>13319078143.040001</v>
      </c>
      <c r="F25" s="103"/>
      <c r="G25" s="103">
        <f>SUM(G2:G24)</f>
        <v>2058504678.4200001</v>
      </c>
      <c r="H25" s="170"/>
      <c r="I25" s="199"/>
      <c r="J25" s="199"/>
      <c r="K25" s="103">
        <f t="shared" ref="K25:X25" si="1">SUM(K2:K24)</f>
        <v>1012000000</v>
      </c>
      <c r="L25" s="103">
        <f t="shared" si="1"/>
        <v>0</v>
      </c>
      <c r="M25" s="103">
        <f t="shared" si="1"/>
        <v>0</v>
      </c>
      <c r="N25" s="103">
        <f t="shared" si="1"/>
        <v>0</v>
      </c>
      <c r="O25" s="103">
        <f t="shared" si="1"/>
        <v>0</v>
      </c>
      <c r="P25" s="103">
        <f t="shared" si="1"/>
        <v>2171000000</v>
      </c>
      <c r="Q25" s="103">
        <f t="shared" si="1"/>
        <v>593000000</v>
      </c>
      <c r="R25" s="103">
        <f t="shared" si="1"/>
        <v>1099000000</v>
      </c>
      <c r="S25" s="103">
        <f t="shared" si="1"/>
        <v>2623000000</v>
      </c>
      <c r="T25" s="103">
        <f t="shared" si="1"/>
        <v>624000000</v>
      </c>
      <c r="U25" s="103">
        <f t="shared" si="1"/>
        <v>2160197635.0700002</v>
      </c>
      <c r="V25" s="103">
        <f t="shared" si="1"/>
        <v>592000000</v>
      </c>
      <c r="W25" s="205">
        <f t="shared" si="1"/>
        <v>3</v>
      </c>
      <c r="X25" s="145">
        <f t="shared" si="1"/>
        <v>10874197638.07</v>
      </c>
    </row>
    <row r="26" spans="1:24" x14ac:dyDescent="0.3">
      <c r="A26" s="36"/>
      <c r="B26" s="36"/>
      <c r="D26" s="108"/>
      <c r="E26" s="108"/>
      <c r="F26" s="108"/>
      <c r="G26" s="108"/>
      <c r="H26" s="36"/>
      <c r="I26" s="36"/>
      <c r="J26" s="36"/>
    </row>
    <row r="27" spans="1:24" x14ac:dyDescent="0.3">
      <c r="A27" s="36"/>
      <c r="B27" s="36"/>
      <c r="D27" s="108"/>
      <c r="E27" s="108"/>
      <c r="F27" s="108"/>
      <c r="G27" s="108"/>
      <c r="H27" s="36"/>
      <c r="I27" s="36"/>
      <c r="J27" s="36"/>
    </row>
    <row r="28" spans="1:24" x14ac:dyDescent="0.3">
      <c r="A28" s="36"/>
      <c r="B28" s="36"/>
      <c r="D28" s="108"/>
      <c r="E28" s="108"/>
      <c r="F28" s="108"/>
      <c r="G28" s="108"/>
      <c r="H28" s="36"/>
      <c r="I28" s="36"/>
      <c r="J28" s="36"/>
    </row>
    <row r="29" spans="1:24" x14ac:dyDescent="0.3">
      <c r="A29" s="36"/>
      <c r="B29" s="36"/>
      <c r="D29" s="108"/>
      <c r="E29" s="108"/>
      <c r="F29" s="108"/>
      <c r="G29" s="108"/>
      <c r="H29" s="36"/>
      <c r="I29" s="36"/>
      <c r="J29" s="36"/>
    </row>
    <row r="30" spans="1:24" x14ac:dyDescent="0.3">
      <c r="A30" s="36"/>
      <c r="B30" s="36"/>
      <c r="D30" s="108"/>
      <c r="E30" s="108"/>
      <c r="F30" s="108"/>
      <c r="G30" s="108"/>
      <c r="H30" s="36"/>
      <c r="I30" s="36"/>
      <c r="J30" s="36"/>
    </row>
    <row r="31" spans="1:24" x14ac:dyDescent="0.3">
      <c r="A31" s="36"/>
      <c r="B31" s="36"/>
      <c r="D31" s="108"/>
      <c r="E31" s="108"/>
      <c r="F31" s="108"/>
      <c r="G31" s="108"/>
      <c r="H31" s="36"/>
      <c r="I31" s="36"/>
      <c r="J31" s="36"/>
    </row>
    <row r="32" spans="1:24" x14ac:dyDescent="0.3">
      <c r="A32" s="36"/>
      <c r="B32" s="36"/>
      <c r="D32" s="108"/>
      <c r="E32" s="108"/>
      <c r="F32" s="108"/>
      <c r="G32" s="108"/>
      <c r="H32" s="36"/>
      <c r="I32" s="36"/>
      <c r="J32" s="36"/>
    </row>
    <row r="33" spans="1:10" x14ac:dyDescent="0.3">
      <c r="A33" s="36"/>
      <c r="B33" s="36"/>
      <c r="D33" s="108"/>
      <c r="E33" s="108"/>
      <c r="F33" s="108"/>
      <c r="G33" s="108"/>
      <c r="H33" s="36"/>
      <c r="I33" s="36"/>
      <c r="J33" s="36"/>
    </row>
    <row r="34" spans="1:10" x14ac:dyDescent="0.3">
      <c r="A34" s="36"/>
      <c r="B34" s="36"/>
      <c r="D34" s="108"/>
      <c r="E34" s="108"/>
      <c r="F34" s="108"/>
      <c r="G34" s="108"/>
      <c r="H34" s="36"/>
      <c r="I34" s="36"/>
      <c r="J34" s="36"/>
    </row>
    <row r="35" spans="1:10" x14ac:dyDescent="0.3">
      <c r="A35" s="36"/>
      <c r="B35" s="36"/>
      <c r="D35" s="108"/>
      <c r="E35" s="108"/>
      <c r="F35" s="108"/>
      <c r="G35" s="108"/>
      <c r="H35" s="36"/>
      <c r="I35" s="36"/>
      <c r="J35" s="36"/>
    </row>
    <row r="36" spans="1:10" x14ac:dyDescent="0.3">
      <c r="A36" s="36"/>
      <c r="B36" s="36"/>
      <c r="D36" s="108"/>
      <c r="E36" s="108"/>
      <c r="F36" s="108"/>
      <c r="G36" s="108"/>
      <c r="H36" s="36"/>
      <c r="I36" s="36"/>
      <c r="J36" s="36"/>
    </row>
    <row r="37" spans="1:10" x14ac:dyDescent="0.3">
      <c r="A37" s="36"/>
      <c r="B37" s="36"/>
      <c r="D37" s="108"/>
      <c r="E37" s="108"/>
      <c r="F37" s="108"/>
      <c r="G37" s="108"/>
      <c r="H37" s="36"/>
      <c r="I37" s="36"/>
      <c r="J37" s="36"/>
    </row>
    <row r="38" spans="1:10" x14ac:dyDescent="0.3">
      <c r="A38" s="36"/>
      <c r="B38" s="36"/>
      <c r="D38" s="108"/>
      <c r="E38" s="108"/>
      <c r="F38" s="108"/>
      <c r="G38" s="108"/>
      <c r="H38" s="36"/>
      <c r="I38" s="36"/>
      <c r="J38" s="36"/>
    </row>
    <row r="39" spans="1:10" x14ac:dyDescent="0.3">
      <c r="A39" s="36"/>
      <c r="B39" s="36"/>
      <c r="D39" s="108"/>
      <c r="E39" s="108"/>
      <c r="F39" s="108"/>
      <c r="G39" s="108"/>
      <c r="H39" s="36"/>
      <c r="I39" s="36"/>
      <c r="J39" s="36"/>
    </row>
    <row r="40" spans="1:10" x14ac:dyDescent="0.3">
      <c r="A40" s="36"/>
      <c r="B40" s="36"/>
      <c r="D40" s="108"/>
      <c r="E40" s="108"/>
      <c r="F40" s="108"/>
      <c r="G40" s="108"/>
      <c r="H40" s="36"/>
      <c r="I40" s="36"/>
      <c r="J40" s="36"/>
    </row>
    <row r="41" spans="1:10" x14ac:dyDescent="0.3">
      <c r="A41" s="36"/>
      <c r="B41" s="36"/>
      <c r="D41" s="108"/>
      <c r="E41" s="108"/>
      <c r="F41" s="108"/>
      <c r="G41" s="108"/>
      <c r="H41" s="36"/>
      <c r="I41" s="36"/>
      <c r="J41" s="36"/>
    </row>
    <row r="42" spans="1:10" x14ac:dyDescent="0.3">
      <c r="A42" s="36"/>
      <c r="B42" s="36"/>
      <c r="D42" s="108"/>
      <c r="E42" s="108"/>
      <c r="F42" s="108"/>
      <c r="G42" s="108"/>
      <c r="H42" s="36"/>
      <c r="I42" s="36"/>
      <c r="J42" s="36"/>
    </row>
    <row r="43" spans="1:10" x14ac:dyDescent="0.3">
      <c r="A43" s="36"/>
      <c r="B43" s="36"/>
      <c r="D43" s="108"/>
      <c r="E43" s="108"/>
      <c r="F43" s="108"/>
      <c r="G43" s="108"/>
      <c r="H43" s="36"/>
      <c r="I43" s="36"/>
      <c r="J43" s="36"/>
    </row>
    <row r="44" spans="1:10" x14ac:dyDescent="0.3">
      <c r="A44" s="36"/>
      <c r="B44" s="36"/>
      <c r="D44" s="108"/>
      <c r="E44" s="108"/>
      <c r="F44" s="108"/>
      <c r="G44" s="108"/>
      <c r="H44" s="36"/>
      <c r="I44" s="36"/>
      <c r="J44" s="36"/>
    </row>
    <row r="45" spans="1:10" x14ac:dyDescent="0.3">
      <c r="A45" s="36"/>
      <c r="B45" s="36"/>
      <c r="D45" s="108"/>
      <c r="E45" s="108"/>
      <c r="F45" s="108"/>
      <c r="G45" s="108"/>
      <c r="H45" s="36"/>
      <c r="I45" s="36"/>
      <c r="J45" s="36"/>
    </row>
    <row r="46" spans="1:10" x14ac:dyDescent="0.3">
      <c r="A46" s="36"/>
      <c r="B46" s="36"/>
      <c r="D46" s="108"/>
      <c r="E46" s="108"/>
      <c r="F46" s="108"/>
      <c r="G46" s="108"/>
      <c r="H46" s="36"/>
      <c r="I46" s="36"/>
      <c r="J46" s="36"/>
    </row>
    <row r="47" spans="1:10" x14ac:dyDescent="0.3">
      <c r="A47" s="36"/>
      <c r="B47" s="36"/>
      <c r="D47" s="108"/>
      <c r="E47" s="108"/>
      <c r="F47" s="108"/>
      <c r="G47" s="108"/>
      <c r="H47" s="36"/>
      <c r="I47" s="36"/>
      <c r="J47" s="36"/>
    </row>
    <row r="48" spans="1:10" x14ac:dyDescent="0.3">
      <c r="A48" s="36"/>
      <c r="B48" s="36"/>
      <c r="D48" s="108"/>
      <c r="E48" s="108"/>
      <c r="F48" s="108"/>
      <c r="G48" s="108"/>
      <c r="H48" s="36"/>
      <c r="I48" s="36"/>
      <c r="J48" s="36"/>
    </row>
    <row r="49" spans="1:10" x14ac:dyDescent="0.3">
      <c r="A49" s="36"/>
      <c r="B49" s="36"/>
      <c r="D49" s="108"/>
      <c r="E49" s="108"/>
      <c r="F49" s="108"/>
      <c r="G49" s="108"/>
      <c r="H49" s="36"/>
      <c r="I49" s="36"/>
      <c r="J49" s="36"/>
    </row>
    <row r="50" spans="1:10" x14ac:dyDescent="0.3">
      <c r="A50" s="36"/>
      <c r="B50" s="36"/>
      <c r="D50" s="108"/>
      <c r="E50" s="108"/>
      <c r="F50" s="108"/>
      <c r="G50" s="108"/>
      <c r="H50" s="36"/>
      <c r="I50" s="36"/>
      <c r="J50" s="36"/>
    </row>
    <row r="51" spans="1:10" x14ac:dyDescent="0.3">
      <c r="A51" s="36"/>
      <c r="B51" s="36"/>
      <c r="D51" s="108"/>
      <c r="E51" s="108"/>
      <c r="F51" s="108"/>
      <c r="G51" s="108"/>
      <c r="H51" s="36"/>
      <c r="I51" s="36"/>
      <c r="J51" s="36"/>
    </row>
    <row r="52" spans="1:10" x14ac:dyDescent="0.3">
      <c r="A52" s="36"/>
      <c r="B52" s="36"/>
      <c r="D52" s="108"/>
      <c r="E52" s="108"/>
      <c r="F52" s="108"/>
      <c r="G52" s="108"/>
      <c r="H52" s="36"/>
      <c r="I52" s="36"/>
      <c r="J52" s="36"/>
    </row>
    <row r="53" spans="1:10" x14ac:dyDescent="0.3">
      <c r="A53" s="36"/>
      <c r="B53" s="36"/>
      <c r="D53" s="108"/>
      <c r="E53" s="108"/>
      <c r="F53" s="108"/>
      <c r="G53" s="108"/>
      <c r="H53" s="36"/>
      <c r="I53" s="36"/>
      <c r="J53" s="36"/>
    </row>
    <row r="54" spans="1:10" x14ac:dyDescent="0.3">
      <c r="A54" s="36"/>
      <c r="B54" s="36"/>
      <c r="D54" s="108"/>
      <c r="E54" s="108"/>
      <c r="F54" s="108"/>
      <c r="G54" s="108"/>
      <c r="H54" s="36"/>
      <c r="I54" s="36"/>
      <c r="J54" s="36"/>
    </row>
    <row r="55" spans="1:10" x14ac:dyDescent="0.3">
      <c r="A55" s="36"/>
      <c r="B55" s="36"/>
      <c r="D55" s="108"/>
      <c r="E55" s="108"/>
      <c r="F55" s="108"/>
      <c r="G55" s="108"/>
      <c r="H55" s="36"/>
      <c r="I55" s="36"/>
      <c r="J55" s="36"/>
    </row>
    <row r="56" spans="1:10" x14ac:dyDescent="0.3">
      <c r="A56" s="36"/>
      <c r="B56" s="51"/>
      <c r="C56" s="51"/>
      <c r="D56" s="108"/>
      <c r="E56" s="108"/>
      <c r="F56" s="108"/>
      <c r="G56" s="108"/>
      <c r="H56" s="51"/>
      <c r="I56" s="51"/>
      <c r="J56" s="51"/>
    </row>
    <row r="57" spans="1:10" x14ac:dyDescent="0.3">
      <c r="A57" s="36"/>
      <c r="D57" s="108"/>
      <c r="E57" s="108"/>
      <c r="F57" s="108"/>
      <c r="G57" s="108"/>
      <c r="J57" s="36"/>
    </row>
    <row r="58" spans="1:10" x14ac:dyDescent="0.3">
      <c r="A58" s="36"/>
      <c r="D58" s="108"/>
      <c r="E58" s="108"/>
      <c r="F58" s="108"/>
      <c r="G58" s="108"/>
      <c r="J58" s="36"/>
    </row>
    <row r="59" spans="1:10" x14ac:dyDescent="0.3">
      <c r="A59" s="36"/>
      <c r="D59" s="108"/>
      <c r="E59" s="108"/>
      <c r="F59" s="108"/>
      <c r="G59" s="108"/>
      <c r="J59" s="36"/>
    </row>
    <row r="60" spans="1:10" x14ac:dyDescent="0.3">
      <c r="A60" s="36"/>
      <c r="D60" s="108"/>
      <c r="E60" s="108"/>
      <c r="F60" s="108"/>
      <c r="G60" s="108"/>
      <c r="J60" s="36"/>
    </row>
    <row r="61" spans="1:10" x14ac:dyDescent="0.3">
      <c r="A61" s="36"/>
      <c r="D61" s="108"/>
      <c r="E61" s="108"/>
      <c r="F61" s="108"/>
      <c r="G61" s="108"/>
      <c r="J61" s="36"/>
    </row>
    <row r="62" spans="1:10" x14ac:dyDescent="0.3">
      <c r="A62" s="36"/>
      <c r="D62" s="108"/>
      <c r="E62" s="108"/>
      <c r="F62" s="108"/>
      <c r="G62" s="108"/>
      <c r="J62" s="36"/>
    </row>
    <row r="63" spans="1:10" x14ac:dyDescent="0.3">
      <c r="A63" s="36"/>
      <c r="D63" s="108"/>
      <c r="E63" s="108"/>
      <c r="F63" s="108"/>
      <c r="G63" s="108"/>
      <c r="J63" s="36"/>
    </row>
    <row r="64" spans="1:10" x14ac:dyDescent="0.3">
      <c r="A64" s="36"/>
      <c r="D64" s="108"/>
      <c r="E64" s="108"/>
      <c r="F64" s="108"/>
      <c r="G64" s="108"/>
      <c r="J64" s="36"/>
    </row>
    <row r="65" spans="1:10" x14ac:dyDescent="0.3">
      <c r="A65" s="36"/>
      <c r="D65" s="108"/>
      <c r="E65" s="108"/>
      <c r="F65" s="108"/>
      <c r="G65" s="108"/>
      <c r="J65" s="36"/>
    </row>
    <row r="66" spans="1:10" x14ac:dyDescent="0.3">
      <c r="A66" s="36"/>
      <c r="D66" s="108"/>
      <c r="E66" s="108"/>
      <c r="F66" s="108"/>
      <c r="G66" s="108"/>
      <c r="J66" s="36"/>
    </row>
    <row r="67" spans="1:10" x14ac:dyDescent="0.3">
      <c r="A67" s="36"/>
      <c r="D67" s="108"/>
      <c r="E67" s="108"/>
      <c r="F67" s="108"/>
      <c r="G67" s="108"/>
      <c r="J67" s="36"/>
    </row>
    <row r="68" spans="1:10" x14ac:dyDescent="0.3">
      <c r="A68" s="36"/>
      <c r="D68" s="108"/>
      <c r="E68" s="108"/>
      <c r="F68" s="108"/>
      <c r="G68" s="108"/>
      <c r="J68" s="36"/>
    </row>
    <row r="69" spans="1:10" x14ac:dyDescent="0.3">
      <c r="A69" s="36"/>
      <c r="D69" s="108"/>
      <c r="E69" s="108"/>
      <c r="F69" s="108"/>
      <c r="G69" s="108"/>
      <c r="J69" s="36"/>
    </row>
    <row r="70" spans="1:10" x14ac:dyDescent="0.3">
      <c r="A70" s="36"/>
      <c r="D70" s="108"/>
      <c r="E70" s="108"/>
      <c r="F70" s="108"/>
      <c r="G70" s="108"/>
      <c r="J70" s="36"/>
    </row>
    <row r="71" spans="1:10" x14ac:dyDescent="0.3">
      <c r="A71" s="36"/>
      <c r="D71" s="108"/>
      <c r="E71" s="108"/>
      <c r="F71" s="108"/>
      <c r="G71" s="108"/>
      <c r="J71" s="36"/>
    </row>
    <row r="72" spans="1:10" x14ac:dyDescent="0.3">
      <c r="A72" s="36"/>
      <c r="D72" s="108"/>
      <c r="E72" s="108"/>
      <c r="F72" s="108"/>
      <c r="G72" s="108"/>
      <c r="J72" s="36"/>
    </row>
    <row r="73" spans="1:10" x14ac:dyDescent="0.3">
      <c r="A73" s="36"/>
      <c r="D73" s="108"/>
      <c r="E73" s="108"/>
      <c r="F73" s="108"/>
      <c r="G73" s="108"/>
      <c r="J73" s="36"/>
    </row>
    <row r="74" spans="1:10" x14ac:dyDescent="0.3">
      <c r="A74" s="36"/>
      <c r="D74" s="108"/>
      <c r="E74" s="108"/>
      <c r="F74" s="108"/>
      <c r="G74" s="108"/>
    </row>
    <row r="75" spans="1:10" x14ac:dyDescent="0.3">
      <c r="A75" s="36"/>
      <c r="D75" s="108"/>
      <c r="E75" s="108"/>
      <c r="F75" s="108"/>
      <c r="G75" s="108"/>
      <c r="J75" s="36"/>
    </row>
    <row r="76" spans="1:10" x14ac:dyDescent="0.3">
      <c r="A76" s="36"/>
      <c r="D76" s="108"/>
      <c r="E76" s="108"/>
      <c r="F76" s="108"/>
      <c r="G76" s="108"/>
      <c r="J76" s="36"/>
    </row>
    <row r="77" spans="1:10" x14ac:dyDescent="0.3">
      <c r="A77" s="36"/>
      <c r="D77" s="108"/>
      <c r="E77" s="108"/>
      <c r="F77" s="108"/>
      <c r="G77" s="108"/>
    </row>
    <row r="78" spans="1:10" x14ac:dyDescent="0.3">
      <c r="A78" s="36"/>
      <c r="D78" s="108"/>
      <c r="E78" s="108"/>
      <c r="F78" s="108"/>
      <c r="G78" s="108"/>
      <c r="J78" s="36"/>
    </row>
    <row r="79" spans="1:10" x14ac:dyDescent="0.3">
      <c r="A79" s="36"/>
      <c r="D79" s="108"/>
      <c r="E79" s="108"/>
      <c r="F79" s="108"/>
      <c r="G79" s="108"/>
      <c r="J79" s="36"/>
    </row>
    <row r="80" spans="1:10" x14ac:dyDescent="0.3">
      <c r="A80" s="36"/>
      <c r="D80" s="108"/>
      <c r="E80" s="108"/>
      <c r="F80" s="108"/>
      <c r="G80" s="108"/>
      <c r="J80" s="36"/>
    </row>
    <row r="81" spans="1:10" x14ac:dyDescent="0.3">
      <c r="A81" s="36"/>
      <c r="D81" s="108"/>
      <c r="E81" s="108"/>
      <c r="F81" s="108"/>
      <c r="G81" s="108"/>
      <c r="J81" s="36"/>
    </row>
    <row r="82" spans="1:10" x14ac:dyDescent="0.3">
      <c r="A82" s="36"/>
      <c r="D82" s="108"/>
      <c r="E82" s="108"/>
      <c r="F82" s="108"/>
      <c r="G82" s="108"/>
      <c r="J82" s="36"/>
    </row>
    <row r="83" spans="1:10" x14ac:dyDescent="0.3">
      <c r="A83" s="36"/>
      <c r="D83" s="108"/>
      <c r="E83" s="108"/>
      <c r="F83" s="108"/>
      <c r="G83" s="108"/>
    </row>
    <row r="84" spans="1:10" x14ac:dyDescent="0.3">
      <c r="A84" s="36"/>
      <c r="D84" s="108"/>
      <c r="E84" s="108"/>
      <c r="F84" s="108"/>
      <c r="G84" s="108"/>
      <c r="J84" s="36"/>
    </row>
    <row r="85" spans="1:10" x14ac:dyDescent="0.3">
      <c r="A85" s="36"/>
      <c r="D85" s="108"/>
      <c r="E85" s="108"/>
      <c r="F85" s="108"/>
      <c r="G85" s="108"/>
      <c r="J85" s="36"/>
    </row>
    <row r="86" spans="1:10" x14ac:dyDescent="0.3">
      <c r="A86" s="36"/>
      <c r="D86" s="108"/>
      <c r="E86" s="108"/>
      <c r="F86" s="108"/>
      <c r="G86" s="108"/>
      <c r="J86" s="36"/>
    </row>
    <row r="87" spans="1:10" x14ac:dyDescent="0.3">
      <c r="A87" s="36"/>
      <c r="D87" s="108"/>
      <c r="E87" s="108"/>
      <c r="F87" s="108"/>
      <c r="G87" s="108"/>
      <c r="J87" s="36"/>
    </row>
    <row r="88" spans="1:10" x14ac:dyDescent="0.3">
      <c r="A88" s="36"/>
      <c r="D88" s="108"/>
      <c r="E88" s="108"/>
      <c r="F88" s="108"/>
      <c r="G88" s="108"/>
      <c r="J88" s="36"/>
    </row>
    <row r="89" spans="1:10" x14ac:dyDescent="0.3">
      <c r="A89" s="36"/>
      <c r="D89" s="108"/>
      <c r="E89" s="108"/>
      <c r="F89" s="108"/>
      <c r="G89" s="108"/>
      <c r="J89" s="36"/>
    </row>
    <row r="90" spans="1:10" x14ac:dyDescent="0.3">
      <c r="A90" s="36"/>
      <c r="D90" s="108"/>
      <c r="E90" s="108"/>
      <c r="F90" s="108"/>
      <c r="G90" s="108"/>
      <c r="J90" s="36"/>
    </row>
    <row r="91" spans="1:10" x14ac:dyDescent="0.3">
      <c r="A91" s="36"/>
      <c r="D91" s="108"/>
      <c r="E91" s="108"/>
      <c r="F91" s="108"/>
      <c r="G91" s="108"/>
      <c r="J91" s="36"/>
    </row>
    <row r="92" spans="1:10" x14ac:dyDescent="0.3">
      <c r="A92" s="36"/>
      <c r="D92" s="108"/>
      <c r="E92" s="108"/>
      <c r="F92" s="108"/>
      <c r="G92" s="108"/>
      <c r="J92" s="36"/>
    </row>
    <row r="93" spans="1:10" x14ac:dyDescent="0.3">
      <c r="A93" s="36"/>
      <c r="D93" s="108"/>
      <c r="E93" s="108"/>
      <c r="F93" s="108"/>
      <c r="G93" s="108"/>
      <c r="J93" s="36"/>
    </row>
    <row r="94" spans="1:10" x14ac:dyDescent="0.3">
      <c r="A94" s="36"/>
      <c r="D94" s="108"/>
      <c r="E94" s="108"/>
      <c r="F94" s="108"/>
      <c r="G94" s="108"/>
    </row>
    <row r="95" spans="1:10" x14ac:dyDescent="0.3">
      <c r="A95" s="36"/>
      <c r="D95" s="108"/>
      <c r="E95" s="108"/>
      <c r="F95" s="108"/>
      <c r="G95" s="108"/>
      <c r="J95" s="36"/>
    </row>
    <row r="96" spans="1:10" x14ac:dyDescent="0.3">
      <c r="A96" s="36"/>
      <c r="D96" s="108"/>
      <c r="E96" s="108"/>
      <c r="F96" s="108"/>
      <c r="G96" s="108"/>
      <c r="J96" s="36"/>
    </row>
    <row r="97" spans="1:10" x14ac:dyDescent="0.3">
      <c r="A97" s="36"/>
      <c r="D97" s="108"/>
      <c r="E97" s="108"/>
      <c r="F97" s="108"/>
      <c r="G97" s="108"/>
      <c r="J97" s="36"/>
    </row>
    <row r="98" spans="1:10" x14ac:dyDescent="0.3">
      <c r="A98" s="36"/>
      <c r="D98" s="108"/>
      <c r="E98" s="108"/>
      <c r="F98" s="108"/>
      <c r="G98" s="108"/>
      <c r="J98" s="36"/>
    </row>
    <row r="99" spans="1:10" x14ac:dyDescent="0.3">
      <c r="A99" s="36"/>
      <c r="D99" s="108"/>
      <c r="E99" s="108"/>
      <c r="F99" s="108"/>
      <c r="G99" s="108"/>
      <c r="J99" s="36"/>
    </row>
    <row r="100" spans="1:10" x14ac:dyDescent="0.3">
      <c r="A100" s="36"/>
      <c r="D100" s="108"/>
      <c r="E100" s="108"/>
      <c r="F100" s="108"/>
      <c r="G100" s="108"/>
      <c r="J100" s="36"/>
    </row>
    <row r="101" spans="1:10" x14ac:dyDescent="0.3">
      <c r="A101" s="36"/>
      <c r="D101" s="108"/>
      <c r="E101" s="108"/>
      <c r="F101" s="108"/>
      <c r="G101" s="108"/>
      <c r="J101" s="36"/>
    </row>
    <row r="102" spans="1:10" x14ac:dyDescent="0.3">
      <c r="A102" s="36"/>
      <c r="D102" s="108"/>
      <c r="E102" s="108"/>
      <c r="F102" s="108"/>
      <c r="G102" s="108"/>
      <c r="J102" s="36"/>
    </row>
    <row r="103" spans="1:10" x14ac:dyDescent="0.3">
      <c r="A103" s="36"/>
      <c r="D103" s="108"/>
      <c r="E103" s="108"/>
      <c r="F103" s="108"/>
      <c r="G103" s="108"/>
      <c r="J103" s="36"/>
    </row>
    <row r="104" spans="1:10" x14ac:dyDescent="0.3">
      <c r="A104" s="36"/>
      <c r="D104" s="108"/>
      <c r="E104" s="108"/>
      <c r="F104" s="108"/>
      <c r="G104" s="108"/>
      <c r="J104" s="36"/>
    </row>
    <row r="105" spans="1:10" x14ac:dyDescent="0.3">
      <c r="A105" s="36"/>
      <c r="D105" s="108"/>
      <c r="E105" s="108"/>
      <c r="F105" s="108"/>
      <c r="G105" s="108"/>
      <c r="J105" s="36"/>
    </row>
    <row r="106" spans="1:10" x14ac:dyDescent="0.3">
      <c r="A106" s="36"/>
      <c r="D106" s="108"/>
      <c r="E106" s="108"/>
      <c r="F106" s="108"/>
      <c r="G106" s="108"/>
      <c r="J106" s="36"/>
    </row>
    <row r="107" spans="1:10" x14ac:dyDescent="0.3">
      <c r="A107" s="36"/>
      <c r="D107" s="108"/>
      <c r="E107" s="108"/>
      <c r="F107" s="108"/>
      <c r="G107" s="108"/>
      <c r="J107" s="36"/>
    </row>
    <row r="108" spans="1:10" x14ac:dyDescent="0.3">
      <c r="A108" s="36"/>
      <c r="D108" s="108"/>
      <c r="E108" s="108"/>
      <c r="F108" s="108"/>
      <c r="G108" s="108"/>
      <c r="J108" s="36"/>
    </row>
    <row r="109" spans="1:10" x14ac:dyDescent="0.3">
      <c r="A109" s="36"/>
      <c r="D109" s="108"/>
      <c r="E109" s="108"/>
      <c r="F109" s="108"/>
      <c r="G109" s="108"/>
    </row>
    <row r="110" spans="1:10" x14ac:dyDescent="0.3">
      <c r="A110" s="36"/>
      <c r="D110" s="108"/>
      <c r="E110" s="108"/>
      <c r="F110" s="108"/>
      <c r="G110" s="108"/>
      <c r="J110" s="36"/>
    </row>
    <row r="111" spans="1:10" x14ac:dyDescent="0.3">
      <c r="A111" s="36"/>
      <c r="D111" s="108"/>
      <c r="E111" s="108"/>
      <c r="F111" s="108"/>
      <c r="G111" s="108"/>
      <c r="J111" s="36"/>
    </row>
    <row r="112" spans="1:10" x14ac:dyDescent="0.3">
      <c r="A112" s="36"/>
      <c r="D112" s="108"/>
      <c r="E112" s="108"/>
      <c r="F112" s="108"/>
      <c r="G112" s="108"/>
      <c r="J112" s="36"/>
    </row>
    <row r="113" spans="1:10" x14ac:dyDescent="0.3">
      <c r="A113" s="36"/>
      <c r="D113" s="108"/>
      <c r="E113" s="108"/>
      <c r="F113" s="108"/>
      <c r="G113" s="108"/>
    </row>
    <row r="114" spans="1:10" x14ac:dyDescent="0.3">
      <c r="A114" s="36"/>
      <c r="D114" s="108"/>
      <c r="E114" s="108"/>
      <c r="F114" s="108"/>
      <c r="G114" s="108"/>
    </row>
    <row r="115" spans="1:10" x14ac:dyDescent="0.3">
      <c r="A115" s="36"/>
      <c r="D115" s="108"/>
      <c r="E115" s="108"/>
      <c r="F115" s="108"/>
      <c r="G115" s="108"/>
    </row>
    <row r="116" spans="1:10" x14ac:dyDescent="0.3">
      <c r="A116" s="36"/>
      <c r="D116" s="108"/>
      <c r="E116" s="108"/>
      <c r="F116" s="108"/>
      <c r="G116" s="108"/>
      <c r="J116" s="36"/>
    </row>
    <row r="117" spans="1:10" x14ac:dyDescent="0.3">
      <c r="A117" s="36"/>
      <c r="D117" s="108"/>
      <c r="E117" s="108"/>
      <c r="F117" s="108"/>
      <c r="G117" s="108"/>
      <c r="J117" s="36"/>
    </row>
    <row r="118" spans="1:10" x14ac:dyDescent="0.3">
      <c r="A118" s="36"/>
      <c r="D118" s="108"/>
      <c r="E118" s="108"/>
      <c r="F118" s="108"/>
      <c r="G118" s="108"/>
      <c r="J118" s="36"/>
    </row>
    <row r="119" spans="1:10" x14ac:dyDescent="0.3">
      <c r="A119" s="36"/>
      <c r="D119" s="108"/>
      <c r="E119" s="108"/>
      <c r="F119" s="108"/>
      <c r="G119" s="108"/>
      <c r="J119" s="36"/>
    </row>
    <row r="120" spans="1:10" x14ac:dyDescent="0.3">
      <c r="A120" s="36"/>
      <c r="D120" s="108"/>
      <c r="E120" s="108"/>
      <c r="F120" s="108"/>
      <c r="G120" s="108"/>
      <c r="J120" s="36"/>
    </row>
    <row r="121" spans="1:10" x14ac:dyDescent="0.3">
      <c r="A121" s="36"/>
      <c r="D121" s="108"/>
      <c r="E121" s="108"/>
      <c r="F121" s="108"/>
      <c r="G121" s="108"/>
    </row>
    <row r="122" spans="1:10" x14ac:dyDescent="0.3">
      <c r="A122" s="36"/>
      <c r="D122" s="108"/>
      <c r="E122" s="108"/>
      <c r="F122" s="108"/>
      <c r="G122" s="108"/>
    </row>
    <row r="123" spans="1:10" x14ac:dyDescent="0.3">
      <c r="A123" s="36"/>
      <c r="D123" s="108"/>
      <c r="E123" s="108"/>
      <c r="F123" s="108"/>
      <c r="G123" s="108"/>
    </row>
    <row r="124" spans="1:10" x14ac:dyDescent="0.3">
      <c r="A124" s="36"/>
      <c r="D124" s="108"/>
      <c r="E124" s="108"/>
      <c r="F124" s="108"/>
      <c r="G124" s="108"/>
    </row>
    <row r="125" spans="1:10" x14ac:dyDescent="0.3">
      <c r="A125" s="36"/>
      <c r="D125" s="108"/>
      <c r="E125" s="108"/>
      <c r="F125" s="108"/>
      <c r="G125" s="108"/>
    </row>
    <row r="126" spans="1:10" x14ac:dyDescent="0.3">
      <c r="A126" s="36"/>
      <c r="D126" s="108"/>
      <c r="E126" s="108"/>
      <c r="F126" s="108"/>
      <c r="G126" s="108"/>
    </row>
    <row r="127" spans="1:10" x14ac:dyDescent="0.3">
      <c r="A127" s="36"/>
      <c r="D127" s="108"/>
      <c r="E127" s="108"/>
      <c r="F127" s="108"/>
      <c r="G127" s="108"/>
    </row>
    <row r="128" spans="1:10" x14ac:dyDescent="0.3">
      <c r="A128" s="36"/>
      <c r="D128" s="108"/>
      <c r="E128" s="108"/>
      <c r="F128" s="108"/>
      <c r="G128" s="108"/>
    </row>
    <row r="129" spans="1:7" x14ac:dyDescent="0.3">
      <c r="A129" s="36"/>
      <c r="D129" s="108"/>
      <c r="E129" s="108"/>
      <c r="F129" s="108"/>
      <c r="G129" s="108"/>
    </row>
    <row r="130" spans="1:7" x14ac:dyDescent="0.3">
      <c r="A130" s="36"/>
      <c r="D130" s="108"/>
      <c r="E130" s="108"/>
      <c r="F130" s="108"/>
      <c r="G130" s="108"/>
    </row>
    <row r="131" spans="1:7" x14ac:dyDescent="0.3">
      <c r="A131" s="36"/>
      <c r="D131" s="108"/>
      <c r="E131" s="108"/>
      <c r="F131" s="108"/>
      <c r="G131" s="108"/>
    </row>
    <row r="132" spans="1:7" x14ac:dyDescent="0.3">
      <c r="A132" s="36"/>
      <c r="D132" s="108"/>
      <c r="E132" s="108"/>
      <c r="F132" s="108"/>
      <c r="G132" s="108"/>
    </row>
    <row r="133" spans="1:7" x14ac:dyDescent="0.3">
      <c r="A133" s="36"/>
      <c r="D133" s="108"/>
      <c r="E133" s="108"/>
      <c r="F133" s="108"/>
      <c r="G133" s="108"/>
    </row>
    <row r="134" spans="1:7" x14ac:dyDescent="0.3">
      <c r="A134" s="36"/>
      <c r="D134" s="108"/>
      <c r="E134" s="108"/>
      <c r="F134" s="108"/>
      <c r="G134" s="108"/>
    </row>
    <row r="135" spans="1:7" x14ac:dyDescent="0.3">
      <c r="A135" s="36"/>
      <c r="D135" s="108"/>
      <c r="E135" s="108"/>
      <c r="F135" s="108"/>
      <c r="G135" s="108"/>
    </row>
    <row r="136" spans="1:7" x14ac:dyDescent="0.3">
      <c r="A136" s="36"/>
      <c r="D136" s="108"/>
      <c r="E136" s="108"/>
      <c r="F136" s="108"/>
      <c r="G136" s="108"/>
    </row>
    <row r="137" spans="1:7" x14ac:dyDescent="0.3">
      <c r="A137" s="36"/>
      <c r="D137" s="108"/>
      <c r="E137" s="108"/>
      <c r="F137" s="108"/>
      <c r="G137" s="108"/>
    </row>
    <row r="138" spans="1:7" x14ac:dyDescent="0.3">
      <c r="A138" s="36"/>
      <c r="D138" s="108"/>
      <c r="E138" s="108"/>
      <c r="F138" s="108"/>
      <c r="G138" s="108"/>
    </row>
    <row r="139" spans="1:7" x14ac:dyDescent="0.3">
      <c r="A139" s="36"/>
      <c r="D139" s="108"/>
      <c r="E139" s="108"/>
      <c r="F139" s="108"/>
      <c r="G139" s="108"/>
    </row>
    <row r="140" spans="1:7" x14ac:dyDescent="0.3">
      <c r="A140" s="36"/>
      <c r="D140" s="108"/>
      <c r="E140" s="108"/>
      <c r="F140" s="108"/>
      <c r="G140" s="108"/>
    </row>
    <row r="141" spans="1:7" x14ac:dyDescent="0.3">
      <c r="A141" s="36"/>
      <c r="D141" s="108"/>
      <c r="E141" s="108"/>
      <c r="F141" s="108"/>
      <c r="G141" s="108"/>
    </row>
    <row r="142" spans="1:7" x14ac:dyDescent="0.3">
      <c r="A142" s="36"/>
      <c r="D142" s="108"/>
      <c r="E142" s="108"/>
      <c r="F142" s="108"/>
      <c r="G142" s="108"/>
    </row>
    <row r="143" spans="1:7" x14ac:dyDescent="0.3">
      <c r="A143" s="36"/>
      <c r="D143" s="108"/>
      <c r="E143" s="108"/>
      <c r="F143" s="108"/>
      <c r="G143" s="108"/>
    </row>
    <row r="144" spans="1:7" x14ac:dyDescent="0.3">
      <c r="A144" s="36"/>
      <c r="D144" s="108"/>
      <c r="E144" s="108"/>
      <c r="F144" s="108"/>
      <c r="G144" s="108"/>
    </row>
    <row r="145" spans="1:7" x14ac:dyDescent="0.3">
      <c r="A145" s="36"/>
      <c r="D145" s="108"/>
      <c r="E145" s="108"/>
      <c r="F145" s="108"/>
      <c r="G145" s="108"/>
    </row>
    <row r="146" spans="1:7" x14ac:dyDescent="0.3">
      <c r="A146" s="36"/>
      <c r="D146" s="108"/>
      <c r="E146" s="108"/>
      <c r="F146" s="108"/>
      <c r="G146" s="108"/>
    </row>
    <row r="147" spans="1:7" x14ac:dyDescent="0.3">
      <c r="A147" s="36"/>
      <c r="D147" s="108"/>
      <c r="E147" s="108"/>
      <c r="F147" s="108"/>
      <c r="G147" s="108"/>
    </row>
    <row r="148" spans="1:7" x14ac:dyDescent="0.3">
      <c r="A148" s="36"/>
      <c r="D148" s="108"/>
      <c r="E148" s="108"/>
      <c r="F148" s="108"/>
      <c r="G148" s="108"/>
    </row>
    <row r="149" spans="1:7" x14ac:dyDescent="0.3">
      <c r="A149" s="36"/>
      <c r="D149" s="108"/>
      <c r="E149" s="108"/>
      <c r="F149" s="108"/>
      <c r="G149" s="108"/>
    </row>
    <row r="150" spans="1:7" x14ac:dyDescent="0.3">
      <c r="A150" s="36"/>
      <c r="D150" s="108"/>
      <c r="E150" s="108"/>
      <c r="F150" s="108"/>
      <c r="G150" s="108"/>
    </row>
    <row r="151" spans="1:7" x14ac:dyDescent="0.3">
      <c r="A151" s="36"/>
      <c r="D151" s="108"/>
      <c r="E151" s="108"/>
      <c r="F151" s="108"/>
      <c r="G151" s="108"/>
    </row>
    <row r="152" spans="1:7" x14ac:dyDescent="0.3">
      <c r="A152" s="36"/>
      <c r="D152" s="108"/>
      <c r="E152" s="108"/>
      <c r="F152" s="108"/>
      <c r="G152" s="108"/>
    </row>
    <row r="153" spans="1:7" x14ac:dyDescent="0.3">
      <c r="A153" s="36"/>
      <c r="D153" s="108"/>
      <c r="E153" s="108"/>
      <c r="F153" s="108"/>
      <c r="G153" s="108"/>
    </row>
    <row r="154" spans="1:7" x14ac:dyDescent="0.3">
      <c r="A154" s="36"/>
      <c r="D154" s="108"/>
      <c r="E154" s="108"/>
      <c r="F154" s="108"/>
      <c r="G154" s="108"/>
    </row>
    <row r="155" spans="1:7" x14ac:dyDescent="0.3">
      <c r="A155" s="36"/>
      <c r="D155" s="108"/>
      <c r="E155" s="108"/>
      <c r="F155" s="108"/>
      <c r="G155" s="108"/>
    </row>
    <row r="156" spans="1:7" x14ac:dyDescent="0.3">
      <c r="A156" s="36"/>
      <c r="D156" s="108"/>
      <c r="E156" s="108"/>
      <c r="F156" s="108"/>
      <c r="G156" s="108"/>
    </row>
    <row r="157" spans="1:7" x14ac:dyDescent="0.3">
      <c r="A157" s="36"/>
      <c r="D157" s="108"/>
      <c r="E157" s="108"/>
      <c r="F157" s="108"/>
      <c r="G157" s="108"/>
    </row>
    <row r="158" spans="1:7" x14ac:dyDescent="0.3">
      <c r="A158" s="36"/>
      <c r="D158" s="108"/>
      <c r="E158" s="108"/>
      <c r="F158" s="108"/>
      <c r="G158" s="108"/>
    </row>
    <row r="159" spans="1:7" x14ac:dyDescent="0.3">
      <c r="A159" s="36"/>
      <c r="D159" s="108"/>
      <c r="E159" s="108"/>
      <c r="F159" s="108"/>
      <c r="G159" s="108"/>
    </row>
    <row r="160" spans="1:7" x14ac:dyDescent="0.3">
      <c r="A160" s="36"/>
      <c r="D160" s="108"/>
      <c r="E160" s="108"/>
      <c r="F160" s="108"/>
      <c r="G160" s="108"/>
    </row>
    <row r="161" spans="1:9" x14ac:dyDescent="0.3">
      <c r="A161" s="36"/>
      <c r="D161" s="108"/>
      <c r="E161" s="108"/>
      <c r="F161" s="108"/>
      <c r="G161" s="108"/>
    </row>
    <row r="162" spans="1:9" x14ac:dyDescent="0.3">
      <c r="A162" s="36"/>
      <c r="D162" s="108"/>
      <c r="E162" s="108"/>
      <c r="F162" s="108"/>
      <c r="G162" s="108"/>
    </row>
    <row r="163" spans="1:9" x14ac:dyDescent="0.3">
      <c r="A163" s="36"/>
      <c r="D163" s="108"/>
      <c r="E163" s="108"/>
      <c r="F163" s="108"/>
      <c r="G163" s="108"/>
    </row>
    <row r="164" spans="1:9" x14ac:dyDescent="0.3">
      <c r="A164" s="36"/>
      <c r="D164" s="108"/>
      <c r="E164" s="108"/>
      <c r="F164" s="108"/>
      <c r="G164" s="108"/>
    </row>
    <row r="165" spans="1:9" x14ac:dyDescent="0.3">
      <c r="A165" s="36"/>
      <c r="D165" s="108"/>
      <c r="E165" s="108"/>
      <c r="F165" s="108"/>
      <c r="G165" s="108"/>
    </row>
    <row r="166" spans="1:9" x14ac:dyDescent="0.3">
      <c r="A166" s="36"/>
      <c r="D166" s="108"/>
      <c r="E166" s="108"/>
      <c r="F166" s="108"/>
      <c r="G166" s="108"/>
    </row>
    <row r="167" spans="1:9" x14ac:dyDescent="0.3">
      <c r="A167" s="36"/>
      <c r="D167" s="108"/>
      <c r="E167" s="108"/>
      <c r="F167" s="108"/>
      <c r="G167" s="108"/>
    </row>
    <row r="168" spans="1:9" x14ac:dyDescent="0.3">
      <c r="A168" s="36"/>
      <c r="D168" s="108"/>
      <c r="E168" s="108"/>
      <c r="F168" s="108"/>
      <c r="G168" s="108"/>
    </row>
    <row r="169" spans="1:9" x14ac:dyDescent="0.3">
      <c r="A169" s="36"/>
      <c r="D169" s="108"/>
      <c r="E169" s="108"/>
      <c r="F169" s="108"/>
      <c r="G169" s="108"/>
    </row>
    <row r="170" spans="1:9" x14ac:dyDescent="0.3">
      <c r="A170" s="36"/>
      <c r="D170" s="108"/>
      <c r="E170" s="108"/>
      <c r="F170" s="108"/>
      <c r="G170" s="108"/>
    </row>
    <row r="171" spans="1:9" x14ac:dyDescent="0.3">
      <c r="A171" s="36"/>
      <c r="D171" s="108"/>
      <c r="E171" s="108"/>
      <c r="F171" s="108"/>
      <c r="G171" s="108"/>
    </row>
    <row r="172" spans="1:9" x14ac:dyDescent="0.3">
      <c r="A172" s="148"/>
      <c r="D172" s="108"/>
      <c r="E172" s="108"/>
      <c r="F172" s="108"/>
      <c r="G172" s="108"/>
      <c r="H172" s="36"/>
      <c r="I172" s="36"/>
    </row>
    <row r="173" spans="1:9" x14ac:dyDescent="0.3">
      <c r="A173" s="148"/>
      <c r="D173" s="108"/>
      <c r="E173" s="108"/>
      <c r="F173" s="108"/>
      <c r="G173" s="108"/>
      <c r="H173" s="36"/>
      <c r="I173" s="36"/>
    </row>
    <row r="174" spans="1:9" x14ac:dyDescent="0.3">
      <c r="A174" s="148"/>
      <c r="D174" s="108"/>
      <c r="E174" s="108"/>
      <c r="F174" s="108"/>
      <c r="G174" s="108"/>
      <c r="H174" s="36"/>
      <c r="I174" s="36"/>
    </row>
    <row r="175" spans="1:9" x14ac:dyDescent="0.3">
      <c r="A175" s="148"/>
      <c r="D175" s="108"/>
      <c r="E175" s="108"/>
      <c r="F175" s="108"/>
      <c r="G175" s="108"/>
      <c r="H175" s="36"/>
      <c r="I175" s="36"/>
    </row>
    <row r="176" spans="1:9" x14ac:dyDescent="0.3">
      <c r="A176" s="148"/>
      <c r="D176" s="108"/>
      <c r="E176" s="108"/>
      <c r="F176" s="108"/>
      <c r="G176" s="108"/>
      <c r="H176" s="36"/>
      <c r="I176" s="36"/>
    </row>
    <row r="177" spans="1:9" x14ac:dyDescent="0.3">
      <c r="A177" s="148"/>
      <c r="D177" s="108"/>
      <c r="E177" s="108"/>
      <c r="F177" s="108"/>
      <c r="G177" s="108"/>
      <c r="H177" s="36"/>
      <c r="I177" s="36"/>
    </row>
    <row r="178" spans="1:9" x14ac:dyDescent="0.3">
      <c r="A178" s="148"/>
      <c r="D178" s="108"/>
      <c r="E178" s="108"/>
      <c r="F178" s="108"/>
      <c r="G178" s="108"/>
      <c r="H178" s="36"/>
      <c r="I178" s="36"/>
    </row>
    <row r="179" spans="1:9" x14ac:dyDescent="0.3">
      <c r="A179" s="148"/>
      <c r="D179" s="108"/>
      <c r="E179" s="108"/>
      <c r="F179" s="108"/>
      <c r="G179" s="108"/>
      <c r="H179" s="36"/>
      <c r="I179" s="36"/>
    </row>
    <row r="180" spans="1:9" x14ac:dyDescent="0.3">
      <c r="A180" s="148"/>
      <c r="D180" s="108"/>
      <c r="E180" s="108"/>
      <c r="F180" s="108"/>
      <c r="G180" s="108"/>
      <c r="H180" s="36"/>
      <c r="I180" s="36"/>
    </row>
    <row r="181" spans="1:9" x14ac:dyDescent="0.3">
      <c r="A181" s="148"/>
      <c r="D181" s="108"/>
      <c r="E181" s="108"/>
      <c r="F181" s="108"/>
      <c r="G181" s="108"/>
      <c r="H181" s="36"/>
      <c r="I181" s="36"/>
    </row>
    <row r="182" spans="1:9" x14ac:dyDescent="0.3">
      <c r="A182" s="148"/>
      <c r="D182" s="108"/>
      <c r="E182" s="108"/>
      <c r="F182" s="108"/>
      <c r="G182" s="108"/>
      <c r="H182" s="36"/>
      <c r="I182" s="36"/>
    </row>
    <row r="183" spans="1:9" x14ac:dyDescent="0.3">
      <c r="A183" s="148"/>
      <c r="D183" s="108"/>
      <c r="E183" s="108"/>
      <c r="F183" s="108"/>
      <c r="G183" s="108"/>
      <c r="H183" s="36"/>
      <c r="I183" s="36"/>
    </row>
    <row r="184" spans="1:9" x14ac:dyDescent="0.3">
      <c r="A184" s="148"/>
      <c r="D184" s="108"/>
      <c r="E184" s="108"/>
      <c r="F184" s="108"/>
      <c r="G184" s="108"/>
      <c r="H184" s="36"/>
      <c r="I184" s="36"/>
    </row>
    <row r="185" spans="1:9" x14ac:dyDescent="0.3">
      <c r="A185" s="148"/>
      <c r="D185" s="108"/>
      <c r="E185" s="108"/>
      <c r="F185" s="108"/>
      <c r="G185" s="108"/>
      <c r="H185" s="36"/>
      <c r="I185" s="36"/>
    </row>
    <row r="186" spans="1:9" x14ac:dyDescent="0.3">
      <c r="A186" s="148"/>
      <c r="D186" s="108"/>
      <c r="E186" s="108"/>
      <c r="F186" s="108"/>
      <c r="G186" s="108"/>
      <c r="H186" s="36"/>
      <c r="I186" s="36"/>
    </row>
    <row r="187" spans="1:9" x14ac:dyDescent="0.3">
      <c r="A187" s="148"/>
      <c r="D187" s="108"/>
      <c r="E187" s="108"/>
      <c r="F187" s="108"/>
      <c r="G187" s="108"/>
      <c r="H187" s="36"/>
      <c r="I187" s="36"/>
    </row>
    <row r="188" spans="1:9" x14ac:dyDescent="0.3">
      <c r="A188" s="148"/>
      <c r="D188" s="108"/>
      <c r="E188" s="108"/>
      <c r="F188" s="108"/>
      <c r="G188" s="108"/>
      <c r="H188" s="36"/>
      <c r="I188" s="36"/>
    </row>
    <row r="189" spans="1:9" x14ac:dyDescent="0.3">
      <c r="A189" s="148"/>
      <c r="D189" s="108"/>
      <c r="E189" s="108"/>
      <c r="F189" s="108"/>
      <c r="G189" s="108"/>
      <c r="H189" s="36"/>
      <c r="I189" s="36"/>
    </row>
    <row r="190" spans="1:9" x14ac:dyDescent="0.3">
      <c r="A190" s="148"/>
      <c r="D190" s="108"/>
      <c r="E190" s="108"/>
      <c r="F190" s="108"/>
      <c r="G190" s="108"/>
      <c r="H190" s="36"/>
      <c r="I190" s="36"/>
    </row>
    <row r="191" spans="1:9" x14ac:dyDescent="0.3">
      <c r="A191" s="148"/>
      <c r="D191" s="108"/>
      <c r="E191" s="108"/>
      <c r="F191" s="108"/>
      <c r="G191" s="108"/>
      <c r="H191" s="36"/>
      <c r="I191" s="36"/>
    </row>
    <row r="192" spans="1:9" x14ac:dyDescent="0.3">
      <c r="A192" s="148"/>
      <c r="D192" s="108"/>
      <c r="E192" s="108"/>
      <c r="F192" s="108"/>
      <c r="G192" s="108"/>
      <c r="H192" s="36"/>
      <c r="I192" s="36"/>
    </row>
    <row r="193" spans="1:9" x14ac:dyDescent="0.3">
      <c r="A193" s="148"/>
      <c r="D193" s="108"/>
      <c r="E193" s="108"/>
      <c r="F193" s="108"/>
      <c r="G193" s="108"/>
      <c r="H193" s="36"/>
      <c r="I193" s="36"/>
    </row>
    <row r="194" spans="1:9" x14ac:dyDescent="0.3">
      <c r="A194" s="148"/>
      <c r="D194" s="108"/>
      <c r="E194" s="108"/>
      <c r="F194" s="108"/>
      <c r="G194" s="108"/>
      <c r="H194" s="36"/>
      <c r="I194" s="36"/>
    </row>
    <row r="195" spans="1:9" x14ac:dyDescent="0.3">
      <c r="A195" s="148"/>
      <c r="D195" s="108"/>
      <c r="E195" s="108"/>
      <c r="F195" s="108"/>
      <c r="G195" s="108"/>
      <c r="H195" s="36"/>
      <c r="I195" s="36"/>
    </row>
    <row r="196" spans="1:9" x14ac:dyDescent="0.3">
      <c r="A196" s="148"/>
      <c r="D196" s="108"/>
      <c r="E196" s="108"/>
      <c r="F196" s="108"/>
      <c r="G196" s="108"/>
      <c r="H196" s="36"/>
      <c r="I196" s="36"/>
    </row>
    <row r="197" spans="1:9" x14ac:dyDescent="0.3">
      <c r="A197" s="148"/>
      <c r="D197" s="108"/>
      <c r="E197" s="108"/>
      <c r="F197" s="108"/>
      <c r="G197" s="108"/>
      <c r="H197" s="36"/>
      <c r="I197" s="36"/>
    </row>
    <row r="198" spans="1:9" x14ac:dyDescent="0.3">
      <c r="A198" s="148"/>
      <c r="D198" s="108"/>
      <c r="E198" s="108"/>
      <c r="F198" s="108"/>
      <c r="G198" s="108"/>
      <c r="H198" s="36"/>
      <c r="I198" s="36"/>
    </row>
    <row r="199" spans="1:9" x14ac:dyDescent="0.3">
      <c r="A199" s="148"/>
      <c r="D199" s="108"/>
      <c r="E199" s="108"/>
      <c r="F199" s="108"/>
      <c r="G199" s="108"/>
      <c r="H199" s="36"/>
      <c r="I199" s="36"/>
    </row>
    <row r="200" spans="1:9" x14ac:dyDescent="0.3">
      <c r="A200" s="148"/>
      <c r="D200" s="108"/>
      <c r="E200" s="108"/>
      <c r="F200" s="108"/>
      <c r="G200" s="108"/>
      <c r="H200" s="36"/>
      <c r="I200" s="36"/>
    </row>
    <row r="201" spans="1:9" x14ac:dyDescent="0.3">
      <c r="A201" s="148"/>
      <c r="D201" s="108"/>
      <c r="E201" s="108"/>
      <c r="F201" s="108"/>
      <c r="G201" s="108"/>
      <c r="H201" s="36"/>
      <c r="I201" s="36"/>
    </row>
    <row r="202" spans="1:9" x14ac:dyDescent="0.3">
      <c r="A202" s="148"/>
      <c r="D202" s="108"/>
      <c r="E202" s="108"/>
      <c r="F202" s="108"/>
      <c r="G202" s="108"/>
      <c r="H202" s="36"/>
      <c r="I202" s="36"/>
    </row>
    <row r="203" spans="1:9" x14ac:dyDescent="0.3">
      <c r="A203" s="148"/>
      <c r="D203" s="108"/>
      <c r="E203" s="108"/>
      <c r="F203" s="108"/>
      <c r="G203" s="108"/>
      <c r="H203" s="36"/>
      <c r="I203" s="36"/>
    </row>
    <row r="204" spans="1:9" x14ac:dyDescent="0.3">
      <c r="A204" s="148"/>
      <c r="D204" s="108"/>
      <c r="E204" s="108"/>
      <c r="F204" s="108"/>
      <c r="G204" s="108"/>
      <c r="H204" s="36"/>
      <c r="I204" s="36"/>
    </row>
    <row r="205" spans="1:9" x14ac:dyDescent="0.3">
      <c r="A205" s="148"/>
      <c r="D205" s="108"/>
      <c r="E205" s="108"/>
      <c r="F205" s="108"/>
      <c r="G205" s="108"/>
      <c r="H205" s="36"/>
      <c r="I205" s="36"/>
    </row>
    <row r="206" spans="1:9" x14ac:dyDescent="0.3">
      <c r="A206" s="148"/>
      <c r="D206" s="108"/>
      <c r="E206" s="108"/>
      <c r="F206" s="108"/>
      <c r="G206" s="108"/>
      <c r="H206" s="36"/>
      <c r="I206" s="36"/>
    </row>
    <row r="207" spans="1:9" x14ac:dyDescent="0.3">
      <c r="A207" s="148"/>
      <c r="D207" s="108"/>
      <c r="E207" s="108"/>
      <c r="F207" s="108"/>
      <c r="G207" s="108"/>
      <c r="H207" s="36"/>
      <c r="I207" s="36"/>
    </row>
    <row r="208" spans="1:9" x14ac:dyDescent="0.3">
      <c r="A208" s="148"/>
      <c r="D208" s="108"/>
      <c r="E208" s="108"/>
      <c r="F208" s="108"/>
      <c r="G208" s="108"/>
      <c r="H208" s="36"/>
      <c r="I208" s="36"/>
    </row>
    <row r="209" spans="1:9" x14ac:dyDescent="0.3">
      <c r="A209" s="148"/>
      <c r="D209" s="108"/>
      <c r="E209" s="108"/>
      <c r="F209" s="108"/>
      <c r="G209" s="108"/>
      <c r="H209" s="36"/>
      <c r="I209" s="36"/>
    </row>
    <row r="210" spans="1:9" x14ac:dyDescent="0.3">
      <c r="A210" s="148"/>
      <c r="D210" s="108"/>
      <c r="E210" s="108"/>
      <c r="F210" s="108"/>
      <c r="G210" s="108"/>
      <c r="H210" s="36"/>
      <c r="I210" s="36"/>
    </row>
    <row r="211" spans="1:9" x14ac:dyDescent="0.3">
      <c r="A211" s="148"/>
      <c r="D211" s="108"/>
      <c r="E211" s="108"/>
      <c r="F211" s="108"/>
      <c r="G211" s="108"/>
      <c r="H211" s="36"/>
      <c r="I211" s="36"/>
    </row>
    <row r="212" spans="1:9" x14ac:dyDescent="0.3">
      <c r="A212" s="148"/>
      <c r="D212" s="108"/>
      <c r="E212" s="108"/>
      <c r="F212" s="108"/>
      <c r="G212" s="108"/>
      <c r="H212" s="36"/>
      <c r="I212" s="36"/>
    </row>
    <row r="213" spans="1:9" x14ac:dyDescent="0.3">
      <c r="A213" s="148"/>
      <c r="D213" s="108"/>
      <c r="E213" s="108"/>
      <c r="F213" s="108"/>
      <c r="G213" s="108"/>
      <c r="H213" s="36"/>
      <c r="I213" s="36"/>
    </row>
    <row r="214" spans="1:9" x14ac:dyDescent="0.3">
      <c r="A214" s="148"/>
      <c r="D214" s="108"/>
      <c r="E214" s="108"/>
      <c r="F214" s="108"/>
      <c r="G214" s="108"/>
      <c r="H214" s="36"/>
      <c r="I214" s="36"/>
    </row>
    <row r="215" spans="1:9" x14ac:dyDescent="0.3">
      <c r="A215" s="148"/>
      <c r="D215" s="108"/>
      <c r="E215" s="108"/>
      <c r="F215" s="108"/>
      <c r="G215" s="108"/>
      <c r="H215" s="36"/>
      <c r="I215" s="36"/>
    </row>
    <row r="216" spans="1:9" x14ac:dyDescent="0.3">
      <c r="A216" s="148"/>
      <c r="D216" s="108"/>
      <c r="E216" s="108"/>
      <c r="F216" s="108"/>
      <c r="G216" s="108"/>
      <c r="H216" s="36"/>
      <c r="I216" s="36"/>
    </row>
    <row r="217" spans="1:9" x14ac:dyDescent="0.3">
      <c r="A217" s="148"/>
      <c r="D217" s="108"/>
      <c r="E217" s="108"/>
      <c r="F217" s="108"/>
      <c r="G217" s="108"/>
      <c r="H217" s="36"/>
      <c r="I217" s="36"/>
    </row>
    <row r="218" spans="1:9" x14ac:dyDescent="0.3">
      <c r="A218" s="148"/>
      <c r="D218" s="108"/>
      <c r="E218" s="108"/>
      <c r="F218" s="108"/>
      <c r="G218" s="108"/>
      <c r="H218" s="36"/>
      <c r="I218" s="36"/>
    </row>
    <row r="219" spans="1:9" x14ac:dyDescent="0.3">
      <c r="A219" s="148"/>
      <c r="D219" s="108"/>
      <c r="E219" s="108"/>
      <c r="F219" s="108"/>
      <c r="G219" s="108"/>
      <c r="H219" s="36"/>
      <c r="I219" s="36"/>
    </row>
    <row r="220" spans="1:9" x14ac:dyDescent="0.3">
      <c r="A220" s="148"/>
      <c r="D220" s="108"/>
      <c r="E220" s="108"/>
      <c r="F220" s="108"/>
      <c r="G220" s="108"/>
      <c r="H220" s="36"/>
      <c r="I220" s="36"/>
    </row>
    <row r="221" spans="1:9" x14ac:dyDescent="0.3">
      <c r="A221" s="148"/>
      <c r="D221" s="108"/>
      <c r="E221" s="108"/>
      <c r="F221" s="108"/>
      <c r="G221" s="108"/>
      <c r="H221" s="36"/>
      <c r="I221" s="36"/>
    </row>
    <row r="222" spans="1:9" x14ac:dyDescent="0.3">
      <c r="A222" s="148"/>
      <c r="D222" s="108"/>
      <c r="E222" s="108"/>
      <c r="F222" s="108"/>
      <c r="G222" s="108"/>
      <c r="H222" s="36"/>
      <c r="I222" s="36"/>
    </row>
    <row r="223" spans="1:9" x14ac:dyDescent="0.3">
      <c r="A223" s="148"/>
      <c r="D223" s="108"/>
      <c r="E223" s="108"/>
      <c r="F223" s="108"/>
      <c r="G223" s="108"/>
      <c r="H223" s="36"/>
      <c r="I223" s="36"/>
    </row>
    <row r="224" spans="1:9" x14ac:dyDescent="0.3">
      <c r="A224" s="148"/>
      <c r="D224" s="108"/>
      <c r="E224" s="108"/>
      <c r="F224" s="108"/>
      <c r="G224" s="108"/>
      <c r="H224" s="36"/>
      <c r="I224" s="36"/>
    </row>
    <row r="225" spans="1:9" x14ac:dyDescent="0.3">
      <c r="A225" s="148"/>
      <c r="D225" s="108"/>
      <c r="E225" s="108"/>
      <c r="F225" s="108"/>
      <c r="G225" s="108"/>
      <c r="H225" s="36"/>
      <c r="I225" s="36"/>
    </row>
    <row r="226" spans="1:9" x14ac:dyDescent="0.3">
      <c r="A226" s="148"/>
      <c r="D226" s="108"/>
      <c r="E226" s="108"/>
      <c r="F226" s="108"/>
      <c r="G226" s="108"/>
      <c r="H226" s="36"/>
      <c r="I226" s="36"/>
    </row>
    <row r="227" spans="1:9" x14ac:dyDescent="0.3">
      <c r="A227" s="148"/>
      <c r="D227" s="108"/>
      <c r="E227" s="108"/>
      <c r="F227" s="108"/>
      <c r="G227" s="108"/>
      <c r="H227" s="36"/>
      <c r="I227" s="36"/>
    </row>
    <row r="228" spans="1:9" x14ac:dyDescent="0.3">
      <c r="A228" s="148"/>
      <c r="D228" s="108"/>
      <c r="E228" s="108"/>
      <c r="F228" s="108"/>
      <c r="G228" s="108"/>
      <c r="H228" s="36"/>
      <c r="I228" s="36"/>
    </row>
    <row r="229" spans="1:9" x14ac:dyDescent="0.3">
      <c r="A229" s="148"/>
      <c r="D229" s="108"/>
      <c r="E229" s="108"/>
      <c r="F229" s="108"/>
      <c r="G229" s="108"/>
      <c r="H229" s="36"/>
      <c r="I229" s="36"/>
    </row>
    <row r="230" spans="1:9" x14ac:dyDescent="0.3">
      <c r="A230" s="148"/>
      <c r="D230" s="108"/>
      <c r="E230" s="108"/>
      <c r="F230" s="108"/>
      <c r="G230" s="108"/>
      <c r="H230" s="36"/>
      <c r="I230" s="36"/>
    </row>
    <row r="231" spans="1:9" x14ac:dyDescent="0.3">
      <c r="A231" s="148"/>
      <c r="D231" s="108"/>
      <c r="E231" s="108"/>
      <c r="F231" s="108"/>
      <c r="G231" s="108"/>
      <c r="H231" s="36"/>
      <c r="I231" s="36"/>
    </row>
    <row r="232" spans="1:9" x14ac:dyDescent="0.3">
      <c r="A232" s="148"/>
      <c r="D232" s="108"/>
      <c r="E232" s="108"/>
      <c r="F232" s="108"/>
      <c r="G232" s="108"/>
      <c r="H232" s="36"/>
      <c r="I232" s="36"/>
    </row>
    <row r="233" spans="1:9" x14ac:dyDescent="0.3">
      <c r="A233" s="148"/>
      <c r="D233" s="108"/>
      <c r="E233" s="108"/>
      <c r="F233" s="108"/>
      <c r="G233" s="108"/>
      <c r="H233" s="36"/>
      <c r="I233" s="36"/>
    </row>
    <row r="234" spans="1:9" x14ac:dyDescent="0.3">
      <c r="A234" s="148"/>
      <c r="D234" s="108"/>
      <c r="E234" s="108"/>
      <c r="F234" s="108"/>
      <c r="G234" s="108"/>
      <c r="H234" s="36"/>
      <c r="I234" s="36"/>
    </row>
    <row r="235" spans="1:9" x14ac:dyDescent="0.3">
      <c r="A235" s="148"/>
      <c r="D235" s="108"/>
      <c r="E235" s="108"/>
      <c r="F235" s="108"/>
      <c r="G235" s="108"/>
      <c r="H235" s="36"/>
      <c r="I235" s="36"/>
    </row>
    <row r="236" spans="1:9" x14ac:dyDescent="0.3">
      <c r="A236" s="148"/>
      <c r="D236" s="108"/>
      <c r="E236" s="108"/>
      <c r="F236" s="108"/>
      <c r="G236" s="108"/>
      <c r="H236" s="36"/>
      <c r="I236" s="36"/>
    </row>
    <row r="237" spans="1:9" x14ac:dyDescent="0.3">
      <c r="A237" s="148"/>
      <c r="D237" s="108"/>
      <c r="E237" s="108"/>
      <c r="F237" s="108"/>
      <c r="G237" s="108"/>
      <c r="H237" s="36"/>
      <c r="I237" s="36"/>
    </row>
    <row r="238" spans="1:9" x14ac:dyDescent="0.3">
      <c r="A238" s="148"/>
      <c r="D238" s="108"/>
      <c r="E238" s="108"/>
      <c r="F238" s="108"/>
      <c r="G238" s="108"/>
      <c r="H238" s="36"/>
      <c r="I238" s="36"/>
    </row>
    <row r="239" spans="1:9" x14ac:dyDescent="0.3">
      <c r="A239" s="148"/>
      <c r="D239" s="108"/>
      <c r="E239" s="108"/>
      <c r="F239" s="108"/>
      <c r="G239" s="108"/>
      <c r="H239" s="36"/>
      <c r="I239" s="36"/>
    </row>
    <row r="240" spans="1:9" x14ac:dyDescent="0.3">
      <c r="A240" s="148"/>
      <c r="D240" s="108"/>
      <c r="E240" s="108"/>
      <c r="F240" s="108"/>
      <c r="G240" s="108"/>
      <c r="H240" s="36"/>
      <c r="I240" s="36"/>
    </row>
    <row r="241" spans="1:9" x14ac:dyDescent="0.3">
      <c r="A241" s="148"/>
      <c r="D241" s="108"/>
      <c r="E241" s="108"/>
      <c r="F241" s="108"/>
      <c r="G241" s="108"/>
      <c r="H241" s="36"/>
      <c r="I241" s="36"/>
    </row>
    <row r="242" spans="1:9" x14ac:dyDescent="0.3">
      <c r="A242" s="148"/>
      <c r="D242" s="108"/>
      <c r="E242" s="108"/>
      <c r="F242" s="108"/>
      <c r="G242" s="108"/>
      <c r="H242" s="36"/>
      <c r="I242" s="36"/>
    </row>
    <row r="243" spans="1:9" x14ac:dyDescent="0.3">
      <c r="A243" s="148"/>
      <c r="D243" s="108"/>
      <c r="E243" s="108"/>
      <c r="F243" s="108"/>
      <c r="G243" s="108"/>
      <c r="H243" s="36"/>
      <c r="I243" s="36"/>
    </row>
    <row r="244" spans="1:9" x14ac:dyDescent="0.3">
      <c r="A244" s="148"/>
      <c r="D244" s="108"/>
      <c r="E244" s="108"/>
      <c r="F244" s="108"/>
      <c r="G244" s="108"/>
      <c r="H244" s="36"/>
      <c r="I244" s="36"/>
    </row>
    <row r="245" spans="1:9" x14ac:dyDescent="0.3">
      <c r="A245" s="148"/>
      <c r="D245" s="108"/>
      <c r="E245" s="108"/>
      <c r="F245" s="108"/>
      <c r="G245" s="108"/>
      <c r="H245" s="36"/>
      <c r="I245" s="36"/>
    </row>
    <row r="246" spans="1:9" x14ac:dyDescent="0.3">
      <c r="A246" s="148"/>
      <c r="D246" s="108"/>
      <c r="E246" s="108"/>
      <c r="F246" s="108"/>
      <c r="G246" s="108"/>
      <c r="H246" s="36"/>
      <c r="I246" s="36"/>
    </row>
    <row r="247" spans="1:9" x14ac:dyDescent="0.3">
      <c r="A247" s="148"/>
      <c r="D247" s="108"/>
      <c r="E247" s="108"/>
      <c r="F247" s="108"/>
      <c r="G247" s="108"/>
      <c r="H247" s="36"/>
      <c r="I247" s="36"/>
    </row>
    <row r="248" spans="1:9" x14ac:dyDescent="0.3">
      <c r="A248" s="148"/>
      <c r="D248" s="108"/>
      <c r="E248" s="108"/>
      <c r="F248" s="108"/>
      <c r="G248" s="108"/>
      <c r="H248" s="36"/>
      <c r="I248" s="36"/>
    </row>
    <row r="249" spans="1:9" x14ac:dyDescent="0.3">
      <c r="A249" s="148"/>
      <c r="D249" s="108"/>
      <c r="E249" s="108"/>
      <c r="F249" s="108"/>
      <c r="G249" s="108"/>
      <c r="H249" s="36"/>
      <c r="I249" s="36"/>
    </row>
    <row r="250" spans="1:9" x14ac:dyDescent="0.3">
      <c r="A250" s="148"/>
      <c r="D250" s="108"/>
      <c r="E250" s="108"/>
      <c r="F250" s="108"/>
      <c r="G250" s="108"/>
      <c r="H250" s="36"/>
      <c r="I250" s="36"/>
    </row>
    <row r="251" spans="1:9" x14ac:dyDescent="0.3">
      <c r="A251" s="148"/>
      <c r="D251" s="108"/>
      <c r="E251" s="108"/>
      <c r="F251" s="108"/>
      <c r="G251" s="108"/>
      <c r="H251" s="36"/>
      <c r="I251" s="36"/>
    </row>
    <row r="252" spans="1:9" x14ac:dyDescent="0.3">
      <c r="A252" s="148"/>
      <c r="D252" s="108"/>
      <c r="E252" s="108"/>
      <c r="F252" s="108"/>
      <c r="G252" s="108"/>
      <c r="H252" s="36"/>
      <c r="I252" s="36"/>
    </row>
    <row r="253" spans="1:9" x14ac:dyDescent="0.3">
      <c r="A253" s="148"/>
      <c r="D253" s="108"/>
      <c r="E253" s="108"/>
      <c r="F253" s="108"/>
      <c r="G253" s="108"/>
      <c r="H253" s="36"/>
      <c r="I253" s="36"/>
    </row>
    <row r="254" spans="1:9" x14ac:dyDescent="0.3">
      <c r="A254" s="148"/>
      <c r="D254" s="108"/>
      <c r="E254" s="108"/>
      <c r="F254" s="108"/>
      <c r="G254" s="108"/>
      <c r="H254" s="36"/>
      <c r="I254" s="36"/>
    </row>
    <row r="255" spans="1:9" x14ac:dyDescent="0.3">
      <c r="A255" s="148"/>
      <c r="D255" s="108"/>
      <c r="E255" s="108"/>
      <c r="F255" s="108"/>
      <c r="G255" s="108"/>
      <c r="H255" s="36"/>
      <c r="I255" s="36"/>
    </row>
    <row r="256" spans="1:9" x14ac:dyDescent="0.3">
      <c r="A256" s="148"/>
      <c r="D256" s="108"/>
      <c r="E256" s="108"/>
      <c r="F256" s="108"/>
      <c r="G256" s="108"/>
      <c r="H256" s="36"/>
      <c r="I256" s="36"/>
    </row>
    <row r="257" spans="1:9" x14ac:dyDescent="0.3">
      <c r="A257" s="148"/>
      <c r="D257" s="108"/>
      <c r="E257" s="108"/>
      <c r="F257" s="108"/>
      <c r="G257" s="108"/>
      <c r="H257" s="36"/>
      <c r="I257" s="36"/>
    </row>
    <row r="258" spans="1:9" x14ac:dyDescent="0.3">
      <c r="A258" s="148"/>
      <c r="D258" s="108"/>
      <c r="E258" s="108"/>
      <c r="F258" s="108"/>
      <c r="G258" s="108"/>
      <c r="H258" s="36"/>
      <c r="I258" s="36"/>
    </row>
    <row r="259" spans="1:9" x14ac:dyDescent="0.3">
      <c r="A259" s="148"/>
      <c r="D259" s="108"/>
      <c r="E259" s="108"/>
      <c r="F259" s="108"/>
      <c r="G259" s="108"/>
      <c r="H259" s="36"/>
      <c r="I259" s="36"/>
    </row>
    <row r="260" spans="1:9" x14ac:dyDescent="0.3">
      <c r="A260" s="148"/>
      <c r="D260" s="108"/>
      <c r="E260" s="108"/>
      <c r="F260" s="108"/>
      <c r="G260" s="108"/>
      <c r="H260" s="36"/>
      <c r="I260" s="36"/>
    </row>
    <row r="261" spans="1:9" x14ac:dyDescent="0.3">
      <c r="A261" s="148"/>
      <c r="D261" s="108"/>
      <c r="E261" s="108"/>
      <c r="F261" s="108"/>
      <c r="G261" s="108"/>
      <c r="H261" s="36"/>
      <c r="I261" s="36"/>
    </row>
    <row r="262" spans="1:9" x14ac:dyDescent="0.3">
      <c r="A262" s="148"/>
      <c r="D262" s="108"/>
      <c r="E262" s="108"/>
      <c r="F262" s="108"/>
      <c r="G262" s="108"/>
      <c r="H262" s="36"/>
      <c r="I262" s="36"/>
    </row>
    <row r="263" spans="1:9" x14ac:dyDescent="0.3">
      <c r="A263" s="148"/>
      <c r="D263" s="108"/>
      <c r="E263" s="108"/>
      <c r="F263" s="108"/>
      <c r="G263" s="108"/>
      <c r="H263" s="36"/>
      <c r="I263" s="36"/>
    </row>
    <row r="264" spans="1:9" x14ac:dyDescent="0.3">
      <c r="A264" s="148"/>
      <c r="D264" s="108"/>
      <c r="E264" s="108"/>
      <c r="F264" s="108"/>
      <c r="G264" s="108"/>
      <c r="H264" s="36"/>
      <c r="I264" s="36"/>
    </row>
    <row r="265" spans="1:9" x14ac:dyDescent="0.3">
      <c r="A265" s="148"/>
      <c r="D265" s="108"/>
      <c r="E265" s="108"/>
      <c r="F265" s="108"/>
      <c r="G265" s="108"/>
      <c r="H265" s="36"/>
      <c r="I265" s="36"/>
    </row>
    <row r="266" spans="1:9" x14ac:dyDescent="0.3">
      <c r="A266" s="148"/>
      <c r="D266" s="108"/>
      <c r="E266" s="108"/>
      <c r="F266" s="108"/>
      <c r="G266" s="108"/>
      <c r="H266" s="36"/>
      <c r="I266" s="36"/>
    </row>
    <row r="267" spans="1:9" x14ac:dyDescent="0.3">
      <c r="A267" s="148"/>
      <c r="D267" s="108"/>
      <c r="E267" s="108"/>
      <c r="F267" s="108"/>
      <c r="G267" s="108"/>
      <c r="H267" s="36"/>
      <c r="I267" s="36"/>
    </row>
    <row r="268" spans="1:9" x14ac:dyDescent="0.3">
      <c r="A268" s="148"/>
      <c r="D268" s="108"/>
      <c r="E268" s="108"/>
      <c r="F268" s="108"/>
      <c r="G268" s="108"/>
      <c r="H268" s="36"/>
      <c r="I268" s="36"/>
    </row>
    <row r="269" spans="1:9" x14ac:dyDescent="0.3">
      <c r="A269" s="148"/>
      <c r="D269" s="108"/>
      <c r="E269" s="108"/>
      <c r="F269" s="108"/>
      <c r="G269" s="108"/>
      <c r="H269" s="36"/>
      <c r="I269" s="36"/>
    </row>
    <row r="270" spans="1:9" x14ac:dyDescent="0.3">
      <c r="A270" s="148"/>
      <c r="D270" s="108"/>
      <c r="E270" s="108"/>
      <c r="F270" s="108"/>
      <c r="G270" s="108"/>
      <c r="H270" s="36"/>
      <c r="I270" s="36"/>
    </row>
    <row r="271" spans="1:9" x14ac:dyDescent="0.3">
      <c r="A271" s="148"/>
      <c r="D271" s="108"/>
      <c r="E271" s="108"/>
      <c r="F271" s="108"/>
      <c r="G271" s="108"/>
      <c r="H271" s="36"/>
      <c r="I271" s="36"/>
    </row>
    <row r="272" spans="1:9" x14ac:dyDescent="0.3">
      <c r="A272" s="148"/>
      <c r="D272" s="108"/>
      <c r="E272" s="108"/>
      <c r="F272" s="108"/>
      <c r="G272" s="108"/>
      <c r="H272" s="36"/>
      <c r="I272" s="36"/>
    </row>
    <row r="273" spans="1:9" x14ac:dyDescent="0.3">
      <c r="A273" s="148"/>
      <c r="D273" s="108"/>
      <c r="E273" s="108"/>
      <c r="F273" s="108"/>
      <c r="G273" s="108"/>
      <c r="H273" s="36"/>
      <c r="I273" s="36"/>
    </row>
    <row r="274" spans="1:9" x14ac:dyDescent="0.3">
      <c r="A274" s="148"/>
      <c r="D274" s="108"/>
      <c r="E274" s="108"/>
      <c r="F274" s="108"/>
      <c r="G274" s="108"/>
      <c r="H274" s="36"/>
      <c r="I274" s="36"/>
    </row>
    <row r="275" spans="1:9" x14ac:dyDescent="0.3">
      <c r="A275" s="148"/>
      <c r="D275" s="108"/>
      <c r="E275" s="108"/>
      <c r="F275" s="108"/>
      <c r="G275" s="108"/>
      <c r="H275" s="36"/>
      <c r="I275" s="36"/>
    </row>
    <row r="276" spans="1:9" x14ac:dyDescent="0.3">
      <c r="A276" s="148"/>
      <c r="D276" s="108"/>
      <c r="E276" s="108"/>
      <c r="F276" s="108"/>
      <c r="G276" s="108"/>
      <c r="H276" s="36"/>
      <c r="I276" s="36"/>
    </row>
    <row r="277" spans="1:9" x14ac:dyDescent="0.3">
      <c r="A277" s="148"/>
      <c r="D277" s="108"/>
      <c r="E277" s="108"/>
      <c r="F277" s="108"/>
      <c r="G277" s="108"/>
      <c r="H277" s="36"/>
      <c r="I277" s="36"/>
    </row>
    <row r="278" spans="1:9" x14ac:dyDescent="0.3">
      <c r="A278" s="148"/>
      <c r="D278" s="108"/>
      <c r="E278" s="108"/>
      <c r="F278" s="108"/>
      <c r="G278" s="108"/>
      <c r="H278" s="36"/>
      <c r="I278" s="36"/>
    </row>
    <row r="279" spans="1:9" x14ac:dyDescent="0.3">
      <c r="A279" s="148"/>
      <c r="D279" s="108"/>
      <c r="E279" s="108"/>
      <c r="F279" s="108"/>
      <c r="G279" s="108"/>
      <c r="H279" s="36"/>
      <c r="I279" s="36"/>
    </row>
    <row r="280" spans="1:9" x14ac:dyDescent="0.3">
      <c r="A280" s="148"/>
      <c r="D280" s="108"/>
      <c r="E280" s="108"/>
      <c r="F280" s="108"/>
      <c r="G280" s="108"/>
      <c r="H280" s="36"/>
      <c r="I280" s="36"/>
    </row>
    <row r="281" spans="1:9" x14ac:dyDescent="0.3">
      <c r="A281" s="148"/>
      <c r="D281" s="108"/>
      <c r="E281" s="108"/>
      <c r="F281" s="108"/>
      <c r="G281" s="108"/>
      <c r="H281" s="36"/>
      <c r="I281" s="36"/>
    </row>
    <row r="282" spans="1:9" x14ac:dyDescent="0.3">
      <c r="A282" s="148"/>
      <c r="D282" s="108"/>
      <c r="E282" s="108"/>
      <c r="F282" s="108"/>
      <c r="G282" s="108"/>
      <c r="H282" s="36"/>
      <c r="I282" s="36"/>
    </row>
    <row r="283" spans="1:9" x14ac:dyDescent="0.3">
      <c r="A283" s="148"/>
      <c r="D283" s="108"/>
      <c r="E283" s="108"/>
      <c r="F283" s="108"/>
      <c r="G283" s="108"/>
      <c r="H283" s="36"/>
      <c r="I283" s="36"/>
    </row>
    <row r="284" spans="1:9" x14ac:dyDescent="0.3">
      <c r="A284" s="148"/>
      <c r="D284" s="108"/>
      <c r="E284" s="108"/>
      <c r="F284" s="108"/>
      <c r="G284" s="108"/>
      <c r="H284" s="36"/>
      <c r="I284" s="36"/>
    </row>
    <row r="285" spans="1:9" x14ac:dyDescent="0.3">
      <c r="A285" s="148"/>
      <c r="D285" s="108"/>
      <c r="E285" s="108"/>
      <c r="F285" s="108"/>
      <c r="G285" s="108"/>
      <c r="H285" s="36"/>
      <c r="I285" s="36"/>
    </row>
    <row r="286" spans="1:9" x14ac:dyDescent="0.3">
      <c r="A286" s="148"/>
      <c r="D286" s="108"/>
      <c r="E286" s="108"/>
      <c r="F286" s="108"/>
      <c r="G286" s="108"/>
      <c r="H286" s="36"/>
      <c r="I286" s="36"/>
    </row>
    <row r="287" spans="1:9" x14ac:dyDescent="0.3">
      <c r="A287" s="148"/>
      <c r="D287" s="108"/>
      <c r="E287" s="108"/>
      <c r="F287" s="108"/>
      <c r="G287" s="108"/>
      <c r="H287" s="36"/>
      <c r="I287" s="36"/>
    </row>
    <row r="288" spans="1:9" x14ac:dyDescent="0.3">
      <c r="A288" s="148"/>
      <c r="D288" s="108"/>
      <c r="E288" s="108"/>
      <c r="F288" s="108"/>
      <c r="G288" s="108"/>
      <c r="H288" s="36"/>
      <c r="I288" s="36"/>
    </row>
    <row r="289" spans="1:9" x14ac:dyDescent="0.3">
      <c r="A289" s="148"/>
      <c r="D289" s="108"/>
      <c r="E289" s="108"/>
      <c r="F289" s="108"/>
      <c r="G289" s="108"/>
      <c r="H289" s="36"/>
      <c r="I289" s="36"/>
    </row>
    <row r="290" spans="1:9" x14ac:dyDescent="0.3">
      <c r="A290" s="148"/>
      <c r="D290" s="108"/>
      <c r="E290" s="108"/>
      <c r="F290" s="108"/>
      <c r="G290" s="108"/>
      <c r="H290" s="36"/>
      <c r="I290" s="36"/>
    </row>
    <row r="291" spans="1:9" x14ac:dyDescent="0.3">
      <c r="A291" s="148"/>
      <c r="D291" s="108"/>
      <c r="E291" s="108"/>
      <c r="F291" s="108"/>
      <c r="G291" s="108"/>
      <c r="H291" s="36"/>
      <c r="I291" s="36"/>
    </row>
    <row r="292" spans="1:9" x14ac:dyDescent="0.3">
      <c r="A292" s="148"/>
      <c r="D292" s="108"/>
      <c r="E292" s="108"/>
      <c r="F292" s="108"/>
      <c r="G292" s="108"/>
      <c r="H292" s="36"/>
      <c r="I292" s="36"/>
    </row>
    <row r="293" spans="1:9" x14ac:dyDescent="0.3">
      <c r="A293" s="148"/>
      <c r="D293" s="108"/>
      <c r="E293" s="108"/>
      <c r="F293" s="108"/>
      <c r="G293" s="108"/>
      <c r="H293" s="36"/>
      <c r="I293" s="36"/>
    </row>
    <row r="294" spans="1:9" x14ac:dyDescent="0.3">
      <c r="A294" s="148"/>
      <c r="D294" s="108"/>
      <c r="E294" s="108"/>
      <c r="F294" s="108"/>
      <c r="G294" s="108"/>
      <c r="H294" s="36"/>
      <c r="I294" s="36"/>
    </row>
    <row r="295" spans="1:9" x14ac:dyDescent="0.3">
      <c r="A295" s="148"/>
      <c r="D295" s="108"/>
      <c r="E295" s="108"/>
      <c r="F295" s="108"/>
      <c r="G295" s="108"/>
      <c r="H295" s="36"/>
      <c r="I295" s="36"/>
    </row>
    <row r="296" spans="1:9" x14ac:dyDescent="0.3">
      <c r="A296" s="148"/>
      <c r="D296" s="108"/>
      <c r="E296" s="108"/>
      <c r="F296" s="108"/>
      <c r="G296" s="108"/>
      <c r="H296" s="36"/>
      <c r="I296" s="36"/>
    </row>
    <row r="297" spans="1:9" x14ac:dyDescent="0.3">
      <c r="A297" s="148"/>
      <c r="D297" s="108"/>
      <c r="E297" s="108"/>
      <c r="F297" s="108"/>
      <c r="G297" s="108"/>
      <c r="H297" s="36"/>
      <c r="I297" s="36"/>
    </row>
    <row r="298" spans="1:9" x14ac:dyDescent="0.3">
      <c r="A298" s="148"/>
      <c r="D298" s="108"/>
      <c r="E298" s="108"/>
      <c r="F298" s="108"/>
      <c r="G298" s="108"/>
      <c r="H298" s="36"/>
      <c r="I298" s="36"/>
    </row>
    <row r="299" spans="1:9" x14ac:dyDescent="0.3">
      <c r="A299" s="148"/>
      <c r="D299" s="108"/>
      <c r="E299" s="108"/>
      <c r="F299" s="108"/>
      <c r="G299" s="108"/>
      <c r="H299" s="36"/>
      <c r="I299" s="36"/>
    </row>
    <row r="300" spans="1:9" x14ac:dyDescent="0.3">
      <c r="A300" s="148"/>
      <c r="D300" s="108"/>
      <c r="E300" s="108"/>
      <c r="F300" s="108"/>
      <c r="G300" s="108"/>
      <c r="H300" s="36"/>
      <c r="I300" s="36"/>
    </row>
    <row r="301" spans="1:9" x14ac:dyDescent="0.3">
      <c r="A301" s="148"/>
      <c r="D301" s="108"/>
      <c r="E301" s="108"/>
      <c r="F301" s="108"/>
      <c r="G301" s="108"/>
      <c r="H301" s="36"/>
      <c r="I301" s="36"/>
    </row>
    <row r="302" spans="1:9" x14ac:dyDescent="0.3">
      <c r="A302" s="148"/>
      <c r="D302" s="108"/>
      <c r="E302" s="108"/>
      <c r="F302" s="108"/>
      <c r="G302" s="108"/>
      <c r="H302" s="36"/>
      <c r="I302" s="36"/>
    </row>
    <row r="303" spans="1:9" x14ac:dyDescent="0.3">
      <c r="A303" s="148"/>
      <c r="D303" s="108"/>
      <c r="E303" s="108"/>
      <c r="F303" s="108"/>
      <c r="G303" s="108"/>
      <c r="H303" s="36"/>
      <c r="I303" s="36"/>
    </row>
    <row r="304" spans="1:9" x14ac:dyDescent="0.3">
      <c r="A304" s="148"/>
      <c r="D304" s="108"/>
      <c r="E304" s="108"/>
      <c r="F304" s="108"/>
      <c r="G304" s="108"/>
      <c r="H304" s="36"/>
      <c r="I304" s="36"/>
    </row>
    <row r="305" spans="1:9" x14ac:dyDescent="0.3">
      <c r="A305" s="148"/>
      <c r="D305" s="108"/>
      <c r="E305" s="108"/>
      <c r="F305" s="108"/>
      <c r="G305" s="108"/>
      <c r="H305" s="36"/>
      <c r="I305" s="36"/>
    </row>
    <row r="306" spans="1:9" x14ac:dyDescent="0.3">
      <c r="A306" s="148"/>
      <c r="D306" s="108"/>
      <c r="E306" s="108"/>
      <c r="F306" s="108"/>
      <c r="G306" s="108"/>
      <c r="H306" s="36"/>
      <c r="I306" s="36"/>
    </row>
    <row r="307" spans="1:9" x14ac:dyDescent="0.3">
      <c r="A307" s="148"/>
      <c r="D307" s="108"/>
      <c r="E307" s="108"/>
      <c r="F307" s="108"/>
      <c r="G307" s="108"/>
      <c r="H307" s="36"/>
      <c r="I307" s="36"/>
    </row>
    <row r="308" spans="1:9" x14ac:dyDescent="0.3">
      <c r="A308" s="148"/>
      <c r="D308" s="108"/>
      <c r="E308" s="108"/>
      <c r="F308" s="108"/>
      <c r="G308" s="108"/>
      <c r="H308" s="36"/>
      <c r="I308" s="36"/>
    </row>
    <row r="309" spans="1:9" x14ac:dyDescent="0.3">
      <c r="A309" s="148"/>
      <c r="D309" s="108"/>
      <c r="E309" s="108"/>
      <c r="F309" s="108"/>
      <c r="G309" s="108"/>
      <c r="H309" s="36"/>
      <c r="I309" s="36"/>
    </row>
    <row r="310" spans="1:9" x14ac:dyDescent="0.3">
      <c r="A310" s="148"/>
      <c r="D310" s="108"/>
      <c r="E310" s="108"/>
      <c r="F310" s="108"/>
      <c r="G310" s="108"/>
      <c r="H310" s="36"/>
      <c r="I310" s="36"/>
    </row>
    <row r="311" spans="1:9" x14ac:dyDescent="0.3">
      <c r="A311" s="148"/>
      <c r="D311" s="108"/>
      <c r="E311" s="108"/>
      <c r="F311" s="108"/>
      <c r="G311" s="108"/>
      <c r="H311" s="36"/>
      <c r="I311" s="36"/>
    </row>
    <row r="312" spans="1:9" x14ac:dyDescent="0.3">
      <c r="A312" s="148"/>
      <c r="D312" s="108"/>
      <c r="E312" s="108"/>
      <c r="F312" s="108"/>
      <c r="G312" s="108"/>
      <c r="H312" s="36"/>
      <c r="I312" s="36"/>
    </row>
    <row r="313" spans="1:9" x14ac:dyDescent="0.3">
      <c r="A313" s="148"/>
      <c r="D313" s="108"/>
      <c r="E313" s="108"/>
      <c r="F313" s="108"/>
      <c r="G313" s="108"/>
      <c r="H313" s="36"/>
      <c r="I313" s="36"/>
    </row>
    <row r="314" spans="1:9" x14ac:dyDescent="0.3">
      <c r="A314" s="148"/>
      <c r="D314" s="108"/>
      <c r="E314" s="108"/>
      <c r="F314" s="108"/>
      <c r="G314" s="108"/>
      <c r="H314" s="36"/>
      <c r="I314" s="36"/>
    </row>
    <row r="315" spans="1:9" x14ac:dyDescent="0.3">
      <c r="A315" s="148"/>
      <c r="D315" s="108"/>
      <c r="E315" s="108"/>
      <c r="F315" s="108"/>
      <c r="G315" s="108"/>
      <c r="H315" s="36"/>
      <c r="I315" s="36"/>
    </row>
    <row r="316" spans="1:9" x14ac:dyDescent="0.3">
      <c r="A316" s="148"/>
      <c r="D316" s="108"/>
      <c r="E316" s="108"/>
      <c r="F316" s="108"/>
      <c r="G316" s="108"/>
      <c r="H316" s="36"/>
      <c r="I316" s="36"/>
    </row>
    <row r="317" spans="1:9" x14ac:dyDescent="0.3">
      <c r="A317" s="148"/>
      <c r="D317" s="108"/>
      <c r="E317" s="108"/>
      <c r="F317" s="108"/>
      <c r="G317" s="108"/>
      <c r="H317" s="36"/>
      <c r="I317" s="36"/>
    </row>
    <row r="318" spans="1:9" x14ac:dyDescent="0.3">
      <c r="A318" s="148"/>
      <c r="D318" s="108"/>
      <c r="E318" s="108"/>
      <c r="F318" s="108"/>
      <c r="G318" s="108"/>
      <c r="H318" s="36"/>
      <c r="I318" s="36"/>
    </row>
    <row r="319" spans="1:9" x14ac:dyDescent="0.3">
      <c r="A319" s="148"/>
      <c r="D319" s="108"/>
      <c r="E319" s="108"/>
      <c r="F319" s="108"/>
      <c r="G319" s="108"/>
      <c r="H319" s="36"/>
      <c r="I319" s="36"/>
    </row>
    <row r="320" spans="1:9" x14ac:dyDescent="0.3">
      <c r="A320" s="148"/>
      <c r="D320" s="108"/>
      <c r="E320" s="108"/>
      <c r="F320" s="108"/>
      <c r="G320" s="108"/>
      <c r="H320" s="36"/>
      <c r="I320" s="36"/>
    </row>
    <row r="321" spans="1:9" x14ac:dyDescent="0.3">
      <c r="A321" s="148"/>
      <c r="D321" s="108"/>
      <c r="E321" s="108"/>
      <c r="F321" s="108"/>
      <c r="G321" s="108"/>
      <c r="H321" s="36"/>
      <c r="I321" s="36"/>
    </row>
    <row r="322" spans="1:9" x14ac:dyDescent="0.3">
      <c r="A322" s="148"/>
      <c r="D322" s="108"/>
      <c r="E322" s="108"/>
      <c r="F322" s="108"/>
      <c r="G322" s="108"/>
      <c r="H322" s="36"/>
      <c r="I322" s="36"/>
    </row>
    <row r="323" spans="1:9" x14ac:dyDescent="0.3">
      <c r="A323" s="148"/>
      <c r="D323" s="108"/>
      <c r="E323" s="108"/>
      <c r="F323" s="108"/>
      <c r="G323" s="108"/>
      <c r="H323" s="36"/>
      <c r="I323" s="36"/>
    </row>
    <row r="324" spans="1:9" x14ac:dyDescent="0.3">
      <c r="A324" s="148"/>
      <c r="D324" s="108"/>
      <c r="E324" s="108"/>
      <c r="F324" s="108"/>
      <c r="G324" s="108"/>
      <c r="H324" s="36"/>
      <c r="I324" s="36"/>
    </row>
    <row r="325" spans="1:9" x14ac:dyDescent="0.3">
      <c r="A325" s="148"/>
      <c r="D325" s="108"/>
      <c r="E325" s="108"/>
      <c r="F325" s="108"/>
      <c r="G325" s="108"/>
      <c r="H325" s="36"/>
      <c r="I325" s="36"/>
    </row>
    <row r="326" spans="1:9" x14ac:dyDescent="0.3">
      <c r="A326" s="148"/>
      <c r="D326" s="108"/>
      <c r="E326" s="108"/>
      <c r="F326" s="108"/>
      <c r="G326" s="108"/>
      <c r="H326" s="36"/>
      <c r="I326" s="36"/>
    </row>
    <row r="327" spans="1:9" x14ac:dyDescent="0.3">
      <c r="A327" s="148"/>
      <c r="D327" s="108"/>
      <c r="E327" s="108"/>
      <c r="F327" s="108"/>
      <c r="G327" s="108"/>
      <c r="H327" s="36"/>
      <c r="I327" s="36"/>
    </row>
    <row r="328" spans="1:9" x14ac:dyDescent="0.3">
      <c r="A328" s="148"/>
      <c r="D328" s="108"/>
      <c r="E328" s="108"/>
      <c r="F328" s="108"/>
      <c r="G328" s="108"/>
      <c r="H328" s="36"/>
      <c r="I328" s="36"/>
    </row>
    <row r="329" spans="1:9" x14ac:dyDescent="0.3">
      <c r="A329" s="148"/>
      <c r="D329" s="108"/>
      <c r="E329" s="108"/>
      <c r="F329" s="108"/>
      <c r="G329" s="108"/>
      <c r="H329" s="36"/>
      <c r="I329" s="36"/>
    </row>
    <row r="330" spans="1:9" x14ac:dyDescent="0.3">
      <c r="A330" s="148"/>
      <c r="D330" s="108"/>
      <c r="E330" s="108"/>
      <c r="F330" s="108"/>
      <c r="G330" s="108"/>
      <c r="H330" s="36"/>
      <c r="I330" s="36"/>
    </row>
    <row r="331" spans="1:9" x14ac:dyDescent="0.3">
      <c r="A331" s="148"/>
      <c r="D331" s="108"/>
      <c r="E331" s="108"/>
      <c r="F331" s="108"/>
      <c r="G331" s="108"/>
      <c r="H331" s="36"/>
      <c r="I331" s="36"/>
    </row>
    <row r="332" spans="1:9" x14ac:dyDescent="0.3">
      <c r="A332" s="148"/>
      <c r="D332" s="108"/>
      <c r="E332" s="108"/>
      <c r="F332" s="108"/>
      <c r="G332" s="108"/>
      <c r="H332" s="36"/>
      <c r="I332" s="36"/>
    </row>
    <row r="333" spans="1:9" x14ac:dyDescent="0.3">
      <c r="A333" s="148"/>
      <c r="D333" s="108"/>
      <c r="E333" s="108"/>
      <c r="F333" s="108"/>
      <c r="G333" s="108"/>
      <c r="H333" s="36"/>
      <c r="I333" s="36"/>
    </row>
    <row r="334" spans="1:9" x14ac:dyDescent="0.3">
      <c r="A334" s="148"/>
      <c r="D334" s="108"/>
      <c r="E334" s="108"/>
      <c r="F334" s="108"/>
      <c r="G334" s="108"/>
      <c r="H334" s="36"/>
      <c r="I334" s="36"/>
    </row>
    <row r="335" spans="1:9" x14ac:dyDescent="0.3">
      <c r="A335" s="148"/>
      <c r="D335" s="108"/>
      <c r="E335" s="108"/>
      <c r="F335" s="108"/>
      <c r="G335" s="108"/>
      <c r="H335" s="36"/>
      <c r="I335" s="36"/>
    </row>
    <row r="336" spans="1:9" x14ac:dyDescent="0.3">
      <c r="A336" s="148"/>
      <c r="D336" s="108"/>
      <c r="E336" s="108"/>
      <c r="F336" s="108"/>
      <c r="G336" s="108"/>
      <c r="H336" s="36"/>
      <c r="I336" s="36"/>
    </row>
    <row r="337" spans="1:9" x14ac:dyDescent="0.3">
      <c r="A337" s="148"/>
      <c r="D337" s="108"/>
      <c r="E337" s="108"/>
      <c r="F337" s="108"/>
      <c r="G337" s="108"/>
      <c r="H337" s="36"/>
      <c r="I337" s="36"/>
    </row>
    <row r="338" spans="1:9" x14ac:dyDescent="0.3">
      <c r="A338" s="148"/>
      <c r="D338" s="108"/>
      <c r="E338" s="108"/>
      <c r="F338" s="108"/>
      <c r="G338" s="108"/>
      <c r="H338" s="36"/>
      <c r="I338" s="36"/>
    </row>
    <row r="339" spans="1:9" x14ac:dyDescent="0.3">
      <c r="A339" s="148"/>
      <c r="D339" s="108"/>
      <c r="E339" s="108"/>
      <c r="F339" s="108"/>
      <c r="G339" s="108"/>
      <c r="H339" s="36"/>
      <c r="I339" s="36"/>
    </row>
    <row r="340" spans="1:9" x14ac:dyDescent="0.3">
      <c r="A340" s="148"/>
      <c r="D340" s="108"/>
      <c r="E340" s="108"/>
      <c r="F340" s="108"/>
      <c r="G340" s="108"/>
      <c r="H340" s="36"/>
      <c r="I340" s="36"/>
    </row>
    <row r="341" spans="1:9" x14ac:dyDescent="0.3">
      <c r="A341" s="148"/>
      <c r="D341" s="108"/>
      <c r="E341" s="108"/>
      <c r="F341" s="108"/>
      <c r="G341" s="108"/>
      <c r="H341" s="36"/>
      <c r="I341" s="36"/>
    </row>
    <row r="342" spans="1:9" x14ac:dyDescent="0.3">
      <c r="A342" s="148"/>
      <c r="D342" s="108"/>
      <c r="E342" s="108"/>
      <c r="F342" s="108"/>
      <c r="G342" s="108"/>
      <c r="H342" s="36"/>
      <c r="I342" s="36"/>
    </row>
    <row r="343" spans="1:9" x14ac:dyDescent="0.3">
      <c r="A343" s="148"/>
      <c r="D343" s="108"/>
      <c r="E343" s="108"/>
      <c r="F343" s="108"/>
      <c r="G343" s="108"/>
      <c r="H343" s="36"/>
      <c r="I343" s="36"/>
    </row>
    <row r="344" spans="1:9" x14ac:dyDescent="0.3">
      <c r="A344" s="148"/>
      <c r="D344" s="108"/>
      <c r="E344" s="108"/>
      <c r="F344" s="108"/>
      <c r="G344" s="108"/>
      <c r="H344" s="36"/>
      <c r="I344" s="36"/>
    </row>
    <row r="345" spans="1:9" x14ac:dyDescent="0.3">
      <c r="A345" s="148"/>
      <c r="D345" s="108"/>
      <c r="E345" s="108"/>
      <c r="F345" s="108"/>
      <c r="G345" s="108"/>
      <c r="H345" s="36"/>
      <c r="I345" s="36"/>
    </row>
    <row r="346" spans="1:9" x14ac:dyDescent="0.3">
      <c r="A346" s="148"/>
      <c r="D346" s="108"/>
      <c r="E346" s="108"/>
      <c r="F346" s="108"/>
      <c r="G346" s="108"/>
      <c r="H346" s="36"/>
      <c r="I346" s="36"/>
    </row>
    <row r="347" spans="1:9" x14ac:dyDescent="0.3">
      <c r="A347" s="148"/>
      <c r="D347" s="108"/>
      <c r="E347" s="108"/>
      <c r="F347" s="108"/>
      <c r="G347" s="108"/>
      <c r="H347" s="36"/>
      <c r="I347" s="36"/>
    </row>
    <row r="348" spans="1:9" x14ac:dyDescent="0.3">
      <c r="A348" s="148"/>
      <c r="D348" s="108"/>
      <c r="E348" s="108"/>
      <c r="F348" s="108"/>
      <c r="G348" s="108"/>
      <c r="H348" s="36"/>
      <c r="I348" s="36"/>
    </row>
    <row r="349" spans="1:9" x14ac:dyDescent="0.3">
      <c r="A349" s="148"/>
      <c r="D349" s="108"/>
      <c r="E349" s="108"/>
      <c r="F349" s="108"/>
      <c r="G349" s="108"/>
      <c r="H349" s="36"/>
      <c r="I349" s="36"/>
    </row>
    <row r="350" spans="1:9" x14ac:dyDescent="0.3">
      <c r="A350" s="148"/>
      <c r="D350" s="108"/>
      <c r="E350" s="108"/>
      <c r="F350" s="108"/>
      <c r="G350" s="108"/>
      <c r="H350" s="36"/>
      <c r="I350" s="36"/>
    </row>
    <row r="351" spans="1:9" x14ac:dyDescent="0.3">
      <c r="A351" s="148"/>
      <c r="D351" s="108"/>
      <c r="E351" s="108"/>
      <c r="F351" s="108"/>
      <c r="G351" s="108"/>
      <c r="H351" s="36"/>
      <c r="I351" s="36"/>
    </row>
    <row r="352" spans="1:9" x14ac:dyDescent="0.3">
      <c r="A352" s="148"/>
      <c r="D352" s="108"/>
      <c r="E352" s="108"/>
      <c r="F352" s="108"/>
      <c r="G352" s="108"/>
      <c r="H352" s="36"/>
      <c r="I352" s="36"/>
    </row>
    <row r="353" spans="1:9" x14ac:dyDescent="0.3">
      <c r="A353" s="148"/>
      <c r="D353" s="108"/>
      <c r="E353" s="108"/>
      <c r="F353" s="108"/>
      <c r="G353" s="108"/>
      <c r="H353" s="36"/>
      <c r="I353" s="36"/>
    </row>
    <row r="354" spans="1:9" x14ac:dyDescent="0.3">
      <c r="A354" s="148"/>
      <c r="D354" s="108"/>
      <c r="E354" s="108"/>
      <c r="F354" s="108"/>
      <c r="G354" s="108"/>
      <c r="H354" s="36"/>
      <c r="I354" s="36"/>
    </row>
    <row r="355" spans="1:9" x14ac:dyDescent="0.3">
      <c r="A355" s="148"/>
      <c r="D355" s="108"/>
      <c r="E355" s="108"/>
      <c r="F355" s="108"/>
      <c r="G355" s="108"/>
      <c r="H355" s="36"/>
      <c r="I355" s="36"/>
    </row>
    <row r="356" spans="1:9" x14ac:dyDescent="0.3">
      <c r="A356" s="148"/>
      <c r="D356" s="108"/>
      <c r="E356" s="108"/>
      <c r="F356" s="108"/>
      <c r="G356" s="108"/>
      <c r="H356" s="36"/>
      <c r="I356" s="36"/>
    </row>
    <row r="357" spans="1:9" x14ac:dyDescent="0.3">
      <c r="A357" s="148"/>
      <c r="D357" s="108"/>
      <c r="E357" s="108"/>
      <c r="F357" s="108"/>
      <c r="G357" s="108"/>
      <c r="H357" s="36"/>
      <c r="I357" s="36"/>
    </row>
    <row r="358" spans="1:9" x14ac:dyDescent="0.3">
      <c r="A358" s="148"/>
      <c r="D358" s="108"/>
      <c r="E358" s="108"/>
      <c r="F358" s="108"/>
      <c r="G358" s="108"/>
      <c r="H358" s="36"/>
      <c r="I358" s="36"/>
    </row>
    <row r="359" spans="1:9" x14ac:dyDescent="0.3">
      <c r="A359" s="148"/>
      <c r="D359" s="108"/>
      <c r="E359" s="108"/>
      <c r="F359" s="108"/>
      <c r="G359" s="108"/>
      <c r="H359" s="36"/>
      <c r="I359" s="36"/>
    </row>
    <row r="360" spans="1:9" x14ac:dyDescent="0.3">
      <c r="A360" s="148"/>
      <c r="D360" s="108"/>
      <c r="E360" s="108"/>
      <c r="F360" s="108"/>
      <c r="G360" s="108"/>
      <c r="H360" s="36"/>
      <c r="I360" s="36"/>
    </row>
    <row r="361" spans="1:9" x14ac:dyDescent="0.3">
      <c r="A361" s="148"/>
      <c r="D361" s="108"/>
      <c r="E361" s="108"/>
      <c r="F361" s="108"/>
      <c r="G361" s="108"/>
      <c r="H361" s="36"/>
      <c r="I361" s="36"/>
    </row>
    <row r="362" spans="1:9" x14ac:dyDescent="0.3">
      <c r="A362" s="148"/>
      <c r="D362" s="108"/>
      <c r="E362" s="108"/>
      <c r="F362" s="108"/>
      <c r="G362" s="108"/>
      <c r="H362" s="36"/>
      <c r="I362" s="36"/>
    </row>
    <row r="363" spans="1:9" x14ac:dyDescent="0.3">
      <c r="A363" s="148"/>
      <c r="D363" s="108"/>
      <c r="E363" s="108"/>
      <c r="F363" s="108"/>
      <c r="G363" s="108"/>
      <c r="H363" s="36"/>
      <c r="I363" s="36"/>
    </row>
    <row r="364" spans="1:9" x14ac:dyDescent="0.3">
      <c r="A364" s="148"/>
      <c r="D364" s="108"/>
      <c r="E364" s="108"/>
      <c r="F364" s="108"/>
      <c r="G364" s="108"/>
      <c r="H364" s="36"/>
      <c r="I364" s="36"/>
    </row>
    <row r="365" spans="1:9" x14ac:dyDescent="0.3">
      <c r="A365" s="148"/>
      <c r="D365" s="108"/>
      <c r="E365" s="108"/>
      <c r="F365" s="108"/>
      <c r="G365" s="108"/>
      <c r="H365" s="36"/>
      <c r="I365" s="36"/>
    </row>
    <row r="366" spans="1:9" x14ac:dyDescent="0.3">
      <c r="A366" s="148"/>
      <c r="D366" s="108"/>
      <c r="E366" s="108"/>
      <c r="F366" s="108"/>
      <c r="G366" s="108"/>
      <c r="H366" s="36"/>
      <c r="I366" s="36"/>
    </row>
    <row r="367" spans="1:9" x14ac:dyDescent="0.3">
      <c r="A367" s="148"/>
      <c r="D367" s="108"/>
      <c r="E367" s="108"/>
      <c r="F367" s="108"/>
      <c r="G367" s="108"/>
      <c r="H367" s="36"/>
      <c r="I367" s="36"/>
    </row>
    <row r="368" spans="1:9" x14ac:dyDescent="0.3">
      <c r="A368" s="148"/>
      <c r="D368" s="108"/>
      <c r="E368" s="108"/>
      <c r="F368" s="108"/>
      <c r="G368" s="108"/>
      <c r="H368" s="36"/>
      <c r="I368" s="36"/>
    </row>
    <row r="369" spans="1:9" x14ac:dyDescent="0.3">
      <c r="A369" s="148"/>
      <c r="D369" s="108"/>
      <c r="E369" s="108"/>
      <c r="F369" s="108"/>
      <c r="G369" s="108"/>
      <c r="H369" s="36"/>
      <c r="I369" s="36"/>
    </row>
    <row r="370" spans="1:9" x14ac:dyDescent="0.3">
      <c r="A370" s="148"/>
      <c r="D370" s="108"/>
      <c r="E370" s="108"/>
      <c r="F370" s="108"/>
      <c r="G370" s="108"/>
      <c r="H370" s="36"/>
      <c r="I370" s="36"/>
    </row>
    <row r="371" spans="1:9" x14ac:dyDescent="0.3">
      <c r="A371" s="148"/>
      <c r="D371" s="108"/>
      <c r="E371" s="108"/>
      <c r="F371" s="108"/>
      <c r="G371" s="108"/>
      <c r="H371" s="36"/>
      <c r="I371" s="36"/>
    </row>
    <row r="372" spans="1:9" x14ac:dyDescent="0.3">
      <c r="A372" s="148"/>
      <c r="D372" s="108"/>
      <c r="E372" s="108"/>
      <c r="F372" s="108"/>
      <c r="G372" s="108"/>
      <c r="H372" s="36"/>
      <c r="I372" s="36"/>
    </row>
    <row r="373" spans="1:9" x14ac:dyDescent="0.3">
      <c r="A373" s="148"/>
      <c r="D373" s="108"/>
      <c r="E373" s="108"/>
      <c r="F373" s="108"/>
      <c r="G373" s="108"/>
      <c r="H373" s="36"/>
      <c r="I373" s="36"/>
    </row>
    <row r="374" spans="1:9" x14ac:dyDescent="0.3">
      <c r="A374" s="148"/>
      <c r="D374" s="108"/>
      <c r="E374" s="108"/>
      <c r="F374" s="108"/>
      <c r="G374" s="108"/>
      <c r="H374" s="36"/>
      <c r="I374" s="36"/>
    </row>
    <row r="375" spans="1:9" x14ac:dyDescent="0.3">
      <c r="A375" s="148"/>
      <c r="D375" s="108"/>
      <c r="E375" s="108"/>
      <c r="F375" s="108"/>
      <c r="G375" s="108"/>
      <c r="H375" s="36"/>
      <c r="I375" s="36"/>
    </row>
    <row r="376" spans="1:9" x14ac:dyDescent="0.3">
      <c r="A376" s="148"/>
      <c r="D376" s="108"/>
      <c r="E376" s="108"/>
      <c r="F376" s="108"/>
      <c r="G376" s="108"/>
      <c r="H376" s="36"/>
      <c r="I376" s="36"/>
    </row>
    <row r="377" spans="1:9" x14ac:dyDescent="0.3">
      <c r="A377" s="148"/>
      <c r="D377" s="108"/>
      <c r="E377" s="108"/>
      <c r="F377" s="108"/>
      <c r="G377" s="108"/>
      <c r="H377" s="36"/>
      <c r="I377" s="36"/>
    </row>
    <row r="378" spans="1:9" x14ac:dyDescent="0.3">
      <c r="A378" s="148"/>
      <c r="D378" s="108"/>
      <c r="E378" s="108"/>
      <c r="F378" s="108"/>
      <c r="G378" s="108"/>
      <c r="H378" s="36"/>
      <c r="I378" s="36"/>
    </row>
    <row r="379" spans="1:9" x14ac:dyDescent="0.3">
      <c r="A379" s="148"/>
      <c r="D379" s="108"/>
      <c r="E379" s="108"/>
      <c r="F379" s="108"/>
      <c r="G379" s="108"/>
      <c r="H379" s="36"/>
      <c r="I379" s="36"/>
    </row>
    <row r="380" spans="1:9" x14ac:dyDescent="0.3">
      <c r="A380" s="148"/>
      <c r="D380" s="108"/>
      <c r="E380" s="108"/>
      <c r="F380" s="108"/>
      <c r="G380" s="108"/>
      <c r="H380" s="36"/>
      <c r="I380" s="36"/>
    </row>
    <row r="381" spans="1:9" x14ac:dyDescent="0.3">
      <c r="A381" s="148"/>
      <c r="D381" s="108"/>
      <c r="E381" s="108"/>
      <c r="F381" s="108"/>
      <c r="G381" s="108"/>
      <c r="H381" s="36"/>
      <c r="I381" s="36"/>
    </row>
    <row r="382" spans="1:9" x14ac:dyDescent="0.3">
      <c r="A382" s="148"/>
      <c r="D382" s="108"/>
      <c r="E382" s="108"/>
      <c r="F382" s="108"/>
      <c r="G382" s="108"/>
      <c r="H382" s="36"/>
      <c r="I382" s="36"/>
    </row>
    <row r="383" spans="1:9" x14ac:dyDescent="0.3">
      <c r="A383" s="148"/>
      <c r="D383" s="108"/>
      <c r="E383" s="108"/>
      <c r="F383" s="108"/>
      <c r="G383" s="108"/>
      <c r="H383" s="36"/>
      <c r="I383" s="36"/>
    </row>
    <row r="384" spans="1:9" x14ac:dyDescent="0.3">
      <c r="A384" s="148"/>
      <c r="D384" s="108"/>
      <c r="E384" s="108"/>
      <c r="F384" s="108"/>
      <c r="G384" s="108"/>
      <c r="H384" s="36"/>
      <c r="I384" s="36"/>
    </row>
    <row r="385" spans="1:9" x14ac:dyDescent="0.3">
      <c r="A385" s="148"/>
      <c r="D385" s="108"/>
      <c r="E385" s="108"/>
      <c r="F385" s="108"/>
      <c r="G385" s="108"/>
      <c r="H385" s="36"/>
      <c r="I385" s="36"/>
    </row>
    <row r="386" spans="1:9" x14ac:dyDescent="0.3">
      <c r="A386" s="148"/>
      <c r="D386" s="108"/>
      <c r="E386" s="108"/>
      <c r="F386" s="108"/>
      <c r="G386" s="108"/>
      <c r="H386" s="36"/>
      <c r="I386" s="36"/>
    </row>
    <row r="387" spans="1:9" x14ac:dyDescent="0.3">
      <c r="A387" s="148"/>
      <c r="D387" s="108"/>
      <c r="E387" s="108"/>
      <c r="F387" s="108"/>
      <c r="G387" s="108"/>
      <c r="H387" s="36"/>
      <c r="I387" s="36"/>
    </row>
    <row r="388" spans="1:9" x14ac:dyDescent="0.3">
      <c r="A388" s="148"/>
      <c r="D388" s="108"/>
      <c r="E388" s="108"/>
      <c r="F388" s="108"/>
      <c r="G388" s="108"/>
      <c r="H388" s="36"/>
      <c r="I388" s="36"/>
    </row>
    <row r="389" spans="1:9" x14ac:dyDescent="0.3">
      <c r="A389" s="148"/>
      <c r="D389" s="108"/>
      <c r="E389" s="108"/>
      <c r="F389" s="108"/>
      <c r="G389" s="108"/>
      <c r="H389" s="36"/>
      <c r="I389" s="36"/>
    </row>
    <row r="390" spans="1:9" x14ac:dyDescent="0.3">
      <c r="A390" s="148"/>
      <c r="D390" s="108"/>
      <c r="E390" s="108"/>
      <c r="F390" s="108"/>
      <c r="G390" s="108"/>
      <c r="H390" s="36"/>
      <c r="I390" s="36"/>
    </row>
    <row r="391" spans="1:9" x14ac:dyDescent="0.3">
      <c r="A391" s="148"/>
      <c r="D391" s="108"/>
      <c r="E391" s="108"/>
      <c r="F391" s="108"/>
      <c r="G391" s="108"/>
      <c r="H391" s="36"/>
      <c r="I391" s="36"/>
    </row>
    <row r="392" spans="1:9" x14ac:dyDescent="0.3">
      <c r="A392" s="148"/>
      <c r="D392" s="108"/>
      <c r="E392" s="108"/>
      <c r="F392" s="108"/>
      <c r="G392" s="108"/>
      <c r="H392" s="36"/>
      <c r="I392" s="36"/>
    </row>
    <row r="393" spans="1:9" x14ac:dyDescent="0.3">
      <c r="A393" s="148"/>
      <c r="D393" s="108"/>
      <c r="E393" s="108"/>
      <c r="F393" s="108"/>
      <c r="G393" s="108"/>
      <c r="H393" s="36"/>
      <c r="I393" s="36"/>
    </row>
    <row r="394" spans="1:9" x14ac:dyDescent="0.3">
      <c r="A394" s="148"/>
      <c r="D394" s="108"/>
      <c r="E394" s="108"/>
      <c r="F394" s="108"/>
      <c r="G394" s="108"/>
      <c r="H394" s="36"/>
      <c r="I394" s="36"/>
    </row>
    <row r="395" spans="1:9" x14ac:dyDescent="0.3">
      <c r="A395" s="148"/>
      <c r="D395" s="108"/>
      <c r="E395" s="108"/>
      <c r="F395" s="108"/>
      <c r="G395" s="108"/>
      <c r="H395" s="36"/>
      <c r="I395" s="36"/>
    </row>
    <row r="396" spans="1:9" x14ac:dyDescent="0.3">
      <c r="A396" s="148"/>
      <c r="D396" s="108"/>
      <c r="E396" s="108"/>
      <c r="F396" s="108"/>
      <c r="G396" s="108"/>
      <c r="H396" s="36"/>
      <c r="I396" s="36"/>
    </row>
    <row r="397" spans="1:9" x14ac:dyDescent="0.3">
      <c r="A397" s="148"/>
      <c r="D397" s="108"/>
      <c r="E397" s="108"/>
      <c r="F397" s="108"/>
      <c r="G397" s="108"/>
      <c r="H397" s="36"/>
      <c r="I397" s="36"/>
    </row>
    <row r="398" spans="1:9" x14ac:dyDescent="0.3">
      <c r="A398" s="148"/>
      <c r="D398" s="108"/>
      <c r="E398" s="108"/>
      <c r="F398" s="108"/>
      <c r="G398" s="108"/>
      <c r="H398" s="36"/>
      <c r="I398" s="36"/>
    </row>
    <row r="399" spans="1:9" x14ac:dyDescent="0.3">
      <c r="A399" s="148"/>
      <c r="D399" s="108"/>
      <c r="E399" s="108"/>
      <c r="F399" s="108"/>
      <c r="G399" s="108"/>
      <c r="H399" s="36"/>
      <c r="I399" s="36"/>
    </row>
    <row r="400" spans="1:9" x14ac:dyDescent="0.3">
      <c r="A400" s="148"/>
      <c r="D400" s="108"/>
      <c r="E400" s="108"/>
      <c r="F400" s="108"/>
      <c r="G400" s="108"/>
      <c r="H400" s="36"/>
      <c r="I400" s="36"/>
    </row>
    <row r="401" spans="1:9" x14ac:dyDescent="0.3">
      <c r="A401" s="148"/>
      <c r="D401" s="108"/>
      <c r="E401" s="108"/>
      <c r="F401" s="108"/>
      <c r="G401" s="108"/>
      <c r="H401" s="36"/>
      <c r="I401" s="36"/>
    </row>
    <row r="402" spans="1:9" x14ac:dyDescent="0.3">
      <c r="A402" s="148"/>
      <c r="D402" s="108"/>
      <c r="E402" s="108"/>
      <c r="F402" s="108"/>
      <c r="G402" s="108"/>
      <c r="H402" s="36"/>
      <c r="I402" s="36"/>
    </row>
    <row r="403" spans="1:9" x14ac:dyDescent="0.3">
      <c r="A403" s="148"/>
      <c r="D403" s="108"/>
      <c r="E403" s="108"/>
      <c r="F403" s="108"/>
      <c r="G403" s="108"/>
      <c r="H403" s="36"/>
      <c r="I403" s="36"/>
    </row>
    <row r="404" spans="1:9" x14ac:dyDescent="0.3">
      <c r="A404" s="148"/>
      <c r="D404" s="108"/>
      <c r="E404" s="108"/>
      <c r="F404" s="108"/>
      <c r="G404" s="108"/>
      <c r="H404" s="36"/>
      <c r="I404" s="36"/>
    </row>
    <row r="405" spans="1:9" x14ac:dyDescent="0.3">
      <c r="A405" s="148"/>
      <c r="D405" s="108"/>
      <c r="E405" s="108"/>
      <c r="F405" s="108"/>
      <c r="G405" s="108"/>
      <c r="H405" s="36"/>
      <c r="I405" s="36"/>
    </row>
    <row r="406" spans="1:9" x14ac:dyDescent="0.3">
      <c r="A406" s="148"/>
      <c r="D406" s="108"/>
      <c r="E406" s="108"/>
      <c r="F406" s="108"/>
      <c r="G406" s="108"/>
      <c r="H406" s="36"/>
      <c r="I406" s="36"/>
    </row>
    <row r="407" spans="1:9" x14ac:dyDescent="0.3">
      <c r="A407" s="148"/>
      <c r="D407" s="108"/>
      <c r="E407" s="108"/>
      <c r="F407" s="108"/>
      <c r="G407" s="108"/>
      <c r="H407" s="36"/>
      <c r="I407" s="36"/>
    </row>
    <row r="408" spans="1:9" x14ac:dyDescent="0.3">
      <c r="A408" s="148"/>
      <c r="D408" s="108"/>
      <c r="E408" s="108"/>
      <c r="F408" s="108"/>
      <c r="G408" s="108"/>
      <c r="H408" s="36"/>
      <c r="I408" s="36"/>
    </row>
    <row r="409" spans="1:9" x14ac:dyDescent="0.3">
      <c r="A409" s="148"/>
      <c r="D409" s="108"/>
      <c r="E409" s="108"/>
      <c r="F409" s="108"/>
      <c r="G409" s="108"/>
      <c r="H409" s="36"/>
      <c r="I409" s="36"/>
    </row>
    <row r="410" spans="1:9" x14ac:dyDescent="0.3">
      <c r="A410" s="148"/>
      <c r="D410" s="108"/>
      <c r="E410" s="108"/>
      <c r="F410" s="108"/>
      <c r="G410" s="108"/>
      <c r="H410" s="36"/>
      <c r="I410" s="36"/>
    </row>
    <row r="411" spans="1:9" x14ac:dyDescent="0.3">
      <c r="A411" s="148"/>
      <c r="D411" s="108"/>
      <c r="E411" s="108"/>
      <c r="F411" s="108"/>
      <c r="G411" s="108"/>
      <c r="H411" s="36"/>
      <c r="I411" s="36"/>
    </row>
    <row r="412" spans="1:9" x14ac:dyDescent="0.3">
      <c r="A412" s="148"/>
      <c r="D412" s="108"/>
      <c r="E412" s="108"/>
      <c r="F412" s="108"/>
      <c r="G412" s="108"/>
      <c r="H412" s="36"/>
      <c r="I412" s="36"/>
    </row>
    <row r="413" spans="1:9" x14ac:dyDescent="0.3">
      <c r="A413" s="148"/>
      <c r="D413" s="108"/>
      <c r="E413" s="108"/>
      <c r="F413" s="108"/>
      <c r="G413" s="108"/>
      <c r="H413" s="36"/>
      <c r="I413" s="36"/>
    </row>
    <row r="414" spans="1:9" x14ac:dyDescent="0.3">
      <c r="A414" s="148"/>
      <c r="D414" s="108"/>
      <c r="E414" s="108"/>
      <c r="F414" s="108"/>
      <c r="G414" s="108"/>
      <c r="H414" s="36"/>
      <c r="I414" s="36"/>
    </row>
    <row r="415" spans="1:9" x14ac:dyDescent="0.3">
      <c r="A415" s="148"/>
      <c r="D415" s="108"/>
      <c r="E415" s="108"/>
      <c r="F415" s="108"/>
      <c r="G415" s="108"/>
      <c r="H415" s="36"/>
      <c r="I415" s="36"/>
    </row>
    <row r="416" spans="1:9" x14ac:dyDescent="0.3">
      <c r="A416" s="148"/>
      <c r="D416" s="108"/>
      <c r="E416" s="108"/>
      <c r="F416" s="108"/>
      <c r="G416" s="108"/>
      <c r="H416" s="36"/>
      <c r="I416" s="36"/>
    </row>
    <row r="417" spans="1:9" x14ac:dyDescent="0.3">
      <c r="A417" s="148"/>
      <c r="D417" s="108"/>
      <c r="E417" s="108"/>
      <c r="F417" s="108"/>
      <c r="G417" s="108"/>
      <c r="H417" s="36"/>
      <c r="I417" s="36"/>
    </row>
    <row r="418" spans="1:9" x14ac:dyDescent="0.3">
      <c r="A418" s="148"/>
      <c r="D418" s="108"/>
      <c r="E418" s="108"/>
      <c r="F418" s="108"/>
      <c r="G418" s="108"/>
      <c r="H418" s="36"/>
      <c r="I418" s="36"/>
    </row>
    <row r="419" spans="1:9" x14ac:dyDescent="0.3">
      <c r="A419" s="148"/>
      <c r="D419" s="108"/>
      <c r="E419" s="108"/>
      <c r="F419" s="108"/>
      <c r="G419" s="108"/>
      <c r="H419" s="36"/>
      <c r="I419" s="36"/>
    </row>
    <row r="420" spans="1:9" x14ac:dyDescent="0.3">
      <c r="A420" s="148"/>
      <c r="D420" s="108"/>
      <c r="E420" s="108"/>
      <c r="F420" s="108"/>
      <c r="G420" s="108"/>
      <c r="H420" s="36"/>
      <c r="I420" s="36"/>
    </row>
    <row r="421" spans="1:9" x14ac:dyDescent="0.3">
      <c r="A421" s="148"/>
      <c r="D421" s="108"/>
      <c r="E421" s="108"/>
      <c r="F421" s="108"/>
      <c r="G421" s="108"/>
      <c r="H421" s="36"/>
      <c r="I421" s="36"/>
    </row>
    <row r="422" spans="1:9" x14ac:dyDescent="0.3">
      <c r="A422" s="148"/>
      <c r="D422" s="108"/>
      <c r="E422" s="108"/>
      <c r="F422" s="108"/>
      <c r="G422" s="108"/>
      <c r="H422" s="36"/>
      <c r="I422" s="36"/>
    </row>
    <row r="423" spans="1:9" x14ac:dyDescent="0.3">
      <c r="A423" s="148"/>
      <c r="D423" s="108"/>
      <c r="E423" s="108"/>
      <c r="F423" s="108"/>
      <c r="G423" s="108"/>
      <c r="H423" s="36"/>
      <c r="I423" s="36"/>
    </row>
    <row r="424" spans="1:9" x14ac:dyDescent="0.3">
      <c r="A424" s="148"/>
      <c r="D424" s="108"/>
      <c r="E424" s="108"/>
      <c r="F424" s="108"/>
      <c r="G424" s="108"/>
      <c r="H424" s="36"/>
      <c r="I424" s="36"/>
    </row>
    <row r="425" spans="1:9" x14ac:dyDescent="0.3">
      <c r="A425" s="148"/>
      <c r="D425" s="108"/>
      <c r="E425" s="108"/>
      <c r="F425" s="108"/>
      <c r="G425" s="108"/>
      <c r="H425" s="36"/>
      <c r="I425" s="36"/>
    </row>
    <row r="426" spans="1:9" x14ac:dyDescent="0.3">
      <c r="A426" s="148"/>
      <c r="D426" s="108"/>
      <c r="E426" s="108"/>
      <c r="F426" s="108"/>
      <c r="G426" s="108"/>
      <c r="H426" s="36"/>
      <c r="I426" s="36"/>
    </row>
    <row r="427" spans="1:9" x14ac:dyDescent="0.3">
      <c r="A427" s="148"/>
      <c r="D427" s="108"/>
      <c r="E427" s="108"/>
      <c r="F427" s="108"/>
      <c r="G427" s="108"/>
      <c r="H427" s="36"/>
      <c r="I427" s="36"/>
    </row>
    <row r="428" spans="1:9" x14ac:dyDescent="0.3">
      <c r="A428" s="148"/>
      <c r="D428" s="108"/>
      <c r="E428" s="108"/>
      <c r="F428" s="108"/>
      <c r="G428" s="108"/>
      <c r="H428" s="36"/>
      <c r="I428" s="36"/>
    </row>
    <row r="429" spans="1:9" x14ac:dyDescent="0.3">
      <c r="A429" s="148"/>
      <c r="D429" s="108"/>
      <c r="E429" s="108"/>
      <c r="F429" s="108"/>
      <c r="G429" s="108"/>
      <c r="H429" s="36"/>
      <c r="I429" s="36"/>
    </row>
    <row r="430" spans="1:9" x14ac:dyDescent="0.3">
      <c r="A430" s="148"/>
      <c r="D430" s="108"/>
      <c r="E430" s="108"/>
      <c r="F430" s="108"/>
      <c r="G430" s="108"/>
      <c r="H430" s="36"/>
      <c r="I430" s="36"/>
    </row>
    <row r="431" spans="1:9" x14ac:dyDescent="0.3">
      <c r="A431" s="148"/>
      <c r="D431" s="108"/>
      <c r="E431" s="108"/>
      <c r="F431" s="108"/>
      <c r="G431" s="108"/>
      <c r="H431" s="36"/>
      <c r="I431" s="36"/>
    </row>
    <row r="432" spans="1:9" x14ac:dyDescent="0.3">
      <c r="A432" s="148"/>
      <c r="D432" s="108"/>
      <c r="E432" s="108"/>
      <c r="F432" s="108"/>
      <c r="G432" s="108"/>
      <c r="H432" s="36"/>
      <c r="I432" s="36"/>
    </row>
    <row r="433" spans="1:9" x14ac:dyDescent="0.3">
      <c r="A433" s="148"/>
      <c r="D433" s="108"/>
      <c r="E433" s="108"/>
      <c r="F433" s="108"/>
      <c r="G433" s="108"/>
      <c r="H433" s="36"/>
      <c r="I433" s="36"/>
    </row>
    <row r="434" spans="1:9" x14ac:dyDescent="0.3">
      <c r="A434" s="148"/>
      <c r="D434" s="108"/>
      <c r="E434" s="108"/>
      <c r="F434" s="108"/>
      <c r="G434" s="108"/>
      <c r="H434" s="36"/>
      <c r="I434" s="36"/>
    </row>
    <row r="435" spans="1:9" x14ac:dyDescent="0.3">
      <c r="A435" s="148"/>
      <c r="D435" s="108"/>
      <c r="E435" s="108"/>
      <c r="F435" s="108"/>
      <c r="G435" s="108"/>
      <c r="H435" s="36"/>
      <c r="I435" s="36"/>
    </row>
    <row r="436" spans="1:9" x14ac:dyDescent="0.3">
      <c r="A436" s="148"/>
      <c r="D436" s="108"/>
      <c r="E436" s="108"/>
      <c r="F436" s="108"/>
      <c r="G436" s="108"/>
      <c r="H436" s="36"/>
      <c r="I436" s="36"/>
    </row>
    <row r="437" spans="1:9" x14ac:dyDescent="0.3">
      <c r="A437" s="148"/>
      <c r="D437" s="108"/>
      <c r="E437" s="108"/>
      <c r="F437" s="108"/>
      <c r="G437" s="108"/>
      <c r="H437" s="36"/>
      <c r="I437" s="36"/>
    </row>
    <row r="438" spans="1:9" x14ac:dyDescent="0.3">
      <c r="A438" s="148"/>
      <c r="D438" s="108"/>
      <c r="E438" s="108"/>
      <c r="F438" s="108"/>
      <c r="G438" s="108"/>
      <c r="H438" s="36"/>
      <c r="I438" s="36"/>
    </row>
    <row r="439" spans="1:9" x14ac:dyDescent="0.3">
      <c r="A439" s="148"/>
      <c r="D439" s="108"/>
      <c r="E439" s="108"/>
      <c r="F439" s="108"/>
      <c r="G439" s="108"/>
      <c r="H439" s="36"/>
      <c r="I439" s="36"/>
    </row>
    <row r="440" spans="1:9" x14ac:dyDescent="0.3">
      <c r="A440" s="148"/>
      <c r="D440" s="108"/>
      <c r="E440" s="108"/>
      <c r="F440" s="108"/>
      <c r="G440" s="108"/>
      <c r="H440" s="36"/>
      <c r="I440" s="36"/>
    </row>
    <row r="441" spans="1:9" x14ac:dyDescent="0.3">
      <c r="A441" s="148"/>
      <c r="D441" s="108"/>
      <c r="E441" s="108"/>
      <c r="F441" s="108"/>
      <c r="G441" s="108"/>
      <c r="H441" s="36"/>
      <c r="I441" s="36"/>
    </row>
    <row r="442" spans="1:9" x14ac:dyDescent="0.3">
      <c r="A442" s="148"/>
      <c r="D442" s="108"/>
      <c r="E442" s="108"/>
      <c r="F442" s="108"/>
      <c r="G442" s="108"/>
      <c r="H442" s="36"/>
      <c r="I442" s="36"/>
    </row>
    <row r="443" spans="1:9" x14ac:dyDescent="0.3">
      <c r="A443" s="148"/>
      <c r="D443" s="108"/>
      <c r="E443" s="108"/>
      <c r="F443" s="108"/>
      <c r="G443" s="108"/>
      <c r="H443" s="36"/>
      <c r="I443" s="36"/>
    </row>
    <row r="444" spans="1:9" x14ac:dyDescent="0.3">
      <c r="A444" s="148"/>
      <c r="D444" s="108"/>
      <c r="E444" s="108"/>
      <c r="F444" s="108"/>
      <c r="G444" s="108"/>
      <c r="H444" s="36"/>
      <c r="I444" s="36"/>
    </row>
    <row r="445" spans="1:9" x14ac:dyDescent="0.3">
      <c r="A445" s="148"/>
      <c r="D445" s="108"/>
      <c r="E445" s="108"/>
      <c r="F445" s="108"/>
      <c r="G445" s="108"/>
      <c r="H445" s="36"/>
      <c r="I445" s="36"/>
    </row>
    <row r="446" spans="1:9" x14ac:dyDescent="0.3">
      <c r="A446" s="148"/>
      <c r="D446" s="108"/>
      <c r="E446" s="108"/>
      <c r="F446" s="108"/>
      <c r="G446" s="108"/>
      <c r="H446" s="36"/>
      <c r="I446" s="36"/>
    </row>
    <row r="447" spans="1:9" x14ac:dyDescent="0.3">
      <c r="A447" s="148"/>
      <c r="D447" s="108"/>
      <c r="E447" s="108"/>
      <c r="F447" s="108"/>
      <c r="G447" s="108"/>
      <c r="H447" s="36"/>
      <c r="I447" s="36"/>
    </row>
    <row r="448" spans="1:9" x14ac:dyDescent="0.3">
      <c r="A448" s="148"/>
      <c r="D448" s="108"/>
      <c r="E448" s="108"/>
      <c r="F448" s="108"/>
      <c r="G448" s="108"/>
      <c r="H448" s="36"/>
      <c r="I448" s="36"/>
    </row>
    <row r="449" spans="1:9" x14ac:dyDescent="0.3">
      <c r="A449" s="148"/>
      <c r="D449" s="108"/>
      <c r="E449" s="108"/>
      <c r="F449" s="108"/>
      <c r="G449" s="108"/>
      <c r="H449" s="36"/>
      <c r="I449" s="36"/>
    </row>
    <row r="450" spans="1:9" x14ac:dyDescent="0.3">
      <c r="A450" s="148"/>
      <c r="D450" s="108"/>
      <c r="E450" s="108"/>
      <c r="F450" s="108"/>
      <c r="G450" s="108"/>
      <c r="H450" s="36"/>
      <c r="I450" s="36"/>
    </row>
    <row r="451" spans="1:9" x14ac:dyDescent="0.3">
      <c r="A451" s="148"/>
      <c r="D451" s="108"/>
      <c r="E451" s="108"/>
      <c r="F451" s="108"/>
      <c r="G451" s="108"/>
      <c r="H451" s="36"/>
      <c r="I451" s="36"/>
    </row>
    <row r="452" spans="1:9" x14ac:dyDescent="0.3">
      <c r="A452" s="148"/>
      <c r="D452" s="108"/>
      <c r="E452" s="108"/>
      <c r="F452" s="108"/>
      <c r="G452" s="108"/>
      <c r="H452" s="36"/>
      <c r="I452" s="36"/>
    </row>
    <row r="453" spans="1:9" x14ac:dyDescent="0.3">
      <c r="A453" s="148"/>
      <c r="D453" s="108"/>
      <c r="E453" s="108"/>
      <c r="F453" s="108"/>
      <c r="G453" s="108"/>
      <c r="H453" s="36"/>
      <c r="I453" s="36"/>
    </row>
    <row r="454" spans="1:9" x14ac:dyDescent="0.3">
      <c r="A454" s="148"/>
      <c r="D454" s="108"/>
      <c r="E454" s="108"/>
      <c r="F454" s="108"/>
      <c r="G454" s="108"/>
      <c r="H454" s="36"/>
      <c r="I454" s="36"/>
    </row>
    <row r="455" spans="1:9" x14ac:dyDescent="0.3">
      <c r="A455" s="148"/>
      <c r="D455" s="108"/>
      <c r="E455" s="108"/>
      <c r="F455" s="108"/>
      <c r="G455" s="108"/>
      <c r="H455" s="36"/>
      <c r="I455" s="36"/>
    </row>
    <row r="456" spans="1:9" x14ac:dyDescent="0.3">
      <c r="A456" s="148"/>
      <c r="D456" s="108"/>
      <c r="E456" s="108"/>
      <c r="F456" s="108"/>
      <c r="G456" s="108"/>
      <c r="H456" s="36"/>
      <c r="I456" s="36"/>
    </row>
    <row r="457" spans="1:9" x14ac:dyDescent="0.3">
      <c r="A457" s="148"/>
      <c r="D457" s="108"/>
      <c r="E457" s="108"/>
      <c r="F457" s="108"/>
      <c r="G457" s="108"/>
      <c r="H457" s="36"/>
      <c r="I457" s="36"/>
    </row>
    <row r="458" spans="1:9" x14ac:dyDescent="0.3">
      <c r="A458" s="148"/>
      <c r="D458" s="108"/>
      <c r="E458" s="108"/>
      <c r="F458" s="108"/>
      <c r="G458" s="108"/>
      <c r="H458" s="36"/>
      <c r="I458" s="36"/>
    </row>
    <row r="459" spans="1:9" x14ac:dyDescent="0.3">
      <c r="A459" s="148"/>
      <c r="D459" s="108"/>
      <c r="E459" s="108"/>
      <c r="F459" s="108"/>
      <c r="G459" s="108"/>
      <c r="H459" s="36"/>
      <c r="I459" s="36"/>
    </row>
    <row r="460" spans="1:9" x14ac:dyDescent="0.3">
      <c r="A460" s="148"/>
      <c r="D460" s="108"/>
      <c r="E460" s="108"/>
      <c r="F460" s="108"/>
      <c r="G460" s="108"/>
      <c r="H460" s="36"/>
      <c r="I460" s="36"/>
    </row>
    <row r="461" spans="1:9" x14ac:dyDescent="0.3">
      <c r="A461" s="148"/>
      <c r="D461" s="108"/>
      <c r="E461" s="108"/>
      <c r="F461" s="108"/>
      <c r="G461" s="108"/>
      <c r="H461" s="36"/>
      <c r="I461" s="36"/>
    </row>
    <row r="462" spans="1:9" x14ac:dyDescent="0.3">
      <c r="A462" s="148"/>
      <c r="D462" s="108"/>
      <c r="E462" s="108"/>
      <c r="F462" s="108"/>
      <c r="G462" s="108"/>
      <c r="H462" s="36"/>
      <c r="I462" s="36"/>
    </row>
    <row r="463" spans="1:9" x14ac:dyDescent="0.3">
      <c r="A463" s="148"/>
      <c r="D463" s="108"/>
      <c r="E463" s="108"/>
      <c r="F463" s="108"/>
      <c r="G463" s="108"/>
      <c r="H463" s="36"/>
      <c r="I463" s="36"/>
    </row>
    <row r="464" spans="1:9" x14ac:dyDescent="0.3">
      <c r="A464" s="148"/>
      <c r="D464" s="108"/>
      <c r="E464" s="108"/>
      <c r="F464" s="108"/>
      <c r="G464" s="108"/>
      <c r="H464" s="36"/>
      <c r="I464" s="36"/>
    </row>
    <row r="465" spans="1:9" x14ac:dyDescent="0.3">
      <c r="A465" s="148"/>
      <c r="D465" s="108"/>
      <c r="E465" s="108"/>
      <c r="F465" s="108"/>
      <c r="G465" s="108"/>
      <c r="H465" s="36"/>
      <c r="I465" s="36"/>
    </row>
    <row r="466" spans="1:9" x14ac:dyDescent="0.3">
      <c r="A466" s="148"/>
      <c r="D466" s="108"/>
      <c r="E466" s="108"/>
      <c r="F466" s="108"/>
      <c r="G466" s="108"/>
      <c r="H466" s="36"/>
      <c r="I466" s="36"/>
    </row>
    <row r="467" spans="1:9" x14ac:dyDescent="0.3">
      <c r="A467" s="148"/>
      <c r="D467" s="108"/>
      <c r="E467" s="108"/>
      <c r="F467" s="108"/>
      <c r="G467" s="108"/>
      <c r="H467" s="36"/>
      <c r="I467" s="36"/>
    </row>
    <row r="468" spans="1:9" x14ac:dyDescent="0.3">
      <c r="A468" s="148"/>
      <c r="D468" s="108"/>
      <c r="E468" s="108"/>
      <c r="F468" s="108"/>
      <c r="G468" s="108"/>
      <c r="H468" s="36"/>
      <c r="I468" s="36"/>
    </row>
    <row r="469" spans="1:9" x14ac:dyDescent="0.3">
      <c r="A469" s="148"/>
      <c r="D469" s="108"/>
      <c r="E469" s="108"/>
      <c r="F469" s="108"/>
      <c r="G469" s="108"/>
      <c r="H469" s="36"/>
      <c r="I469" s="36"/>
    </row>
    <row r="470" spans="1:9" x14ac:dyDescent="0.3">
      <c r="A470" s="148"/>
      <c r="D470" s="108"/>
      <c r="E470" s="108"/>
      <c r="F470" s="108"/>
      <c r="G470" s="108"/>
      <c r="H470" s="36"/>
      <c r="I470" s="36"/>
    </row>
    <row r="471" spans="1:9" x14ac:dyDescent="0.3">
      <c r="A471" s="148"/>
      <c r="D471" s="108"/>
      <c r="E471" s="108"/>
      <c r="F471" s="108"/>
      <c r="G471" s="108"/>
      <c r="H471" s="36"/>
      <c r="I471" s="36"/>
    </row>
    <row r="472" spans="1:9" x14ac:dyDescent="0.3">
      <c r="A472" s="148"/>
      <c r="D472" s="108"/>
      <c r="E472" s="108"/>
      <c r="F472" s="108"/>
      <c r="G472" s="108"/>
      <c r="H472" s="36"/>
      <c r="I472" s="36"/>
    </row>
    <row r="473" spans="1:9" x14ac:dyDescent="0.3">
      <c r="A473" s="148"/>
      <c r="D473" s="108"/>
      <c r="E473" s="108"/>
      <c r="F473" s="108"/>
      <c r="G473" s="108"/>
      <c r="H473" s="36"/>
      <c r="I473" s="36"/>
    </row>
    <row r="474" spans="1:9" x14ac:dyDescent="0.3">
      <c r="A474" s="148"/>
      <c r="D474" s="108"/>
      <c r="E474" s="108"/>
      <c r="F474" s="108"/>
      <c r="G474" s="108"/>
      <c r="H474" s="36"/>
      <c r="I474" s="36"/>
    </row>
    <row r="475" spans="1:9" x14ac:dyDescent="0.3">
      <c r="A475" s="148"/>
      <c r="D475" s="108"/>
      <c r="E475" s="108"/>
      <c r="F475" s="108"/>
      <c r="G475" s="108"/>
      <c r="H475" s="36"/>
      <c r="I475" s="36"/>
    </row>
    <row r="476" spans="1:9" x14ac:dyDescent="0.3">
      <c r="A476" s="148"/>
      <c r="D476" s="108"/>
      <c r="E476" s="108"/>
      <c r="F476" s="108"/>
      <c r="G476" s="108"/>
      <c r="H476" s="36"/>
      <c r="I476" s="36"/>
    </row>
    <row r="477" spans="1:9" x14ac:dyDescent="0.3">
      <c r="A477" s="148"/>
      <c r="D477" s="108"/>
      <c r="E477" s="108"/>
      <c r="F477" s="108"/>
      <c r="G477" s="108"/>
      <c r="H477" s="36"/>
      <c r="I477" s="36"/>
    </row>
    <row r="478" spans="1:9" x14ac:dyDescent="0.3">
      <c r="A478" s="148"/>
      <c r="D478" s="108"/>
      <c r="E478" s="108"/>
      <c r="F478" s="108"/>
      <c r="G478" s="108"/>
      <c r="H478" s="36"/>
      <c r="I478" s="36"/>
    </row>
    <row r="479" spans="1:9" x14ac:dyDescent="0.3">
      <c r="A479" s="148"/>
      <c r="D479" s="108"/>
      <c r="E479" s="108"/>
      <c r="F479" s="108"/>
      <c r="G479" s="108"/>
      <c r="H479" s="36"/>
      <c r="I479" s="36"/>
    </row>
    <row r="480" spans="1:9" x14ac:dyDescent="0.3">
      <c r="A480" s="148"/>
      <c r="D480" s="108"/>
      <c r="E480" s="108"/>
      <c r="F480" s="108"/>
      <c r="G480" s="108"/>
      <c r="H480" s="36"/>
      <c r="I480" s="36"/>
    </row>
    <row r="481" spans="1:9" x14ac:dyDescent="0.3">
      <c r="A481" s="148"/>
      <c r="D481" s="108"/>
      <c r="E481" s="108"/>
      <c r="F481" s="108"/>
      <c r="G481" s="108"/>
      <c r="H481" s="36"/>
      <c r="I481" s="36"/>
    </row>
    <row r="482" spans="1:9" x14ac:dyDescent="0.3">
      <c r="A482" s="148"/>
      <c r="D482" s="108"/>
      <c r="E482" s="108"/>
      <c r="F482" s="108"/>
      <c r="G482" s="108"/>
      <c r="H482" s="36"/>
      <c r="I482" s="36"/>
    </row>
    <row r="483" spans="1:9" x14ac:dyDescent="0.3">
      <c r="A483" s="148"/>
      <c r="D483" s="108"/>
      <c r="E483" s="108"/>
      <c r="F483" s="108"/>
      <c r="G483" s="108"/>
      <c r="H483" s="36"/>
      <c r="I483" s="36"/>
    </row>
    <row r="484" spans="1:9" x14ac:dyDescent="0.3">
      <c r="A484" s="148"/>
      <c r="D484" s="108"/>
      <c r="E484" s="108"/>
      <c r="F484" s="108"/>
      <c r="G484" s="108"/>
      <c r="H484" s="36"/>
      <c r="I484" s="36"/>
    </row>
    <row r="485" spans="1:9" x14ac:dyDescent="0.3">
      <c r="A485" s="148"/>
      <c r="D485" s="108"/>
      <c r="E485" s="108"/>
      <c r="F485" s="108"/>
      <c r="G485" s="108"/>
      <c r="H485" s="36"/>
      <c r="I485" s="36"/>
    </row>
    <row r="486" spans="1:9" x14ac:dyDescent="0.3">
      <c r="A486" s="148"/>
      <c r="D486" s="108"/>
      <c r="E486" s="108"/>
      <c r="F486" s="108"/>
      <c r="G486" s="108"/>
      <c r="H486" s="36"/>
      <c r="I486" s="36"/>
    </row>
    <row r="487" spans="1:9" x14ac:dyDescent="0.3">
      <c r="A487" s="148"/>
      <c r="D487" s="108"/>
      <c r="E487" s="108"/>
      <c r="F487" s="108"/>
      <c r="G487" s="108"/>
      <c r="H487" s="36"/>
      <c r="I487" s="36"/>
    </row>
    <row r="488" spans="1:9" x14ac:dyDescent="0.3">
      <c r="A488" s="148"/>
      <c r="D488" s="108"/>
      <c r="E488" s="108"/>
      <c r="F488" s="108"/>
      <c r="G488" s="108"/>
      <c r="H488" s="36"/>
      <c r="I488" s="36"/>
    </row>
    <row r="489" spans="1:9" x14ac:dyDescent="0.3">
      <c r="A489" s="148"/>
      <c r="D489" s="108"/>
      <c r="E489" s="108"/>
      <c r="F489" s="108"/>
      <c r="G489" s="108"/>
      <c r="H489" s="36"/>
      <c r="I489" s="36"/>
    </row>
    <row r="490" spans="1:9" x14ac:dyDescent="0.3">
      <c r="A490" s="148"/>
      <c r="D490" s="108"/>
      <c r="E490" s="108"/>
      <c r="F490" s="108"/>
      <c r="G490" s="108"/>
      <c r="H490" s="36"/>
      <c r="I490" s="36"/>
    </row>
    <row r="491" spans="1:9" x14ac:dyDescent="0.3">
      <c r="A491" s="148"/>
      <c r="D491" s="108"/>
      <c r="E491" s="108"/>
      <c r="F491" s="108"/>
      <c r="G491" s="108"/>
      <c r="H491" s="36"/>
      <c r="I491" s="36"/>
    </row>
    <row r="492" spans="1:9" x14ac:dyDescent="0.3">
      <c r="A492" s="148"/>
      <c r="D492" s="108"/>
      <c r="E492" s="108"/>
      <c r="F492" s="108"/>
      <c r="G492" s="108"/>
      <c r="H492" s="36"/>
      <c r="I492" s="36"/>
    </row>
    <row r="493" spans="1:9" x14ac:dyDescent="0.3">
      <c r="A493" s="148"/>
      <c r="D493" s="108"/>
      <c r="E493" s="108"/>
      <c r="F493" s="108"/>
      <c r="G493" s="108"/>
      <c r="H493" s="36"/>
      <c r="I493" s="36"/>
    </row>
    <row r="494" spans="1:9" x14ac:dyDescent="0.3">
      <c r="A494" s="148"/>
      <c r="D494" s="108"/>
      <c r="E494" s="108"/>
      <c r="F494" s="108"/>
      <c r="G494" s="108"/>
      <c r="H494" s="36"/>
      <c r="I494" s="36"/>
    </row>
    <row r="495" spans="1:9" x14ac:dyDescent="0.3">
      <c r="A495" s="148"/>
      <c r="D495" s="108"/>
      <c r="E495" s="108"/>
      <c r="F495" s="108"/>
      <c r="G495" s="108"/>
      <c r="H495" s="36"/>
      <c r="I495" s="36"/>
    </row>
    <row r="496" spans="1:9" x14ac:dyDescent="0.3">
      <c r="A496" s="148"/>
      <c r="D496" s="108"/>
      <c r="E496" s="108"/>
      <c r="F496" s="108"/>
      <c r="G496" s="108"/>
      <c r="H496" s="36"/>
      <c r="I496" s="36"/>
    </row>
    <row r="497" spans="1:9" x14ac:dyDescent="0.3">
      <c r="A497" s="148"/>
      <c r="D497" s="108"/>
      <c r="E497" s="108"/>
      <c r="F497" s="108"/>
      <c r="G497" s="108"/>
      <c r="H497" s="36"/>
      <c r="I497" s="36"/>
    </row>
    <row r="498" spans="1:9" x14ac:dyDescent="0.3">
      <c r="A498" s="148"/>
      <c r="D498" s="108"/>
      <c r="E498" s="108"/>
      <c r="F498" s="108"/>
      <c r="G498" s="108"/>
      <c r="H498" s="36"/>
      <c r="I498" s="36"/>
    </row>
    <row r="499" spans="1:9" x14ac:dyDescent="0.3">
      <c r="A499" s="148"/>
      <c r="D499" s="108"/>
      <c r="E499" s="108"/>
      <c r="F499" s="108"/>
      <c r="G499" s="108"/>
      <c r="H499" s="36"/>
      <c r="I499" s="36"/>
    </row>
    <row r="500" spans="1:9" x14ac:dyDescent="0.3">
      <c r="A500" s="148"/>
      <c r="D500" s="108"/>
      <c r="E500" s="108"/>
      <c r="F500" s="108"/>
      <c r="G500" s="108"/>
      <c r="H500" s="36"/>
      <c r="I500" s="36"/>
    </row>
    <row r="501" spans="1:9" x14ac:dyDescent="0.3">
      <c r="A501" s="148"/>
      <c r="D501" s="108"/>
      <c r="E501" s="108"/>
      <c r="F501" s="108"/>
      <c r="G501" s="108"/>
      <c r="H501" s="36"/>
      <c r="I501" s="36"/>
    </row>
    <row r="502" spans="1:9" x14ac:dyDescent="0.3">
      <c r="A502" s="148"/>
      <c r="D502" s="108"/>
      <c r="E502" s="108"/>
      <c r="F502" s="108"/>
      <c r="G502" s="108"/>
      <c r="H502" s="36"/>
      <c r="I502" s="36"/>
    </row>
    <row r="503" spans="1:9" x14ac:dyDescent="0.3">
      <c r="A503" s="148"/>
      <c r="D503" s="108"/>
      <c r="E503" s="108"/>
      <c r="F503" s="108"/>
      <c r="G503" s="108"/>
      <c r="H503" s="36"/>
      <c r="I503" s="36"/>
    </row>
    <row r="504" spans="1:9" x14ac:dyDescent="0.3">
      <c r="A504" s="148"/>
      <c r="D504" s="108"/>
      <c r="E504" s="108"/>
      <c r="F504" s="108"/>
      <c r="G504" s="108"/>
      <c r="H504" s="36"/>
      <c r="I504" s="36"/>
    </row>
    <row r="505" spans="1:9" x14ac:dyDescent="0.3">
      <c r="A505" s="148"/>
      <c r="D505" s="108"/>
      <c r="E505" s="108"/>
      <c r="F505" s="108"/>
      <c r="G505" s="108"/>
      <c r="H505" s="36"/>
      <c r="I505" s="36"/>
    </row>
    <row r="506" spans="1:9" x14ac:dyDescent="0.3">
      <c r="A506" s="148"/>
      <c r="D506" s="108"/>
      <c r="E506" s="108"/>
      <c r="F506" s="108"/>
      <c r="G506" s="108"/>
      <c r="H506" s="36"/>
      <c r="I506" s="36"/>
    </row>
    <row r="507" spans="1:9" x14ac:dyDescent="0.3">
      <c r="A507" s="148"/>
      <c r="D507" s="108"/>
      <c r="E507" s="108"/>
      <c r="F507" s="108"/>
      <c r="G507" s="108"/>
      <c r="H507" s="36"/>
      <c r="I507" s="36"/>
    </row>
    <row r="508" spans="1:9" x14ac:dyDescent="0.3">
      <c r="A508" s="148"/>
      <c r="D508" s="108"/>
      <c r="E508" s="108"/>
      <c r="F508" s="108"/>
      <c r="G508" s="108"/>
      <c r="H508" s="36"/>
      <c r="I508" s="36"/>
    </row>
    <row r="509" spans="1:9" x14ac:dyDescent="0.3">
      <c r="A509" s="148"/>
      <c r="D509" s="108"/>
      <c r="E509" s="108"/>
      <c r="F509" s="108"/>
      <c r="G509" s="108"/>
      <c r="H509" s="36"/>
      <c r="I509" s="36"/>
    </row>
    <row r="510" spans="1:9" x14ac:dyDescent="0.3">
      <c r="A510" s="148"/>
      <c r="D510" s="108"/>
      <c r="E510" s="108"/>
      <c r="F510" s="108"/>
      <c r="G510" s="108"/>
      <c r="H510" s="36"/>
      <c r="I510" s="36"/>
    </row>
    <row r="511" spans="1:9" x14ac:dyDescent="0.3">
      <c r="A511" s="148"/>
      <c r="D511" s="108"/>
      <c r="E511" s="108"/>
      <c r="F511" s="108"/>
      <c r="G511" s="108"/>
      <c r="H511" s="36"/>
      <c r="I511" s="36"/>
    </row>
    <row r="512" spans="1:9" x14ac:dyDescent="0.3">
      <c r="A512" s="148"/>
      <c r="D512" s="108"/>
      <c r="E512" s="108"/>
      <c r="F512" s="108"/>
      <c r="G512" s="108"/>
      <c r="H512" s="36"/>
      <c r="I512" s="36"/>
    </row>
    <row r="513" spans="1:9" x14ac:dyDescent="0.3">
      <c r="A513" s="148"/>
      <c r="D513" s="108"/>
      <c r="E513" s="108"/>
      <c r="F513" s="108"/>
      <c r="G513" s="108"/>
      <c r="H513" s="36"/>
      <c r="I513" s="36"/>
    </row>
    <row r="514" spans="1:9" x14ac:dyDescent="0.3">
      <c r="A514" s="148"/>
      <c r="D514" s="108"/>
      <c r="E514" s="108"/>
      <c r="F514" s="108"/>
      <c r="G514" s="108"/>
      <c r="H514" s="36"/>
      <c r="I514" s="36"/>
    </row>
    <row r="515" spans="1:9" x14ac:dyDescent="0.3">
      <c r="A515" s="148"/>
      <c r="D515" s="108"/>
      <c r="E515" s="108"/>
      <c r="F515" s="108"/>
      <c r="G515" s="108"/>
      <c r="H515" s="36"/>
      <c r="I515" s="36"/>
    </row>
    <row r="516" spans="1:9" x14ac:dyDescent="0.3">
      <c r="A516" s="148"/>
      <c r="D516" s="108"/>
      <c r="E516" s="108"/>
      <c r="F516" s="108"/>
      <c r="G516" s="108"/>
      <c r="H516" s="36"/>
      <c r="I516" s="36"/>
    </row>
    <row r="517" spans="1:9" x14ac:dyDescent="0.3">
      <c r="A517" s="148"/>
      <c r="D517" s="108"/>
      <c r="E517" s="108"/>
      <c r="F517" s="108"/>
      <c r="G517" s="108"/>
      <c r="H517" s="36"/>
      <c r="I517" s="36"/>
    </row>
    <row r="518" spans="1:9" x14ac:dyDescent="0.3">
      <c r="A518" s="148"/>
      <c r="D518" s="108"/>
      <c r="E518" s="108"/>
      <c r="F518" s="108"/>
      <c r="G518" s="108"/>
      <c r="H518" s="36"/>
      <c r="I518" s="36"/>
    </row>
    <row r="519" spans="1:9" x14ac:dyDescent="0.3">
      <c r="A519" s="148"/>
      <c r="D519" s="108"/>
      <c r="E519" s="108"/>
      <c r="F519" s="108"/>
      <c r="G519" s="108"/>
      <c r="H519" s="36"/>
      <c r="I519" s="36"/>
    </row>
    <row r="520" spans="1:9" x14ac:dyDescent="0.3">
      <c r="A520" s="148"/>
      <c r="D520" s="108"/>
      <c r="E520" s="108"/>
      <c r="F520" s="108"/>
      <c r="G520" s="108"/>
      <c r="H520" s="36"/>
      <c r="I520" s="36"/>
    </row>
    <row r="521" spans="1:9" x14ac:dyDescent="0.3">
      <c r="A521" s="148"/>
      <c r="D521" s="108"/>
      <c r="E521" s="108"/>
      <c r="F521" s="108"/>
      <c r="G521" s="108"/>
      <c r="H521" s="36"/>
      <c r="I521" s="36"/>
    </row>
    <row r="522" spans="1:9" x14ac:dyDescent="0.3">
      <c r="A522" s="148"/>
      <c r="D522" s="108"/>
      <c r="E522" s="108"/>
      <c r="F522" s="108"/>
      <c r="G522" s="108"/>
      <c r="H522" s="36"/>
      <c r="I522" s="36"/>
    </row>
    <row r="523" spans="1:9" x14ac:dyDescent="0.3">
      <c r="A523" s="148"/>
      <c r="D523" s="108"/>
      <c r="E523" s="108"/>
      <c r="F523" s="108"/>
      <c r="G523" s="108"/>
      <c r="H523" s="36"/>
      <c r="I523" s="36"/>
    </row>
    <row r="524" spans="1:9" x14ac:dyDescent="0.3">
      <c r="A524" s="148"/>
      <c r="D524" s="108"/>
      <c r="E524" s="108"/>
      <c r="F524" s="108"/>
      <c r="G524" s="108"/>
      <c r="H524" s="36"/>
      <c r="I524" s="36"/>
    </row>
    <row r="525" spans="1:9" x14ac:dyDescent="0.3">
      <c r="A525" s="148"/>
      <c r="D525" s="108"/>
      <c r="E525" s="108"/>
      <c r="F525" s="108"/>
      <c r="G525" s="108"/>
      <c r="H525" s="36"/>
      <c r="I525" s="36"/>
    </row>
    <row r="526" spans="1:9" x14ac:dyDescent="0.3">
      <c r="A526" s="148"/>
      <c r="D526" s="108"/>
      <c r="E526" s="108"/>
      <c r="F526" s="108"/>
      <c r="G526" s="108"/>
      <c r="H526" s="36"/>
      <c r="I526" s="36"/>
    </row>
    <row r="527" spans="1:9" x14ac:dyDescent="0.3">
      <c r="A527" s="148"/>
      <c r="D527" s="108"/>
      <c r="E527" s="108"/>
      <c r="F527" s="108"/>
      <c r="G527" s="108"/>
      <c r="H527" s="36"/>
      <c r="I527" s="36"/>
    </row>
    <row r="528" spans="1:9" x14ac:dyDescent="0.3">
      <c r="A528" s="148"/>
      <c r="D528" s="108"/>
      <c r="E528" s="108"/>
      <c r="F528" s="108"/>
      <c r="G528" s="108"/>
      <c r="H528" s="36"/>
      <c r="I528" s="36"/>
    </row>
    <row r="529" spans="1:9" x14ac:dyDescent="0.3">
      <c r="A529" s="148"/>
      <c r="D529" s="108"/>
      <c r="E529" s="108"/>
      <c r="F529" s="108"/>
      <c r="G529" s="108"/>
      <c r="H529" s="36"/>
      <c r="I529" s="36"/>
    </row>
    <row r="530" spans="1:9" x14ac:dyDescent="0.3">
      <c r="A530" s="148"/>
      <c r="D530" s="108"/>
      <c r="E530" s="108"/>
      <c r="F530" s="108"/>
      <c r="G530" s="108"/>
      <c r="H530" s="36"/>
      <c r="I530" s="36"/>
    </row>
    <row r="531" spans="1:9" x14ac:dyDescent="0.3">
      <c r="A531" s="148"/>
      <c r="D531" s="108"/>
      <c r="E531" s="108"/>
      <c r="F531" s="108"/>
      <c r="G531" s="108"/>
      <c r="H531" s="36"/>
      <c r="I531" s="36"/>
    </row>
    <row r="532" spans="1:9" x14ac:dyDescent="0.3">
      <c r="A532" s="148"/>
      <c r="D532" s="108"/>
      <c r="E532" s="108"/>
      <c r="F532" s="108"/>
      <c r="G532" s="108"/>
      <c r="H532" s="36"/>
      <c r="I532" s="36"/>
    </row>
    <row r="533" spans="1:9" x14ac:dyDescent="0.3">
      <c r="A533" s="148"/>
      <c r="D533" s="108"/>
      <c r="E533" s="108"/>
      <c r="F533" s="108"/>
      <c r="G533" s="108"/>
      <c r="H533" s="36"/>
      <c r="I533" s="36"/>
    </row>
    <row r="534" spans="1:9" x14ac:dyDescent="0.3">
      <c r="A534" s="148"/>
      <c r="D534" s="108"/>
      <c r="E534" s="108"/>
      <c r="F534" s="108"/>
      <c r="G534" s="108"/>
      <c r="H534" s="36"/>
      <c r="I534" s="36"/>
    </row>
    <row r="535" spans="1:9" x14ac:dyDescent="0.3">
      <c r="A535" s="148"/>
      <c r="D535" s="108"/>
      <c r="E535" s="108"/>
      <c r="F535" s="108"/>
      <c r="G535" s="108"/>
      <c r="H535" s="36"/>
      <c r="I535" s="36"/>
    </row>
    <row r="536" spans="1:9" x14ac:dyDescent="0.3">
      <c r="A536" s="148"/>
      <c r="D536" s="108"/>
      <c r="E536" s="108"/>
      <c r="F536" s="108"/>
      <c r="G536" s="108"/>
      <c r="H536" s="36"/>
      <c r="I536" s="36"/>
    </row>
    <row r="537" spans="1:9" x14ac:dyDescent="0.3">
      <c r="A537" s="148"/>
      <c r="D537" s="108"/>
      <c r="E537" s="108"/>
      <c r="F537" s="108"/>
      <c r="G537" s="108"/>
      <c r="H537" s="36"/>
      <c r="I537" s="36"/>
    </row>
    <row r="538" spans="1:9" x14ac:dyDescent="0.3">
      <c r="A538" s="148"/>
      <c r="D538" s="108"/>
      <c r="E538" s="108"/>
      <c r="F538" s="108"/>
      <c r="G538" s="108"/>
      <c r="H538" s="36"/>
      <c r="I538" s="36"/>
    </row>
    <row r="539" spans="1:9" x14ac:dyDescent="0.3">
      <c r="A539" s="148"/>
      <c r="D539" s="108"/>
      <c r="E539" s="108"/>
      <c r="F539" s="108"/>
      <c r="G539" s="108"/>
      <c r="H539" s="36"/>
      <c r="I539" s="36"/>
    </row>
    <row r="540" spans="1:9" x14ac:dyDescent="0.3">
      <c r="A540" s="148"/>
      <c r="D540" s="108"/>
      <c r="E540" s="108"/>
      <c r="F540" s="108"/>
      <c r="G540" s="108"/>
      <c r="H540" s="36"/>
      <c r="I540" s="36"/>
    </row>
    <row r="541" spans="1:9" x14ac:dyDescent="0.3">
      <c r="A541" s="148"/>
      <c r="D541" s="108"/>
      <c r="E541" s="108"/>
      <c r="F541" s="108"/>
      <c r="G541" s="108"/>
      <c r="H541" s="36"/>
      <c r="I541" s="36"/>
    </row>
    <row r="542" spans="1:9" x14ac:dyDescent="0.3">
      <c r="A542" s="148"/>
      <c r="D542" s="108"/>
      <c r="E542" s="108"/>
      <c r="F542" s="108"/>
      <c r="G542" s="108"/>
      <c r="H542" s="36"/>
      <c r="I542" s="36"/>
    </row>
    <row r="543" spans="1:9" x14ac:dyDescent="0.3">
      <c r="A543" s="148"/>
      <c r="D543" s="108"/>
      <c r="E543" s="108"/>
      <c r="F543" s="108"/>
      <c r="G543" s="108"/>
      <c r="H543" s="36"/>
      <c r="I543" s="36"/>
    </row>
    <row r="544" spans="1:9" x14ac:dyDescent="0.3">
      <c r="A544" s="148"/>
      <c r="D544" s="108"/>
      <c r="E544" s="108"/>
      <c r="F544" s="108"/>
      <c r="G544" s="108"/>
      <c r="H544" s="36"/>
      <c r="I544" s="36"/>
    </row>
    <row r="545" spans="1:9" x14ac:dyDescent="0.3">
      <c r="A545" s="148"/>
      <c r="D545" s="108"/>
      <c r="E545" s="108"/>
      <c r="F545" s="108"/>
      <c r="G545" s="108"/>
      <c r="H545" s="36"/>
      <c r="I545" s="36"/>
    </row>
    <row r="546" spans="1:9" x14ac:dyDescent="0.3">
      <c r="A546" s="148"/>
      <c r="D546" s="108"/>
      <c r="E546" s="108"/>
      <c r="F546" s="108"/>
      <c r="G546" s="108"/>
      <c r="H546" s="36"/>
      <c r="I546" s="36"/>
    </row>
    <row r="547" spans="1:9" x14ac:dyDescent="0.3">
      <c r="A547" s="148"/>
      <c r="D547" s="108"/>
      <c r="E547" s="108"/>
      <c r="F547" s="108"/>
      <c r="G547" s="108"/>
      <c r="H547" s="36"/>
      <c r="I547" s="36"/>
    </row>
    <row r="548" spans="1:9" x14ac:dyDescent="0.3">
      <c r="A548" s="148"/>
      <c r="D548" s="108"/>
      <c r="E548" s="108"/>
      <c r="F548" s="108"/>
      <c r="G548" s="108"/>
      <c r="H548" s="36"/>
      <c r="I548" s="36"/>
    </row>
    <row r="549" spans="1:9" x14ac:dyDescent="0.3">
      <c r="A549" s="148"/>
      <c r="D549" s="108"/>
      <c r="E549" s="108"/>
      <c r="F549" s="108"/>
      <c r="G549" s="108"/>
      <c r="H549" s="36"/>
      <c r="I549" s="36"/>
    </row>
    <row r="550" spans="1:9" x14ac:dyDescent="0.3">
      <c r="A550" s="148"/>
      <c r="D550" s="108"/>
      <c r="E550" s="108"/>
      <c r="F550" s="108"/>
      <c r="G550" s="108"/>
      <c r="H550" s="36"/>
      <c r="I550" s="36"/>
    </row>
    <row r="551" spans="1:9" x14ac:dyDescent="0.3">
      <c r="A551" s="148"/>
      <c r="D551" s="108"/>
      <c r="E551" s="108"/>
      <c r="F551" s="108"/>
      <c r="G551" s="108"/>
      <c r="H551" s="36"/>
      <c r="I551" s="36"/>
    </row>
    <row r="552" spans="1:9" x14ac:dyDescent="0.3">
      <c r="A552" s="148"/>
      <c r="D552" s="108"/>
      <c r="E552" s="108"/>
      <c r="F552" s="108"/>
      <c r="G552" s="108"/>
      <c r="H552" s="36"/>
      <c r="I552" s="36"/>
    </row>
    <row r="553" spans="1:9" x14ac:dyDescent="0.3">
      <c r="A553" s="148"/>
      <c r="D553" s="108"/>
      <c r="E553" s="108"/>
      <c r="F553" s="108"/>
      <c r="G553" s="108"/>
      <c r="H553" s="36"/>
      <c r="I553" s="36"/>
    </row>
    <row r="554" spans="1:9" x14ac:dyDescent="0.3">
      <c r="A554" s="148"/>
      <c r="D554" s="108"/>
      <c r="E554" s="108"/>
      <c r="F554" s="108"/>
      <c r="G554" s="108"/>
      <c r="H554" s="36"/>
      <c r="I554" s="36"/>
    </row>
    <row r="555" spans="1:9" x14ac:dyDescent="0.3">
      <c r="A555" s="148"/>
      <c r="D555" s="108"/>
      <c r="E555" s="108"/>
      <c r="F555" s="108"/>
      <c r="G555" s="108"/>
      <c r="H555" s="36"/>
      <c r="I555" s="36"/>
    </row>
    <row r="556" spans="1:9" x14ac:dyDescent="0.3">
      <c r="A556" s="148"/>
      <c r="D556" s="108"/>
      <c r="E556" s="108"/>
      <c r="F556" s="108"/>
      <c r="G556" s="108"/>
      <c r="H556" s="36"/>
      <c r="I556" s="36"/>
    </row>
    <row r="557" spans="1:9" x14ac:dyDescent="0.3">
      <c r="A557" s="148"/>
      <c r="D557" s="108"/>
      <c r="E557" s="108"/>
      <c r="F557" s="108"/>
      <c r="G557" s="108"/>
      <c r="H557" s="36"/>
      <c r="I557" s="36"/>
    </row>
    <row r="558" spans="1:9" x14ac:dyDescent="0.3">
      <c r="A558" s="148"/>
      <c r="D558" s="108"/>
      <c r="E558" s="108"/>
      <c r="F558" s="108"/>
      <c r="G558" s="108"/>
      <c r="H558" s="36"/>
      <c r="I558" s="36"/>
    </row>
    <row r="559" spans="1:9" x14ac:dyDescent="0.3">
      <c r="A559" s="148"/>
      <c r="D559" s="108"/>
      <c r="E559" s="108"/>
      <c r="F559" s="108"/>
      <c r="G559" s="108"/>
      <c r="H559" s="36"/>
      <c r="I559" s="36"/>
    </row>
    <row r="560" spans="1:9" x14ac:dyDescent="0.3">
      <c r="A560" s="148"/>
      <c r="D560" s="108"/>
      <c r="E560" s="108"/>
      <c r="F560" s="108"/>
      <c r="G560" s="108"/>
      <c r="H560" s="36"/>
      <c r="I560" s="36"/>
    </row>
    <row r="561" spans="1:9" x14ac:dyDescent="0.3">
      <c r="A561" s="148"/>
      <c r="D561" s="108"/>
      <c r="E561" s="108"/>
      <c r="F561" s="108"/>
      <c r="G561" s="108"/>
      <c r="H561" s="36"/>
      <c r="I561" s="36"/>
    </row>
    <row r="562" spans="1:9" x14ac:dyDescent="0.3">
      <c r="A562" s="148"/>
      <c r="D562" s="108"/>
      <c r="E562" s="108"/>
      <c r="F562" s="108"/>
      <c r="G562" s="108"/>
      <c r="H562" s="36"/>
      <c r="I562" s="36"/>
    </row>
    <row r="563" spans="1:9" x14ac:dyDescent="0.3">
      <c r="A563" s="148"/>
      <c r="D563" s="108"/>
      <c r="E563" s="108"/>
      <c r="F563" s="108"/>
      <c r="G563" s="108"/>
      <c r="H563" s="36"/>
      <c r="I563" s="36"/>
    </row>
    <row r="564" spans="1:9" x14ac:dyDescent="0.3">
      <c r="A564" s="148"/>
      <c r="D564" s="108"/>
      <c r="E564" s="108"/>
      <c r="F564" s="108"/>
      <c r="G564" s="108"/>
      <c r="H564" s="36"/>
      <c r="I564" s="36"/>
    </row>
    <row r="565" spans="1:9" x14ac:dyDescent="0.3">
      <c r="A565" s="148"/>
      <c r="D565" s="108"/>
      <c r="E565" s="108"/>
      <c r="F565" s="108"/>
      <c r="G565" s="108"/>
      <c r="H565" s="36"/>
      <c r="I565" s="36"/>
    </row>
    <row r="566" spans="1:9" x14ac:dyDescent="0.3">
      <c r="A566" s="148"/>
      <c r="D566" s="108"/>
      <c r="E566" s="108"/>
      <c r="F566" s="108"/>
      <c r="G566" s="108"/>
      <c r="H566" s="36"/>
      <c r="I566" s="36"/>
    </row>
    <row r="567" spans="1:9" x14ac:dyDescent="0.3">
      <c r="A567" s="148"/>
      <c r="D567" s="108"/>
      <c r="E567" s="108"/>
      <c r="F567" s="108"/>
      <c r="G567" s="108"/>
      <c r="H567" s="36"/>
      <c r="I567" s="36"/>
    </row>
    <row r="568" spans="1:9" x14ac:dyDescent="0.3">
      <c r="A568" s="148"/>
      <c r="D568" s="108"/>
      <c r="E568" s="108"/>
      <c r="F568" s="108"/>
      <c r="G568" s="108"/>
      <c r="H568" s="36"/>
      <c r="I568" s="36"/>
    </row>
    <row r="569" spans="1:9" x14ac:dyDescent="0.3">
      <c r="A569" s="148"/>
      <c r="D569" s="108"/>
      <c r="E569" s="108"/>
      <c r="F569" s="108"/>
      <c r="G569" s="108"/>
      <c r="H569" s="36"/>
      <c r="I569" s="36"/>
    </row>
    <row r="570" spans="1:9" x14ac:dyDescent="0.3">
      <c r="A570" s="148"/>
      <c r="D570" s="108"/>
      <c r="E570" s="108"/>
      <c r="F570" s="108"/>
      <c r="G570" s="108"/>
      <c r="H570" s="36"/>
      <c r="I570" s="36"/>
    </row>
    <row r="571" spans="1:9" x14ac:dyDescent="0.3">
      <c r="A571" s="148"/>
      <c r="D571" s="108"/>
      <c r="E571" s="108"/>
      <c r="F571" s="108"/>
      <c r="G571" s="108"/>
      <c r="H571" s="36"/>
      <c r="I571" s="36"/>
    </row>
    <row r="572" spans="1:9" x14ac:dyDescent="0.3">
      <c r="A572" s="148"/>
      <c r="D572" s="108"/>
      <c r="E572" s="108"/>
      <c r="F572" s="108"/>
      <c r="G572" s="108"/>
      <c r="H572" s="36"/>
      <c r="I572" s="36"/>
    </row>
    <row r="573" spans="1:9" x14ac:dyDescent="0.3">
      <c r="A573" s="148"/>
      <c r="D573" s="108"/>
      <c r="E573" s="108"/>
      <c r="F573" s="108"/>
      <c r="G573" s="108"/>
      <c r="H573" s="36"/>
      <c r="I573" s="36"/>
    </row>
    <row r="574" spans="1:9" x14ac:dyDescent="0.3">
      <c r="A574" s="148"/>
      <c r="D574" s="108"/>
      <c r="E574" s="108"/>
      <c r="F574" s="108"/>
      <c r="G574" s="108"/>
      <c r="H574" s="36"/>
      <c r="I574" s="36"/>
    </row>
    <row r="575" spans="1:9" x14ac:dyDescent="0.3">
      <c r="A575" s="148"/>
      <c r="D575" s="108"/>
      <c r="E575" s="108"/>
      <c r="F575" s="108"/>
      <c r="G575" s="108"/>
      <c r="H575" s="36"/>
      <c r="I575" s="36"/>
    </row>
    <row r="576" spans="1:9" x14ac:dyDescent="0.3">
      <c r="A576" s="148"/>
      <c r="D576" s="108"/>
      <c r="E576" s="108"/>
      <c r="F576" s="108"/>
      <c r="G576" s="108"/>
      <c r="H576" s="36"/>
      <c r="I576" s="36"/>
    </row>
    <row r="577" spans="1:9" x14ac:dyDescent="0.3">
      <c r="A577" s="148"/>
      <c r="D577" s="108"/>
      <c r="E577" s="108"/>
      <c r="F577" s="108"/>
      <c r="G577" s="108"/>
      <c r="H577" s="36"/>
      <c r="I577" s="36"/>
    </row>
    <row r="578" spans="1:9" x14ac:dyDescent="0.3">
      <c r="A578" s="148"/>
      <c r="D578" s="108"/>
      <c r="E578" s="108"/>
      <c r="F578" s="108"/>
      <c r="G578" s="108"/>
      <c r="H578" s="36"/>
      <c r="I578" s="36"/>
    </row>
    <row r="579" spans="1:9" x14ac:dyDescent="0.3">
      <c r="A579" s="148"/>
      <c r="D579" s="108"/>
      <c r="E579" s="108"/>
      <c r="F579" s="108"/>
      <c r="G579" s="108"/>
      <c r="H579" s="36"/>
      <c r="I579" s="36"/>
    </row>
    <row r="580" spans="1:9" x14ac:dyDescent="0.3">
      <c r="A580" s="148"/>
      <c r="D580" s="108"/>
      <c r="E580" s="108"/>
      <c r="F580" s="108"/>
      <c r="G580" s="108"/>
      <c r="H580" s="36"/>
      <c r="I580" s="36"/>
    </row>
    <row r="581" spans="1:9" x14ac:dyDescent="0.3">
      <c r="A581" s="148"/>
      <c r="D581" s="108"/>
      <c r="E581" s="108"/>
      <c r="F581" s="108"/>
      <c r="G581" s="108"/>
      <c r="H581" s="36"/>
      <c r="I581" s="36"/>
    </row>
    <row r="582" spans="1:9" x14ac:dyDescent="0.3">
      <c r="A582" s="148"/>
      <c r="D582" s="108"/>
      <c r="E582" s="108"/>
      <c r="F582" s="108"/>
      <c r="G582" s="108"/>
      <c r="H582" s="36"/>
      <c r="I582" s="36"/>
    </row>
    <row r="583" spans="1:9" x14ac:dyDescent="0.3">
      <c r="A583" s="148"/>
      <c r="D583" s="108"/>
      <c r="E583" s="108"/>
      <c r="F583" s="108"/>
      <c r="G583" s="108"/>
      <c r="H583" s="36"/>
      <c r="I583" s="36"/>
    </row>
    <row r="584" spans="1:9" x14ac:dyDescent="0.3">
      <c r="A584" s="148"/>
      <c r="D584" s="108"/>
      <c r="E584" s="108"/>
      <c r="F584" s="108"/>
      <c r="G584" s="108"/>
      <c r="H584" s="36"/>
      <c r="I584" s="36"/>
    </row>
    <row r="585" spans="1:9" x14ac:dyDescent="0.3">
      <c r="A585" s="148"/>
      <c r="D585" s="108"/>
      <c r="E585" s="108"/>
      <c r="F585" s="108"/>
      <c r="G585" s="108"/>
      <c r="H585" s="36"/>
      <c r="I585" s="36"/>
    </row>
    <row r="586" spans="1:9" x14ac:dyDescent="0.3">
      <c r="A586" s="148"/>
      <c r="D586" s="108"/>
      <c r="E586" s="108"/>
      <c r="F586" s="108"/>
      <c r="G586" s="108"/>
      <c r="H586" s="36"/>
      <c r="I586" s="36"/>
    </row>
    <row r="587" spans="1:9" x14ac:dyDescent="0.3">
      <c r="A587" s="148"/>
      <c r="D587" s="108"/>
      <c r="E587" s="108"/>
      <c r="F587" s="108"/>
      <c r="G587" s="108"/>
      <c r="H587" s="36"/>
      <c r="I587" s="36"/>
    </row>
    <row r="588" spans="1:9" x14ac:dyDescent="0.3">
      <c r="A588" s="148"/>
      <c r="D588" s="108"/>
      <c r="E588" s="108"/>
      <c r="F588" s="108"/>
      <c r="G588" s="108"/>
      <c r="H588" s="36"/>
      <c r="I588" s="36"/>
    </row>
    <row r="589" spans="1:9" x14ac:dyDescent="0.3">
      <c r="A589" s="148"/>
      <c r="D589" s="108"/>
      <c r="E589" s="108"/>
      <c r="F589" s="108"/>
      <c r="G589" s="108"/>
      <c r="H589" s="36"/>
      <c r="I589" s="36"/>
    </row>
    <row r="590" spans="1:9" x14ac:dyDescent="0.3">
      <c r="A590" s="148"/>
      <c r="D590" s="108"/>
      <c r="E590" s="108"/>
      <c r="F590" s="108"/>
      <c r="G590" s="108"/>
      <c r="H590" s="36"/>
      <c r="I590" s="36"/>
    </row>
    <row r="591" spans="1:9" x14ac:dyDescent="0.3">
      <c r="A591" s="148"/>
      <c r="D591" s="108"/>
      <c r="E591" s="108"/>
      <c r="F591" s="108"/>
      <c r="G591" s="108"/>
      <c r="H591" s="36"/>
      <c r="I591" s="36"/>
    </row>
    <row r="592" spans="1:9" x14ac:dyDescent="0.3">
      <c r="A592" s="148"/>
      <c r="D592" s="108"/>
      <c r="E592" s="108"/>
      <c r="F592" s="108"/>
      <c r="G592" s="108"/>
      <c r="H592" s="36"/>
      <c r="I592" s="36"/>
    </row>
    <row r="593" spans="1:9" x14ac:dyDescent="0.3">
      <c r="A593" s="148"/>
      <c r="D593" s="108"/>
      <c r="E593" s="108"/>
      <c r="F593" s="108"/>
      <c r="G593" s="108"/>
      <c r="H593" s="36"/>
      <c r="I593" s="36"/>
    </row>
    <row r="594" spans="1:9" x14ac:dyDescent="0.3">
      <c r="A594" s="148"/>
      <c r="D594" s="108"/>
      <c r="E594" s="108"/>
      <c r="F594" s="108"/>
      <c r="G594" s="108"/>
      <c r="H594" s="36"/>
      <c r="I594" s="36"/>
    </row>
    <row r="595" spans="1:9" x14ac:dyDescent="0.3">
      <c r="A595" s="148"/>
      <c r="D595" s="108"/>
      <c r="E595" s="108"/>
      <c r="F595" s="108"/>
      <c r="G595" s="108"/>
      <c r="H595" s="36"/>
      <c r="I595" s="36"/>
    </row>
    <row r="596" spans="1:9" x14ac:dyDescent="0.3">
      <c r="A596" s="148"/>
      <c r="D596" s="108"/>
      <c r="E596" s="108"/>
      <c r="F596" s="108"/>
      <c r="G596" s="108"/>
      <c r="H596" s="36"/>
      <c r="I596" s="36"/>
    </row>
    <row r="597" spans="1:9" x14ac:dyDescent="0.3">
      <c r="A597" s="148"/>
      <c r="D597" s="108"/>
      <c r="E597" s="108"/>
      <c r="F597" s="108"/>
      <c r="G597" s="108"/>
      <c r="H597" s="36"/>
      <c r="I597" s="36"/>
    </row>
    <row r="598" spans="1:9" x14ac:dyDescent="0.3">
      <c r="A598" s="148"/>
      <c r="D598" s="108"/>
      <c r="E598" s="108"/>
      <c r="F598" s="108"/>
      <c r="G598" s="108"/>
      <c r="H598" s="36"/>
      <c r="I598" s="36"/>
    </row>
    <row r="599" spans="1:9" x14ac:dyDescent="0.3">
      <c r="A599" s="148"/>
      <c r="D599" s="108"/>
      <c r="E599" s="108"/>
      <c r="F599" s="108"/>
      <c r="G599" s="108"/>
      <c r="H599" s="36"/>
      <c r="I599" s="36"/>
    </row>
    <row r="600" spans="1:9" x14ac:dyDescent="0.3">
      <c r="A600" s="148"/>
      <c r="D600" s="108"/>
      <c r="E600" s="108"/>
      <c r="F600" s="108"/>
      <c r="G600" s="108"/>
      <c r="H600" s="36"/>
      <c r="I600" s="36"/>
    </row>
    <row r="601" spans="1:9" x14ac:dyDescent="0.3">
      <c r="A601" s="148"/>
      <c r="D601" s="108"/>
      <c r="E601" s="108"/>
      <c r="F601" s="108"/>
      <c r="G601" s="108"/>
      <c r="H601" s="36"/>
      <c r="I601" s="36"/>
    </row>
    <row r="602" spans="1:9" x14ac:dyDescent="0.3">
      <c r="A602" s="148"/>
      <c r="D602" s="108"/>
      <c r="E602" s="108"/>
      <c r="F602" s="108"/>
      <c r="G602" s="108"/>
      <c r="H602" s="36"/>
      <c r="I602" s="36"/>
    </row>
    <row r="603" spans="1:9" x14ac:dyDescent="0.3">
      <c r="A603" s="148"/>
      <c r="D603" s="108"/>
      <c r="E603" s="108"/>
      <c r="F603" s="108"/>
      <c r="G603" s="108"/>
      <c r="H603" s="36"/>
      <c r="I603" s="36"/>
    </row>
    <row r="604" spans="1:9" x14ac:dyDescent="0.3">
      <c r="A604" s="148"/>
      <c r="D604" s="108"/>
      <c r="E604" s="108"/>
      <c r="F604" s="108"/>
      <c r="G604" s="108"/>
      <c r="H604" s="36"/>
      <c r="I604" s="36"/>
    </row>
    <row r="605" spans="1:9" x14ac:dyDescent="0.3">
      <c r="A605" s="148"/>
      <c r="D605" s="108"/>
      <c r="E605" s="108"/>
      <c r="F605" s="108"/>
      <c r="G605" s="108"/>
      <c r="H605" s="36"/>
      <c r="I605" s="36"/>
    </row>
    <row r="606" spans="1:9" x14ac:dyDescent="0.3">
      <c r="A606" s="148"/>
      <c r="D606" s="108"/>
      <c r="E606" s="108"/>
      <c r="F606" s="108"/>
      <c r="G606" s="108"/>
      <c r="H606" s="36"/>
      <c r="I606" s="36"/>
    </row>
    <row r="607" spans="1:9" x14ac:dyDescent="0.3">
      <c r="A607" s="148"/>
      <c r="D607" s="108"/>
      <c r="E607" s="108"/>
      <c r="F607" s="108"/>
      <c r="G607" s="108"/>
      <c r="H607" s="36"/>
      <c r="I607" s="36"/>
    </row>
    <row r="608" spans="1:9" x14ac:dyDescent="0.3">
      <c r="A608" s="148"/>
      <c r="D608" s="108"/>
      <c r="E608" s="108"/>
      <c r="F608" s="108"/>
      <c r="G608" s="108"/>
      <c r="H608" s="36"/>
      <c r="I608" s="36"/>
    </row>
    <row r="609" spans="1:9" x14ac:dyDescent="0.3">
      <c r="A609" s="148"/>
      <c r="D609" s="108"/>
      <c r="E609" s="108"/>
      <c r="F609" s="108"/>
      <c r="G609" s="108"/>
      <c r="H609" s="36"/>
      <c r="I609" s="36"/>
    </row>
    <row r="610" spans="1:9" x14ac:dyDescent="0.3">
      <c r="A610" s="148"/>
      <c r="D610" s="108"/>
      <c r="E610" s="108"/>
      <c r="F610" s="108"/>
      <c r="G610" s="108"/>
      <c r="H610" s="36"/>
      <c r="I610" s="36"/>
    </row>
    <row r="611" spans="1:9" x14ac:dyDescent="0.3">
      <c r="A611" s="148"/>
      <c r="D611" s="108"/>
      <c r="E611" s="108"/>
      <c r="F611" s="108"/>
      <c r="G611" s="108"/>
      <c r="H611" s="36"/>
      <c r="I611" s="36"/>
    </row>
    <row r="612" spans="1:9" x14ac:dyDescent="0.3">
      <c r="A612" s="148"/>
      <c r="D612" s="108"/>
      <c r="E612" s="108"/>
      <c r="F612" s="108"/>
      <c r="G612" s="108"/>
      <c r="H612" s="36"/>
      <c r="I612" s="36"/>
    </row>
    <row r="613" spans="1:9" x14ac:dyDescent="0.3">
      <c r="A613" s="148"/>
      <c r="D613" s="108"/>
      <c r="E613" s="108"/>
      <c r="F613" s="108"/>
      <c r="G613" s="108"/>
      <c r="H613" s="36"/>
      <c r="I613" s="36"/>
    </row>
    <row r="614" spans="1:9" x14ac:dyDescent="0.3">
      <c r="A614" s="148"/>
      <c r="D614" s="108"/>
      <c r="E614" s="108"/>
      <c r="F614" s="108"/>
      <c r="G614" s="108"/>
      <c r="H614" s="36"/>
      <c r="I614" s="36"/>
    </row>
    <row r="615" spans="1:9" x14ac:dyDescent="0.3">
      <c r="A615" s="148"/>
      <c r="D615" s="108"/>
      <c r="E615" s="108"/>
      <c r="F615" s="108"/>
      <c r="G615" s="108"/>
      <c r="H615" s="36"/>
      <c r="I615" s="36"/>
    </row>
    <row r="616" spans="1:9" x14ac:dyDescent="0.3">
      <c r="A616" s="148"/>
      <c r="D616" s="108"/>
      <c r="E616" s="108"/>
      <c r="F616" s="108"/>
      <c r="G616" s="108"/>
      <c r="H616" s="36"/>
      <c r="I616" s="36"/>
    </row>
    <row r="617" spans="1:9" x14ac:dyDescent="0.3">
      <c r="A617" s="148"/>
      <c r="D617" s="108"/>
      <c r="E617" s="108"/>
      <c r="F617" s="108"/>
      <c r="G617" s="108"/>
      <c r="H617" s="36"/>
      <c r="I617" s="36"/>
    </row>
    <row r="618" spans="1:9" x14ac:dyDescent="0.3">
      <c r="A618" s="148"/>
      <c r="D618" s="108"/>
      <c r="E618" s="108"/>
      <c r="F618" s="108"/>
      <c r="G618" s="108"/>
      <c r="H618" s="36"/>
      <c r="I618" s="36"/>
    </row>
    <row r="619" spans="1:9" x14ac:dyDescent="0.3">
      <c r="A619" s="148"/>
      <c r="D619" s="108"/>
      <c r="E619" s="108"/>
      <c r="F619" s="108"/>
      <c r="G619" s="108"/>
      <c r="H619" s="36"/>
      <c r="I619" s="36"/>
    </row>
    <row r="620" spans="1:9" x14ac:dyDescent="0.3">
      <c r="A620" s="148"/>
      <c r="D620" s="108"/>
      <c r="E620" s="108"/>
      <c r="F620" s="108"/>
      <c r="G620" s="108"/>
      <c r="H620" s="36"/>
      <c r="I620" s="36"/>
    </row>
    <row r="621" spans="1:9" x14ac:dyDescent="0.3">
      <c r="A621" s="148"/>
      <c r="D621" s="108"/>
      <c r="E621" s="108"/>
      <c r="F621" s="108"/>
      <c r="G621" s="108"/>
      <c r="H621" s="36"/>
      <c r="I621" s="36"/>
    </row>
    <row r="622" spans="1:9" x14ac:dyDescent="0.3">
      <c r="A622" s="148"/>
      <c r="D622" s="108"/>
      <c r="E622" s="108"/>
      <c r="F622" s="108"/>
      <c r="G622" s="108"/>
      <c r="H622" s="36"/>
      <c r="I622" s="36"/>
    </row>
    <row r="623" spans="1:9" x14ac:dyDescent="0.3">
      <c r="A623" s="148"/>
      <c r="D623" s="108"/>
      <c r="E623" s="108"/>
      <c r="F623" s="108"/>
      <c r="G623" s="108"/>
      <c r="H623" s="36"/>
      <c r="I623" s="36"/>
    </row>
    <row r="624" spans="1:9" x14ac:dyDescent="0.3">
      <c r="A624" s="148"/>
      <c r="D624" s="108"/>
      <c r="E624" s="108"/>
      <c r="F624" s="108"/>
      <c r="G624" s="108"/>
      <c r="H624" s="36"/>
      <c r="I624" s="36"/>
    </row>
    <row r="625" spans="1:9" x14ac:dyDescent="0.3">
      <c r="A625" s="148"/>
      <c r="D625" s="108"/>
      <c r="E625" s="108"/>
      <c r="F625" s="108"/>
      <c r="G625" s="108"/>
      <c r="H625" s="36"/>
      <c r="I625" s="36"/>
    </row>
    <row r="626" spans="1:9" x14ac:dyDescent="0.3">
      <c r="A626" s="148"/>
      <c r="D626" s="108"/>
      <c r="E626" s="108"/>
      <c r="F626" s="108"/>
      <c r="G626" s="108"/>
      <c r="H626" s="36"/>
      <c r="I626" s="36"/>
    </row>
    <row r="627" spans="1:9" x14ac:dyDescent="0.3">
      <c r="A627" s="148"/>
      <c r="D627" s="108"/>
      <c r="E627" s="108"/>
      <c r="F627" s="108"/>
      <c r="G627" s="108"/>
      <c r="H627" s="36"/>
      <c r="I627" s="36"/>
    </row>
    <row r="628" spans="1:9" x14ac:dyDescent="0.3">
      <c r="A628" s="148"/>
      <c r="D628" s="108"/>
      <c r="E628" s="108"/>
      <c r="F628" s="108"/>
      <c r="G628" s="108"/>
      <c r="H628" s="36"/>
      <c r="I628" s="36"/>
    </row>
    <row r="629" spans="1:9" x14ac:dyDescent="0.3">
      <c r="A629" s="148"/>
      <c r="D629" s="108"/>
      <c r="E629" s="108"/>
      <c r="F629" s="108"/>
      <c r="G629" s="108"/>
      <c r="H629" s="36"/>
      <c r="I629" s="36"/>
    </row>
    <row r="630" spans="1:9" x14ac:dyDescent="0.3">
      <c r="A630" s="148"/>
      <c r="D630" s="108"/>
      <c r="E630" s="108"/>
      <c r="F630" s="108"/>
      <c r="G630" s="108"/>
      <c r="H630" s="36"/>
      <c r="I630" s="36"/>
    </row>
    <row r="631" spans="1:9" x14ac:dyDescent="0.3">
      <c r="A631" s="148"/>
      <c r="D631" s="108"/>
      <c r="E631" s="108"/>
      <c r="F631" s="108"/>
      <c r="G631" s="108"/>
      <c r="H631" s="36"/>
      <c r="I631" s="36"/>
    </row>
    <row r="632" spans="1:9" x14ac:dyDescent="0.3">
      <c r="A632" s="148"/>
      <c r="D632" s="108"/>
      <c r="E632" s="108"/>
      <c r="F632" s="108"/>
      <c r="G632" s="108"/>
      <c r="H632" s="36"/>
      <c r="I632" s="36"/>
    </row>
    <row r="633" spans="1:9" x14ac:dyDescent="0.3">
      <c r="A633" s="148"/>
      <c r="D633" s="108"/>
      <c r="E633" s="108"/>
      <c r="F633" s="108"/>
      <c r="G633" s="108"/>
      <c r="H633" s="36"/>
      <c r="I633" s="36"/>
    </row>
    <row r="634" spans="1:9" x14ac:dyDescent="0.3">
      <c r="A634" s="148"/>
      <c r="D634" s="108"/>
      <c r="E634" s="108"/>
      <c r="F634" s="108"/>
      <c r="G634" s="108"/>
      <c r="H634" s="36"/>
      <c r="I634" s="36"/>
    </row>
    <row r="635" spans="1:9" x14ac:dyDescent="0.3">
      <c r="A635" s="148"/>
      <c r="D635" s="108"/>
      <c r="E635" s="108"/>
      <c r="F635" s="108"/>
      <c r="G635" s="108"/>
      <c r="H635" s="36"/>
      <c r="I635" s="36"/>
    </row>
    <row r="636" spans="1:9" x14ac:dyDescent="0.3">
      <c r="A636" s="148"/>
      <c r="D636" s="108"/>
      <c r="E636" s="108"/>
      <c r="F636" s="108"/>
      <c r="G636" s="108"/>
      <c r="H636" s="36"/>
      <c r="I636" s="36"/>
    </row>
    <row r="637" spans="1:9" x14ac:dyDescent="0.3">
      <c r="A637" s="148"/>
      <c r="D637" s="108"/>
      <c r="E637" s="108"/>
      <c r="F637" s="108"/>
      <c r="G637" s="108"/>
      <c r="H637" s="36"/>
      <c r="I637" s="36"/>
    </row>
    <row r="638" spans="1:9" x14ac:dyDescent="0.3">
      <c r="A638" s="148"/>
      <c r="D638" s="108"/>
      <c r="E638" s="108"/>
      <c r="F638" s="108"/>
      <c r="G638" s="108"/>
      <c r="H638" s="36"/>
      <c r="I638" s="36"/>
    </row>
    <row r="639" spans="1:9" x14ac:dyDescent="0.3">
      <c r="A639" s="148"/>
      <c r="D639" s="108"/>
      <c r="E639" s="108"/>
      <c r="F639" s="108"/>
      <c r="G639" s="108"/>
      <c r="H639" s="36"/>
      <c r="I639" s="36"/>
    </row>
    <row r="640" spans="1:9" x14ac:dyDescent="0.3">
      <c r="A640" s="148"/>
      <c r="D640" s="108"/>
      <c r="E640" s="108"/>
      <c r="F640" s="108"/>
      <c r="G640" s="108"/>
      <c r="H640" s="36"/>
      <c r="I640" s="36"/>
    </row>
    <row r="641" spans="1:9" x14ac:dyDescent="0.3">
      <c r="A641" s="148"/>
      <c r="D641" s="108"/>
      <c r="E641" s="108"/>
      <c r="F641" s="108"/>
      <c r="G641" s="108"/>
      <c r="H641" s="36"/>
      <c r="I641" s="36"/>
    </row>
    <row r="642" spans="1:9" x14ac:dyDescent="0.3">
      <c r="A642" s="148"/>
      <c r="D642" s="108"/>
      <c r="E642" s="108"/>
      <c r="F642" s="108"/>
      <c r="G642" s="108"/>
      <c r="H642" s="36"/>
      <c r="I642" s="36"/>
    </row>
    <row r="643" spans="1:9" x14ac:dyDescent="0.3">
      <c r="A643" s="148"/>
      <c r="D643" s="108"/>
      <c r="E643" s="108"/>
      <c r="F643" s="108"/>
      <c r="G643" s="108"/>
      <c r="H643" s="36"/>
      <c r="I643" s="36"/>
    </row>
    <row r="644" spans="1:9" x14ac:dyDescent="0.3">
      <c r="A644" s="148"/>
      <c r="D644" s="108"/>
      <c r="E644" s="108"/>
      <c r="F644" s="108"/>
      <c r="G644" s="108"/>
      <c r="H644" s="36"/>
      <c r="I644" s="36"/>
    </row>
    <row r="645" spans="1:9" x14ac:dyDescent="0.3">
      <c r="A645" s="148"/>
      <c r="D645" s="108"/>
      <c r="E645" s="108"/>
      <c r="F645" s="108"/>
      <c r="G645" s="108"/>
      <c r="H645" s="36"/>
      <c r="I645" s="36"/>
    </row>
    <row r="646" spans="1:9" x14ac:dyDescent="0.3">
      <c r="A646" s="148"/>
      <c r="D646" s="108"/>
      <c r="E646" s="108"/>
      <c r="F646" s="108"/>
      <c r="G646" s="108"/>
      <c r="H646" s="36"/>
      <c r="I646" s="36"/>
    </row>
    <row r="647" spans="1:9" x14ac:dyDescent="0.3">
      <c r="A647" s="148"/>
      <c r="D647" s="108"/>
      <c r="E647" s="108"/>
      <c r="F647" s="108"/>
      <c r="G647" s="108"/>
      <c r="H647" s="36"/>
      <c r="I647" s="36"/>
    </row>
    <row r="648" spans="1:9" x14ac:dyDescent="0.3">
      <c r="A648" s="148"/>
      <c r="D648" s="108"/>
      <c r="E648" s="108"/>
      <c r="F648" s="108"/>
      <c r="G648" s="108"/>
      <c r="H648" s="36"/>
      <c r="I648" s="36"/>
    </row>
    <row r="649" spans="1:9" x14ac:dyDescent="0.3">
      <c r="A649" s="148"/>
      <c r="D649" s="108"/>
      <c r="E649" s="108"/>
      <c r="F649" s="108"/>
      <c r="G649" s="108"/>
      <c r="H649" s="36"/>
      <c r="I649" s="36"/>
    </row>
    <row r="650" spans="1:9" x14ac:dyDescent="0.3">
      <c r="A650" s="148"/>
      <c r="D650" s="108"/>
      <c r="E650" s="108"/>
      <c r="F650" s="108"/>
      <c r="G650" s="108"/>
      <c r="H650" s="36"/>
      <c r="I650" s="36"/>
    </row>
    <row r="651" spans="1:9" x14ac:dyDescent="0.3">
      <c r="A651" s="148"/>
      <c r="D651" s="108"/>
      <c r="E651" s="108"/>
      <c r="F651" s="108"/>
      <c r="G651" s="108"/>
      <c r="H651" s="36"/>
      <c r="I651" s="36"/>
    </row>
    <row r="652" spans="1:9" x14ac:dyDescent="0.3">
      <c r="A652" s="148"/>
      <c r="D652" s="108"/>
      <c r="E652" s="108"/>
      <c r="F652" s="108"/>
      <c r="G652" s="108"/>
      <c r="H652" s="36"/>
      <c r="I652" s="36"/>
    </row>
    <row r="653" spans="1:9" x14ac:dyDescent="0.3">
      <c r="A653" s="148"/>
      <c r="D653" s="108"/>
      <c r="E653" s="108"/>
      <c r="F653" s="108"/>
      <c r="G653" s="108"/>
      <c r="H653" s="36"/>
      <c r="I653" s="36"/>
    </row>
    <row r="654" spans="1:9" x14ac:dyDescent="0.3">
      <c r="A654" s="148"/>
      <c r="D654" s="108"/>
      <c r="E654" s="108"/>
      <c r="F654" s="108"/>
      <c r="G654" s="108"/>
      <c r="H654" s="36"/>
      <c r="I654" s="36"/>
    </row>
    <row r="655" spans="1:9" x14ac:dyDescent="0.3">
      <c r="A655" s="148"/>
      <c r="D655" s="108"/>
      <c r="E655" s="108"/>
      <c r="F655" s="108"/>
      <c r="G655" s="108"/>
      <c r="H655" s="36"/>
      <c r="I655" s="36"/>
    </row>
    <row r="656" spans="1:9" x14ac:dyDescent="0.3">
      <c r="A656" s="148"/>
      <c r="D656" s="108"/>
      <c r="E656" s="108"/>
      <c r="F656" s="108"/>
      <c r="G656" s="108"/>
      <c r="H656" s="36"/>
      <c r="I656" s="36"/>
    </row>
    <row r="657" spans="1:9" x14ac:dyDescent="0.3">
      <c r="A657" s="148"/>
      <c r="D657" s="108"/>
      <c r="E657" s="108"/>
      <c r="F657" s="108"/>
      <c r="G657" s="108"/>
      <c r="H657" s="36"/>
      <c r="I657" s="36"/>
    </row>
    <row r="658" spans="1:9" x14ac:dyDescent="0.3">
      <c r="A658" s="148"/>
      <c r="D658" s="108"/>
      <c r="E658" s="108"/>
      <c r="F658" s="108"/>
      <c r="G658" s="108"/>
      <c r="H658" s="36"/>
      <c r="I658" s="36"/>
    </row>
    <row r="659" spans="1:9" x14ac:dyDescent="0.3">
      <c r="A659" s="148"/>
      <c r="D659" s="108"/>
      <c r="E659" s="108"/>
      <c r="F659" s="108"/>
      <c r="G659" s="108"/>
      <c r="H659" s="36"/>
      <c r="I659" s="36"/>
    </row>
    <row r="660" spans="1:9" x14ac:dyDescent="0.3">
      <c r="A660" s="148"/>
      <c r="D660" s="108"/>
      <c r="E660" s="108"/>
      <c r="F660" s="108"/>
      <c r="G660" s="108"/>
      <c r="H660" s="36"/>
      <c r="I660" s="36"/>
    </row>
    <row r="661" spans="1:9" x14ac:dyDescent="0.3">
      <c r="A661" s="148"/>
      <c r="D661" s="108"/>
      <c r="E661" s="108"/>
      <c r="F661" s="108"/>
      <c r="G661" s="108"/>
      <c r="H661" s="36"/>
      <c r="I661" s="36"/>
    </row>
    <row r="662" spans="1:9" x14ac:dyDescent="0.3">
      <c r="A662" s="148"/>
      <c r="D662" s="108"/>
      <c r="E662" s="108"/>
      <c r="F662" s="108"/>
      <c r="G662" s="108"/>
      <c r="H662" s="36"/>
      <c r="I662" s="36"/>
    </row>
    <row r="663" spans="1:9" x14ac:dyDescent="0.3">
      <c r="A663" s="148"/>
      <c r="D663" s="108"/>
      <c r="E663" s="108"/>
      <c r="F663" s="108"/>
      <c r="G663" s="108"/>
      <c r="H663" s="36"/>
      <c r="I663" s="36"/>
    </row>
    <row r="664" spans="1:9" x14ac:dyDescent="0.3">
      <c r="A664" s="148"/>
      <c r="D664" s="108"/>
      <c r="E664" s="108"/>
      <c r="F664" s="108"/>
      <c r="G664" s="108"/>
      <c r="H664" s="36"/>
      <c r="I664" s="36"/>
    </row>
    <row r="665" spans="1:9" x14ac:dyDescent="0.3">
      <c r="A665" s="148"/>
      <c r="D665" s="108"/>
      <c r="E665" s="108"/>
      <c r="F665" s="108"/>
      <c r="G665" s="108"/>
      <c r="H665" s="36"/>
      <c r="I665" s="36"/>
    </row>
    <row r="666" spans="1:9" x14ac:dyDescent="0.3">
      <c r="A666" s="148"/>
      <c r="D666" s="108"/>
      <c r="E666" s="108"/>
      <c r="F666" s="108"/>
      <c r="G666" s="108"/>
      <c r="H666" s="36"/>
      <c r="I666" s="36"/>
    </row>
    <row r="667" spans="1:9" x14ac:dyDescent="0.3">
      <c r="A667" s="148"/>
      <c r="D667" s="108"/>
      <c r="E667" s="108"/>
      <c r="F667" s="108"/>
      <c r="G667" s="108"/>
      <c r="H667" s="36"/>
      <c r="I667" s="36"/>
    </row>
    <row r="668" spans="1:9" x14ac:dyDescent="0.3">
      <c r="A668" s="148"/>
      <c r="D668" s="108"/>
      <c r="E668" s="108"/>
      <c r="F668" s="108"/>
      <c r="G668" s="108"/>
      <c r="H668" s="36"/>
      <c r="I668" s="36"/>
    </row>
    <row r="669" spans="1:9" x14ac:dyDescent="0.3">
      <c r="A669" s="148"/>
      <c r="D669" s="108"/>
      <c r="E669" s="108"/>
      <c r="F669" s="108"/>
      <c r="G669" s="108"/>
      <c r="H669" s="36"/>
      <c r="I669" s="36"/>
    </row>
    <row r="670" spans="1:9" x14ac:dyDescent="0.3">
      <c r="A670" s="148"/>
      <c r="D670" s="108"/>
      <c r="E670" s="108"/>
      <c r="F670" s="108"/>
      <c r="G670" s="108"/>
      <c r="H670" s="36"/>
      <c r="I670" s="36"/>
    </row>
    <row r="671" spans="1:9" x14ac:dyDescent="0.3">
      <c r="A671" s="148"/>
      <c r="D671" s="108"/>
      <c r="E671" s="108"/>
      <c r="F671" s="108"/>
      <c r="G671" s="108"/>
      <c r="H671" s="36"/>
      <c r="I671" s="36"/>
    </row>
    <row r="672" spans="1:9" x14ac:dyDescent="0.3">
      <c r="A672" s="148"/>
      <c r="D672" s="108"/>
      <c r="E672" s="108"/>
      <c r="F672" s="108"/>
      <c r="G672" s="108"/>
      <c r="H672" s="36"/>
      <c r="I672" s="36"/>
    </row>
    <row r="673" spans="1:9" x14ac:dyDescent="0.3">
      <c r="A673" s="148"/>
      <c r="D673" s="108"/>
      <c r="E673" s="108"/>
      <c r="F673" s="108"/>
      <c r="G673" s="108"/>
      <c r="H673" s="36"/>
      <c r="I673" s="36"/>
    </row>
    <row r="674" spans="1:9" x14ac:dyDescent="0.3">
      <c r="A674" s="148"/>
      <c r="D674" s="108"/>
      <c r="E674" s="108"/>
      <c r="F674" s="108"/>
      <c r="G674" s="108"/>
      <c r="H674" s="36"/>
      <c r="I674" s="36"/>
    </row>
    <row r="675" spans="1:9" x14ac:dyDescent="0.3">
      <c r="A675" s="148"/>
      <c r="D675" s="108"/>
      <c r="E675" s="108"/>
      <c r="F675" s="108"/>
      <c r="G675" s="108"/>
      <c r="H675" s="36"/>
      <c r="I675" s="36"/>
    </row>
    <row r="676" spans="1:9" x14ac:dyDescent="0.3">
      <c r="A676" s="148"/>
      <c r="D676" s="108"/>
      <c r="E676" s="108"/>
      <c r="F676" s="108"/>
      <c r="G676" s="108"/>
      <c r="H676" s="36"/>
      <c r="I676" s="36"/>
    </row>
    <row r="677" spans="1:9" x14ac:dyDescent="0.3">
      <c r="A677" s="148"/>
      <c r="D677" s="108"/>
      <c r="E677" s="108"/>
      <c r="F677" s="108"/>
      <c r="G677" s="108"/>
      <c r="H677" s="36"/>
      <c r="I677" s="36"/>
    </row>
    <row r="678" spans="1:9" x14ac:dyDescent="0.3">
      <c r="A678" s="148"/>
      <c r="D678" s="108"/>
      <c r="E678" s="108"/>
      <c r="F678" s="108"/>
      <c r="G678" s="108"/>
      <c r="H678" s="36"/>
      <c r="I678" s="36"/>
    </row>
    <row r="679" spans="1:9" x14ac:dyDescent="0.3">
      <c r="A679" s="148"/>
      <c r="D679" s="108"/>
      <c r="E679" s="108"/>
      <c r="F679" s="108"/>
      <c r="G679" s="108"/>
      <c r="H679" s="36"/>
      <c r="I679" s="36"/>
    </row>
    <row r="680" spans="1:9" x14ac:dyDescent="0.3">
      <c r="A680" s="148"/>
      <c r="D680" s="108"/>
      <c r="E680" s="108"/>
      <c r="F680" s="108"/>
      <c r="G680" s="108"/>
      <c r="H680" s="36"/>
      <c r="I680" s="36"/>
    </row>
    <row r="681" spans="1:9" x14ac:dyDescent="0.3">
      <c r="A681" s="148"/>
      <c r="D681" s="108"/>
      <c r="E681" s="108"/>
      <c r="F681" s="108"/>
      <c r="G681" s="108"/>
      <c r="H681" s="36"/>
      <c r="I681" s="36"/>
    </row>
    <row r="682" spans="1:9" x14ac:dyDescent="0.3">
      <c r="A682" s="148"/>
      <c r="D682" s="108"/>
      <c r="E682" s="108"/>
      <c r="F682" s="108"/>
      <c r="G682" s="108"/>
      <c r="H682" s="36"/>
      <c r="I682" s="36"/>
    </row>
    <row r="683" spans="1:9" x14ac:dyDescent="0.3">
      <c r="A683" s="148"/>
      <c r="D683" s="108"/>
      <c r="E683" s="108"/>
      <c r="F683" s="108"/>
      <c r="G683" s="108"/>
      <c r="H683" s="36"/>
      <c r="I683" s="36"/>
    </row>
    <row r="684" spans="1:9" x14ac:dyDescent="0.3">
      <c r="A684" s="148"/>
      <c r="D684" s="108"/>
      <c r="E684" s="108"/>
      <c r="F684" s="108"/>
      <c r="G684" s="108"/>
      <c r="H684" s="36"/>
      <c r="I684" s="36"/>
    </row>
    <row r="685" spans="1:9" x14ac:dyDescent="0.3">
      <c r="A685" s="148"/>
      <c r="D685" s="108"/>
      <c r="E685" s="108"/>
      <c r="F685" s="108"/>
      <c r="G685" s="108"/>
      <c r="H685" s="36"/>
      <c r="I685" s="36"/>
    </row>
    <row r="686" spans="1:9" x14ac:dyDescent="0.3">
      <c r="A686" s="148"/>
      <c r="D686" s="108"/>
      <c r="E686" s="108"/>
      <c r="F686" s="108"/>
      <c r="G686" s="108"/>
      <c r="H686" s="36"/>
      <c r="I686" s="36"/>
    </row>
    <row r="687" spans="1:9" x14ac:dyDescent="0.3">
      <c r="A687" s="148"/>
      <c r="D687" s="108"/>
      <c r="E687" s="108"/>
      <c r="F687" s="108"/>
      <c r="G687" s="108"/>
      <c r="H687" s="36"/>
      <c r="I687" s="36"/>
    </row>
    <row r="688" spans="1:9" x14ac:dyDescent="0.3">
      <c r="A688" s="148"/>
      <c r="D688" s="108"/>
      <c r="E688" s="108"/>
      <c r="F688" s="108"/>
      <c r="G688" s="108"/>
      <c r="H688" s="36"/>
      <c r="I688" s="36"/>
    </row>
    <row r="689" spans="1:9" x14ac:dyDescent="0.3">
      <c r="A689" s="148"/>
      <c r="D689" s="108"/>
      <c r="E689" s="108"/>
      <c r="F689" s="108"/>
      <c r="G689" s="108"/>
      <c r="H689" s="36"/>
      <c r="I689" s="36"/>
    </row>
    <row r="690" spans="1:9" x14ac:dyDescent="0.3">
      <c r="A690" s="148"/>
      <c r="D690" s="108"/>
      <c r="E690" s="108"/>
      <c r="F690" s="108"/>
      <c r="G690" s="108"/>
      <c r="H690" s="36"/>
      <c r="I690" s="36"/>
    </row>
    <row r="691" spans="1:9" x14ac:dyDescent="0.3">
      <c r="A691" s="148"/>
      <c r="D691" s="108"/>
      <c r="E691" s="108"/>
      <c r="F691" s="108"/>
      <c r="G691" s="108"/>
      <c r="H691" s="36"/>
      <c r="I691" s="36"/>
    </row>
    <row r="692" spans="1:9" x14ac:dyDescent="0.3">
      <c r="A692" s="148"/>
      <c r="D692" s="108"/>
      <c r="E692" s="108"/>
      <c r="F692" s="108"/>
      <c r="G692" s="108"/>
      <c r="H692" s="36"/>
      <c r="I692" s="36"/>
    </row>
    <row r="693" spans="1:9" x14ac:dyDescent="0.3">
      <c r="A693" s="148"/>
      <c r="D693" s="108"/>
      <c r="E693" s="108"/>
      <c r="F693" s="108"/>
      <c r="G693" s="108"/>
      <c r="H693" s="36"/>
      <c r="I693" s="36"/>
    </row>
    <row r="694" spans="1:9" x14ac:dyDescent="0.3">
      <c r="A694" s="148"/>
      <c r="D694" s="108"/>
      <c r="E694" s="108"/>
      <c r="F694" s="108"/>
      <c r="G694" s="108"/>
      <c r="H694" s="36"/>
      <c r="I694" s="36"/>
    </row>
    <row r="695" spans="1:9" x14ac:dyDescent="0.3">
      <c r="A695" s="148"/>
      <c r="D695" s="108"/>
      <c r="E695" s="108"/>
      <c r="F695" s="108"/>
      <c r="G695" s="108"/>
      <c r="H695" s="36"/>
      <c r="I695" s="36"/>
    </row>
    <row r="696" spans="1:9" x14ac:dyDescent="0.3">
      <c r="A696" s="148"/>
      <c r="D696" s="108"/>
      <c r="E696" s="108"/>
      <c r="F696" s="108"/>
      <c r="G696" s="108"/>
      <c r="H696" s="36"/>
      <c r="I696" s="36"/>
    </row>
    <row r="697" spans="1:9" x14ac:dyDescent="0.3">
      <c r="A697" s="148"/>
      <c r="D697" s="108"/>
      <c r="E697" s="108"/>
      <c r="F697" s="108"/>
      <c r="G697" s="108"/>
      <c r="H697" s="36"/>
      <c r="I697" s="36"/>
    </row>
    <row r="698" spans="1:9" x14ac:dyDescent="0.3">
      <c r="A698" s="148"/>
      <c r="D698" s="108"/>
      <c r="E698" s="108"/>
      <c r="F698" s="108"/>
      <c r="G698" s="108"/>
      <c r="H698" s="36"/>
      <c r="I698" s="36"/>
    </row>
    <row r="699" spans="1:9" x14ac:dyDescent="0.3">
      <c r="A699" s="148"/>
      <c r="D699" s="108"/>
      <c r="E699" s="108"/>
      <c r="F699" s="108"/>
      <c r="G699" s="108"/>
      <c r="H699" s="36"/>
      <c r="I699" s="36"/>
    </row>
    <row r="700" spans="1:9" x14ac:dyDescent="0.3">
      <c r="A700" s="148"/>
      <c r="D700" s="108"/>
      <c r="E700" s="108"/>
      <c r="F700" s="108"/>
      <c r="G700" s="108"/>
      <c r="H700" s="36"/>
      <c r="I700" s="36"/>
    </row>
    <row r="701" spans="1:9" x14ac:dyDescent="0.3">
      <c r="A701" s="148"/>
      <c r="D701" s="108"/>
      <c r="E701" s="108"/>
      <c r="F701" s="108"/>
      <c r="G701" s="108"/>
      <c r="H701" s="36"/>
      <c r="I701" s="36"/>
    </row>
    <row r="702" spans="1:9" x14ac:dyDescent="0.3">
      <c r="A702" s="148"/>
      <c r="D702" s="108"/>
      <c r="E702" s="108"/>
      <c r="F702" s="108"/>
      <c r="G702" s="108"/>
      <c r="H702" s="36"/>
      <c r="I702" s="36"/>
    </row>
    <row r="703" spans="1:9" x14ac:dyDescent="0.3">
      <c r="A703" s="148"/>
      <c r="D703" s="108"/>
      <c r="E703" s="108"/>
      <c r="F703" s="108"/>
      <c r="G703" s="108"/>
      <c r="H703" s="36"/>
      <c r="I703" s="36"/>
    </row>
    <row r="704" spans="1:9" x14ac:dyDescent="0.3">
      <c r="A704" s="148"/>
      <c r="D704" s="108"/>
      <c r="E704" s="108"/>
      <c r="F704" s="108"/>
      <c r="G704" s="108"/>
      <c r="H704" s="36"/>
      <c r="I704" s="36"/>
    </row>
    <row r="705" spans="1:9" x14ac:dyDescent="0.3">
      <c r="A705" s="148"/>
      <c r="D705" s="108"/>
      <c r="E705" s="108"/>
      <c r="F705" s="108"/>
      <c r="G705" s="108"/>
      <c r="H705" s="36"/>
      <c r="I705" s="36"/>
    </row>
    <row r="706" spans="1:9" x14ac:dyDescent="0.3">
      <c r="A706" s="148"/>
      <c r="D706" s="108"/>
      <c r="E706" s="108"/>
      <c r="F706" s="108"/>
      <c r="G706" s="108"/>
      <c r="H706" s="36"/>
      <c r="I706" s="36"/>
    </row>
    <row r="707" spans="1:9" x14ac:dyDescent="0.3">
      <c r="A707" s="148"/>
      <c r="D707" s="108"/>
      <c r="E707" s="108"/>
      <c r="F707" s="108"/>
      <c r="G707" s="108"/>
      <c r="H707" s="36"/>
      <c r="I707" s="36"/>
    </row>
    <row r="708" spans="1:9" x14ac:dyDescent="0.3">
      <c r="A708" s="148"/>
      <c r="D708" s="108"/>
      <c r="E708" s="108"/>
      <c r="F708" s="108"/>
      <c r="G708" s="108"/>
      <c r="H708" s="36"/>
      <c r="I708" s="36"/>
    </row>
    <row r="709" spans="1:9" x14ac:dyDescent="0.3">
      <c r="A709" s="148"/>
      <c r="D709" s="108"/>
      <c r="E709" s="108"/>
      <c r="F709" s="108"/>
      <c r="G709" s="108"/>
      <c r="H709" s="36"/>
      <c r="I709" s="36"/>
    </row>
    <row r="710" spans="1:9" x14ac:dyDescent="0.3">
      <c r="A710" s="148"/>
      <c r="D710" s="108"/>
      <c r="E710" s="108"/>
      <c r="F710" s="108"/>
      <c r="G710" s="108"/>
      <c r="H710" s="36"/>
      <c r="I710" s="36"/>
    </row>
    <row r="711" spans="1:9" x14ac:dyDescent="0.3">
      <c r="A711" s="148"/>
      <c r="D711" s="108"/>
      <c r="E711" s="108"/>
      <c r="F711" s="108"/>
      <c r="G711" s="108"/>
      <c r="H711" s="36"/>
      <c r="I711" s="36"/>
    </row>
    <row r="712" spans="1:9" x14ac:dyDescent="0.3">
      <c r="A712" s="148"/>
      <c r="D712" s="108"/>
      <c r="E712" s="108"/>
      <c r="F712" s="108"/>
      <c r="G712" s="108"/>
      <c r="H712" s="36"/>
      <c r="I712" s="36"/>
    </row>
    <row r="713" spans="1:9" x14ac:dyDescent="0.3">
      <c r="A713" s="148"/>
      <c r="D713" s="108"/>
      <c r="E713" s="108"/>
      <c r="F713" s="108"/>
      <c r="G713" s="108"/>
      <c r="H713" s="36"/>
      <c r="I713" s="36"/>
    </row>
    <row r="714" spans="1:9" x14ac:dyDescent="0.3">
      <c r="A714" s="148"/>
      <c r="D714" s="108"/>
      <c r="E714" s="108"/>
      <c r="F714" s="108"/>
      <c r="G714" s="108"/>
      <c r="H714" s="36"/>
      <c r="I714" s="36"/>
    </row>
    <row r="715" spans="1:9" x14ac:dyDescent="0.3">
      <c r="A715" s="148"/>
      <c r="D715" s="108"/>
      <c r="E715" s="108"/>
      <c r="F715" s="108"/>
      <c r="G715" s="108"/>
      <c r="H715" s="36"/>
      <c r="I715" s="36"/>
    </row>
    <row r="716" spans="1:9" x14ac:dyDescent="0.3">
      <c r="A716" s="148"/>
      <c r="D716" s="108"/>
      <c r="E716" s="108"/>
      <c r="F716" s="108"/>
      <c r="G716" s="108"/>
      <c r="H716" s="36"/>
      <c r="I716" s="36"/>
    </row>
    <row r="717" spans="1:9" x14ac:dyDescent="0.3">
      <c r="A717" s="148"/>
      <c r="D717" s="108"/>
      <c r="E717" s="108"/>
      <c r="F717" s="108"/>
      <c r="G717" s="108"/>
      <c r="H717" s="36"/>
      <c r="I717" s="36"/>
    </row>
    <row r="718" spans="1:9" x14ac:dyDescent="0.3">
      <c r="A718" s="148"/>
      <c r="D718" s="108"/>
      <c r="E718" s="108"/>
      <c r="F718" s="108"/>
      <c r="G718" s="108"/>
      <c r="H718" s="36"/>
      <c r="I718" s="36"/>
    </row>
    <row r="719" spans="1:9" x14ac:dyDescent="0.3">
      <c r="A719" s="148"/>
      <c r="D719" s="108"/>
      <c r="E719" s="108"/>
      <c r="F719" s="108"/>
      <c r="G719" s="108"/>
      <c r="H719" s="36"/>
      <c r="I719" s="36"/>
    </row>
    <row r="720" spans="1:9" x14ac:dyDescent="0.3">
      <c r="A720" s="148"/>
      <c r="D720" s="108"/>
      <c r="E720" s="108"/>
      <c r="F720" s="108"/>
      <c r="G720" s="108"/>
      <c r="H720" s="36"/>
      <c r="I720" s="36"/>
    </row>
    <row r="721" spans="1:9" x14ac:dyDescent="0.3">
      <c r="A721" s="148"/>
      <c r="D721" s="108"/>
      <c r="E721" s="108"/>
      <c r="F721" s="108"/>
      <c r="G721" s="108"/>
      <c r="H721" s="36"/>
      <c r="I721" s="36"/>
    </row>
    <row r="722" spans="1:9" x14ac:dyDescent="0.3">
      <c r="A722" s="148"/>
      <c r="D722" s="108"/>
      <c r="E722" s="108"/>
      <c r="F722" s="108"/>
      <c r="G722" s="108"/>
      <c r="H722" s="36"/>
      <c r="I722" s="36"/>
    </row>
    <row r="723" spans="1:9" x14ac:dyDescent="0.3">
      <c r="A723" s="148"/>
      <c r="D723" s="108"/>
      <c r="E723" s="108"/>
      <c r="F723" s="108"/>
      <c r="G723" s="108"/>
      <c r="H723" s="36"/>
      <c r="I723" s="36"/>
    </row>
    <row r="724" spans="1:9" x14ac:dyDescent="0.3">
      <c r="A724" s="148"/>
      <c r="D724" s="108"/>
      <c r="E724" s="108"/>
      <c r="F724" s="108"/>
      <c r="G724" s="108"/>
      <c r="H724" s="36"/>
      <c r="I724" s="36"/>
    </row>
    <row r="725" spans="1:9" x14ac:dyDescent="0.3">
      <c r="A725" s="148"/>
      <c r="D725" s="108"/>
      <c r="E725" s="108"/>
      <c r="F725" s="108"/>
      <c r="G725" s="108"/>
      <c r="H725" s="36"/>
      <c r="I725" s="36"/>
    </row>
    <row r="726" spans="1:9" x14ac:dyDescent="0.3">
      <c r="A726" s="148"/>
      <c r="D726" s="108"/>
      <c r="E726" s="108"/>
      <c r="F726" s="108"/>
      <c r="G726" s="108"/>
      <c r="H726" s="36"/>
      <c r="I726" s="36"/>
    </row>
    <row r="727" spans="1:9" x14ac:dyDescent="0.3">
      <c r="A727" s="148"/>
      <c r="D727" s="108"/>
      <c r="E727" s="108"/>
      <c r="F727" s="108"/>
      <c r="G727" s="108"/>
      <c r="H727" s="36"/>
      <c r="I727" s="36"/>
    </row>
    <row r="728" spans="1:9" x14ac:dyDescent="0.3">
      <c r="A728" s="148"/>
      <c r="D728" s="108"/>
      <c r="E728" s="108"/>
      <c r="F728" s="108"/>
      <c r="G728" s="108"/>
      <c r="H728" s="36"/>
      <c r="I728" s="36"/>
    </row>
    <row r="729" spans="1:9" x14ac:dyDescent="0.3">
      <c r="A729" s="148"/>
      <c r="D729" s="108"/>
      <c r="E729" s="108"/>
      <c r="F729" s="108"/>
      <c r="G729" s="108"/>
      <c r="H729" s="36"/>
      <c r="I729" s="36"/>
    </row>
    <row r="730" spans="1:9" x14ac:dyDescent="0.3">
      <c r="A730" s="148"/>
      <c r="D730" s="108"/>
      <c r="E730" s="108"/>
      <c r="F730" s="108"/>
      <c r="G730" s="108"/>
      <c r="H730" s="36"/>
      <c r="I730" s="36"/>
    </row>
    <row r="731" spans="1:9" x14ac:dyDescent="0.3">
      <c r="A731" s="148"/>
      <c r="D731" s="108"/>
      <c r="E731" s="108"/>
      <c r="F731" s="108"/>
      <c r="G731" s="108"/>
      <c r="H731" s="36"/>
      <c r="I731" s="36"/>
    </row>
    <row r="732" spans="1:9" x14ac:dyDescent="0.3">
      <c r="A732" s="148"/>
      <c r="D732" s="108"/>
      <c r="E732" s="108"/>
      <c r="F732" s="108"/>
      <c r="G732" s="108"/>
      <c r="H732" s="36"/>
      <c r="I732" s="36"/>
    </row>
    <row r="733" spans="1:9" x14ac:dyDescent="0.3">
      <c r="A733" s="148"/>
      <c r="D733" s="108"/>
      <c r="E733" s="108"/>
      <c r="F733" s="108"/>
      <c r="G733" s="108"/>
      <c r="H733" s="36"/>
      <c r="I733" s="36"/>
    </row>
    <row r="734" spans="1:9" x14ac:dyDescent="0.3">
      <c r="A734" s="148"/>
      <c r="D734" s="108"/>
      <c r="E734" s="108"/>
      <c r="F734" s="108"/>
      <c r="G734" s="108"/>
      <c r="H734" s="36"/>
      <c r="I734" s="36"/>
    </row>
    <row r="735" spans="1:9" x14ac:dyDescent="0.3">
      <c r="A735" s="148"/>
      <c r="D735" s="108"/>
      <c r="E735" s="108"/>
      <c r="F735" s="108"/>
      <c r="G735" s="108"/>
      <c r="H735" s="36"/>
      <c r="I735" s="36"/>
    </row>
    <row r="736" spans="1:9" x14ac:dyDescent="0.3">
      <c r="A736" s="148"/>
      <c r="D736" s="108"/>
      <c r="E736" s="108"/>
      <c r="F736" s="108"/>
      <c r="G736" s="108"/>
      <c r="H736" s="36"/>
      <c r="I736" s="36"/>
    </row>
    <row r="737" spans="1:9" x14ac:dyDescent="0.3">
      <c r="A737" s="148"/>
      <c r="D737" s="108"/>
      <c r="E737" s="108"/>
      <c r="F737" s="108"/>
      <c r="G737" s="108"/>
      <c r="H737" s="36"/>
      <c r="I737" s="36"/>
    </row>
    <row r="738" spans="1:9" x14ac:dyDescent="0.3">
      <c r="A738" s="148"/>
      <c r="D738" s="108"/>
      <c r="E738" s="108"/>
      <c r="F738" s="108"/>
      <c r="G738" s="108"/>
      <c r="H738" s="36"/>
      <c r="I738" s="36"/>
    </row>
    <row r="739" spans="1:9" x14ac:dyDescent="0.3">
      <c r="A739" s="148"/>
      <c r="D739" s="108"/>
      <c r="E739" s="108"/>
      <c r="F739" s="108"/>
      <c r="G739" s="108"/>
      <c r="H739" s="36"/>
      <c r="I739" s="36"/>
    </row>
    <row r="740" spans="1:9" x14ac:dyDescent="0.3">
      <c r="A740" s="148"/>
      <c r="D740" s="108"/>
      <c r="E740" s="108"/>
      <c r="F740" s="108"/>
      <c r="G740" s="108"/>
      <c r="H740" s="36"/>
      <c r="I740" s="36"/>
    </row>
    <row r="741" spans="1:9" x14ac:dyDescent="0.3">
      <c r="A741" s="148"/>
      <c r="D741" s="108"/>
      <c r="E741" s="108"/>
      <c r="F741" s="108"/>
      <c r="G741" s="108"/>
      <c r="H741" s="36"/>
      <c r="I741" s="36"/>
    </row>
    <row r="742" spans="1:9" x14ac:dyDescent="0.3">
      <c r="A742" s="148"/>
      <c r="D742" s="108"/>
      <c r="E742" s="108"/>
      <c r="F742" s="108"/>
      <c r="G742" s="108"/>
      <c r="H742" s="36"/>
      <c r="I742" s="36"/>
    </row>
    <row r="743" spans="1:9" x14ac:dyDescent="0.3">
      <c r="A743" s="148"/>
      <c r="D743" s="108"/>
      <c r="E743" s="108"/>
      <c r="F743" s="108"/>
      <c r="G743" s="108"/>
      <c r="H743" s="36"/>
      <c r="I743" s="36"/>
    </row>
    <row r="744" spans="1:9" x14ac:dyDescent="0.3">
      <c r="A744" s="148"/>
      <c r="D744" s="108"/>
      <c r="E744" s="108"/>
      <c r="F744" s="108"/>
      <c r="G744" s="108"/>
      <c r="H744" s="36"/>
      <c r="I744" s="36"/>
    </row>
    <row r="745" spans="1:9" x14ac:dyDescent="0.3">
      <c r="A745" s="148"/>
      <c r="D745" s="108"/>
      <c r="E745" s="108"/>
      <c r="F745" s="108"/>
      <c r="G745" s="108"/>
      <c r="H745" s="36"/>
      <c r="I745" s="36"/>
    </row>
    <row r="746" spans="1:9" x14ac:dyDescent="0.3">
      <c r="A746" s="148"/>
      <c r="D746" s="108"/>
      <c r="E746" s="108"/>
      <c r="F746" s="108"/>
      <c r="G746" s="108"/>
      <c r="H746" s="36"/>
      <c r="I746" s="36"/>
    </row>
    <row r="747" spans="1:9" x14ac:dyDescent="0.3">
      <c r="A747" s="148"/>
      <c r="D747" s="108"/>
      <c r="E747" s="108"/>
      <c r="F747" s="108"/>
      <c r="G747" s="108"/>
      <c r="H747" s="36"/>
      <c r="I747" s="36"/>
    </row>
    <row r="748" spans="1:9" x14ac:dyDescent="0.3">
      <c r="A748" s="148"/>
      <c r="D748" s="108"/>
      <c r="E748" s="108"/>
      <c r="F748" s="108"/>
      <c r="G748" s="108"/>
      <c r="H748" s="36"/>
      <c r="I748" s="36"/>
    </row>
    <row r="749" spans="1:9" x14ac:dyDescent="0.3">
      <c r="A749" s="148"/>
      <c r="D749" s="108"/>
      <c r="E749" s="108"/>
      <c r="F749" s="108"/>
      <c r="G749" s="108"/>
      <c r="H749" s="36"/>
      <c r="I749" s="36"/>
    </row>
    <row r="750" spans="1:9" x14ac:dyDescent="0.3">
      <c r="A750" s="148"/>
      <c r="D750" s="108"/>
      <c r="E750" s="108"/>
      <c r="F750" s="108"/>
      <c r="G750" s="108"/>
      <c r="H750" s="36"/>
      <c r="I750" s="36"/>
    </row>
    <row r="751" spans="1:9" x14ac:dyDescent="0.3">
      <c r="A751" s="148"/>
      <c r="D751" s="108"/>
      <c r="E751" s="108"/>
      <c r="F751" s="108"/>
      <c r="G751" s="108"/>
      <c r="H751" s="36"/>
      <c r="I751" s="36"/>
    </row>
    <row r="752" spans="1:9" x14ac:dyDescent="0.3">
      <c r="A752" s="148"/>
      <c r="D752" s="108"/>
      <c r="E752" s="108"/>
      <c r="F752" s="108"/>
      <c r="G752" s="108"/>
      <c r="H752" s="36"/>
      <c r="I752" s="36"/>
    </row>
    <row r="753" spans="1:9" x14ac:dyDescent="0.3">
      <c r="A753" s="148"/>
      <c r="D753" s="108"/>
      <c r="E753" s="108"/>
      <c r="F753" s="108"/>
      <c r="G753" s="108"/>
      <c r="H753" s="36"/>
      <c r="I753" s="36"/>
    </row>
    <row r="754" spans="1:9" x14ac:dyDescent="0.3">
      <c r="A754" s="148"/>
      <c r="D754" s="108"/>
      <c r="E754" s="108"/>
      <c r="F754" s="108"/>
      <c r="G754" s="108"/>
      <c r="H754" s="36"/>
      <c r="I754" s="36"/>
    </row>
    <row r="755" spans="1:9" x14ac:dyDescent="0.3">
      <c r="A755" s="148"/>
      <c r="D755" s="108"/>
      <c r="E755" s="108"/>
      <c r="F755" s="108"/>
      <c r="G755" s="108"/>
      <c r="H755" s="36"/>
      <c r="I755" s="36"/>
    </row>
    <row r="756" spans="1:9" x14ac:dyDescent="0.3">
      <c r="A756" s="148"/>
      <c r="D756" s="108"/>
      <c r="E756" s="108"/>
      <c r="F756" s="108"/>
      <c r="G756" s="108"/>
      <c r="H756" s="36"/>
      <c r="I756" s="36"/>
    </row>
    <row r="757" spans="1:9" x14ac:dyDescent="0.3">
      <c r="A757" s="148"/>
      <c r="D757" s="108"/>
      <c r="E757" s="108"/>
      <c r="F757" s="108"/>
      <c r="G757" s="108"/>
      <c r="H757" s="36"/>
      <c r="I757" s="36"/>
    </row>
    <row r="758" spans="1:9" x14ac:dyDescent="0.3">
      <c r="A758" s="148"/>
      <c r="D758" s="108"/>
      <c r="E758" s="108"/>
      <c r="F758" s="108"/>
      <c r="G758" s="108"/>
      <c r="H758" s="36"/>
      <c r="I758" s="36"/>
    </row>
    <row r="759" spans="1:9" x14ac:dyDescent="0.3">
      <c r="A759" s="148"/>
      <c r="D759" s="108"/>
      <c r="E759" s="108"/>
      <c r="F759" s="108"/>
      <c r="G759" s="108"/>
      <c r="H759" s="36"/>
      <c r="I759" s="36"/>
    </row>
    <row r="760" spans="1:9" x14ac:dyDescent="0.3">
      <c r="A760" s="148"/>
      <c r="D760" s="108"/>
      <c r="E760" s="108"/>
      <c r="F760" s="108"/>
      <c r="G760" s="108"/>
      <c r="H760" s="36"/>
      <c r="I760" s="36"/>
    </row>
    <row r="761" spans="1:9" x14ac:dyDescent="0.3">
      <c r="A761" s="148"/>
      <c r="D761" s="108"/>
      <c r="E761" s="108"/>
      <c r="F761" s="108"/>
      <c r="G761" s="108"/>
      <c r="H761" s="36"/>
      <c r="I761" s="36"/>
    </row>
    <row r="762" spans="1:9" x14ac:dyDescent="0.3">
      <c r="A762" s="148"/>
      <c r="D762" s="108"/>
      <c r="E762" s="108"/>
      <c r="F762" s="108"/>
      <c r="G762" s="108"/>
      <c r="H762" s="36"/>
      <c r="I762" s="36"/>
    </row>
    <row r="763" spans="1:9" x14ac:dyDescent="0.3">
      <c r="A763" s="148"/>
      <c r="D763" s="108"/>
      <c r="E763" s="108"/>
      <c r="F763" s="108"/>
      <c r="G763" s="108"/>
      <c r="H763" s="36"/>
      <c r="I763" s="36"/>
    </row>
    <row r="764" spans="1:9" x14ac:dyDescent="0.3">
      <c r="A764" s="148"/>
      <c r="D764" s="108"/>
      <c r="E764" s="108"/>
      <c r="F764" s="108"/>
      <c r="G764" s="108"/>
      <c r="H764" s="36"/>
      <c r="I764" s="36"/>
    </row>
    <row r="765" spans="1:9" x14ac:dyDescent="0.3">
      <c r="A765" s="148"/>
      <c r="D765" s="108"/>
      <c r="E765" s="108"/>
      <c r="F765" s="108"/>
      <c r="G765" s="108"/>
      <c r="H765" s="36"/>
      <c r="I765" s="36"/>
    </row>
    <row r="766" spans="1:9" x14ac:dyDescent="0.3">
      <c r="A766" s="148"/>
      <c r="D766" s="108"/>
      <c r="E766" s="108"/>
      <c r="F766" s="108"/>
      <c r="G766" s="108"/>
      <c r="H766" s="36"/>
      <c r="I766" s="36"/>
    </row>
    <row r="767" spans="1:9" x14ac:dyDescent="0.3">
      <c r="A767" s="148"/>
      <c r="D767" s="108"/>
      <c r="E767" s="108"/>
      <c r="F767" s="108"/>
      <c r="G767" s="108"/>
      <c r="H767" s="36"/>
      <c r="I767" s="36"/>
    </row>
    <row r="768" spans="1:9" x14ac:dyDescent="0.3">
      <c r="A768" s="148"/>
      <c r="D768" s="108"/>
      <c r="E768" s="108"/>
      <c r="F768" s="108"/>
      <c r="G768" s="108"/>
      <c r="H768" s="36"/>
      <c r="I768" s="36"/>
    </row>
    <row r="769" spans="1:9" x14ac:dyDescent="0.3">
      <c r="A769" s="148"/>
      <c r="D769" s="108"/>
      <c r="E769" s="108"/>
      <c r="F769" s="108"/>
      <c r="G769" s="108"/>
      <c r="H769" s="36"/>
      <c r="I769" s="36"/>
    </row>
    <row r="770" spans="1:9" x14ac:dyDescent="0.3">
      <c r="A770" s="148"/>
      <c r="D770" s="108"/>
      <c r="E770" s="108"/>
      <c r="F770" s="108"/>
      <c r="G770" s="108"/>
      <c r="H770" s="36"/>
      <c r="I770" s="36"/>
    </row>
    <row r="771" spans="1:9" x14ac:dyDescent="0.3">
      <c r="A771" s="148"/>
      <c r="D771" s="108"/>
      <c r="E771" s="108"/>
      <c r="F771" s="108"/>
      <c r="G771" s="108"/>
      <c r="H771" s="36"/>
      <c r="I771" s="36"/>
    </row>
    <row r="772" spans="1:9" x14ac:dyDescent="0.3">
      <c r="A772" s="148"/>
      <c r="D772" s="108"/>
      <c r="E772" s="108"/>
      <c r="F772" s="108"/>
      <c r="G772" s="108"/>
      <c r="H772" s="36"/>
      <c r="I772" s="36"/>
    </row>
    <row r="773" spans="1:9" x14ac:dyDescent="0.3">
      <c r="A773" s="148"/>
      <c r="D773" s="108"/>
      <c r="E773" s="108"/>
      <c r="F773" s="108"/>
      <c r="G773" s="108"/>
      <c r="H773" s="36"/>
      <c r="I773" s="36"/>
    </row>
    <row r="774" spans="1:9" x14ac:dyDescent="0.3">
      <c r="A774" s="148"/>
      <c r="D774" s="108"/>
      <c r="E774" s="108"/>
      <c r="F774" s="108"/>
      <c r="G774" s="108"/>
      <c r="H774" s="36"/>
      <c r="I774" s="36"/>
    </row>
    <row r="775" spans="1:9" x14ac:dyDescent="0.3">
      <c r="A775" s="148"/>
      <c r="D775" s="108"/>
      <c r="E775" s="108"/>
      <c r="F775" s="108"/>
      <c r="G775" s="108"/>
      <c r="H775" s="36"/>
      <c r="I775" s="36"/>
    </row>
    <row r="776" spans="1:9" x14ac:dyDescent="0.3">
      <c r="A776" s="148"/>
      <c r="D776" s="108"/>
      <c r="E776" s="108"/>
      <c r="F776" s="108"/>
      <c r="G776" s="108"/>
      <c r="H776" s="36"/>
      <c r="I776" s="36"/>
    </row>
    <row r="777" spans="1:9" x14ac:dyDescent="0.3">
      <c r="A777" s="148"/>
      <c r="D777" s="108"/>
      <c r="E777" s="108"/>
      <c r="F777" s="108"/>
      <c r="G777" s="108"/>
      <c r="H777" s="36"/>
      <c r="I777" s="36"/>
    </row>
    <row r="778" spans="1:9" x14ac:dyDescent="0.3">
      <c r="A778" s="148"/>
      <c r="D778" s="108"/>
      <c r="E778" s="108"/>
      <c r="F778" s="108"/>
      <c r="G778" s="108"/>
      <c r="H778" s="36"/>
      <c r="I778" s="36"/>
    </row>
    <row r="779" spans="1:9" x14ac:dyDescent="0.3">
      <c r="A779" s="148"/>
      <c r="D779" s="108"/>
      <c r="E779" s="108"/>
      <c r="F779" s="108"/>
      <c r="G779" s="108"/>
      <c r="H779" s="36"/>
      <c r="I779" s="36"/>
    </row>
    <row r="780" spans="1:9" x14ac:dyDescent="0.3">
      <c r="A780" s="148"/>
      <c r="D780" s="108"/>
      <c r="E780" s="108"/>
      <c r="F780" s="108"/>
      <c r="G780" s="108"/>
      <c r="H780" s="36"/>
      <c r="I780" s="36"/>
    </row>
    <row r="781" spans="1:9" x14ac:dyDescent="0.3">
      <c r="A781" s="148"/>
      <c r="D781" s="108"/>
      <c r="E781" s="108"/>
      <c r="F781" s="108"/>
      <c r="G781" s="108"/>
      <c r="H781" s="36"/>
      <c r="I781" s="36"/>
    </row>
    <row r="782" spans="1:9" x14ac:dyDescent="0.3">
      <c r="A782" s="148"/>
      <c r="D782" s="108"/>
      <c r="E782" s="108"/>
      <c r="F782" s="108"/>
      <c r="G782" s="108"/>
      <c r="H782" s="36"/>
      <c r="I782" s="36"/>
    </row>
    <row r="783" spans="1:9" x14ac:dyDescent="0.3">
      <c r="A783" s="148"/>
      <c r="D783" s="108"/>
      <c r="E783" s="108"/>
      <c r="F783" s="108"/>
      <c r="G783" s="108"/>
      <c r="H783" s="36"/>
      <c r="I783" s="36"/>
    </row>
    <row r="784" spans="1:9" x14ac:dyDescent="0.3">
      <c r="A784" s="148"/>
      <c r="D784" s="108"/>
      <c r="E784" s="108"/>
      <c r="F784" s="108"/>
      <c r="G784" s="108"/>
      <c r="H784" s="36"/>
      <c r="I784" s="36"/>
    </row>
    <row r="785" spans="1:9" x14ac:dyDescent="0.3">
      <c r="A785" s="148"/>
      <c r="D785" s="108"/>
      <c r="E785" s="108"/>
      <c r="F785" s="108"/>
      <c r="G785" s="108"/>
      <c r="H785" s="36"/>
      <c r="I785" s="36"/>
    </row>
    <row r="786" spans="1:9" x14ac:dyDescent="0.3">
      <c r="A786" s="148"/>
      <c r="D786" s="108"/>
      <c r="E786" s="108"/>
      <c r="F786" s="108"/>
      <c r="G786" s="108"/>
      <c r="H786" s="36"/>
      <c r="I786" s="36"/>
    </row>
    <row r="787" spans="1:9" x14ac:dyDescent="0.3">
      <c r="A787" s="148"/>
      <c r="D787" s="108"/>
      <c r="E787" s="108"/>
      <c r="F787" s="108"/>
      <c r="G787" s="108"/>
      <c r="H787" s="36"/>
      <c r="I787" s="36"/>
    </row>
    <row r="788" spans="1:9" x14ac:dyDescent="0.3">
      <c r="A788" s="148"/>
      <c r="D788" s="108"/>
      <c r="E788" s="108"/>
      <c r="F788" s="108"/>
      <c r="G788" s="108"/>
      <c r="H788" s="36"/>
      <c r="I788" s="36"/>
    </row>
    <row r="789" spans="1:9" x14ac:dyDescent="0.3">
      <c r="A789" s="148"/>
      <c r="D789" s="108"/>
      <c r="E789" s="108"/>
      <c r="F789" s="108"/>
      <c r="G789" s="108"/>
      <c r="H789" s="36"/>
      <c r="I789" s="36"/>
    </row>
    <row r="790" spans="1:9" x14ac:dyDescent="0.3">
      <c r="A790" s="148"/>
      <c r="D790" s="108"/>
      <c r="E790" s="108"/>
      <c r="F790" s="108"/>
      <c r="G790" s="108"/>
      <c r="H790" s="36"/>
      <c r="I790" s="36"/>
    </row>
    <row r="791" spans="1:9" x14ac:dyDescent="0.3">
      <c r="A791" s="148"/>
      <c r="D791" s="108"/>
      <c r="E791" s="108"/>
      <c r="F791" s="108"/>
      <c r="G791" s="108"/>
      <c r="H791" s="36"/>
      <c r="I791" s="36"/>
    </row>
    <row r="792" spans="1:9" x14ac:dyDescent="0.3">
      <c r="A792" s="148"/>
      <c r="D792" s="108"/>
      <c r="E792" s="108"/>
      <c r="F792" s="108"/>
      <c r="G792" s="108"/>
      <c r="H792" s="36"/>
      <c r="I792" s="36"/>
    </row>
    <row r="793" spans="1:9" x14ac:dyDescent="0.3">
      <c r="A793" s="148"/>
      <c r="D793" s="108"/>
      <c r="E793" s="108"/>
      <c r="F793" s="108"/>
      <c r="G793" s="108"/>
      <c r="H793" s="36"/>
      <c r="I793" s="36"/>
    </row>
    <row r="794" spans="1:9" x14ac:dyDescent="0.3">
      <c r="A794" s="148"/>
      <c r="D794" s="108"/>
      <c r="E794" s="108"/>
      <c r="F794" s="108"/>
      <c r="G794" s="108"/>
      <c r="H794" s="36"/>
      <c r="I794" s="36"/>
    </row>
    <row r="795" spans="1:9" x14ac:dyDescent="0.3">
      <c r="A795" s="148"/>
      <c r="D795" s="108"/>
      <c r="E795" s="108"/>
      <c r="F795" s="108"/>
      <c r="G795" s="108"/>
      <c r="H795" s="36"/>
      <c r="I795" s="36"/>
    </row>
    <row r="796" spans="1:9" x14ac:dyDescent="0.3">
      <c r="A796" s="148"/>
      <c r="D796" s="108"/>
      <c r="E796" s="108"/>
      <c r="F796" s="108"/>
      <c r="G796" s="108"/>
      <c r="H796" s="36"/>
      <c r="I796" s="36"/>
    </row>
    <row r="797" spans="1:9" x14ac:dyDescent="0.3">
      <c r="A797" s="148"/>
      <c r="D797" s="108"/>
      <c r="E797" s="108"/>
      <c r="F797" s="108"/>
      <c r="G797" s="108"/>
      <c r="H797" s="36"/>
      <c r="I797" s="36"/>
    </row>
    <row r="798" spans="1:9" x14ac:dyDescent="0.3">
      <c r="A798" s="148"/>
      <c r="D798" s="108"/>
      <c r="E798" s="108"/>
      <c r="F798" s="108"/>
      <c r="G798" s="108"/>
      <c r="H798" s="36"/>
      <c r="I798" s="36"/>
    </row>
    <row r="799" spans="1:9" x14ac:dyDescent="0.3">
      <c r="A799" s="148"/>
      <c r="D799" s="108"/>
      <c r="E799" s="108"/>
      <c r="F799" s="108"/>
      <c r="G799" s="108"/>
      <c r="H799" s="36"/>
      <c r="I799" s="36"/>
    </row>
    <row r="800" spans="1:9" x14ac:dyDescent="0.3">
      <c r="A800" s="148"/>
      <c r="D800" s="108"/>
      <c r="E800" s="108"/>
      <c r="F800" s="108"/>
      <c r="G800" s="108"/>
      <c r="H800" s="36"/>
      <c r="I800" s="36"/>
    </row>
    <row r="801" spans="1:9" x14ac:dyDescent="0.3">
      <c r="A801" s="148"/>
      <c r="D801" s="108"/>
      <c r="E801" s="108"/>
      <c r="F801" s="108"/>
      <c r="G801" s="108"/>
      <c r="H801" s="36"/>
      <c r="I801" s="36"/>
    </row>
    <row r="802" spans="1:9" x14ac:dyDescent="0.3">
      <c r="A802" s="148"/>
      <c r="D802" s="108"/>
      <c r="E802" s="108"/>
      <c r="F802" s="108"/>
      <c r="G802" s="108"/>
      <c r="H802" s="36"/>
      <c r="I802" s="36"/>
    </row>
    <row r="803" spans="1:9" x14ac:dyDescent="0.3">
      <c r="A803" s="148"/>
      <c r="D803" s="108"/>
      <c r="E803" s="108"/>
      <c r="F803" s="108"/>
      <c r="G803" s="108"/>
      <c r="H803" s="36"/>
      <c r="I803" s="36"/>
    </row>
    <row r="804" spans="1:9" x14ac:dyDescent="0.3">
      <c r="A804" s="148"/>
      <c r="D804" s="108"/>
      <c r="E804" s="108"/>
      <c r="F804" s="108"/>
      <c r="G804" s="108"/>
      <c r="H804" s="36"/>
      <c r="I804" s="36"/>
    </row>
    <row r="805" spans="1:9" x14ac:dyDescent="0.3">
      <c r="A805" s="148"/>
      <c r="D805" s="108"/>
      <c r="E805" s="108"/>
      <c r="F805" s="108"/>
      <c r="G805" s="108"/>
      <c r="H805" s="36"/>
      <c r="I805" s="36"/>
    </row>
    <row r="806" spans="1:9" x14ac:dyDescent="0.3">
      <c r="A806" s="148"/>
      <c r="D806" s="108"/>
      <c r="E806" s="108"/>
      <c r="F806" s="108"/>
      <c r="G806" s="108"/>
      <c r="H806" s="36"/>
      <c r="I806" s="36"/>
    </row>
    <row r="807" spans="1:9" x14ac:dyDescent="0.3">
      <c r="A807" s="148"/>
      <c r="D807" s="108"/>
      <c r="E807" s="108"/>
      <c r="F807" s="108"/>
      <c r="G807" s="108"/>
      <c r="H807" s="36"/>
      <c r="I807" s="36"/>
    </row>
    <row r="808" spans="1:9" x14ac:dyDescent="0.3">
      <c r="A808" s="148"/>
      <c r="D808" s="108"/>
      <c r="E808" s="108"/>
      <c r="F808" s="108"/>
      <c r="G808" s="108"/>
      <c r="H808" s="36"/>
      <c r="I808" s="36"/>
    </row>
    <row r="809" spans="1:9" x14ac:dyDescent="0.3">
      <c r="A809" s="148"/>
      <c r="D809" s="108"/>
      <c r="E809" s="108"/>
      <c r="F809" s="108"/>
      <c r="G809" s="108"/>
      <c r="H809" s="36"/>
      <c r="I809" s="36"/>
    </row>
    <row r="810" spans="1:9" x14ac:dyDescent="0.3">
      <c r="A810" s="148"/>
      <c r="D810" s="108"/>
      <c r="E810" s="108"/>
      <c r="F810" s="108"/>
      <c r="G810" s="108"/>
      <c r="H810" s="36"/>
      <c r="I810" s="36"/>
    </row>
    <row r="811" spans="1:9" x14ac:dyDescent="0.3">
      <c r="A811" s="148"/>
      <c r="D811" s="108"/>
      <c r="E811" s="108"/>
      <c r="F811" s="108"/>
      <c r="G811" s="108"/>
      <c r="H811" s="36"/>
      <c r="I811" s="36"/>
    </row>
    <row r="812" spans="1:9" x14ac:dyDescent="0.3">
      <c r="A812" s="148"/>
      <c r="D812" s="108"/>
      <c r="E812" s="108"/>
      <c r="F812" s="108"/>
      <c r="G812" s="108"/>
      <c r="H812" s="36"/>
      <c r="I812" s="36"/>
    </row>
    <row r="813" spans="1:9" x14ac:dyDescent="0.3">
      <c r="A813" s="148"/>
      <c r="D813" s="108"/>
      <c r="E813" s="108"/>
      <c r="F813" s="108"/>
      <c r="G813" s="108"/>
      <c r="H813" s="36"/>
      <c r="I813" s="36"/>
    </row>
    <row r="814" spans="1:9" x14ac:dyDescent="0.3">
      <c r="A814" s="148"/>
      <c r="D814" s="108"/>
      <c r="E814" s="108"/>
      <c r="F814" s="108"/>
      <c r="G814" s="108"/>
      <c r="H814" s="36"/>
      <c r="I814" s="36"/>
    </row>
    <row r="815" spans="1:9" x14ac:dyDescent="0.3">
      <c r="A815" s="148"/>
      <c r="D815" s="108"/>
      <c r="E815" s="108"/>
      <c r="F815" s="108"/>
      <c r="G815" s="108"/>
      <c r="H815" s="36"/>
      <c r="I815" s="36"/>
    </row>
    <row r="816" spans="1:9" x14ac:dyDescent="0.3">
      <c r="A816" s="148"/>
      <c r="D816" s="108"/>
      <c r="E816" s="108"/>
      <c r="F816" s="108"/>
      <c r="G816" s="108"/>
      <c r="H816" s="36"/>
      <c r="I816" s="36"/>
    </row>
    <row r="817" spans="1:9" x14ac:dyDescent="0.3">
      <c r="A817" s="148"/>
      <c r="D817" s="108"/>
      <c r="E817" s="108"/>
      <c r="F817" s="108"/>
      <c r="G817" s="108"/>
      <c r="H817" s="36"/>
      <c r="I817" s="36"/>
    </row>
    <row r="818" spans="1:9" x14ac:dyDescent="0.3">
      <c r="A818" s="148"/>
      <c r="D818" s="108"/>
      <c r="E818" s="108"/>
      <c r="F818" s="108"/>
      <c r="G818" s="108"/>
      <c r="H818" s="36"/>
      <c r="I818" s="36"/>
    </row>
    <row r="819" spans="1:9" x14ac:dyDescent="0.3">
      <c r="A819" s="148"/>
      <c r="D819" s="108"/>
      <c r="E819" s="108"/>
      <c r="F819" s="108"/>
      <c r="G819" s="108"/>
      <c r="H819" s="36"/>
      <c r="I819" s="36"/>
    </row>
    <row r="820" spans="1:9" x14ac:dyDescent="0.3">
      <c r="A820" s="148"/>
      <c r="D820" s="108"/>
      <c r="E820" s="108"/>
      <c r="F820" s="108"/>
      <c r="G820" s="108"/>
      <c r="H820" s="36"/>
      <c r="I820" s="36"/>
    </row>
    <row r="821" spans="1:9" x14ac:dyDescent="0.3">
      <c r="A821" s="148"/>
      <c r="D821" s="108"/>
      <c r="E821" s="108"/>
      <c r="F821" s="108"/>
      <c r="G821" s="108"/>
      <c r="H821" s="36"/>
      <c r="I821" s="36"/>
    </row>
    <row r="822" spans="1:9" x14ac:dyDescent="0.3">
      <c r="A822" s="148"/>
      <c r="D822" s="108"/>
      <c r="E822" s="108"/>
      <c r="F822" s="108"/>
      <c r="G822" s="108"/>
      <c r="H822" s="36"/>
      <c r="I822" s="36"/>
    </row>
    <row r="823" spans="1:9" x14ac:dyDescent="0.3">
      <c r="A823" s="148"/>
      <c r="D823" s="108"/>
      <c r="E823" s="108"/>
      <c r="F823" s="108"/>
      <c r="G823" s="108"/>
      <c r="H823" s="36"/>
      <c r="I823" s="36"/>
    </row>
    <row r="824" spans="1:9" x14ac:dyDescent="0.3">
      <c r="A824" s="148"/>
      <c r="D824" s="108"/>
      <c r="E824" s="108"/>
      <c r="F824" s="108"/>
      <c r="G824" s="108"/>
      <c r="H824" s="36"/>
      <c r="I824" s="36"/>
    </row>
    <row r="825" spans="1:9" x14ac:dyDescent="0.3">
      <c r="A825" s="148"/>
      <c r="D825" s="108"/>
      <c r="E825" s="108"/>
      <c r="F825" s="108"/>
      <c r="G825" s="108"/>
      <c r="H825" s="36"/>
      <c r="I825" s="36"/>
    </row>
    <row r="826" spans="1:9" x14ac:dyDescent="0.3">
      <c r="A826" s="148"/>
      <c r="D826" s="108"/>
      <c r="E826" s="108"/>
      <c r="F826" s="108"/>
      <c r="G826" s="108"/>
      <c r="H826" s="36"/>
      <c r="I826" s="36"/>
    </row>
    <row r="827" spans="1:9" x14ac:dyDescent="0.3">
      <c r="A827" s="148"/>
      <c r="D827" s="108"/>
      <c r="E827" s="108"/>
      <c r="F827" s="108"/>
      <c r="G827" s="108"/>
      <c r="H827" s="36"/>
      <c r="I827" s="36"/>
    </row>
    <row r="828" spans="1:9" x14ac:dyDescent="0.3">
      <c r="A828" s="148"/>
      <c r="D828" s="108"/>
      <c r="E828" s="108"/>
      <c r="F828" s="108"/>
      <c r="G828" s="108"/>
      <c r="H828" s="36"/>
      <c r="I828" s="36"/>
    </row>
    <row r="829" spans="1:9" x14ac:dyDescent="0.3">
      <c r="A829" s="148"/>
      <c r="D829" s="108"/>
      <c r="E829" s="108"/>
      <c r="F829" s="108"/>
      <c r="G829" s="108"/>
      <c r="H829" s="36"/>
      <c r="I829" s="36"/>
    </row>
    <row r="830" spans="1:9" x14ac:dyDescent="0.3">
      <c r="A830" s="148"/>
      <c r="D830" s="108"/>
      <c r="E830" s="108"/>
      <c r="F830" s="108"/>
      <c r="G830" s="108"/>
      <c r="H830" s="36"/>
      <c r="I830" s="36"/>
    </row>
    <row r="831" spans="1:9" x14ac:dyDescent="0.3">
      <c r="A831" s="148"/>
      <c r="D831" s="108"/>
      <c r="E831" s="108"/>
      <c r="F831" s="108"/>
      <c r="G831" s="108"/>
      <c r="H831" s="36"/>
      <c r="I831" s="36"/>
    </row>
    <row r="832" spans="1:9" x14ac:dyDescent="0.3">
      <c r="A832" s="148"/>
      <c r="D832" s="108"/>
      <c r="E832" s="108"/>
      <c r="F832" s="108"/>
      <c r="G832" s="108"/>
      <c r="H832" s="36"/>
      <c r="I832" s="36"/>
    </row>
    <row r="833" spans="1:9" x14ac:dyDescent="0.3">
      <c r="A833" s="148"/>
      <c r="D833" s="108"/>
      <c r="E833" s="108"/>
      <c r="F833" s="108"/>
      <c r="G833" s="108"/>
      <c r="H833" s="36"/>
      <c r="I833" s="36"/>
    </row>
    <row r="834" spans="1:9" x14ac:dyDescent="0.3">
      <c r="A834" s="148"/>
      <c r="D834" s="108"/>
      <c r="E834" s="108"/>
      <c r="F834" s="108"/>
      <c r="G834" s="108"/>
      <c r="H834" s="36"/>
      <c r="I834" s="36"/>
    </row>
    <row r="835" spans="1:9" x14ac:dyDescent="0.3">
      <c r="A835" s="148"/>
      <c r="D835" s="108"/>
      <c r="E835" s="108"/>
      <c r="F835" s="108"/>
      <c r="G835" s="108"/>
      <c r="H835" s="36"/>
      <c r="I835" s="36"/>
    </row>
    <row r="836" spans="1:9" x14ac:dyDescent="0.3">
      <c r="A836" s="148"/>
      <c r="D836" s="108"/>
      <c r="E836" s="108"/>
      <c r="F836" s="108"/>
      <c r="G836" s="108"/>
      <c r="H836" s="36"/>
      <c r="I836" s="36"/>
    </row>
    <row r="837" spans="1:9" x14ac:dyDescent="0.3">
      <c r="A837" s="148"/>
      <c r="D837" s="108"/>
      <c r="E837" s="108"/>
      <c r="F837" s="108"/>
      <c r="G837" s="108"/>
      <c r="H837" s="36"/>
      <c r="I837" s="36"/>
    </row>
    <row r="838" spans="1:9" x14ac:dyDescent="0.3">
      <c r="A838" s="148"/>
      <c r="D838" s="108"/>
      <c r="E838" s="108"/>
      <c r="F838" s="108"/>
      <c r="G838" s="108"/>
      <c r="H838" s="36"/>
      <c r="I838" s="36"/>
    </row>
    <row r="839" spans="1:9" x14ac:dyDescent="0.3">
      <c r="A839" s="148"/>
      <c r="D839" s="108"/>
      <c r="E839" s="108"/>
      <c r="F839" s="108"/>
      <c r="G839" s="108"/>
      <c r="H839" s="36"/>
      <c r="I839" s="36"/>
    </row>
    <row r="840" spans="1:9" x14ac:dyDescent="0.3">
      <c r="A840" s="148"/>
      <c r="D840" s="108"/>
      <c r="E840" s="108"/>
      <c r="F840" s="108"/>
      <c r="G840" s="108"/>
      <c r="H840" s="36"/>
      <c r="I840" s="36"/>
    </row>
    <row r="841" spans="1:9" x14ac:dyDescent="0.3">
      <c r="A841" s="148"/>
      <c r="D841" s="108"/>
      <c r="E841" s="108"/>
      <c r="F841" s="108"/>
      <c r="G841" s="108"/>
      <c r="H841" s="36"/>
      <c r="I841" s="36"/>
    </row>
    <row r="842" spans="1:9" x14ac:dyDescent="0.3">
      <c r="A842" s="148"/>
      <c r="D842" s="108"/>
      <c r="E842" s="108"/>
      <c r="F842" s="108"/>
      <c r="G842" s="108"/>
      <c r="H842" s="36"/>
      <c r="I842" s="36"/>
    </row>
    <row r="843" spans="1:9" x14ac:dyDescent="0.3">
      <c r="A843" s="148"/>
      <c r="D843" s="108"/>
      <c r="E843" s="108"/>
      <c r="F843" s="108"/>
      <c r="G843" s="108"/>
      <c r="H843" s="36"/>
      <c r="I843" s="36"/>
    </row>
    <row r="844" spans="1:9" x14ac:dyDescent="0.3">
      <c r="A844" s="148"/>
      <c r="D844" s="108"/>
      <c r="E844" s="108"/>
      <c r="F844" s="108"/>
      <c r="G844" s="108"/>
      <c r="H844" s="36"/>
      <c r="I844" s="36"/>
    </row>
    <row r="845" spans="1:9" x14ac:dyDescent="0.3">
      <c r="A845" s="148"/>
      <c r="D845" s="108"/>
      <c r="E845" s="108"/>
      <c r="F845" s="108"/>
      <c r="G845" s="108"/>
      <c r="H845" s="36"/>
      <c r="I845" s="36"/>
    </row>
    <row r="846" spans="1:9" x14ac:dyDescent="0.3">
      <c r="A846" s="148"/>
      <c r="D846" s="108"/>
      <c r="E846" s="108"/>
      <c r="F846" s="108"/>
      <c r="G846" s="108"/>
      <c r="H846" s="36"/>
      <c r="I846" s="36"/>
    </row>
    <row r="847" spans="1:9" x14ac:dyDescent="0.3">
      <c r="A847" s="148"/>
      <c r="D847" s="108"/>
      <c r="E847" s="108"/>
      <c r="F847" s="108"/>
      <c r="G847" s="108"/>
      <c r="H847" s="36"/>
      <c r="I847" s="36"/>
    </row>
    <row r="848" spans="1:9" x14ac:dyDescent="0.3">
      <c r="A848" s="148"/>
      <c r="D848" s="108"/>
      <c r="E848" s="108"/>
      <c r="F848" s="108"/>
      <c r="G848" s="108"/>
      <c r="H848" s="36"/>
      <c r="I848" s="36"/>
    </row>
    <row r="849" spans="1:9" x14ac:dyDescent="0.3">
      <c r="A849" s="148"/>
      <c r="D849" s="108"/>
      <c r="E849" s="108"/>
      <c r="F849" s="108"/>
      <c r="G849" s="108"/>
      <c r="H849" s="36"/>
      <c r="I849" s="36"/>
    </row>
    <row r="850" spans="1:9" x14ac:dyDescent="0.3">
      <c r="A850" s="148"/>
      <c r="D850" s="108"/>
      <c r="E850" s="108"/>
      <c r="F850" s="108"/>
      <c r="G850" s="108"/>
      <c r="H850" s="36"/>
      <c r="I850" s="36"/>
    </row>
    <row r="851" spans="1:9" x14ac:dyDescent="0.3">
      <c r="A851" s="148"/>
      <c r="D851" s="108"/>
      <c r="E851" s="108"/>
      <c r="F851" s="108"/>
      <c r="G851" s="108"/>
      <c r="H851" s="36"/>
      <c r="I851" s="36"/>
    </row>
    <row r="852" spans="1:9" x14ac:dyDescent="0.3">
      <c r="A852" s="148"/>
      <c r="D852" s="108"/>
      <c r="E852" s="108"/>
      <c r="F852" s="108"/>
      <c r="G852" s="108"/>
      <c r="H852" s="36"/>
      <c r="I852" s="36"/>
    </row>
    <row r="853" spans="1:9" x14ac:dyDescent="0.3">
      <c r="A853" s="148"/>
      <c r="D853" s="108"/>
      <c r="E853" s="108"/>
      <c r="F853" s="108"/>
      <c r="G853" s="108"/>
      <c r="H853" s="36"/>
      <c r="I853" s="36"/>
    </row>
    <row r="854" spans="1:9" x14ac:dyDescent="0.3">
      <c r="A854" s="148"/>
      <c r="D854" s="108"/>
      <c r="E854" s="108"/>
      <c r="F854" s="108"/>
      <c r="G854" s="108"/>
      <c r="H854" s="36"/>
      <c r="I854" s="36"/>
    </row>
    <row r="855" spans="1:9" x14ac:dyDescent="0.3">
      <c r="A855" s="148"/>
      <c r="D855" s="108"/>
      <c r="E855" s="108"/>
      <c r="F855" s="108"/>
      <c r="G855" s="108"/>
      <c r="H855" s="36"/>
      <c r="I855" s="36"/>
    </row>
    <row r="856" spans="1:9" x14ac:dyDescent="0.3">
      <c r="A856" s="148"/>
      <c r="D856" s="108"/>
      <c r="E856" s="108"/>
      <c r="F856" s="108"/>
      <c r="G856" s="108"/>
      <c r="H856" s="36"/>
      <c r="I856" s="36"/>
    </row>
    <row r="857" spans="1:9" x14ac:dyDescent="0.3">
      <c r="A857" s="148"/>
      <c r="D857" s="108"/>
      <c r="E857" s="108"/>
      <c r="F857" s="108"/>
      <c r="G857" s="108"/>
      <c r="H857" s="36"/>
      <c r="I857" s="36"/>
    </row>
    <row r="858" spans="1:9" x14ac:dyDescent="0.3">
      <c r="A858" s="148"/>
      <c r="D858" s="108"/>
      <c r="E858" s="108"/>
      <c r="F858" s="108"/>
      <c r="G858" s="108"/>
      <c r="H858" s="36"/>
      <c r="I858" s="36"/>
    </row>
    <row r="859" spans="1:9" x14ac:dyDescent="0.3">
      <c r="A859" s="148"/>
      <c r="D859" s="108"/>
      <c r="E859" s="108"/>
      <c r="F859" s="108"/>
      <c r="G859" s="108"/>
      <c r="H859" s="36"/>
      <c r="I859" s="36"/>
    </row>
    <row r="860" spans="1:9" x14ac:dyDescent="0.3">
      <c r="A860" s="148"/>
      <c r="D860" s="108"/>
      <c r="E860" s="108"/>
      <c r="F860" s="108"/>
      <c r="G860" s="108"/>
      <c r="H860" s="36"/>
      <c r="I860" s="36"/>
    </row>
    <row r="861" spans="1:9" x14ac:dyDescent="0.3">
      <c r="A861" s="148"/>
      <c r="D861" s="108"/>
      <c r="E861" s="108"/>
      <c r="F861" s="108"/>
      <c r="G861" s="108"/>
      <c r="H861" s="36"/>
      <c r="I861" s="36"/>
    </row>
    <row r="862" spans="1:9" x14ac:dyDescent="0.3">
      <c r="A862" s="148"/>
      <c r="D862" s="108"/>
      <c r="E862" s="108"/>
      <c r="F862" s="108"/>
      <c r="G862" s="108"/>
      <c r="H862" s="36"/>
      <c r="I862" s="36"/>
    </row>
    <row r="863" spans="1:9" x14ac:dyDescent="0.3">
      <c r="A863" s="148"/>
      <c r="D863" s="108"/>
      <c r="E863" s="108"/>
      <c r="F863" s="108"/>
      <c r="G863" s="108"/>
      <c r="H863" s="36"/>
      <c r="I863" s="36"/>
    </row>
    <row r="864" spans="1:9" x14ac:dyDescent="0.3">
      <c r="A864" s="148"/>
      <c r="D864" s="108"/>
      <c r="E864" s="108"/>
      <c r="F864" s="108"/>
      <c r="G864" s="108"/>
      <c r="H864" s="36"/>
      <c r="I864" s="36"/>
    </row>
    <row r="865" spans="1:9" x14ac:dyDescent="0.3">
      <c r="A865" s="148"/>
      <c r="D865" s="108"/>
      <c r="E865" s="108"/>
      <c r="F865" s="108"/>
      <c r="G865" s="108"/>
      <c r="H865" s="36"/>
      <c r="I865" s="36"/>
    </row>
    <row r="866" spans="1:9" x14ac:dyDescent="0.3">
      <c r="A866" s="148"/>
      <c r="D866" s="108"/>
      <c r="E866" s="108"/>
      <c r="F866" s="108"/>
      <c r="G866" s="108"/>
      <c r="H866" s="36"/>
      <c r="I866" s="36"/>
    </row>
    <row r="867" spans="1:9" x14ac:dyDescent="0.3">
      <c r="A867" s="148"/>
      <c r="D867" s="108"/>
      <c r="E867" s="108"/>
      <c r="F867" s="108"/>
      <c r="G867" s="108"/>
      <c r="H867" s="36"/>
      <c r="I867" s="36"/>
    </row>
    <row r="868" spans="1:9" x14ac:dyDescent="0.3">
      <c r="A868" s="148"/>
      <c r="D868" s="108"/>
      <c r="E868" s="108"/>
      <c r="F868" s="108"/>
      <c r="G868" s="108"/>
      <c r="H868" s="36"/>
      <c r="I868" s="36"/>
    </row>
    <row r="869" spans="1:9" x14ac:dyDescent="0.3">
      <c r="A869" s="148"/>
      <c r="D869" s="108"/>
      <c r="E869" s="108"/>
      <c r="F869" s="108"/>
      <c r="G869" s="108"/>
      <c r="H869" s="36"/>
      <c r="I869" s="36"/>
    </row>
    <row r="870" spans="1:9" x14ac:dyDescent="0.3">
      <c r="A870" s="148"/>
      <c r="D870" s="108"/>
      <c r="E870" s="108"/>
      <c r="F870" s="108"/>
      <c r="G870" s="108"/>
      <c r="H870" s="36"/>
      <c r="I870" s="36"/>
    </row>
    <row r="871" spans="1:9" x14ac:dyDescent="0.3">
      <c r="A871" s="148"/>
      <c r="D871" s="108"/>
      <c r="E871" s="108"/>
      <c r="F871" s="108"/>
      <c r="G871" s="108"/>
      <c r="H871" s="36"/>
      <c r="I871" s="36"/>
    </row>
    <row r="872" spans="1:9" x14ac:dyDescent="0.3">
      <c r="A872" s="148"/>
      <c r="D872" s="108"/>
      <c r="E872" s="108"/>
      <c r="F872" s="108"/>
      <c r="G872" s="108"/>
      <c r="H872" s="36"/>
      <c r="I872" s="36"/>
    </row>
    <row r="873" spans="1:9" x14ac:dyDescent="0.3">
      <c r="A873" s="148"/>
      <c r="D873" s="108"/>
      <c r="E873" s="108"/>
      <c r="F873" s="108"/>
      <c r="G873" s="108"/>
      <c r="H873" s="36"/>
      <c r="I873" s="36"/>
    </row>
    <row r="874" spans="1:9" x14ac:dyDescent="0.3">
      <c r="A874" s="148"/>
      <c r="D874" s="108"/>
      <c r="E874" s="108"/>
      <c r="F874" s="108"/>
      <c r="G874" s="108"/>
      <c r="H874" s="36"/>
      <c r="I874" s="36"/>
    </row>
    <row r="875" spans="1:9" x14ac:dyDescent="0.3">
      <c r="A875" s="148"/>
      <c r="D875" s="108"/>
      <c r="E875" s="108"/>
      <c r="F875" s="108"/>
      <c r="G875" s="108"/>
      <c r="H875" s="36"/>
      <c r="I875" s="36"/>
    </row>
    <row r="876" spans="1:9" x14ac:dyDescent="0.3">
      <c r="A876" s="148"/>
      <c r="D876" s="108"/>
      <c r="E876" s="108"/>
      <c r="F876" s="108"/>
      <c r="G876" s="108"/>
      <c r="H876" s="36"/>
      <c r="I876" s="36"/>
    </row>
    <row r="877" spans="1:9" x14ac:dyDescent="0.3">
      <c r="A877" s="148"/>
      <c r="D877" s="108"/>
      <c r="E877" s="108"/>
      <c r="F877" s="108"/>
      <c r="G877" s="108"/>
      <c r="H877" s="36"/>
      <c r="I877" s="36"/>
    </row>
    <row r="878" spans="1:9" x14ac:dyDescent="0.3">
      <c r="A878" s="148"/>
      <c r="D878" s="108"/>
      <c r="E878" s="108"/>
      <c r="F878" s="108"/>
      <c r="G878" s="108"/>
      <c r="H878" s="36"/>
      <c r="I878" s="36"/>
    </row>
    <row r="879" spans="1:9" x14ac:dyDescent="0.3">
      <c r="A879" s="148"/>
      <c r="D879" s="108"/>
      <c r="E879" s="108"/>
      <c r="F879" s="108"/>
      <c r="G879" s="108"/>
      <c r="H879" s="36"/>
      <c r="I879" s="36"/>
    </row>
    <row r="880" spans="1:9" x14ac:dyDescent="0.3">
      <c r="A880" s="148"/>
      <c r="D880" s="108"/>
      <c r="E880" s="108"/>
      <c r="F880" s="108"/>
      <c r="G880" s="108"/>
      <c r="H880" s="36"/>
      <c r="I880" s="36"/>
    </row>
    <row r="881" spans="1:9" x14ac:dyDescent="0.3">
      <c r="A881" s="148"/>
      <c r="D881" s="108"/>
      <c r="E881" s="108"/>
      <c r="F881" s="108"/>
      <c r="G881" s="108"/>
      <c r="H881" s="36"/>
      <c r="I881" s="36"/>
    </row>
    <row r="882" spans="1:9" x14ac:dyDescent="0.3">
      <c r="A882" s="148"/>
      <c r="D882" s="108"/>
      <c r="E882" s="108"/>
      <c r="F882" s="108"/>
      <c r="G882" s="108"/>
      <c r="H882" s="36"/>
      <c r="I882" s="36"/>
    </row>
    <row r="883" spans="1:9" x14ac:dyDescent="0.3">
      <c r="A883" s="148"/>
      <c r="D883" s="108"/>
      <c r="E883" s="108"/>
      <c r="F883" s="108"/>
      <c r="G883" s="108"/>
      <c r="H883" s="36"/>
      <c r="I883" s="36"/>
    </row>
    <row r="884" spans="1:9" x14ac:dyDescent="0.3">
      <c r="A884" s="148"/>
      <c r="D884" s="108"/>
      <c r="E884" s="108"/>
      <c r="F884" s="108"/>
      <c r="G884" s="108"/>
      <c r="H884" s="36"/>
      <c r="I884" s="36"/>
    </row>
    <row r="885" spans="1:9" x14ac:dyDescent="0.3">
      <c r="A885" s="148"/>
      <c r="D885" s="108"/>
      <c r="E885" s="108"/>
      <c r="F885" s="108"/>
      <c r="G885" s="108"/>
      <c r="H885" s="36"/>
      <c r="I885" s="36"/>
    </row>
    <row r="886" spans="1:9" x14ac:dyDescent="0.3">
      <c r="A886" s="148"/>
      <c r="D886" s="108"/>
      <c r="E886" s="108"/>
      <c r="F886" s="108"/>
      <c r="G886" s="108"/>
      <c r="H886" s="36"/>
      <c r="I886" s="36"/>
    </row>
    <row r="887" spans="1:9" x14ac:dyDescent="0.3">
      <c r="A887" s="148"/>
      <c r="D887" s="108"/>
      <c r="E887" s="108"/>
      <c r="F887" s="108"/>
      <c r="G887" s="108"/>
      <c r="H887" s="36"/>
      <c r="I887" s="36"/>
    </row>
    <row r="888" spans="1:9" x14ac:dyDescent="0.3">
      <c r="A888" s="148"/>
      <c r="D888" s="108"/>
      <c r="E888" s="108"/>
      <c r="F888" s="108"/>
      <c r="G888" s="108"/>
      <c r="H888" s="36"/>
      <c r="I888" s="36"/>
    </row>
    <row r="889" spans="1:9" x14ac:dyDescent="0.3">
      <c r="A889" s="148"/>
      <c r="D889" s="108"/>
      <c r="E889" s="108"/>
      <c r="F889" s="108"/>
      <c r="G889" s="108"/>
      <c r="H889" s="36"/>
      <c r="I889" s="36"/>
    </row>
    <row r="890" spans="1:9" x14ac:dyDescent="0.3">
      <c r="A890" s="148"/>
      <c r="D890" s="108"/>
      <c r="E890" s="108"/>
      <c r="F890" s="108"/>
      <c r="G890" s="108"/>
      <c r="H890" s="36"/>
      <c r="I890" s="36"/>
    </row>
    <row r="891" spans="1:9" x14ac:dyDescent="0.3">
      <c r="A891" s="148"/>
      <c r="D891" s="108"/>
      <c r="E891" s="108"/>
      <c r="F891" s="108"/>
      <c r="G891" s="108"/>
      <c r="H891" s="36"/>
      <c r="I891" s="36"/>
    </row>
    <row r="892" spans="1:9" x14ac:dyDescent="0.3">
      <c r="A892" s="148"/>
      <c r="D892" s="108"/>
      <c r="E892" s="108"/>
      <c r="F892" s="108"/>
      <c r="G892" s="108"/>
      <c r="H892" s="36"/>
      <c r="I892" s="36"/>
    </row>
    <row r="893" spans="1:9" x14ac:dyDescent="0.3">
      <c r="A893" s="148"/>
      <c r="D893" s="108"/>
      <c r="E893" s="108"/>
      <c r="F893" s="108"/>
      <c r="G893" s="108"/>
      <c r="H893" s="36"/>
      <c r="I893" s="36"/>
    </row>
    <row r="894" spans="1:9" x14ac:dyDescent="0.3">
      <c r="A894" s="148"/>
      <c r="D894" s="108"/>
      <c r="E894" s="108"/>
      <c r="F894" s="108"/>
      <c r="G894" s="108"/>
      <c r="H894" s="36"/>
      <c r="I894" s="36"/>
    </row>
    <row r="895" spans="1:9" x14ac:dyDescent="0.3">
      <c r="A895" s="148"/>
      <c r="D895" s="108"/>
      <c r="E895" s="108"/>
      <c r="F895" s="108"/>
      <c r="G895" s="108"/>
      <c r="H895" s="36"/>
      <c r="I895" s="36"/>
    </row>
    <row r="896" spans="1:9" x14ac:dyDescent="0.3">
      <c r="A896" s="148"/>
      <c r="D896" s="108"/>
      <c r="E896" s="108"/>
      <c r="F896" s="108"/>
      <c r="G896" s="108"/>
      <c r="H896" s="36"/>
      <c r="I896" s="36"/>
    </row>
    <row r="897" spans="1:9" x14ac:dyDescent="0.3">
      <c r="A897" s="148"/>
      <c r="D897" s="108"/>
      <c r="E897" s="108"/>
      <c r="F897" s="108"/>
      <c r="G897" s="108"/>
      <c r="H897" s="36"/>
      <c r="I897" s="36"/>
    </row>
    <row r="898" spans="1:9" x14ac:dyDescent="0.3">
      <c r="A898" s="148"/>
      <c r="D898" s="108"/>
      <c r="E898" s="108"/>
      <c r="F898" s="108"/>
      <c r="G898" s="108"/>
      <c r="H898" s="36"/>
      <c r="I898" s="36"/>
    </row>
    <row r="899" spans="1:9" x14ac:dyDescent="0.3">
      <c r="A899" s="148"/>
      <c r="D899" s="108"/>
      <c r="E899" s="108"/>
      <c r="F899" s="108"/>
      <c r="G899" s="108"/>
      <c r="H899" s="36"/>
      <c r="I899" s="36"/>
    </row>
    <row r="900" spans="1:9" x14ac:dyDescent="0.3">
      <c r="A900" s="148"/>
      <c r="D900" s="108"/>
      <c r="E900" s="108"/>
      <c r="F900" s="108"/>
      <c r="G900" s="108"/>
      <c r="H900" s="36"/>
      <c r="I900" s="36"/>
    </row>
    <row r="901" spans="1:9" x14ac:dyDescent="0.3">
      <c r="A901" s="148"/>
      <c r="D901" s="108"/>
      <c r="E901" s="108"/>
      <c r="F901" s="108"/>
      <c r="G901" s="108"/>
      <c r="H901" s="36"/>
      <c r="I901" s="36"/>
    </row>
    <row r="902" spans="1:9" x14ac:dyDescent="0.3">
      <c r="A902" s="148"/>
      <c r="D902" s="108"/>
      <c r="E902" s="108"/>
      <c r="F902" s="108"/>
      <c r="G902" s="108"/>
      <c r="H902" s="36"/>
      <c r="I902" s="36"/>
    </row>
    <row r="903" spans="1:9" x14ac:dyDescent="0.3">
      <c r="A903" s="148"/>
      <c r="D903" s="108"/>
      <c r="E903" s="108"/>
      <c r="F903" s="108"/>
      <c r="G903" s="108"/>
      <c r="H903" s="36"/>
      <c r="I903" s="36"/>
    </row>
    <row r="904" spans="1:9" x14ac:dyDescent="0.3">
      <c r="A904" s="148"/>
      <c r="D904" s="108"/>
      <c r="E904" s="108"/>
      <c r="F904" s="108"/>
      <c r="G904" s="108"/>
      <c r="H904" s="36"/>
      <c r="I904" s="36"/>
    </row>
    <row r="905" spans="1:9" x14ac:dyDescent="0.3">
      <c r="A905" s="148"/>
      <c r="D905" s="108"/>
      <c r="E905" s="108"/>
      <c r="F905" s="108"/>
      <c r="G905" s="108"/>
      <c r="H905" s="36"/>
      <c r="I905" s="36"/>
    </row>
    <row r="906" spans="1:9" x14ac:dyDescent="0.3">
      <c r="A906" s="148"/>
      <c r="D906" s="108"/>
      <c r="E906" s="108"/>
      <c r="F906" s="108"/>
      <c r="G906" s="108"/>
      <c r="H906" s="36"/>
      <c r="I906" s="36"/>
    </row>
    <row r="907" spans="1:9" x14ac:dyDescent="0.3">
      <c r="A907" s="148"/>
      <c r="D907" s="108"/>
      <c r="E907" s="108"/>
      <c r="F907" s="108"/>
      <c r="G907" s="108"/>
      <c r="H907" s="36"/>
      <c r="I907" s="36"/>
    </row>
    <row r="908" spans="1:9" x14ac:dyDescent="0.3">
      <c r="A908" s="148"/>
      <c r="D908" s="108"/>
      <c r="E908" s="108"/>
      <c r="F908" s="108"/>
      <c r="G908" s="108"/>
      <c r="H908" s="36"/>
      <c r="I908" s="36"/>
    </row>
    <row r="909" spans="1:9" x14ac:dyDescent="0.3">
      <c r="A909" s="148"/>
      <c r="D909" s="108"/>
      <c r="E909" s="108"/>
      <c r="F909" s="108"/>
      <c r="G909" s="108"/>
      <c r="H909" s="36"/>
      <c r="I909" s="36"/>
    </row>
    <row r="910" spans="1:9" x14ac:dyDescent="0.3">
      <c r="A910" s="148"/>
      <c r="D910" s="108"/>
      <c r="E910" s="108"/>
      <c r="F910" s="108"/>
      <c r="G910" s="108"/>
      <c r="H910" s="36"/>
      <c r="I910" s="36"/>
    </row>
    <row r="911" spans="1:9" x14ac:dyDescent="0.3">
      <c r="A911" s="148"/>
      <c r="D911" s="108"/>
      <c r="E911" s="108"/>
      <c r="F911" s="108"/>
      <c r="G911" s="108"/>
      <c r="H911" s="36"/>
      <c r="I911" s="36"/>
    </row>
    <row r="912" spans="1:9" x14ac:dyDescent="0.3">
      <c r="A912" s="148"/>
      <c r="D912" s="108"/>
      <c r="E912" s="108"/>
      <c r="F912" s="108"/>
      <c r="G912" s="108"/>
      <c r="H912" s="36"/>
      <c r="I912" s="36"/>
    </row>
    <row r="913" spans="1:9" x14ac:dyDescent="0.3">
      <c r="A913" s="148"/>
      <c r="D913" s="108"/>
      <c r="E913" s="108"/>
      <c r="F913" s="108"/>
      <c r="G913" s="108"/>
      <c r="H913" s="36"/>
      <c r="I913" s="36"/>
    </row>
    <row r="914" spans="1:9" x14ac:dyDescent="0.3">
      <c r="A914" s="148"/>
      <c r="D914" s="108"/>
      <c r="E914" s="108"/>
      <c r="F914" s="108"/>
      <c r="G914" s="108"/>
      <c r="H914" s="36"/>
      <c r="I914" s="36"/>
    </row>
    <row r="915" spans="1:9" x14ac:dyDescent="0.3">
      <c r="A915" s="148"/>
      <c r="D915" s="108"/>
      <c r="E915" s="108"/>
      <c r="F915" s="108"/>
      <c r="G915" s="108"/>
      <c r="H915" s="36"/>
      <c r="I915" s="36"/>
    </row>
    <row r="916" spans="1:9" x14ac:dyDescent="0.3">
      <c r="A916" s="148"/>
      <c r="D916" s="108"/>
      <c r="E916" s="108"/>
      <c r="F916" s="108"/>
      <c r="G916" s="108"/>
      <c r="H916" s="36"/>
      <c r="I916" s="36"/>
    </row>
    <row r="917" spans="1:9" x14ac:dyDescent="0.3">
      <c r="A917" s="148"/>
      <c r="D917" s="108"/>
      <c r="E917" s="108"/>
      <c r="F917" s="108"/>
      <c r="G917" s="108"/>
      <c r="H917" s="36"/>
      <c r="I917" s="36"/>
    </row>
    <row r="918" spans="1:9" x14ac:dyDescent="0.3">
      <c r="A918" s="148"/>
      <c r="D918" s="108"/>
      <c r="E918" s="108"/>
      <c r="F918" s="108"/>
      <c r="G918" s="108"/>
      <c r="H918" s="36"/>
      <c r="I918" s="36"/>
    </row>
    <row r="919" spans="1:9" x14ac:dyDescent="0.3">
      <c r="A919" s="148"/>
      <c r="D919" s="108"/>
      <c r="E919" s="108"/>
      <c r="F919" s="108"/>
      <c r="G919" s="108"/>
      <c r="H919" s="36"/>
      <c r="I919" s="36"/>
    </row>
    <row r="920" spans="1:9" x14ac:dyDescent="0.3">
      <c r="A920" s="148"/>
      <c r="D920" s="108"/>
      <c r="E920" s="108"/>
      <c r="F920" s="108"/>
      <c r="G920" s="108"/>
      <c r="H920" s="36"/>
      <c r="I920" s="36"/>
    </row>
    <row r="921" spans="1:9" x14ac:dyDescent="0.3">
      <c r="A921" s="148"/>
      <c r="D921" s="108"/>
      <c r="E921" s="108"/>
      <c r="F921" s="108"/>
      <c r="G921" s="108"/>
      <c r="H921" s="36"/>
      <c r="I921" s="36"/>
    </row>
    <row r="922" spans="1:9" x14ac:dyDescent="0.3">
      <c r="A922" s="148"/>
      <c r="D922" s="108"/>
      <c r="E922" s="108"/>
      <c r="F922" s="108"/>
      <c r="G922" s="108"/>
      <c r="H922" s="36"/>
      <c r="I922" s="36"/>
    </row>
    <row r="923" spans="1:9" x14ac:dyDescent="0.3">
      <c r="A923" s="148"/>
      <c r="D923" s="108"/>
      <c r="E923" s="108"/>
      <c r="F923" s="108"/>
      <c r="G923" s="108"/>
      <c r="H923" s="36"/>
      <c r="I923" s="36"/>
    </row>
    <row r="924" spans="1:9" x14ac:dyDescent="0.3">
      <c r="A924" s="148"/>
      <c r="D924" s="108"/>
      <c r="E924" s="108"/>
      <c r="F924" s="108"/>
      <c r="G924" s="108"/>
      <c r="H924" s="36"/>
      <c r="I924" s="36"/>
    </row>
    <row r="925" spans="1:9" x14ac:dyDescent="0.3">
      <c r="A925" s="148"/>
      <c r="D925" s="108"/>
      <c r="E925" s="108"/>
      <c r="F925" s="108"/>
      <c r="G925" s="108"/>
      <c r="H925" s="36"/>
      <c r="I925" s="36"/>
    </row>
    <row r="926" spans="1:9" x14ac:dyDescent="0.3">
      <c r="A926" s="148"/>
      <c r="D926" s="108"/>
      <c r="E926" s="108"/>
      <c r="F926" s="108"/>
      <c r="G926" s="108"/>
      <c r="H926" s="36"/>
      <c r="I926" s="36"/>
    </row>
    <row r="927" spans="1:9" x14ac:dyDescent="0.3">
      <c r="A927" s="148"/>
      <c r="D927" s="108"/>
      <c r="E927" s="108"/>
      <c r="F927" s="108"/>
      <c r="G927" s="108"/>
      <c r="H927" s="36"/>
      <c r="I927" s="36"/>
    </row>
    <row r="928" spans="1:9" x14ac:dyDescent="0.3">
      <c r="A928" s="148"/>
      <c r="D928" s="108"/>
      <c r="E928" s="108"/>
      <c r="F928" s="108"/>
      <c r="G928" s="108"/>
      <c r="H928" s="36"/>
      <c r="I928" s="36"/>
    </row>
    <row r="929" spans="1:9" x14ac:dyDescent="0.3">
      <c r="A929" s="148"/>
      <c r="D929" s="108"/>
      <c r="E929" s="108"/>
      <c r="F929" s="108"/>
      <c r="G929" s="108"/>
      <c r="H929" s="36"/>
      <c r="I929" s="36"/>
    </row>
    <row r="930" spans="1:9" x14ac:dyDescent="0.3">
      <c r="A930" s="148"/>
      <c r="D930" s="108"/>
      <c r="E930" s="108"/>
      <c r="F930" s="108"/>
      <c r="G930" s="108"/>
      <c r="H930" s="36"/>
      <c r="I930" s="36"/>
    </row>
    <row r="931" spans="1:9" x14ac:dyDescent="0.3">
      <c r="A931" s="148"/>
      <c r="D931" s="108"/>
      <c r="E931" s="108"/>
      <c r="F931" s="108"/>
      <c r="G931" s="108"/>
      <c r="H931" s="36"/>
      <c r="I931" s="36"/>
    </row>
    <row r="932" spans="1:9" x14ac:dyDescent="0.3">
      <c r="A932" s="148"/>
      <c r="D932" s="108"/>
      <c r="E932" s="108"/>
      <c r="F932" s="108"/>
      <c r="G932" s="108"/>
      <c r="H932" s="36"/>
      <c r="I932" s="36"/>
    </row>
    <row r="933" spans="1:9" x14ac:dyDescent="0.3">
      <c r="A933" s="148"/>
      <c r="D933" s="108"/>
      <c r="E933" s="108"/>
      <c r="F933" s="108"/>
      <c r="G933" s="108"/>
      <c r="H933" s="36"/>
      <c r="I933" s="36"/>
    </row>
    <row r="934" spans="1:9" x14ac:dyDescent="0.3">
      <c r="A934" s="148"/>
      <c r="D934" s="108"/>
      <c r="E934" s="108"/>
      <c r="F934" s="108"/>
      <c r="G934" s="108"/>
      <c r="H934" s="36"/>
      <c r="I934" s="36"/>
    </row>
    <row r="935" spans="1:9" x14ac:dyDescent="0.3">
      <c r="A935" s="148"/>
      <c r="D935" s="108"/>
      <c r="E935" s="108"/>
      <c r="F935" s="108"/>
      <c r="G935" s="108"/>
      <c r="H935" s="36"/>
      <c r="I935" s="36"/>
    </row>
    <row r="936" spans="1:9" x14ac:dyDescent="0.3">
      <c r="A936" s="148"/>
      <c r="D936" s="108"/>
      <c r="E936" s="108"/>
      <c r="F936" s="108"/>
      <c r="G936" s="108"/>
      <c r="H936" s="36"/>
      <c r="I936" s="36"/>
    </row>
    <row r="937" spans="1:9" x14ac:dyDescent="0.3">
      <c r="A937" s="148"/>
      <c r="D937" s="108"/>
      <c r="E937" s="108"/>
      <c r="F937" s="108"/>
      <c r="G937" s="108"/>
      <c r="H937" s="36"/>
      <c r="I937" s="36"/>
    </row>
    <row r="938" spans="1:9" x14ac:dyDescent="0.3">
      <c r="A938" s="148"/>
      <c r="D938" s="108"/>
      <c r="E938" s="108"/>
      <c r="F938" s="108"/>
      <c r="G938" s="108"/>
      <c r="H938" s="36"/>
      <c r="I938" s="36"/>
    </row>
    <row r="939" spans="1:9" x14ac:dyDescent="0.3">
      <c r="A939" s="148"/>
      <c r="D939" s="108"/>
      <c r="E939" s="108"/>
      <c r="F939" s="108"/>
      <c r="G939" s="108"/>
      <c r="H939" s="36"/>
      <c r="I939" s="36"/>
    </row>
    <row r="940" spans="1:9" x14ac:dyDescent="0.3">
      <c r="A940" s="148"/>
      <c r="D940" s="108"/>
      <c r="E940" s="108"/>
      <c r="F940" s="108"/>
      <c r="G940" s="108"/>
      <c r="H940" s="36"/>
      <c r="I940" s="36"/>
    </row>
    <row r="941" spans="1:9" x14ac:dyDescent="0.3">
      <c r="A941" s="148"/>
      <c r="D941" s="108"/>
      <c r="E941" s="108"/>
      <c r="F941" s="108"/>
      <c r="G941" s="108"/>
      <c r="H941" s="36"/>
      <c r="I941" s="36"/>
    </row>
    <row r="942" spans="1:9" x14ac:dyDescent="0.3">
      <c r="A942" s="148"/>
      <c r="D942" s="108"/>
      <c r="E942" s="108"/>
      <c r="F942" s="108"/>
      <c r="G942" s="108"/>
      <c r="H942" s="36"/>
      <c r="I942" s="36"/>
    </row>
    <row r="943" spans="1:9" x14ac:dyDescent="0.3">
      <c r="A943" s="148"/>
      <c r="D943" s="108"/>
      <c r="E943" s="108"/>
      <c r="F943" s="108"/>
      <c r="G943" s="108"/>
      <c r="H943" s="36"/>
      <c r="I943" s="36"/>
    </row>
    <row r="944" spans="1:9" x14ac:dyDescent="0.3">
      <c r="A944" s="148"/>
      <c r="D944" s="108"/>
      <c r="E944" s="108"/>
      <c r="F944" s="108"/>
      <c r="G944" s="108"/>
      <c r="H944" s="36"/>
      <c r="I944" s="36"/>
    </row>
    <row r="945" spans="1:9" x14ac:dyDescent="0.3">
      <c r="A945" s="148"/>
      <c r="D945" s="108"/>
      <c r="E945" s="108"/>
      <c r="F945" s="108"/>
      <c r="G945" s="108"/>
      <c r="H945" s="36"/>
      <c r="I945" s="36"/>
    </row>
    <row r="946" spans="1:9" x14ac:dyDescent="0.3">
      <c r="A946" s="148"/>
      <c r="D946" s="108"/>
      <c r="E946" s="108"/>
      <c r="F946" s="108"/>
      <c r="G946" s="108"/>
      <c r="H946" s="36"/>
      <c r="I946" s="36"/>
    </row>
    <row r="947" spans="1:9" x14ac:dyDescent="0.3">
      <c r="A947" s="148"/>
      <c r="D947" s="108"/>
      <c r="E947" s="108"/>
      <c r="F947" s="108"/>
      <c r="G947" s="108"/>
      <c r="H947" s="36"/>
      <c r="I947" s="36"/>
    </row>
    <row r="948" spans="1:9" x14ac:dyDescent="0.3">
      <c r="A948" s="148"/>
      <c r="D948" s="108"/>
      <c r="E948" s="108"/>
      <c r="F948" s="108"/>
      <c r="G948" s="108"/>
      <c r="H948" s="36"/>
      <c r="I948" s="36"/>
    </row>
    <row r="949" spans="1:9" x14ac:dyDescent="0.3">
      <c r="A949" s="148"/>
      <c r="D949" s="108"/>
      <c r="E949" s="108"/>
      <c r="F949" s="108"/>
      <c r="G949" s="108"/>
      <c r="H949" s="36"/>
      <c r="I949" s="36"/>
    </row>
    <row r="950" spans="1:9" x14ac:dyDescent="0.3">
      <c r="A950" s="148"/>
      <c r="D950" s="108"/>
      <c r="E950" s="108"/>
      <c r="F950" s="108"/>
      <c r="G950" s="108"/>
      <c r="H950" s="36"/>
      <c r="I950" s="36"/>
    </row>
    <row r="951" spans="1:9" x14ac:dyDescent="0.3">
      <c r="A951" s="148"/>
      <c r="D951" s="108"/>
      <c r="E951" s="108"/>
      <c r="F951" s="108"/>
      <c r="G951" s="108"/>
      <c r="H951" s="36"/>
      <c r="I951" s="36"/>
    </row>
    <row r="952" spans="1:9" x14ac:dyDescent="0.3">
      <c r="A952" s="148"/>
      <c r="D952" s="108"/>
      <c r="E952" s="108"/>
      <c r="F952" s="108"/>
      <c r="G952" s="108"/>
      <c r="H952" s="36"/>
      <c r="I952" s="36"/>
    </row>
    <row r="953" spans="1:9" x14ac:dyDescent="0.3">
      <c r="A953" s="148"/>
      <c r="D953" s="108"/>
      <c r="E953" s="108"/>
      <c r="F953" s="108"/>
      <c r="G953" s="108"/>
      <c r="H953" s="36"/>
      <c r="I953" s="36"/>
    </row>
    <row r="954" spans="1:9" x14ac:dyDescent="0.3">
      <c r="A954" s="148"/>
      <c r="D954" s="108"/>
      <c r="E954" s="108"/>
      <c r="F954" s="108"/>
      <c r="G954" s="108"/>
      <c r="H954" s="36"/>
      <c r="I954" s="36"/>
    </row>
    <row r="955" spans="1:9" x14ac:dyDescent="0.3">
      <c r="A955" s="148"/>
      <c r="D955" s="108"/>
      <c r="E955" s="108"/>
      <c r="F955" s="108"/>
      <c r="G955" s="108"/>
      <c r="H955" s="36"/>
      <c r="I955" s="36"/>
    </row>
    <row r="956" spans="1:9" x14ac:dyDescent="0.3">
      <c r="A956" s="148"/>
      <c r="D956" s="108"/>
      <c r="E956" s="108"/>
      <c r="F956" s="108"/>
      <c r="G956" s="108"/>
      <c r="H956" s="36"/>
      <c r="I956" s="36"/>
    </row>
    <row r="957" spans="1:9" x14ac:dyDescent="0.3">
      <c r="A957" s="148"/>
      <c r="D957" s="108"/>
      <c r="E957" s="108"/>
      <c r="F957" s="108"/>
      <c r="G957" s="108"/>
      <c r="H957" s="36"/>
      <c r="I957" s="36"/>
    </row>
    <row r="958" spans="1:9" x14ac:dyDescent="0.3">
      <c r="A958" s="148"/>
      <c r="D958" s="108"/>
      <c r="E958" s="108"/>
      <c r="F958" s="108"/>
      <c r="G958" s="108"/>
      <c r="H958" s="36"/>
      <c r="I958" s="36"/>
    </row>
    <row r="959" spans="1:9" x14ac:dyDescent="0.3">
      <c r="A959" s="148"/>
      <c r="D959" s="108"/>
      <c r="E959" s="108"/>
      <c r="F959" s="108"/>
      <c r="G959" s="108"/>
      <c r="H959" s="36"/>
      <c r="I959" s="36"/>
    </row>
    <row r="960" spans="1:9" x14ac:dyDescent="0.3">
      <c r="A960" s="148"/>
      <c r="D960" s="108"/>
      <c r="E960" s="108"/>
      <c r="F960" s="108"/>
      <c r="G960" s="108"/>
      <c r="H960" s="36"/>
      <c r="I960" s="36"/>
    </row>
    <row r="961" spans="1:9" x14ac:dyDescent="0.3">
      <c r="A961" s="148"/>
      <c r="D961" s="108"/>
      <c r="E961" s="108"/>
      <c r="F961" s="108"/>
      <c r="G961" s="108"/>
      <c r="H961" s="36"/>
      <c r="I961" s="36"/>
    </row>
    <row r="962" spans="1:9" x14ac:dyDescent="0.3">
      <c r="A962" s="148"/>
      <c r="D962" s="108"/>
      <c r="E962" s="108"/>
      <c r="F962" s="108"/>
      <c r="G962" s="108"/>
      <c r="H962" s="36"/>
      <c r="I962" s="36"/>
    </row>
    <row r="963" spans="1:9" x14ac:dyDescent="0.3">
      <c r="A963" s="148"/>
      <c r="D963" s="108"/>
      <c r="E963" s="108"/>
      <c r="F963" s="108"/>
      <c r="G963" s="108"/>
      <c r="H963" s="36"/>
      <c r="I963" s="36"/>
    </row>
    <row r="964" spans="1:9" x14ac:dyDescent="0.3">
      <c r="A964" s="148"/>
      <c r="D964" s="108"/>
      <c r="E964" s="108"/>
      <c r="F964" s="108"/>
      <c r="G964" s="108"/>
      <c r="H964" s="36"/>
      <c r="I964" s="36"/>
    </row>
    <row r="965" spans="1:9" x14ac:dyDescent="0.3">
      <c r="A965" s="148"/>
      <c r="D965" s="108"/>
      <c r="E965" s="108"/>
      <c r="F965" s="108"/>
      <c r="G965" s="108"/>
      <c r="H965" s="36"/>
      <c r="I965" s="36"/>
    </row>
    <row r="966" spans="1:9" x14ac:dyDescent="0.3">
      <c r="A966" s="148"/>
      <c r="D966" s="108"/>
      <c r="E966" s="108"/>
      <c r="F966" s="108"/>
      <c r="G966" s="108"/>
      <c r="H966" s="36"/>
      <c r="I966" s="36"/>
    </row>
    <row r="967" spans="1:9" x14ac:dyDescent="0.3">
      <c r="A967" s="148"/>
      <c r="D967" s="108"/>
      <c r="E967" s="108"/>
      <c r="F967" s="108"/>
      <c r="G967" s="108"/>
      <c r="H967" s="36"/>
      <c r="I967" s="36"/>
    </row>
    <row r="968" spans="1:9" x14ac:dyDescent="0.3">
      <c r="A968" s="148"/>
      <c r="D968" s="108"/>
      <c r="E968" s="108"/>
      <c r="F968" s="108"/>
      <c r="G968" s="108"/>
      <c r="H968" s="36"/>
      <c r="I968" s="36"/>
    </row>
    <row r="969" spans="1:9" x14ac:dyDescent="0.3">
      <c r="A969" s="148"/>
      <c r="D969" s="108"/>
      <c r="E969" s="108"/>
      <c r="F969" s="108"/>
      <c r="G969" s="108"/>
      <c r="H969" s="36"/>
      <c r="I969" s="36"/>
    </row>
  </sheetData>
  <autoFilter ref="A1:J56" xr:uid="{6CFBC524-4DFC-416B-9428-CCA0CF8EDCE4}"/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K25:X2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F34D-D2C3-489F-B317-AA0410107921}">
  <dimension ref="A2:U30"/>
  <sheetViews>
    <sheetView view="pageBreakPreview" zoomScale="80" zoomScaleNormal="57" zoomScaleSheetLayoutView="80" workbookViewId="0">
      <selection activeCell="D10" sqref="D10"/>
    </sheetView>
  </sheetViews>
  <sheetFormatPr defaultColWidth="8.77734375" defaultRowHeight="15.6" x14ac:dyDescent="0.3"/>
  <cols>
    <col min="1" max="1" width="3.77734375" style="260" bestFit="1" customWidth="1"/>
    <col min="2" max="2" width="90.88671875" style="260" bestFit="1" customWidth="1"/>
    <col min="3" max="3" width="16.77734375" style="260" bestFit="1" customWidth="1"/>
    <col min="4" max="15" width="13.5546875" style="260" bestFit="1" customWidth="1"/>
    <col min="16" max="16" width="15.21875" style="260" bestFit="1" customWidth="1"/>
    <col min="17" max="17" width="28.88671875" style="260" bestFit="1" customWidth="1"/>
    <col min="18" max="18" width="15.21875" style="260" bestFit="1" customWidth="1"/>
    <col min="19" max="19" width="22.6640625" style="260" customWidth="1"/>
    <col min="20" max="20" width="18.77734375" style="260" customWidth="1"/>
    <col min="21" max="22" width="8.77734375" style="260"/>
    <col min="23" max="23" width="17.77734375" style="260" customWidth="1"/>
    <col min="24" max="16384" width="8.77734375" style="260"/>
  </cols>
  <sheetData>
    <row r="2" spans="1:21" x14ac:dyDescent="0.3">
      <c r="A2" s="348" t="s">
        <v>1382</v>
      </c>
      <c r="B2" s="348" t="s">
        <v>1383</v>
      </c>
      <c r="C2" s="349" t="s">
        <v>1384</v>
      </c>
      <c r="D2" s="350" t="s">
        <v>1408</v>
      </c>
      <c r="E2" s="347">
        <v>44378</v>
      </c>
      <c r="F2" s="347">
        <v>44409</v>
      </c>
      <c r="G2" s="347">
        <v>44440</v>
      </c>
      <c r="H2" s="347">
        <v>44470</v>
      </c>
      <c r="I2" s="347">
        <v>44501</v>
      </c>
      <c r="J2" s="347">
        <v>44531</v>
      </c>
      <c r="K2" s="347">
        <v>44562</v>
      </c>
      <c r="L2" s="347">
        <v>44593</v>
      </c>
      <c r="M2" s="347">
        <v>44621</v>
      </c>
      <c r="N2" s="347">
        <v>44652</v>
      </c>
      <c r="O2" s="347">
        <v>44682</v>
      </c>
      <c r="P2" s="347">
        <v>44713</v>
      </c>
      <c r="Q2" s="351" t="s">
        <v>1385</v>
      </c>
      <c r="R2" s="348" t="s">
        <v>1338</v>
      </c>
    </row>
    <row r="3" spans="1:21" ht="31.05" customHeight="1" x14ac:dyDescent="0.3">
      <c r="A3" s="348"/>
      <c r="B3" s="348"/>
      <c r="C3" s="349"/>
      <c r="D3" s="350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52"/>
      <c r="R3" s="348"/>
    </row>
    <row r="4" spans="1:21" x14ac:dyDescent="0.3">
      <c r="A4" s="261"/>
      <c r="B4" s="262" t="s">
        <v>1386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4"/>
      <c r="R4" s="264"/>
      <c r="U4" s="265"/>
    </row>
    <row r="5" spans="1:21" x14ac:dyDescent="0.3">
      <c r="A5" s="266">
        <v>1</v>
      </c>
      <c r="B5" s="267" t="s">
        <v>1387</v>
      </c>
      <c r="C5" s="268">
        <f>818416260+61823656</f>
        <v>880239916</v>
      </c>
      <c r="D5" s="268">
        <v>51544669.640000001</v>
      </c>
      <c r="E5" s="268">
        <v>51544669.640000001</v>
      </c>
      <c r="F5" s="268">
        <v>51544669.640000001</v>
      </c>
      <c r="G5" s="268">
        <v>51544669.640000001</v>
      </c>
      <c r="H5" s="268">
        <v>63573169.640000001</v>
      </c>
      <c r="I5" s="268">
        <v>63573169.640000001</v>
      </c>
      <c r="J5" s="268">
        <v>63573169.640000001</v>
      </c>
      <c r="K5" s="268">
        <v>63573169.640000001</v>
      </c>
      <c r="L5" s="268">
        <v>63573169.640000001</v>
      </c>
      <c r="M5" s="268">
        <v>63573169.640000001</v>
      </c>
      <c r="N5" s="268">
        <v>63573169.640000001</v>
      </c>
      <c r="O5" s="268">
        <v>63573169.640000001</v>
      </c>
      <c r="P5" s="268">
        <v>63573169.640000001</v>
      </c>
      <c r="Q5" s="269"/>
      <c r="R5" s="270">
        <f>SUM(C5:Q5)</f>
        <v>1658577121.3200009</v>
      </c>
      <c r="T5" s="271"/>
    </row>
    <row r="6" spans="1:21" x14ac:dyDescent="0.3">
      <c r="A6" s="266">
        <v>2</v>
      </c>
      <c r="B6" s="267" t="s">
        <v>1388</v>
      </c>
      <c r="C6" s="268">
        <f>652084996+16459132</f>
        <v>668544128</v>
      </c>
      <c r="D6" s="268">
        <v>22750780</v>
      </c>
      <c r="E6" s="268">
        <v>22750780</v>
      </c>
      <c r="F6" s="268">
        <v>22750780</v>
      </c>
      <c r="G6" s="268">
        <v>22750780</v>
      </c>
      <c r="H6" s="268">
        <v>22750780</v>
      </c>
      <c r="I6" s="268">
        <v>22750780</v>
      </c>
      <c r="J6" s="268">
        <v>22750780</v>
      </c>
      <c r="K6" s="268">
        <v>22750780</v>
      </c>
      <c r="L6" s="268">
        <v>22750780</v>
      </c>
      <c r="M6" s="268">
        <v>22750780</v>
      </c>
      <c r="N6" s="268">
        <v>22750780</v>
      </c>
      <c r="O6" s="268">
        <v>22750780</v>
      </c>
      <c r="P6" s="268">
        <v>22750780</v>
      </c>
      <c r="Q6" s="269"/>
      <c r="R6" s="270">
        <f>SUM(C6:Q6)</f>
        <v>964304268</v>
      </c>
      <c r="U6" s="271"/>
    </row>
    <row r="7" spans="1:21" s="275" customFormat="1" x14ac:dyDescent="0.3">
      <c r="A7" s="279">
        <v>3</v>
      </c>
      <c r="B7" s="272" t="s">
        <v>1389</v>
      </c>
      <c r="C7" s="273">
        <v>104600949</v>
      </c>
      <c r="D7" s="273">
        <v>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0</v>
      </c>
      <c r="L7" s="273">
        <v>0</v>
      </c>
      <c r="M7" s="273">
        <v>0</v>
      </c>
      <c r="N7" s="273">
        <v>79176200</v>
      </c>
      <c r="O7" s="273">
        <v>0</v>
      </c>
      <c r="P7" s="273">
        <v>0</v>
      </c>
      <c r="Q7" s="273"/>
      <c r="R7" s="274">
        <f>SUM(C7:Q7)</f>
        <v>183777149</v>
      </c>
    </row>
    <row r="8" spans="1:21" x14ac:dyDescent="0.3">
      <c r="A8" s="266">
        <v>4</v>
      </c>
      <c r="B8" s="267" t="s">
        <v>1390</v>
      </c>
      <c r="C8" s="268">
        <v>362185568</v>
      </c>
      <c r="D8" s="268">
        <v>20146112.666666668</v>
      </c>
      <c r="E8" s="268">
        <v>20146112.666666668</v>
      </c>
      <c r="F8" s="268">
        <v>20146112.666666668</v>
      </c>
      <c r="G8" s="268">
        <v>20146112.666666668</v>
      </c>
      <c r="H8" s="268">
        <v>20146112.666666668</v>
      </c>
      <c r="I8" s="268">
        <v>20146112.666666668</v>
      </c>
      <c r="J8" s="268">
        <v>20146112.666666668</v>
      </c>
      <c r="K8" s="268">
        <v>20146112.666666668</v>
      </c>
      <c r="L8" s="268">
        <v>20146112.666666668</v>
      </c>
      <c r="M8" s="268">
        <v>20146112.666666668</v>
      </c>
      <c r="N8" s="268">
        <v>20146112.666666668</v>
      </c>
      <c r="O8" s="268">
        <v>20146112.666666668</v>
      </c>
      <c r="P8" s="268">
        <v>20146112.666666668</v>
      </c>
      <c r="Q8" s="269"/>
      <c r="R8" s="270">
        <f>SUM(C8:Q8)</f>
        <v>624085032.66666663</v>
      </c>
      <c r="U8" s="271"/>
    </row>
    <row r="9" spans="1:21" x14ac:dyDescent="0.3">
      <c r="A9" s="266">
        <v>5</v>
      </c>
      <c r="B9" s="267" t="s">
        <v>1391</v>
      </c>
      <c r="C9" s="276">
        <v>0</v>
      </c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>
        <v>1159271544</v>
      </c>
      <c r="Q9" s="277"/>
      <c r="R9" s="270">
        <f>SUM(C9:Q9)</f>
        <v>1159271544</v>
      </c>
    </row>
    <row r="10" spans="1:21" x14ac:dyDescent="0.3">
      <c r="A10" s="262"/>
      <c r="B10" s="262" t="s">
        <v>1392</v>
      </c>
      <c r="C10" s="263">
        <f t="shared" ref="C10:R10" si="0">SUM(C5:C9)</f>
        <v>2015570561</v>
      </c>
      <c r="D10" s="263">
        <f t="shared" si="0"/>
        <v>94441562.306666672</v>
      </c>
      <c r="E10" s="263">
        <f t="shared" si="0"/>
        <v>94441562.306666672</v>
      </c>
      <c r="F10" s="263">
        <f t="shared" si="0"/>
        <v>94441562.306666672</v>
      </c>
      <c r="G10" s="263">
        <f t="shared" si="0"/>
        <v>94441562.306666672</v>
      </c>
      <c r="H10" s="263">
        <f t="shared" si="0"/>
        <v>106470062.30666667</v>
      </c>
      <c r="I10" s="263">
        <f t="shared" si="0"/>
        <v>106470062.30666667</v>
      </c>
      <c r="J10" s="263">
        <f t="shared" si="0"/>
        <v>106470062.30666667</v>
      </c>
      <c r="K10" s="263">
        <f t="shared" si="0"/>
        <v>106470062.30666667</v>
      </c>
      <c r="L10" s="263">
        <f t="shared" si="0"/>
        <v>106470062.30666667</v>
      </c>
      <c r="M10" s="263">
        <f t="shared" si="0"/>
        <v>106470062.30666667</v>
      </c>
      <c r="N10" s="263">
        <f t="shared" si="0"/>
        <v>185646262.30666664</v>
      </c>
      <c r="O10" s="263">
        <f t="shared" si="0"/>
        <v>106470062.30666667</v>
      </c>
      <c r="P10" s="263">
        <f t="shared" si="0"/>
        <v>1265741606.3066666</v>
      </c>
      <c r="Q10" s="264">
        <f t="shared" si="0"/>
        <v>0</v>
      </c>
      <c r="R10" s="264">
        <f t="shared" si="0"/>
        <v>4590015114.9866676</v>
      </c>
      <c r="T10" s="271"/>
    </row>
    <row r="11" spans="1:21" x14ac:dyDescent="0.3">
      <c r="A11" s="261"/>
      <c r="B11" s="262" t="s">
        <v>1393</v>
      </c>
      <c r="C11" s="263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64"/>
      <c r="R11" s="264"/>
    </row>
    <row r="12" spans="1:21" x14ac:dyDescent="0.3">
      <c r="A12" s="279">
        <v>1</v>
      </c>
      <c r="B12" s="280" t="s">
        <v>1394</v>
      </c>
      <c r="C12" s="281">
        <v>318000</v>
      </c>
      <c r="D12" s="276">
        <v>95000</v>
      </c>
      <c r="E12" s="276">
        <v>95000</v>
      </c>
      <c r="F12" s="276">
        <v>95000</v>
      </c>
      <c r="G12" s="276">
        <v>95000</v>
      </c>
      <c r="H12" s="276">
        <v>95000</v>
      </c>
      <c r="I12" s="276">
        <v>95000</v>
      </c>
      <c r="J12" s="276">
        <v>95000</v>
      </c>
      <c r="K12" s="276">
        <v>95000</v>
      </c>
      <c r="L12" s="276">
        <v>95000</v>
      </c>
      <c r="M12" s="276">
        <v>95000</v>
      </c>
      <c r="N12" s="276">
        <v>95000</v>
      </c>
      <c r="O12" s="276">
        <v>95000</v>
      </c>
      <c r="P12" s="276">
        <v>95000</v>
      </c>
      <c r="Q12" s="281"/>
      <c r="R12" s="281">
        <f t="shared" ref="R12:R23" si="1">SUM(C12:Q12)</f>
        <v>1553000</v>
      </c>
    </row>
    <row r="13" spans="1:21" x14ac:dyDescent="0.3">
      <c r="A13" s="279">
        <v>2</v>
      </c>
      <c r="B13" s="280" t="s">
        <v>1395</v>
      </c>
      <c r="C13" s="281">
        <v>7507500</v>
      </c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81"/>
      <c r="R13" s="281">
        <f t="shared" si="1"/>
        <v>7507500</v>
      </c>
    </row>
    <row r="14" spans="1:21" ht="34.049999999999997" customHeight="1" x14ac:dyDescent="0.3">
      <c r="A14" s="279">
        <v>3</v>
      </c>
      <c r="B14" s="280" t="s">
        <v>1396</v>
      </c>
      <c r="C14" s="281">
        <v>1079629772</v>
      </c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>
        <v>241103000</v>
      </c>
      <c r="Q14" s="281"/>
      <c r="R14" s="281">
        <f t="shared" si="1"/>
        <v>1320732772</v>
      </c>
    </row>
    <row r="15" spans="1:21" x14ac:dyDescent="0.3">
      <c r="A15" s="279">
        <v>4</v>
      </c>
      <c r="B15" s="280" t="s">
        <v>1397</v>
      </c>
      <c r="C15" s="281">
        <v>115052750</v>
      </c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>
        <f t="shared" si="1"/>
        <v>115052750</v>
      </c>
    </row>
    <row r="16" spans="1:21" x14ac:dyDescent="0.3">
      <c r="A16" s="279">
        <v>5</v>
      </c>
      <c r="B16" s="280" t="s">
        <v>1398</v>
      </c>
      <c r="C16" s="281">
        <v>59216000</v>
      </c>
      <c r="D16" s="281"/>
      <c r="E16" s="281">
        <v>3600000</v>
      </c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>
        <f t="shared" si="1"/>
        <v>62816000</v>
      </c>
    </row>
    <row r="17" spans="1:18" x14ac:dyDescent="0.3">
      <c r="A17" s="279">
        <v>6</v>
      </c>
      <c r="B17" s="280" t="s">
        <v>1399</v>
      </c>
      <c r="C17" s="281">
        <v>105155000</v>
      </c>
      <c r="D17" s="281"/>
      <c r="E17" s="281">
        <v>27000000</v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>
        <f t="shared" si="1"/>
        <v>132155000</v>
      </c>
    </row>
    <row r="18" spans="1:18" x14ac:dyDescent="0.3">
      <c r="A18" s="279">
        <v>7</v>
      </c>
      <c r="B18" s="280" t="s">
        <v>1400</v>
      </c>
      <c r="C18" s="281">
        <v>98122000</v>
      </c>
      <c r="D18" s="282"/>
      <c r="E18" s="281"/>
      <c r="F18" s="281"/>
      <c r="G18" s="281"/>
      <c r="H18" s="281"/>
      <c r="I18" s="281"/>
      <c r="J18" s="281"/>
      <c r="K18" s="281"/>
      <c r="L18" s="281">
        <v>47400000</v>
      </c>
      <c r="M18" s="281"/>
      <c r="N18" s="281"/>
      <c r="O18" s="281"/>
      <c r="P18" s="281"/>
      <c r="Q18" s="281"/>
      <c r="R18" s="281">
        <f t="shared" si="1"/>
        <v>145522000</v>
      </c>
    </row>
    <row r="19" spans="1:18" x14ac:dyDescent="0.3">
      <c r="A19" s="279">
        <v>8</v>
      </c>
      <c r="B19" s="280" t="s">
        <v>1401</v>
      </c>
      <c r="C19" s="281">
        <v>236132444</v>
      </c>
      <c r="D19" s="281"/>
      <c r="E19" s="281"/>
      <c r="F19" s="281"/>
      <c r="G19" s="281"/>
      <c r="H19" s="281"/>
      <c r="I19" s="281"/>
      <c r="J19" s="281">
        <v>396128000</v>
      </c>
      <c r="K19" s="281"/>
      <c r="L19" s="281"/>
      <c r="M19" s="281"/>
      <c r="N19" s="281"/>
      <c r="O19" s="281"/>
      <c r="P19" s="281"/>
      <c r="Q19" s="281"/>
      <c r="R19" s="281">
        <f t="shared" si="1"/>
        <v>632260444</v>
      </c>
    </row>
    <row r="20" spans="1:18" x14ac:dyDescent="0.3">
      <c r="A20" s="279">
        <v>9</v>
      </c>
      <c r="B20" s="280" t="s">
        <v>1402</v>
      </c>
      <c r="C20" s="281">
        <v>974639438</v>
      </c>
      <c r="D20" s="281">
        <v>125085120.08333333</v>
      </c>
      <c r="E20" s="281">
        <v>125085120.08333333</v>
      </c>
      <c r="F20" s="281">
        <v>125085120.08333333</v>
      </c>
      <c r="G20" s="281">
        <v>125085120.08333333</v>
      </c>
      <c r="H20" s="281">
        <v>125085120.08333333</v>
      </c>
      <c r="I20" s="281">
        <v>125085120.08333333</v>
      </c>
      <c r="J20" s="281">
        <v>125085120.08333333</v>
      </c>
      <c r="K20" s="281">
        <v>125085120.08333333</v>
      </c>
      <c r="L20" s="281">
        <v>125085120.08333333</v>
      </c>
      <c r="M20" s="281">
        <v>125085120.08333333</v>
      </c>
      <c r="N20" s="281">
        <v>125085120.08333333</v>
      </c>
      <c r="O20" s="281">
        <v>125085120.08333333</v>
      </c>
      <c r="P20" s="281">
        <v>125085120.08333333</v>
      </c>
      <c r="Q20" s="281"/>
      <c r="R20" s="281">
        <f t="shared" si="1"/>
        <v>2600745999.083333</v>
      </c>
    </row>
    <row r="21" spans="1:18" x14ac:dyDescent="0.3">
      <c r="A21" s="279">
        <v>10</v>
      </c>
      <c r="B21" s="280" t="s">
        <v>1403</v>
      </c>
      <c r="C21" s="276">
        <v>0</v>
      </c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>
        <v>4150000</v>
      </c>
      <c r="Q21" s="281"/>
      <c r="R21" s="281">
        <f t="shared" si="1"/>
        <v>4150000</v>
      </c>
    </row>
    <row r="22" spans="1:18" x14ac:dyDescent="0.3">
      <c r="A22" s="279">
        <v>11</v>
      </c>
      <c r="B22" s="280" t="s">
        <v>1404</v>
      </c>
      <c r="C22" s="276">
        <v>0</v>
      </c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>
        <v>250000</v>
      </c>
      <c r="Q22" s="281"/>
      <c r="R22" s="281">
        <f t="shared" si="1"/>
        <v>250000</v>
      </c>
    </row>
    <row r="23" spans="1:18" x14ac:dyDescent="0.3">
      <c r="A23" s="279">
        <v>12</v>
      </c>
      <c r="B23" s="280" t="s">
        <v>1405</v>
      </c>
      <c r="C23" s="276">
        <v>0</v>
      </c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>
        <v>328465650</v>
      </c>
      <c r="R23" s="281">
        <f t="shared" si="1"/>
        <v>328465650</v>
      </c>
    </row>
    <row r="24" spans="1:18" x14ac:dyDescent="0.3">
      <c r="A24" s="261"/>
      <c r="B24" s="262" t="s">
        <v>1406</v>
      </c>
      <c r="C24" s="278">
        <f>SUM(C12:C23)</f>
        <v>2675772904</v>
      </c>
      <c r="D24" s="278">
        <f t="shared" ref="D24:R24" si="2">SUM(D12:D23)</f>
        <v>125180120.08333333</v>
      </c>
      <c r="E24" s="278">
        <f t="shared" si="2"/>
        <v>155780120.08333331</v>
      </c>
      <c r="F24" s="278">
        <f t="shared" si="2"/>
        <v>125180120.08333333</v>
      </c>
      <c r="G24" s="278">
        <f t="shared" si="2"/>
        <v>125180120.08333333</v>
      </c>
      <c r="H24" s="278">
        <f t="shared" si="2"/>
        <v>125180120.08333333</v>
      </c>
      <c r="I24" s="278">
        <f t="shared" si="2"/>
        <v>125180120.08333333</v>
      </c>
      <c r="J24" s="278">
        <f t="shared" si="2"/>
        <v>521308120.08333331</v>
      </c>
      <c r="K24" s="278">
        <f t="shared" si="2"/>
        <v>125180120.08333333</v>
      </c>
      <c r="L24" s="278">
        <f t="shared" si="2"/>
        <v>172580120.08333331</v>
      </c>
      <c r="M24" s="278">
        <f t="shared" si="2"/>
        <v>125180120.08333333</v>
      </c>
      <c r="N24" s="278">
        <f t="shared" si="2"/>
        <v>125180120.08333333</v>
      </c>
      <c r="O24" s="278">
        <f t="shared" si="2"/>
        <v>125180120.08333333</v>
      </c>
      <c r="P24" s="278">
        <f t="shared" si="2"/>
        <v>370683120.08333331</v>
      </c>
      <c r="Q24" s="278">
        <f t="shared" si="2"/>
        <v>328465650</v>
      </c>
      <c r="R24" s="278">
        <f t="shared" si="2"/>
        <v>5351211115.083333</v>
      </c>
    </row>
    <row r="25" spans="1:18" x14ac:dyDescent="0.3">
      <c r="A25" s="261"/>
      <c r="B25" s="262" t="s">
        <v>1407</v>
      </c>
      <c r="C25" s="278">
        <f>C10+C24</f>
        <v>4691343465</v>
      </c>
      <c r="D25" s="278">
        <f t="shared" ref="D25:R25" si="3">D10+D24</f>
        <v>219621682.38999999</v>
      </c>
      <c r="E25" s="278">
        <f t="shared" si="3"/>
        <v>250221682.38999999</v>
      </c>
      <c r="F25" s="278">
        <f t="shared" si="3"/>
        <v>219621682.38999999</v>
      </c>
      <c r="G25" s="278">
        <f t="shared" si="3"/>
        <v>219621682.38999999</v>
      </c>
      <c r="H25" s="278">
        <f t="shared" si="3"/>
        <v>231650182.38999999</v>
      </c>
      <c r="I25" s="278">
        <f t="shared" si="3"/>
        <v>231650182.38999999</v>
      </c>
      <c r="J25" s="278">
        <f t="shared" si="3"/>
        <v>627778182.38999999</v>
      </c>
      <c r="K25" s="278">
        <f t="shared" si="3"/>
        <v>231650182.38999999</v>
      </c>
      <c r="L25" s="278">
        <f t="shared" si="3"/>
        <v>279050182.38999999</v>
      </c>
      <c r="M25" s="278">
        <f t="shared" si="3"/>
        <v>231650182.38999999</v>
      </c>
      <c r="N25" s="278">
        <f t="shared" si="3"/>
        <v>310826382.38999999</v>
      </c>
      <c r="O25" s="278">
        <f t="shared" si="3"/>
        <v>231650182.38999999</v>
      </c>
      <c r="P25" s="278">
        <f t="shared" si="3"/>
        <v>1636424726.3899999</v>
      </c>
      <c r="Q25" s="278">
        <f t="shared" si="3"/>
        <v>328465650</v>
      </c>
      <c r="R25" s="278">
        <f t="shared" si="3"/>
        <v>9941226230.0699997</v>
      </c>
    </row>
    <row r="29" spans="1:18" x14ac:dyDescent="0.3">
      <c r="D29" s="283"/>
    </row>
    <row r="30" spans="1:18" x14ac:dyDescent="0.3">
      <c r="D30" s="271"/>
    </row>
  </sheetData>
  <mergeCells count="18"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34" orientation="landscape" r:id="rId1"/>
  <colBreaks count="1" manualBreakCount="1">
    <brk id="18" max="1048575" man="1"/>
  </colBreaks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9E0E-549F-487C-9836-76D748DB8F61}">
  <dimension ref="A1:N137"/>
  <sheetViews>
    <sheetView tabSelected="1" topLeftCell="A108" zoomScale="80" zoomScaleNormal="80" workbookViewId="0">
      <selection activeCell="B138" sqref="B138"/>
    </sheetView>
  </sheetViews>
  <sheetFormatPr defaultRowHeight="14.4" x14ac:dyDescent="0.3"/>
  <cols>
    <col min="1" max="1" width="29.5546875" bestFit="1" customWidth="1"/>
    <col min="2" max="2" width="18.5546875" bestFit="1" customWidth="1"/>
    <col min="3" max="3" width="27.109375" bestFit="1" customWidth="1"/>
    <col min="4" max="4" width="21.88671875" bestFit="1" customWidth="1"/>
    <col min="5" max="5" width="14.109375" bestFit="1" customWidth="1"/>
    <col min="6" max="6" width="14.88671875" bestFit="1" customWidth="1"/>
    <col min="7" max="7" width="24.77734375" customWidth="1"/>
    <col min="8" max="8" width="17.5546875" customWidth="1"/>
    <col min="9" max="9" width="1.44140625" bestFit="1" customWidth="1"/>
    <col min="10" max="10" width="27.77734375" customWidth="1"/>
    <col min="11" max="11" width="17.77734375" customWidth="1"/>
    <col min="12" max="12" width="17.44140625" customWidth="1"/>
    <col min="13" max="13" width="17.33203125" customWidth="1"/>
    <col min="14" max="14" width="5.6640625" bestFit="1" customWidth="1"/>
    <col min="15" max="15" width="17.33203125" customWidth="1"/>
    <col min="16" max="16" width="17.44140625" customWidth="1"/>
    <col min="17" max="17" width="21.21875" customWidth="1"/>
    <col min="18" max="18" width="17.33203125" customWidth="1"/>
    <col min="19" max="19" width="16.6640625" customWidth="1"/>
    <col min="20" max="20" width="17.5546875" customWidth="1"/>
    <col min="21" max="21" width="16.77734375" customWidth="1"/>
    <col min="22" max="22" width="17.5546875" customWidth="1"/>
    <col min="23" max="23" width="17.6640625" customWidth="1"/>
  </cols>
  <sheetData>
    <row r="1" spans="1:9" x14ac:dyDescent="0.3">
      <c r="A1" s="104" t="s">
        <v>1409</v>
      </c>
      <c r="B1" s="104"/>
    </row>
    <row r="2" spans="1:9" ht="15" thickBot="1" x14ac:dyDescent="0.35"/>
    <row r="3" spans="1:9" x14ac:dyDescent="0.3">
      <c r="A3" s="353" t="s">
        <v>35</v>
      </c>
      <c r="B3" s="355" t="s">
        <v>1377</v>
      </c>
      <c r="C3" s="359" t="s">
        <v>1378</v>
      </c>
      <c r="D3" s="357" t="s">
        <v>1359</v>
      </c>
    </row>
    <row r="4" spans="1:9" x14ac:dyDescent="0.3">
      <c r="A4" s="354"/>
      <c r="B4" s="356"/>
      <c r="C4" s="356"/>
      <c r="D4" s="358"/>
    </row>
    <row r="5" spans="1:9" x14ac:dyDescent="0.3">
      <c r="A5" s="308" t="s">
        <v>1350</v>
      </c>
      <c r="B5" s="285" t="s">
        <v>1351</v>
      </c>
      <c r="C5" s="285" t="s">
        <v>1352</v>
      </c>
      <c r="D5" s="318" t="s">
        <v>1413</v>
      </c>
    </row>
    <row r="6" spans="1:9" ht="14.55" customHeight="1" x14ac:dyDescent="0.3">
      <c r="A6" s="319" t="s">
        <v>4</v>
      </c>
      <c r="B6" s="244">
        <f>Net!F5</f>
        <v>41285600</v>
      </c>
      <c r="C6" s="30">
        <v>0</v>
      </c>
      <c r="D6" s="133">
        <f>SUM(B6:C6)</f>
        <v>41285600</v>
      </c>
      <c r="F6" s="108"/>
      <c r="G6" s="108"/>
    </row>
    <row r="7" spans="1:9" x14ac:dyDescent="0.3">
      <c r="A7" s="319" t="s">
        <v>21</v>
      </c>
      <c r="B7" s="244">
        <f>ABA!G19</f>
        <v>710029200.08000004</v>
      </c>
      <c r="C7" s="30">
        <v>0</v>
      </c>
      <c r="D7" s="133">
        <f>SUM(B7:C7)</f>
        <v>710029200.08000004</v>
      </c>
      <c r="F7" s="108"/>
    </row>
    <row r="8" spans="1:9" ht="14.55" customHeight="1" x14ac:dyDescent="0.3">
      <c r="A8" s="319" t="s">
        <v>5</v>
      </c>
      <c r="B8" s="244">
        <f>Kredit!O200</f>
        <v>36047969208.949997</v>
      </c>
      <c r="C8" s="30">
        <f>Kredit!AE200</f>
        <v>1296772680.2105262</v>
      </c>
      <c r="D8" s="133">
        <f>SUM(B8:C8)</f>
        <v>37344741889.160522</v>
      </c>
      <c r="F8" s="108"/>
      <c r="G8" s="108"/>
      <c r="I8" t="s">
        <v>29</v>
      </c>
    </row>
    <row r="9" spans="1:9" x14ac:dyDescent="0.3">
      <c r="A9" s="320" t="s">
        <v>13</v>
      </c>
      <c r="B9" s="258"/>
      <c r="C9" s="259"/>
      <c r="D9" s="321"/>
    </row>
    <row r="10" spans="1:9" x14ac:dyDescent="0.3">
      <c r="A10" s="322" t="s">
        <v>1379</v>
      </c>
      <c r="B10" s="244">
        <f>'Tanah dan Bangunan'!F4</f>
        <v>1177270000</v>
      </c>
      <c r="C10" s="30">
        <f>'Tanah dan Bangunan'!K4</f>
        <v>0</v>
      </c>
      <c r="D10" s="133">
        <f>SUM(B10:C10)</f>
        <v>1177270000</v>
      </c>
      <c r="F10" s="108"/>
    </row>
    <row r="11" spans="1:9" x14ac:dyDescent="0.3">
      <c r="A11" s="322" t="s">
        <v>1380</v>
      </c>
      <c r="B11" s="244">
        <f>Kendaraan!F16</f>
        <v>1318200000</v>
      </c>
      <c r="C11" s="30">
        <f>Kendaraan!K16</f>
        <v>0</v>
      </c>
      <c r="D11" s="133">
        <f t="shared" ref="D11:D17" si="0">SUM(B11:C11)</f>
        <v>1318200000</v>
      </c>
      <c r="F11" s="108"/>
    </row>
    <row r="12" spans="1:9" x14ac:dyDescent="0.3">
      <c r="A12" s="322" t="s">
        <v>1381</v>
      </c>
      <c r="B12" s="244">
        <f>Inventaris!F970</f>
        <v>179000000</v>
      </c>
      <c r="C12" s="30">
        <f>Inventaris!J970</f>
        <v>0</v>
      </c>
      <c r="D12" s="133">
        <f t="shared" si="0"/>
        <v>179000000</v>
      </c>
      <c r="F12" s="108"/>
    </row>
    <row r="13" spans="1:9" ht="14.55" customHeight="1" x14ac:dyDescent="0.3">
      <c r="A13" s="320" t="s">
        <v>7</v>
      </c>
      <c r="B13" s="244"/>
      <c r="C13" s="30"/>
      <c r="D13" s="133"/>
    </row>
    <row r="14" spans="1:9" ht="14.55" customHeight="1" x14ac:dyDescent="0.3">
      <c r="A14" s="323" t="s">
        <v>26</v>
      </c>
      <c r="B14" s="244">
        <f>AYDA!G25</f>
        <v>2058504678.4200001</v>
      </c>
      <c r="C14" s="30">
        <f>AYDA!K25</f>
        <v>1012000000</v>
      </c>
      <c r="D14" s="133">
        <f t="shared" si="0"/>
        <v>3070504678.4200001</v>
      </c>
      <c r="F14" s="108"/>
    </row>
    <row r="15" spans="1:9" ht="14.55" customHeight="1" x14ac:dyDescent="0.3">
      <c r="A15" s="323" t="s">
        <v>38</v>
      </c>
      <c r="B15" s="244">
        <f>Kredit!P200</f>
        <v>3968029458.4899998</v>
      </c>
      <c r="C15" s="30">
        <v>0</v>
      </c>
      <c r="D15" s="133">
        <f t="shared" si="0"/>
        <v>3968029458.4899998</v>
      </c>
      <c r="F15" s="108"/>
    </row>
    <row r="16" spans="1:9" ht="14.55" customHeight="1" x14ac:dyDescent="0.3">
      <c r="A16" s="323" t="s">
        <v>39</v>
      </c>
      <c r="B16" s="244">
        <f>Kredit!Q200</f>
        <v>511520479.84999996</v>
      </c>
      <c r="C16" s="30">
        <v>0</v>
      </c>
      <c r="D16" s="133">
        <f t="shared" si="0"/>
        <v>511520479.84999996</v>
      </c>
      <c r="F16" s="108"/>
    </row>
    <row r="17" spans="1:14" ht="14.55" customHeight="1" x14ac:dyDescent="0.3">
      <c r="A17" s="323" t="s">
        <v>27</v>
      </c>
      <c r="B17" s="244">
        <v>1449268128.01</v>
      </c>
      <c r="C17" s="30">
        <v>0</v>
      </c>
      <c r="D17" s="133">
        <f t="shared" si="0"/>
        <v>1449268128.01</v>
      </c>
      <c r="F17" s="108"/>
    </row>
    <row r="18" spans="1:14" x14ac:dyDescent="0.3">
      <c r="A18" s="324" t="s">
        <v>1360</v>
      </c>
      <c r="B18" s="245">
        <f>SUM(B6:B17)</f>
        <v>47461076753.799995</v>
      </c>
      <c r="C18" s="245">
        <f>SUM(C6:C13)</f>
        <v>1296772680.2105262</v>
      </c>
      <c r="D18" s="220">
        <f>SUM(B18:C18)</f>
        <v>48757849434.010521</v>
      </c>
      <c r="F18" s="108"/>
    </row>
    <row r="19" spans="1:14" ht="14.55" customHeight="1" x14ac:dyDescent="0.3">
      <c r="A19" s="325" t="s">
        <v>1361</v>
      </c>
      <c r="B19" s="246">
        <f>'Prognosa Biaya'!C10</f>
        <v>2015570561</v>
      </c>
      <c r="C19" s="30">
        <f>'Prognosa Biaya'!D10</f>
        <v>94441562.306666672</v>
      </c>
      <c r="D19" s="133">
        <f>B19+C19</f>
        <v>2110012123.3066666</v>
      </c>
    </row>
    <row r="20" spans="1:14" x14ac:dyDescent="0.3">
      <c r="A20" s="325" t="s">
        <v>1362</v>
      </c>
      <c r="B20" s="246">
        <f>'Prognosa Biaya'!C24</f>
        <v>2675772904</v>
      </c>
      <c r="C20" s="30">
        <f>'Prognosa Biaya'!D24</f>
        <v>125180120.08333333</v>
      </c>
      <c r="D20" s="133">
        <f>B20+C20</f>
        <v>2800953024.0833335</v>
      </c>
      <c r="F20" t="s">
        <v>29</v>
      </c>
    </row>
    <row r="21" spans="1:14" ht="14.55" customHeight="1" x14ac:dyDescent="0.3">
      <c r="A21" s="325" t="s">
        <v>1363</v>
      </c>
      <c r="B21" s="246">
        <v>0</v>
      </c>
      <c r="C21" s="30">
        <f>'Prognosa Biaya'!Q23</f>
        <v>328465650</v>
      </c>
      <c r="D21" s="133">
        <f>B21+C21</f>
        <v>328465650</v>
      </c>
    </row>
    <row r="22" spans="1:14" x14ac:dyDescent="0.3">
      <c r="A22" s="324" t="s">
        <v>1364</v>
      </c>
      <c r="B22" s="245">
        <f>SUM(B19:B21)</f>
        <v>4691343465</v>
      </c>
      <c r="C22" s="245">
        <f t="shared" ref="C22:D22" si="1">SUM(C19:C21)</f>
        <v>548087332.38999999</v>
      </c>
      <c r="D22" s="330">
        <f t="shared" si="1"/>
        <v>5239430797.3900003</v>
      </c>
    </row>
    <row r="23" spans="1:14" ht="15" thickBot="1" x14ac:dyDescent="0.35">
      <c r="A23" s="326" t="s">
        <v>1365</v>
      </c>
      <c r="B23" s="287">
        <f>B18-B22</f>
        <v>42769733288.799995</v>
      </c>
      <c r="C23" s="287">
        <f t="shared" ref="C23" si="2">C18-C22</f>
        <v>748685347.82052624</v>
      </c>
      <c r="D23" s="288">
        <f>D18-D22</f>
        <v>43518418636.620522</v>
      </c>
      <c r="E23" s="108"/>
    </row>
    <row r="25" spans="1:14" x14ac:dyDescent="0.3">
      <c r="A25" s="104" t="s">
        <v>1410</v>
      </c>
    </row>
    <row r="26" spans="1:14" ht="15" thickBot="1" x14ac:dyDescent="0.35"/>
    <row r="27" spans="1:14" x14ac:dyDescent="0.3">
      <c r="A27" s="353" t="s">
        <v>35</v>
      </c>
      <c r="B27" s="355" t="s">
        <v>1377</v>
      </c>
      <c r="C27" s="359" t="s">
        <v>1378</v>
      </c>
      <c r="D27" s="362">
        <v>44378</v>
      </c>
      <c r="E27" s="362">
        <v>44409</v>
      </c>
      <c r="F27" s="362">
        <v>44440</v>
      </c>
      <c r="G27" s="360" t="s">
        <v>1359</v>
      </c>
    </row>
    <row r="28" spans="1:14" x14ac:dyDescent="0.3">
      <c r="A28" s="354"/>
      <c r="B28" s="356"/>
      <c r="C28" s="356"/>
      <c r="D28" s="356"/>
      <c r="E28" s="356"/>
      <c r="F28" s="356"/>
      <c r="G28" s="361"/>
      <c r="N28" s="257" t="e">
        <f>#REF!-#REF!</f>
        <v>#REF!</v>
      </c>
    </row>
    <row r="29" spans="1:14" x14ac:dyDescent="0.3">
      <c r="A29" s="308" t="s">
        <v>1350</v>
      </c>
      <c r="B29" s="285" t="s">
        <v>1351</v>
      </c>
      <c r="C29" s="285" t="s">
        <v>1352</v>
      </c>
      <c r="D29" s="285" t="s">
        <v>1353</v>
      </c>
      <c r="E29" s="285" t="s">
        <v>1354</v>
      </c>
      <c r="F29" s="285" t="s">
        <v>1355</v>
      </c>
      <c r="G29" s="318" t="s">
        <v>1414</v>
      </c>
      <c r="N29" s="257"/>
    </row>
    <row r="30" spans="1:14" x14ac:dyDescent="0.3">
      <c r="A30" s="319" t="s">
        <v>4</v>
      </c>
      <c r="B30" s="244">
        <f>Net!F5</f>
        <v>41285600</v>
      </c>
      <c r="C30" s="30">
        <v>0</v>
      </c>
      <c r="D30" s="30"/>
      <c r="E30" s="30"/>
      <c r="F30" s="30"/>
      <c r="G30" s="133">
        <f>SUM(B30:F30)</f>
        <v>41285600</v>
      </c>
      <c r="I30" s="329"/>
      <c r="J30" s="108"/>
    </row>
    <row r="31" spans="1:14" x14ac:dyDescent="0.3">
      <c r="A31" s="319" t="s">
        <v>21</v>
      </c>
      <c r="B31" s="244">
        <f>ABA!G19</f>
        <v>710029200.08000004</v>
      </c>
      <c r="C31" s="30">
        <v>0</v>
      </c>
      <c r="D31" s="30"/>
      <c r="E31" s="30"/>
      <c r="F31" s="30"/>
      <c r="G31" s="133">
        <f t="shared" ref="G31:G45" si="3">SUM(B31:F31)</f>
        <v>710029200.08000004</v>
      </c>
      <c r="I31" s="329"/>
      <c r="J31" s="108"/>
    </row>
    <row r="32" spans="1:14" x14ac:dyDescent="0.3">
      <c r="A32" s="319" t="s">
        <v>5</v>
      </c>
      <c r="B32" s="244">
        <f>Kredit!O200</f>
        <v>36047969208.949997</v>
      </c>
      <c r="C32" s="30">
        <f>Kredit!AE200</f>
        <v>1296772680.2105262</v>
      </c>
      <c r="D32" s="30">
        <f>Kredit!AF200</f>
        <v>1823621595.9905264</v>
      </c>
      <c r="E32" s="30">
        <f>Kredit!AG200</f>
        <v>1455735236.5605264</v>
      </c>
      <c r="F32" s="30">
        <f>Kredit!AH200</f>
        <v>1272772680.2105265</v>
      </c>
      <c r="G32" s="133">
        <f t="shared" si="3"/>
        <v>41896871401.922096</v>
      </c>
      <c r="I32" s="329"/>
      <c r="J32" s="108"/>
    </row>
    <row r="33" spans="1:10" x14ac:dyDescent="0.3">
      <c r="A33" s="320" t="s">
        <v>13</v>
      </c>
      <c r="B33" s="258"/>
      <c r="C33" s="259"/>
      <c r="D33" s="259"/>
      <c r="E33" s="259"/>
      <c r="F33" s="259"/>
      <c r="G33" s="133">
        <f t="shared" si="3"/>
        <v>0</v>
      </c>
      <c r="J33" s="108"/>
    </row>
    <row r="34" spans="1:10" x14ac:dyDescent="0.3">
      <c r="A34" s="322" t="s">
        <v>1379</v>
      </c>
      <c r="B34" s="244">
        <f>'Tanah dan Bangunan'!F4</f>
        <v>1177270000</v>
      </c>
      <c r="C34" s="30">
        <f>'Tanah dan Bangunan'!K4</f>
        <v>0</v>
      </c>
      <c r="D34" s="30">
        <f>'Tanah dan Bangunan'!L4</f>
        <v>0</v>
      </c>
      <c r="E34" s="30">
        <f>'Tanah dan Bangunan'!M4</f>
        <v>0</v>
      </c>
      <c r="F34" s="30">
        <f>'Tanah dan Bangunan'!N4</f>
        <v>0</v>
      </c>
      <c r="G34" s="133">
        <f t="shared" si="3"/>
        <v>1177270000</v>
      </c>
      <c r="I34" s="329"/>
      <c r="J34" s="108"/>
    </row>
    <row r="35" spans="1:10" x14ac:dyDescent="0.3">
      <c r="A35" s="322" t="s">
        <v>1380</v>
      </c>
      <c r="B35" s="244">
        <f>Kendaraan!F16</f>
        <v>1318200000</v>
      </c>
      <c r="C35" s="30">
        <f>Kendaraan!K16</f>
        <v>0</v>
      </c>
      <c r="D35" s="30">
        <f>Kendaraan!L16</f>
        <v>0</v>
      </c>
      <c r="E35" s="30">
        <f>Kendaraan!M16</f>
        <v>0</v>
      </c>
      <c r="F35" s="30">
        <f>Kendaraan!N16</f>
        <v>0</v>
      </c>
      <c r="G35" s="133">
        <f t="shared" si="3"/>
        <v>1318200000</v>
      </c>
      <c r="I35" s="329"/>
      <c r="J35" s="108"/>
    </row>
    <row r="36" spans="1:10" x14ac:dyDescent="0.3">
      <c r="A36" s="322" t="s">
        <v>1381</v>
      </c>
      <c r="B36" s="244">
        <f>Inventaris!F970</f>
        <v>179000000</v>
      </c>
      <c r="C36" s="30">
        <f>Inventaris!J970</f>
        <v>0</v>
      </c>
      <c r="D36" s="30">
        <f>Inventaris!K970</f>
        <v>0</v>
      </c>
      <c r="E36" s="30">
        <f>Inventaris!L970</f>
        <v>0</v>
      </c>
      <c r="F36" s="30">
        <f>Inventaris!M970</f>
        <v>0</v>
      </c>
      <c r="G36" s="133">
        <f t="shared" si="3"/>
        <v>179000000</v>
      </c>
      <c r="I36" s="329"/>
      <c r="J36" s="108"/>
    </row>
    <row r="37" spans="1:10" x14ac:dyDescent="0.3">
      <c r="A37" s="320" t="s">
        <v>7</v>
      </c>
      <c r="B37" s="244"/>
      <c r="C37" s="30"/>
      <c r="D37" s="30"/>
      <c r="E37" s="30"/>
      <c r="F37" s="30"/>
      <c r="G37" s="133">
        <f t="shared" si="3"/>
        <v>0</v>
      </c>
      <c r="J37" s="108"/>
    </row>
    <row r="38" spans="1:10" x14ac:dyDescent="0.3">
      <c r="A38" s="323" t="s">
        <v>26</v>
      </c>
      <c r="B38" s="244">
        <f>AYDA!G25</f>
        <v>2058504678.4200001</v>
      </c>
      <c r="C38" s="30">
        <f>AYDA!K25</f>
        <v>1012000000</v>
      </c>
      <c r="D38" s="30">
        <f>AYDA!L25</f>
        <v>0</v>
      </c>
      <c r="E38" s="30">
        <f>AYDA!M25</f>
        <v>0</v>
      </c>
      <c r="F38" s="30">
        <f>AYDA!N25</f>
        <v>0</v>
      </c>
      <c r="G38" s="133">
        <f t="shared" si="3"/>
        <v>3070504678.4200001</v>
      </c>
      <c r="I38" s="329"/>
      <c r="J38" s="108"/>
    </row>
    <row r="39" spans="1:10" x14ac:dyDescent="0.3">
      <c r="A39" s="323" t="s">
        <v>38</v>
      </c>
      <c r="B39" s="244">
        <f>Kredit!P200</f>
        <v>3968029458.4899998</v>
      </c>
      <c r="C39" s="30">
        <v>0</v>
      </c>
      <c r="D39" s="30"/>
      <c r="E39" s="30"/>
      <c r="F39" s="30"/>
      <c r="G39" s="133">
        <f t="shared" si="3"/>
        <v>3968029458.4899998</v>
      </c>
      <c r="I39" s="329"/>
      <c r="J39" s="108"/>
    </row>
    <row r="40" spans="1:10" x14ac:dyDescent="0.3">
      <c r="A40" s="323" t="s">
        <v>39</v>
      </c>
      <c r="B40" s="244">
        <f>Kredit!Q200</f>
        <v>511520479.84999996</v>
      </c>
      <c r="C40" s="30">
        <v>0</v>
      </c>
      <c r="D40" s="30"/>
      <c r="E40" s="30"/>
      <c r="F40" s="30"/>
      <c r="G40" s="133">
        <f t="shared" si="3"/>
        <v>511520479.84999996</v>
      </c>
      <c r="I40" s="329"/>
      <c r="J40" s="108"/>
    </row>
    <row r="41" spans="1:10" x14ac:dyDescent="0.3">
      <c r="A41" s="323" t="s">
        <v>27</v>
      </c>
      <c r="B41" s="244">
        <v>1449268128.01</v>
      </c>
      <c r="C41" s="30">
        <v>0</v>
      </c>
      <c r="D41" s="30"/>
      <c r="E41" s="30"/>
      <c r="F41" s="30"/>
      <c r="G41" s="133">
        <f t="shared" si="3"/>
        <v>1449268128.01</v>
      </c>
      <c r="I41" s="329"/>
      <c r="J41" s="108"/>
    </row>
    <row r="42" spans="1:10" x14ac:dyDescent="0.3">
      <c r="A42" s="324" t="s">
        <v>1360</v>
      </c>
      <c r="B42" s="245">
        <f t="shared" ref="B42:G42" si="4">SUM(B30:B41)</f>
        <v>47461076753.799995</v>
      </c>
      <c r="C42" s="245">
        <f t="shared" si="4"/>
        <v>2308772680.2105265</v>
      </c>
      <c r="D42" s="245">
        <f t="shared" si="4"/>
        <v>1823621595.9905264</v>
      </c>
      <c r="E42" s="245">
        <f t="shared" si="4"/>
        <v>1455735236.5605264</v>
      </c>
      <c r="F42" s="245">
        <f t="shared" si="4"/>
        <v>1272772680.2105265</v>
      </c>
      <c r="G42" s="330">
        <f t="shared" si="4"/>
        <v>54321978946.772095</v>
      </c>
    </row>
    <row r="43" spans="1:10" x14ac:dyDescent="0.3">
      <c r="A43" s="325" t="s">
        <v>1361</v>
      </c>
      <c r="B43" s="246">
        <f>'Prognosa Biaya'!C10</f>
        <v>2015570561</v>
      </c>
      <c r="C43" s="30">
        <f>'Prognosa Biaya'!D10</f>
        <v>94441562.306666672</v>
      </c>
      <c r="D43" s="30">
        <f>'Prognosa Biaya'!E10</f>
        <v>94441562.306666672</v>
      </c>
      <c r="E43" s="30">
        <f>'Prognosa Biaya'!F10</f>
        <v>94441562.306666672</v>
      </c>
      <c r="F43" s="30">
        <f>'Prognosa Biaya'!G10</f>
        <v>94441562.306666672</v>
      </c>
      <c r="G43" s="133">
        <f t="shared" si="3"/>
        <v>2393336810.2266669</v>
      </c>
    </row>
    <row r="44" spans="1:10" x14ac:dyDescent="0.3">
      <c r="A44" s="325" t="s">
        <v>1362</v>
      </c>
      <c r="B44" s="246">
        <f>'Prognosa Biaya'!C24</f>
        <v>2675772904</v>
      </c>
      <c r="C44" s="30">
        <f>'Prognosa Biaya'!D24</f>
        <v>125180120.08333333</v>
      </c>
      <c r="D44" s="30">
        <f>'Prognosa Biaya'!E24</f>
        <v>155780120.08333331</v>
      </c>
      <c r="E44" s="30">
        <f>'Prognosa Biaya'!F24</f>
        <v>125180120.08333333</v>
      </c>
      <c r="F44" s="30">
        <f>'Prognosa Biaya'!G24</f>
        <v>125180120.08333333</v>
      </c>
      <c r="G44" s="133">
        <f t="shared" si="3"/>
        <v>3207093384.333334</v>
      </c>
    </row>
    <row r="45" spans="1:10" x14ac:dyDescent="0.3">
      <c r="A45" s="325" t="s">
        <v>1363</v>
      </c>
      <c r="B45" s="246">
        <v>0</v>
      </c>
      <c r="C45" s="30">
        <f>'Prognosa Biaya'!Q48</f>
        <v>0</v>
      </c>
      <c r="D45" s="30"/>
      <c r="E45" s="30"/>
      <c r="F45" s="30">
        <f>'Prognosa Biaya'!Q23</f>
        <v>328465650</v>
      </c>
      <c r="G45" s="133">
        <f t="shared" si="3"/>
        <v>328465650</v>
      </c>
    </row>
    <row r="46" spans="1:10" x14ac:dyDescent="0.3">
      <c r="A46" s="324" t="s">
        <v>1364</v>
      </c>
      <c r="B46" s="245">
        <f>SUM(B43:B45)</f>
        <v>4691343465</v>
      </c>
      <c r="C46" s="245">
        <f>SUM(C43:C45)</f>
        <v>219621682.38999999</v>
      </c>
      <c r="D46" s="245">
        <f>SUM(D43:D45)</f>
        <v>250221682.38999999</v>
      </c>
      <c r="E46" s="245">
        <f>SUM(E43:E45)</f>
        <v>219621682.38999999</v>
      </c>
      <c r="F46" s="245">
        <f>SUM(F43:F45)</f>
        <v>548087332.38999999</v>
      </c>
      <c r="G46" s="220">
        <f>SUM(B46:F46)</f>
        <v>5928895844.5600014</v>
      </c>
    </row>
    <row r="47" spans="1:10" ht="15" thickBot="1" x14ac:dyDescent="0.35">
      <c r="A47" s="326" t="s">
        <v>1365</v>
      </c>
      <c r="B47" s="287">
        <f t="shared" ref="B47:G47" si="5">B42-B46</f>
        <v>42769733288.799995</v>
      </c>
      <c r="C47" s="287">
        <f t="shared" si="5"/>
        <v>2089150997.8205266</v>
      </c>
      <c r="D47" s="287">
        <f t="shared" si="5"/>
        <v>1573399913.6005263</v>
      </c>
      <c r="E47" s="287">
        <f t="shared" si="5"/>
        <v>1236113554.1705265</v>
      </c>
      <c r="F47" s="287">
        <f t="shared" si="5"/>
        <v>724685347.82052648</v>
      </c>
      <c r="G47" s="288">
        <f t="shared" si="5"/>
        <v>48393083102.212097</v>
      </c>
    </row>
    <row r="49" spans="1:7" x14ac:dyDescent="0.3">
      <c r="A49" s="104" t="s">
        <v>1411</v>
      </c>
    </row>
    <row r="50" spans="1:7" ht="15" thickBot="1" x14ac:dyDescent="0.35"/>
    <row r="51" spans="1:7" x14ac:dyDescent="0.3">
      <c r="A51" s="353" t="s">
        <v>35</v>
      </c>
      <c r="B51" s="355" t="s">
        <v>1377</v>
      </c>
      <c r="C51" s="355" t="s">
        <v>1412</v>
      </c>
      <c r="D51" s="362">
        <v>44470</v>
      </c>
      <c r="E51" s="362">
        <v>44501</v>
      </c>
      <c r="F51" s="362">
        <v>44531</v>
      </c>
      <c r="G51" s="360" t="s">
        <v>1359</v>
      </c>
    </row>
    <row r="52" spans="1:7" x14ac:dyDescent="0.3">
      <c r="A52" s="354"/>
      <c r="B52" s="356"/>
      <c r="C52" s="363"/>
      <c r="D52" s="356"/>
      <c r="E52" s="356"/>
      <c r="F52" s="356"/>
      <c r="G52" s="361"/>
    </row>
    <row r="53" spans="1:7" x14ac:dyDescent="0.3">
      <c r="A53" s="308" t="s">
        <v>1350</v>
      </c>
      <c r="B53" s="285" t="s">
        <v>1351</v>
      </c>
      <c r="C53" s="285" t="s">
        <v>1352</v>
      </c>
      <c r="D53" s="285" t="s">
        <v>1353</v>
      </c>
      <c r="E53" s="285" t="s">
        <v>1354</v>
      </c>
      <c r="F53" s="285" t="s">
        <v>1355</v>
      </c>
      <c r="G53" s="318" t="s">
        <v>1415</v>
      </c>
    </row>
    <row r="54" spans="1:7" x14ac:dyDescent="0.3">
      <c r="A54" s="319" t="s">
        <v>4</v>
      </c>
      <c r="B54" s="244">
        <v>41285600</v>
      </c>
      <c r="C54" s="30">
        <f>G30</f>
        <v>41285600</v>
      </c>
      <c r="D54" s="30">
        <v>0</v>
      </c>
      <c r="E54" s="30">
        <v>0</v>
      </c>
      <c r="F54" s="30">
        <v>0</v>
      </c>
      <c r="G54" s="133">
        <f>SUM(C54:F54)</f>
        <v>41285600</v>
      </c>
    </row>
    <row r="55" spans="1:7" x14ac:dyDescent="0.3">
      <c r="A55" s="319" t="s">
        <v>21</v>
      </c>
      <c r="B55" s="244">
        <v>710029200.08000004</v>
      </c>
      <c r="C55" s="30">
        <f>G31</f>
        <v>710029200.08000004</v>
      </c>
      <c r="D55" s="30">
        <v>0</v>
      </c>
      <c r="E55" s="30">
        <v>0</v>
      </c>
      <c r="F55" s="30">
        <v>0</v>
      </c>
      <c r="G55" s="133">
        <f t="shared" ref="G55:G65" si="6">SUM(C55:F55)</f>
        <v>710029200.08000004</v>
      </c>
    </row>
    <row r="56" spans="1:7" x14ac:dyDescent="0.3">
      <c r="A56" s="319" t="s">
        <v>5</v>
      </c>
      <c r="B56" s="244">
        <v>36047969208.949997</v>
      </c>
      <c r="C56" s="30">
        <f>G32</f>
        <v>41896871401.922096</v>
      </c>
      <c r="D56" s="30">
        <f>Kredit!AI200</f>
        <v>3462637785.7705259</v>
      </c>
      <c r="E56" s="30">
        <f>Kredit!AJ200</f>
        <v>2692955593.5405264</v>
      </c>
      <c r="F56" s="30">
        <f>Kredit!AK200</f>
        <v>1827946154.0205262</v>
      </c>
      <c r="G56" s="133">
        <f t="shared" si="6"/>
        <v>49880410935.25367</v>
      </c>
    </row>
    <row r="57" spans="1:7" x14ac:dyDescent="0.3">
      <c r="A57" s="320" t="s">
        <v>13</v>
      </c>
      <c r="B57" s="258"/>
      <c r="C57" s="30"/>
      <c r="D57" s="259"/>
      <c r="E57" s="259"/>
      <c r="F57" s="259"/>
      <c r="G57" s="133">
        <f t="shared" si="6"/>
        <v>0</v>
      </c>
    </row>
    <row r="58" spans="1:7" x14ac:dyDescent="0.3">
      <c r="A58" s="322" t="s">
        <v>1379</v>
      </c>
      <c r="B58" s="244">
        <v>1177270000</v>
      </c>
      <c r="C58" s="30">
        <f t="shared" ref="C58:C65" si="7">G34</f>
        <v>1177270000</v>
      </c>
      <c r="D58" s="30">
        <f>'Tanah dan Bangunan'!O4</f>
        <v>0</v>
      </c>
      <c r="E58" s="30">
        <f>'Tanah dan Bangunan'!P4</f>
        <v>0</v>
      </c>
      <c r="F58" s="30">
        <f>'Tanah dan Bangunan'!Q4</f>
        <v>5763901874</v>
      </c>
      <c r="G58" s="133">
        <f t="shared" si="6"/>
        <v>6941171874</v>
      </c>
    </row>
    <row r="59" spans="1:7" x14ac:dyDescent="0.3">
      <c r="A59" s="322" t="s">
        <v>1380</v>
      </c>
      <c r="B59" s="244">
        <v>1318200000</v>
      </c>
      <c r="C59" s="30">
        <f t="shared" si="7"/>
        <v>1318200000</v>
      </c>
      <c r="D59" s="30">
        <f>Kendaraan!O16</f>
        <v>0</v>
      </c>
      <c r="E59" s="30">
        <f>Kendaraan!P16</f>
        <v>0</v>
      </c>
      <c r="F59" s="30">
        <f>Kendaraan!Q16</f>
        <v>0</v>
      </c>
      <c r="G59" s="133">
        <f t="shared" si="6"/>
        <v>1318200000</v>
      </c>
    </row>
    <row r="60" spans="1:7" x14ac:dyDescent="0.3">
      <c r="A60" s="322" t="s">
        <v>1381</v>
      </c>
      <c r="B60" s="244">
        <v>179000000</v>
      </c>
      <c r="C60" s="30">
        <f t="shared" si="7"/>
        <v>179000000</v>
      </c>
      <c r="D60" s="30">
        <f>Inventaris!N970</f>
        <v>196004100</v>
      </c>
      <c r="E60" s="30">
        <f>Inventaris!O970</f>
        <v>310309000</v>
      </c>
      <c r="F60" s="30">
        <f>Inventaris!P970</f>
        <v>0</v>
      </c>
      <c r="G60" s="133">
        <f t="shared" si="6"/>
        <v>685313100</v>
      </c>
    </row>
    <row r="61" spans="1:7" x14ac:dyDescent="0.3">
      <c r="A61" s="320" t="s">
        <v>7</v>
      </c>
      <c r="B61" s="244"/>
      <c r="C61" s="30">
        <f t="shared" si="7"/>
        <v>0</v>
      </c>
      <c r="D61" s="30"/>
      <c r="E61" s="30"/>
      <c r="F61" s="30"/>
      <c r="G61" s="133">
        <f t="shared" si="6"/>
        <v>0</v>
      </c>
    </row>
    <row r="62" spans="1:7" x14ac:dyDescent="0.3">
      <c r="A62" s="323" t="s">
        <v>26</v>
      </c>
      <c r="B62" s="244">
        <v>2058504678.4200001</v>
      </c>
      <c r="C62" s="30">
        <f t="shared" si="7"/>
        <v>3070504678.4200001</v>
      </c>
      <c r="D62" s="30">
        <f>AYDA!L50</f>
        <v>0</v>
      </c>
      <c r="E62" s="30">
        <f>AYDA!M50</f>
        <v>0</v>
      </c>
      <c r="F62" s="30">
        <f>AYDA!N50</f>
        <v>0</v>
      </c>
      <c r="G62" s="133">
        <f t="shared" si="6"/>
        <v>3070504678.4200001</v>
      </c>
    </row>
    <row r="63" spans="1:7" x14ac:dyDescent="0.3">
      <c r="A63" s="323" t="s">
        <v>38</v>
      </c>
      <c r="B63" s="244">
        <v>3968029458.4899998</v>
      </c>
      <c r="C63" s="30">
        <f t="shared" si="7"/>
        <v>3968029458.4899998</v>
      </c>
      <c r="D63" s="30">
        <v>0</v>
      </c>
      <c r="E63" s="30">
        <v>0</v>
      </c>
      <c r="F63" s="30">
        <v>0</v>
      </c>
      <c r="G63" s="133">
        <f t="shared" si="6"/>
        <v>3968029458.4899998</v>
      </c>
    </row>
    <row r="64" spans="1:7" x14ac:dyDescent="0.3">
      <c r="A64" s="323" t="s">
        <v>39</v>
      </c>
      <c r="B64" s="244">
        <v>511520479.84999996</v>
      </c>
      <c r="C64" s="30">
        <f t="shared" si="7"/>
        <v>511520479.84999996</v>
      </c>
      <c r="D64" s="30">
        <v>0</v>
      </c>
      <c r="E64" s="30">
        <v>0</v>
      </c>
      <c r="F64" s="30">
        <v>0</v>
      </c>
      <c r="G64" s="133">
        <f t="shared" si="6"/>
        <v>511520479.84999996</v>
      </c>
    </row>
    <row r="65" spans="1:9" x14ac:dyDescent="0.3">
      <c r="A65" s="323" t="s">
        <v>27</v>
      </c>
      <c r="B65" s="244">
        <v>1449268128.01</v>
      </c>
      <c r="C65" s="30">
        <f t="shared" si="7"/>
        <v>1449268128.01</v>
      </c>
      <c r="D65" s="30">
        <v>0</v>
      </c>
      <c r="E65" s="30">
        <v>0</v>
      </c>
      <c r="F65" s="30">
        <v>0</v>
      </c>
      <c r="G65" s="133">
        <f t="shared" si="6"/>
        <v>1449268128.01</v>
      </c>
    </row>
    <row r="66" spans="1:9" x14ac:dyDescent="0.3">
      <c r="A66" s="324" t="s">
        <v>1360</v>
      </c>
      <c r="B66" s="245">
        <f t="shared" ref="B66:G66" si="8">SUM(B54:B65)</f>
        <v>47461076753.799995</v>
      </c>
      <c r="C66" s="245">
        <f t="shared" si="8"/>
        <v>54321978946.772095</v>
      </c>
      <c r="D66" s="245">
        <f t="shared" si="8"/>
        <v>3658641885.7705259</v>
      </c>
      <c r="E66" s="245">
        <f t="shared" si="8"/>
        <v>3003264593.5405264</v>
      </c>
      <c r="F66" s="245">
        <f t="shared" si="8"/>
        <v>7591848028.0205259</v>
      </c>
      <c r="G66" s="330">
        <f t="shared" si="8"/>
        <v>68575733454.103668</v>
      </c>
    </row>
    <row r="67" spans="1:9" x14ac:dyDescent="0.3">
      <c r="A67" s="325" t="s">
        <v>1361</v>
      </c>
      <c r="B67" s="246">
        <f>'Prognosa Biaya'!C10</f>
        <v>2015570561</v>
      </c>
      <c r="C67" s="30">
        <f>G43</f>
        <v>2393336810.2266669</v>
      </c>
      <c r="D67" s="30">
        <f>'Prognosa Biaya'!H10</f>
        <v>106470062.30666667</v>
      </c>
      <c r="E67" s="30">
        <f>'Prognosa Biaya'!I10</f>
        <v>106470062.30666667</v>
      </c>
      <c r="F67" s="30">
        <f>'Prognosa Biaya'!J10</f>
        <v>106470062.30666667</v>
      </c>
      <c r="G67" s="133">
        <f>SUM(C67:F67)</f>
        <v>2712746997.1466675</v>
      </c>
    </row>
    <row r="68" spans="1:9" x14ac:dyDescent="0.3">
      <c r="A68" s="325" t="s">
        <v>1362</v>
      </c>
      <c r="B68" s="246">
        <f>'Prognosa Biaya'!C24</f>
        <v>2675772904</v>
      </c>
      <c r="C68" s="30">
        <f>G44</f>
        <v>3207093384.333334</v>
      </c>
      <c r="D68" s="30">
        <f>'Prognosa Biaya'!H24</f>
        <v>125180120.08333333</v>
      </c>
      <c r="E68" s="30">
        <f>'Prognosa Biaya'!I24</f>
        <v>125180120.08333333</v>
      </c>
      <c r="F68" s="30">
        <f>'Prognosa Biaya'!J24</f>
        <v>521308120.08333331</v>
      </c>
      <c r="G68" s="133">
        <f>SUM(C68:F68)</f>
        <v>3978761744.5833344</v>
      </c>
    </row>
    <row r="69" spans="1:9" x14ac:dyDescent="0.3">
      <c r="A69" s="325" t="s">
        <v>1363</v>
      </c>
      <c r="B69" s="246">
        <v>0</v>
      </c>
      <c r="C69" s="30">
        <v>0</v>
      </c>
      <c r="D69" s="30"/>
      <c r="E69" s="30"/>
      <c r="F69" s="30">
        <f>'Prognosa Biaya'!Q24</f>
        <v>328465650</v>
      </c>
      <c r="G69" s="133">
        <f>SUM(C69:F69)</f>
        <v>328465650</v>
      </c>
    </row>
    <row r="70" spans="1:9" x14ac:dyDescent="0.3">
      <c r="A70" s="324" t="s">
        <v>1364</v>
      </c>
      <c r="B70" s="245">
        <f>SUM(B67:B69)</f>
        <v>4691343465</v>
      </c>
      <c r="C70" s="245">
        <f>SUM(C67:C69)</f>
        <v>5600430194.5600014</v>
      </c>
      <c r="D70" s="245">
        <f>SUM(D67:D69)</f>
        <v>231650182.38999999</v>
      </c>
      <c r="E70" s="245">
        <f>SUM(E67:E69)</f>
        <v>231650182.38999999</v>
      </c>
      <c r="F70" s="245">
        <f>SUM(F67:F69)</f>
        <v>956243832.38999999</v>
      </c>
      <c r="G70" s="220">
        <f>SUM(C70:F70)</f>
        <v>7019974391.7300024</v>
      </c>
    </row>
    <row r="71" spans="1:9" ht="15" thickBot="1" x14ac:dyDescent="0.35">
      <c r="A71" s="326" t="s">
        <v>1365</v>
      </c>
      <c r="B71" s="287">
        <f t="shared" ref="B71:G71" si="9">B66-B70</f>
        <v>42769733288.799995</v>
      </c>
      <c r="C71" s="287">
        <f t="shared" si="9"/>
        <v>48721548752.212097</v>
      </c>
      <c r="D71" s="287">
        <f t="shared" si="9"/>
        <v>3426991703.3805261</v>
      </c>
      <c r="E71" s="287">
        <f t="shared" si="9"/>
        <v>2771614411.1505265</v>
      </c>
      <c r="F71" s="287">
        <f t="shared" si="9"/>
        <v>6635604195.6305256</v>
      </c>
      <c r="G71" s="288">
        <f t="shared" si="9"/>
        <v>61555759062.373665</v>
      </c>
    </row>
    <row r="73" spans="1:9" x14ac:dyDescent="0.3">
      <c r="A73" s="104" t="s">
        <v>1416</v>
      </c>
    </row>
    <row r="74" spans="1:9" ht="15" thickBot="1" x14ac:dyDescent="0.35"/>
    <row r="75" spans="1:9" x14ac:dyDescent="0.3">
      <c r="A75" s="353" t="s">
        <v>35</v>
      </c>
      <c r="B75" s="355" t="s">
        <v>1377</v>
      </c>
      <c r="C75" s="355" t="s">
        <v>1417</v>
      </c>
      <c r="D75" s="362">
        <v>44562</v>
      </c>
      <c r="E75" s="362">
        <v>44593</v>
      </c>
      <c r="F75" s="362">
        <v>44621</v>
      </c>
      <c r="G75" s="360" t="s">
        <v>1359</v>
      </c>
    </row>
    <row r="76" spans="1:9" x14ac:dyDescent="0.3">
      <c r="A76" s="354"/>
      <c r="B76" s="356"/>
      <c r="C76" s="363"/>
      <c r="D76" s="356"/>
      <c r="E76" s="356"/>
      <c r="F76" s="356"/>
      <c r="G76" s="361"/>
    </row>
    <row r="77" spans="1:9" x14ac:dyDescent="0.3">
      <c r="A77" s="308" t="s">
        <v>1350</v>
      </c>
      <c r="B77" s="285" t="s">
        <v>1351</v>
      </c>
      <c r="C77" s="285" t="s">
        <v>1352</v>
      </c>
      <c r="D77" s="285" t="s">
        <v>1353</v>
      </c>
      <c r="E77" s="285" t="s">
        <v>1354</v>
      </c>
      <c r="F77" s="285" t="s">
        <v>1355</v>
      </c>
      <c r="G77" s="318" t="s">
        <v>1415</v>
      </c>
    </row>
    <row r="78" spans="1:9" x14ac:dyDescent="0.3">
      <c r="A78" s="319" t="s">
        <v>4</v>
      </c>
      <c r="B78" s="244">
        <v>41285600</v>
      </c>
      <c r="C78" s="30">
        <f>G54</f>
        <v>41285600</v>
      </c>
      <c r="D78" s="30">
        <v>0</v>
      </c>
      <c r="E78" s="30">
        <v>0</v>
      </c>
      <c r="F78" s="30">
        <v>0</v>
      </c>
      <c r="G78" s="133">
        <f>SUM(C78:F78)</f>
        <v>41285600</v>
      </c>
      <c r="I78" t="s">
        <v>29</v>
      </c>
    </row>
    <row r="79" spans="1:9" x14ac:dyDescent="0.3">
      <c r="A79" s="319" t="s">
        <v>21</v>
      </c>
      <c r="B79" s="244">
        <v>710029200.08000004</v>
      </c>
      <c r="C79" s="30">
        <f>G55</f>
        <v>710029200.08000004</v>
      </c>
      <c r="D79" s="30">
        <v>0</v>
      </c>
      <c r="E79" s="30">
        <v>0</v>
      </c>
      <c r="F79" s="30">
        <v>0</v>
      </c>
      <c r="G79" s="133">
        <f t="shared" ref="G79:G93" si="10">SUM(C79:F79)</f>
        <v>710029200.08000004</v>
      </c>
    </row>
    <row r="80" spans="1:9" x14ac:dyDescent="0.3">
      <c r="A80" s="319" t="s">
        <v>5</v>
      </c>
      <c r="B80" s="244">
        <v>36047969208.949997</v>
      </c>
      <c r="C80" s="30">
        <f>G56</f>
        <v>49880410935.25367</v>
      </c>
      <c r="D80" s="30">
        <f>Kredit!AL200</f>
        <v>2002772680.2105262</v>
      </c>
      <c r="E80" s="30">
        <f>Kredit!AM200</f>
        <v>2543772680.2105265</v>
      </c>
      <c r="F80" s="30">
        <f>Kredit!AN200</f>
        <v>1703966838.3905263</v>
      </c>
      <c r="G80" s="133">
        <f t="shared" si="10"/>
        <v>56130923134.065247</v>
      </c>
    </row>
    <row r="81" spans="1:7" x14ac:dyDescent="0.3">
      <c r="A81" s="320" t="s">
        <v>13</v>
      </c>
      <c r="B81" s="258"/>
      <c r="C81" s="30"/>
      <c r="D81" s="259"/>
      <c r="E81" s="259"/>
      <c r="F81" s="259"/>
      <c r="G81" s="133">
        <f t="shared" si="10"/>
        <v>0</v>
      </c>
    </row>
    <row r="82" spans="1:7" x14ac:dyDescent="0.3">
      <c r="A82" s="322" t="s">
        <v>1379</v>
      </c>
      <c r="B82" s="244">
        <v>1177270000</v>
      </c>
      <c r="C82" s="30">
        <f t="shared" ref="C82:C89" si="11">G58</f>
        <v>6941171874</v>
      </c>
      <c r="D82" s="30">
        <f>'Tanah dan Bangunan'!R4</f>
        <v>0</v>
      </c>
      <c r="E82" s="30">
        <f>'Tanah dan Bangunan'!S4</f>
        <v>0</v>
      </c>
      <c r="F82" s="30">
        <f>'Tanah dan Bangunan'!T4</f>
        <v>0</v>
      </c>
      <c r="G82" s="133">
        <f t="shared" si="10"/>
        <v>6941171874</v>
      </c>
    </row>
    <row r="83" spans="1:7" x14ac:dyDescent="0.3">
      <c r="A83" s="322" t="s">
        <v>1380</v>
      </c>
      <c r="B83" s="244">
        <v>1318200000</v>
      </c>
      <c r="C83" s="30">
        <f t="shared" si="11"/>
        <v>1318200000</v>
      </c>
      <c r="D83" s="30">
        <f>Kendaraan!R16</f>
        <v>0</v>
      </c>
      <c r="E83" s="30">
        <f>Kendaraan!S16</f>
        <v>0</v>
      </c>
      <c r="F83" s="30">
        <f>Kendaraan!T16</f>
        <v>94200000</v>
      </c>
      <c r="G83" s="133">
        <f t="shared" si="10"/>
        <v>1412400000</v>
      </c>
    </row>
    <row r="84" spans="1:7" x14ac:dyDescent="0.3">
      <c r="A84" s="322" t="s">
        <v>1381</v>
      </c>
      <c r="B84" s="244">
        <v>179000000</v>
      </c>
      <c r="C84" s="30">
        <f t="shared" si="11"/>
        <v>685313100</v>
      </c>
      <c r="D84" s="30">
        <f>Inventaris!Q970</f>
        <v>0</v>
      </c>
      <c r="E84" s="30">
        <f>Inventaris!R970</f>
        <v>0</v>
      </c>
      <c r="F84" s="30">
        <f>Inventaris!S970</f>
        <v>0</v>
      </c>
      <c r="G84" s="133">
        <f t="shared" si="10"/>
        <v>685313100</v>
      </c>
    </row>
    <row r="85" spans="1:7" x14ac:dyDescent="0.3">
      <c r="A85" s="320" t="s">
        <v>7</v>
      </c>
      <c r="B85" s="244"/>
      <c r="C85" s="30">
        <f t="shared" si="11"/>
        <v>0</v>
      </c>
      <c r="D85" s="30"/>
      <c r="E85" s="30"/>
      <c r="F85" s="30"/>
      <c r="G85" s="133">
        <f t="shared" si="10"/>
        <v>0</v>
      </c>
    </row>
    <row r="86" spans="1:7" x14ac:dyDescent="0.3">
      <c r="A86" s="323" t="s">
        <v>26</v>
      </c>
      <c r="B86" s="244">
        <v>2058504678.4200001</v>
      </c>
      <c r="C86" s="30">
        <f t="shared" si="11"/>
        <v>3070504678.4200001</v>
      </c>
      <c r="D86" s="30">
        <f>AYDA!R25</f>
        <v>1099000000</v>
      </c>
      <c r="E86" s="30">
        <f>AYDA!S25</f>
        <v>2623000000</v>
      </c>
      <c r="F86" s="30">
        <f>AYDA!T25</f>
        <v>624000000</v>
      </c>
      <c r="G86" s="133">
        <f t="shared" si="10"/>
        <v>7416504678.4200001</v>
      </c>
    </row>
    <row r="87" spans="1:7" x14ac:dyDescent="0.3">
      <c r="A87" s="323" t="s">
        <v>38</v>
      </c>
      <c r="B87" s="244">
        <v>3968029458.4899998</v>
      </c>
      <c r="C87" s="30">
        <f t="shared" si="11"/>
        <v>3968029458.4899998</v>
      </c>
      <c r="D87" s="30">
        <v>0</v>
      </c>
      <c r="E87" s="30">
        <v>0</v>
      </c>
      <c r="F87" s="30">
        <v>0</v>
      </c>
      <c r="G87" s="133">
        <f t="shared" si="10"/>
        <v>3968029458.4899998</v>
      </c>
    </row>
    <row r="88" spans="1:7" x14ac:dyDescent="0.3">
      <c r="A88" s="323" t="s">
        <v>39</v>
      </c>
      <c r="B88" s="244">
        <v>511520479.84999996</v>
      </c>
      <c r="C88" s="30">
        <f t="shared" si="11"/>
        <v>511520479.84999996</v>
      </c>
      <c r="D88" s="30">
        <v>0</v>
      </c>
      <c r="E88" s="30">
        <v>0</v>
      </c>
      <c r="F88" s="30">
        <v>0</v>
      </c>
      <c r="G88" s="133">
        <f t="shared" si="10"/>
        <v>511520479.84999996</v>
      </c>
    </row>
    <row r="89" spans="1:7" x14ac:dyDescent="0.3">
      <c r="A89" s="323" t="s">
        <v>27</v>
      </c>
      <c r="B89" s="244">
        <v>1449268128.01</v>
      </c>
      <c r="C89" s="30">
        <f t="shared" si="11"/>
        <v>1449268128.01</v>
      </c>
      <c r="D89" s="30">
        <v>0</v>
      </c>
      <c r="E89" s="30">
        <v>0</v>
      </c>
      <c r="F89" s="30">
        <v>0</v>
      </c>
      <c r="G89" s="133">
        <f t="shared" si="10"/>
        <v>1449268128.01</v>
      </c>
    </row>
    <row r="90" spans="1:7" x14ac:dyDescent="0.3">
      <c r="A90" s="324" t="s">
        <v>1360</v>
      </c>
      <c r="B90" s="245">
        <f t="shared" ref="B90:G90" si="12">SUM(B78:B89)</f>
        <v>47461076753.799995</v>
      </c>
      <c r="C90" s="245">
        <f t="shared" si="12"/>
        <v>68575733454.103668</v>
      </c>
      <c r="D90" s="245">
        <f t="shared" si="12"/>
        <v>3101772680.2105265</v>
      </c>
      <c r="E90" s="245">
        <f t="shared" si="12"/>
        <v>5166772680.2105265</v>
      </c>
      <c r="F90" s="245">
        <f t="shared" si="12"/>
        <v>2422166838.3905263</v>
      </c>
      <c r="G90" s="330">
        <f t="shared" si="12"/>
        <v>79266445652.915253</v>
      </c>
    </row>
    <row r="91" spans="1:7" x14ac:dyDescent="0.3">
      <c r="A91" s="325" t="s">
        <v>1361</v>
      </c>
      <c r="B91" s="246">
        <f>'Prognosa Biaya'!C10</f>
        <v>2015570561</v>
      </c>
      <c r="C91" s="30">
        <f>G67</f>
        <v>2712746997.1466675</v>
      </c>
      <c r="D91" s="30">
        <f>'Prognosa Biaya'!K10</f>
        <v>106470062.30666667</v>
      </c>
      <c r="E91" s="30">
        <f>'Prognosa Biaya'!L10</f>
        <v>106470062.30666667</v>
      </c>
      <c r="F91" s="30">
        <f>'Prognosa Biaya'!M10</f>
        <v>106470062.30666667</v>
      </c>
      <c r="G91" s="133">
        <f t="shared" si="10"/>
        <v>3032157184.066668</v>
      </c>
    </row>
    <row r="92" spans="1:7" x14ac:dyDescent="0.3">
      <c r="A92" s="325" t="s">
        <v>1362</v>
      </c>
      <c r="B92" s="246">
        <f>'Prognosa Biaya'!C24</f>
        <v>2675772904</v>
      </c>
      <c r="C92" s="30">
        <f>G68</f>
        <v>3978761744.5833344</v>
      </c>
      <c r="D92" s="30">
        <f>'Prognosa Biaya'!K24</f>
        <v>125180120.08333333</v>
      </c>
      <c r="E92" s="30">
        <f>'Prognosa Biaya'!L24</f>
        <v>172580120.08333331</v>
      </c>
      <c r="F92" s="30">
        <f>'Prognosa Biaya'!M24</f>
        <v>125180120.08333333</v>
      </c>
      <c r="G92" s="133">
        <f t="shared" si="10"/>
        <v>4401702104.8333349</v>
      </c>
    </row>
    <row r="93" spans="1:7" x14ac:dyDescent="0.3">
      <c r="A93" s="325" t="s">
        <v>1363</v>
      </c>
      <c r="B93" s="246">
        <v>0</v>
      </c>
      <c r="C93" s="30">
        <v>0</v>
      </c>
      <c r="D93" s="30"/>
      <c r="E93" s="30"/>
      <c r="F93" s="30">
        <f>'Prognosa Biaya'!Q24</f>
        <v>328465650</v>
      </c>
      <c r="G93" s="133">
        <f t="shared" si="10"/>
        <v>328465650</v>
      </c>
    </row>
    <row r="94" spans="1:7" x14ac:dyDescent="0.3">
      <c r="A94" s="324" t="s">
        <v>1364</v>
      </c>
      <c r="B94" s="245">
        <f>SUM(B91:B93)</f>
        <v>4691343465</v>
      </c>
      <c r="C94" s="245">
        <f>SUM(C91:C93)</f>
        <v>6691508741.7300014</v>
      </c>
      <c r="D94" s="245">
        <f>SUM(D91:D93)</f>
        <v>231650182.38999999</v>
      </c>
      <c r="E94" s="245">
        <f>SUM(E91:E93)</f>
        <v>279050182.38999999</v>
      </c>
      <c r="F94" s="245">
        <f>SUM(F91:F93)</f>
        <v>560115832.38999999</v>
      </c>
      <c r="G94" s="220">
        <f>SUM(C94:F94)</f>
        <v>7762324938.9000025</v>
      </c>
    </row>
    <row r="95" spans="1:7" ht="15" thickBot="1" x14ac:dyDescent="0.35">
      <c r="A95" s="326" t="s">
        <v>1365</v>
      </c>
      <c r="B95" s="287">
        <f t="shared" ref="B95:F95" si="13">B90-B94</f>
        <v>42769733288.799995</v>
      </c>
      <c r="C95" s="287">
        <f t="shared" si="13"/>
        <v>61884224712.373665</v>
      </c>
      <c r="D95" s="287">
        <f t="shared" si="13"/>
        <v>2870122497.8205266</v>
      </c>
      <c r="E95" s="287">
        <f t="shared" si="13"/>
        <v>4887722497.8205261</v>
      </c>
      <c r="F95" s="287">
        <f t="shared" si="13"/>
        <v>1862051006.0005264</v>
      </c>
      <c r="G95" s="288">
        <f>G90-G94</f>
        <v>71504120714.015244</v>
      </c>
    </row>
    <row r="97" spans="1:7" x14ac:dyDescent="0.3">
      <c r="A97" s="104" t="s">
        <v>1418</v>
      </c>
    </row>
    <row r="98" spans="1:7" ht="15" thickBot="1" x14ac:dyDescent="0.35"/>
    <row r="99" spans="1:7" x14ac:dyDescent="0.3">
      <c r="A99" s="353" t="s">
        <v>35</v>
      </c>
      <c r="B99" s="355" t="s">
        <v>1377</v>
      </c>
      <c r="C99" s="355" t="s">
        <v>1417</v>
      </c>
      <c r="D99" s="362">
        <v>44652</v>
      </c>
      <c r="E99" s="362">
        <v>44682</v>
      </c>
      <c r="F99" s="362">
        <v>44713</v>
      </c>
      <c r="G99" s="360" t="s">
        <v>1359</v>
      </c>
    </row>
    <row r="100" spans="1:7" x14ac:dyDescent="0.3">
      <c r="A100" s="354"/>
      <c r="B100" s="356"/>
      <c r="C100" s="363"/>
      <c r="D100" s="356"/>
      <c r="E100" s="356"/>
      <c r="F100" s="356"/>
      <c r="G100" s="361"/>
    </row>
    <row r="101" spans="1:7" x14ac:dyDescent="0.3">
      <c r="A101" s="308" t="s">
        <v>1350</v>
      </c>
      <c r="B101" s="285" t="s">
        <v>1351</v>
      </c>
      <c r="C101" s="285" t="s">
        <v>1352</v>
      </c>
      <c r="D101" s="285" t="s">
        <v>1353</v>
      </c>
      <c r="E101" s="285" t="s">
        <v>1354</v>
      </c>
      <c r="F101" s="285" t="s">
        <v>1355</v>
      </c>
      <c r="G101" s="318" t="s">
        <v>1415</v>
      </c>
    </row>
    <row r="102" spans="1:7" x14ac:dyDescent="0.3">
      <c r="A102" s="319" t="s">
        <v>4</v>
      </c>
      <c r="B102" s="244">
        <v>41285600</v>
      </c>
      <c r="C102" s="30">
        <f>G78</f>
        <v>41285600</v>
      </c>
      <c r="D102" s="30">
        <v>0</v>
      </c>
      <c r="E102" s="30">
        <v>0</v>
      </c>
      <c r="F102" s="30">
        <v>0</v>
      </c>
      <c r="G102" s="133">
        <f>SUM(C102:F102)</f>
        <v>41285600</v>
      </c>
    </row>
    <row r="103" spans="1:7" x14ac:dyDescent="0.3">
      <c r="A103" s="319" t="s">
        <v>21</v>
      </c>
      <c r="B103" s="244">
        <v>710029200.08000004</v>
      </c>
      <c r="C103" s="30">
        <f>G79</f>
        <v>710029200.08000004</v>
      </c>
      <c r="D103" s="30">
        <v>0</v>
      </c>
      <c r="E103" s="30">
        <v>0</v>
      </c>
      <c r="F103" s="30">
        <v>0</v>
      </c>
      <c r="G103" s="133">
        <f t="shared" ref="G103:G113" si="14">SUM(C103:F103)</f>
        <v>710029200.08000004</v>
      </c>
    </row>
    <row r="104" spans="1:7" x14ac:dyDescent="0.3">
      <c r="A104" s="319" t="s">
        <v>5</v>
      </c>
      <c r="B104" s="244">
        <v>36047969208.949997</v>
      </c>
      <c r="C104" s="30">
        <f>G80</f>
        <v>56130923134.065247</v>
      </c>
      <c r="D104" s="30">
        <f>Kredit!AO200</f>
        <v>1503110661.9105263</v>
      </c>
      <c r="E104" s="30">
        <f>Kredit!AP200</f>
        <v>3332923023.1220198</v>
      </c>
      <c r="F104" s="30">
        <f>Kredit!AQ200</f>
        <v>10524282524.668665</v>
      </c>
      <c r="G104" s="133">
        <f t="shared" si="14"/>
        <v>71491239343.766449</v>
      </c>
    </row>
    <row r="105" spans="1:7" x14ac:dyDescent="0.3">
      <c r="A105" s="320" t="s">
        <v>13</v>
      </c>
      <c r="B105" s="258"/>
      <c r="C105" s="30"/>
      <c r="D105" s="259"/>
      <c r="E105" s="259"/>
      <c r="F105" s="259"/>
      <c r="G105" s="133">
        <f t="shared" si="14"/>
        <v>0</v>
      </c>
    </row>
    <row r="106" spans="1:7" x14ac:dyDescent="0.3">
      <c r="A106" s="322" t="s">
        <v>1379</v>
      </c>
      <c r="B106" s="244">
        <v>1177270000</v>
      </c>
      <c r="C106" s="30">
        <f t="shared" ref="C106:C113" si="15">G82</f>
        <v>6941171874</v>
      </c>
      <c r="D106" s="30">
        <f>'Tanah dan Bangunan'!U4</f>
        <v>0</v>
      </c>
      <c r="E106" s="30">
        <f>'Tanah dan Bangunan'!V4</f>
        <v>0</v>
      </c>
      <c r="F106" s="30">
        <f>'Tanah dan Bangunan'!W4</f>
        <v>0</v>
      </c>
      <c r="G106" s="133">
        <f t="shared" si="14"/>
        <v>6941171874</v>
      </c>
    </row>
    <row r="107" spans="1:7" x14ac:dyDescent="0.3">
      <c r="A107" s="322" t="s">
        <v>1380</v>
      </c>
      <c r="B107" s="244">
        <v>1318200000</v>
      </c>
      <c r="C107" s="30">
        <f t="shared" si="15"/>
        <v>1412400000</v>
      </c>
      <c r="D107" s="30">
        <f>Kendaraan!U16</f>
        <v>0</v>
      </c>
      <c r="E107" s="30">
        <f>Kendaraan!V16</f>
        <v>0</v>
      </c>
      <c r="F107" s="30">
        <f>Kendaraan!W16</f>
        <v>0</v>
      </c>
      <c r="G107" s="133">
        <f t="shared" si="14"/>
        <v>1412400000</v>
      </c>
    </row>
    <row r="108" spans="1:7" x14ac:dyDescent="0.3">
      <c r="A108" s="322" t="s">
        <v>1381</v>
      </c>
      <c r="B108" s="244">
        <v>179000000</v>
      </c>
      <c r="C108" s="30">
        <f t="shared" si="15"/>
        <v>685313100</v>
      </c>
      <c r="D108" s="30">
        <f>Inventaris!T970</f>
        <v>0</v>
      </c>
      <c r="E108" s="30">
        <f>Inventaris!U970</f>
        <v>0</v>
      </c>
      <c r="F108" s="30">
        <f>Inventaris!V970</f>
        <v>0</v>
      </c>
      <c r="G108" s="133">
        <f t="shared" si="14"/>
        <v>685313100</v>
      </c>
    </row>
    <row r="109" spans="1:7" x14ac:dyDescent="0.3">
      <c r="A109" s="320" t="s">
        <v>7</v>
      </c>
      <c r="B109" s="244"/>
      <c r="C109" s="30">
        <f t="shared" si="15"/>
        <v>0</v>
      </c>
      <c r="D109" s="30"/>
      <c r="E109" s="30"/>
      <c r="F109" s="30"/>
      <c r="G109" s="133">
        <f t="shared" si="14"/>
        <v>0</v>
      </c>
    </row>
    <row r="110" spans="1:7" x14ac:dyDescent="0.3">
      <c r="A110" s="323" t="s">
        <v>26</v>
      </c>
      <c r="B110" s="244">
        <v>2058504678.4200001</v>
      </c>
      <c r="C110" s="30">
        <f t="shared" si="15"/>
        <v>7416504678.4200001</v>
      </c>
      <c r="D110" s="30">
        <f>AYDA!U25</f>
        <v>2160197635.0700002</v>
      </c>
      <c r="E110" s="30">
        <f>AYDA!V25</f>
        <v>592000000</v>
      </c>
      <c r="F110" s="30">
        <f>AYDA!W25</f>
        <v>3</v>
      </c>
      <c r="G110" s="133">
        <f t="shared" si="14"/>
        <v>10168702316.49</v>
      </c>
    </row>
    <row r="111" spans="1:7" x14ac:dyDescent="0.3">
      <c r="A111" s="323" t="s">
        <v>38</v>
      </c>
      <c r="B111" s="244">
        <v>3968029458.4899998</v>
      </c>
      <c r="C111" s="30">
        <f t="shared" si="15"/>
        <v>3968029458.4899998</v>
      </c>
      <c r="D111" s="30">
        <v>0</v>
      </c>
      <c r="E111" s="30">
        <v>0</v>
      </c>
      <c r="F111" s="30">
        <v>0</v>
      </c>
      <c r="G111" s="133">
        <f t="shared" si="14"/>
        <v>3968029458.4899998</v>
      </c>
    </row>
    <row r="112" spans="1:7" x14ac:dyDescent="0.3">
      <c r="A112" s="323" t="s">
        <v>39</v>
      </c>
      <c r="B112" s="244">
        <v>511520479.84999996</v>
      </c>
      <c r="C112" s="30">
        <f t="shared" si="15"/>
        <v>511520479.84999996</v>
      </c>
      <c r="D112" s="30">
        <v>0</v>
      </c>
      <c r="E112" s="30">
        <v>0</v>
      </c>
      <c r="F112" s="30">
        <v>0</v>
      </c>
      <c r="G112" s="133">
        <f t="shared" si="14"/>
        <v>511520479.84999996</v>
      </c>
    </row>
    <row r="113" spans="1:7" x14ac:dyDescent="0.3">
      <c r="A113" s="323" t="s">
        <v>27</v>
      </c>
      <c r="B113" s="244">
        <v>1449268128.01</v>
      </c>
      <c r="C113" s="30">
        <f t="shared" si="15"/>
        <v>1449268128.01</v>
      </c>
      <c r="D113" s="30">
        <v>0</v>
      </c>
      <c r="E113" s="30">
        <v>0</v>
      </c>
      <c r="F113" s="30">
        <v>0</v>
      </c>
      <c r="G113" s="133">
        <f t="shared" si="14"/>
        <v>1449268128.01</v>
      </c>
    </row>
    <row r="114" spans="1:7" x14ac:dyDescent="0.3">
      <c r="A114" s="324" t="s">
        <v>1360</v>
      </c>
      <c r="B114" s="245">
        <f t="shared" ref="B114:G114" si="16">SUM(B102:B113)</f>
        <v>47461076753.799995</v>
      </c>
      <c r="C114" s="245">
        <f t="shared" si="16"/>
        <v>79266445652.915253</v>
      </c>
      <c r="D114" s="245">
        <f t="shared" si="16"/>
        <v>3663308296.9805264</v>
      </c>
      <c r="E114" s="245">
        <f t="shared" si="16"/>
        <v>3924923023.1220198</v>
      </c>
      <c r="F114" s="245">
        <f t="shared" si="16"/>
        <v>10524282527.668665</v>
      </c>
      <c r="G114" s="330">
        <f t="shared" si="16"/>
        <v>97378959500.686462</v>
      </c>
    </row>
    <row r="115" spans="1:7" x14ac:dyDescent="0.3">
      <c r="A115" s="325" t="s">
        <v>1361</v>
      </c>
      <c r="B115" s="246">
        <f>'Prognosa Biaya'!C10</f>
        <v>2015570561</v>
      </c>
      <c r="C115" s="30">
        <f>G91</f>
        <v>3032157184.066668</v>
      </c>
      <c r="D115" s="30">
        <f>'Prognosa Biaya'!N10</f>
        <v>185646262.30666664</v>
      </c>
      <c r="E115" s="30">
        <f>'Prognosa Biaya'!O10</f>
        <v>106470062.30666667</v>
      </c>
      <c r="F115" s="30">
        <f>'Prognosa Biaya'!P10</f>
        <v>1265741606.3066666</v>
      </c>
      <c r="G115" s="133">
        <f>SUM(C115:F115)</f>
        <v>4590015114.9866686</v>
      </c>
    </row>
    <row r="116" spans="1:7" x14ac:dyDescent="0.3">
      <c r="A116" s="325" t="s">
        <v>1362</v>
      </c>
      <c r="B116" s="246">
        <f>'Prognosa Biaya'!C24</f>
        <v>2675772904</v>
      </c>
      <c r="C116" s="30">
        <f>G92</f>
        <v>4401702104.8333349</v>
      </c>
      <c r="D116" s="30">
        <f>'Prognosa Biaya'!N24</f>
        <v>125180120.08333333</v>
      </c>
      <c r="E116" s="30">
        <f>'Prognosa Biaya'!O24</f>
        <v>125180120.08333333</v>
      </c>
      <c r="F116" s="30">
        <f>'Prognosa Biaya'!P24</f>
        <v>370683120.08333331</v>
      </c>
      <c r="G116" s="133">
        <f>SUM(C116:F116)</f>
        <v>5022745465.083334</v>
      </c>
    </row>
    <row r="117" spans="1:7" x14ac:dyDescent="0.3">
      <c r="A117" s="325" t="s">
        <v>1363</v>
      </c>
      <c r="B117" s="246">
        <v>0</v>
      </c>
      <c r="C117" s="30">
        <v>0</v>
      </c>
      <c r="D117" s="30"/>
      <c r="E117" s="30"/>
      <c r="F117" s="30">
        <f>'Prognosa Biaya'!Q23</f>
        <v>328465650</v>
      </c>
      <c r="G117" s="133">
        <f>SUM(C117:F117)</f>
        <v>328465650</v>
      </c>
    </row>
    <row r="118" spans="1:7" x14ac:dyDescent="0.3">
      <c r="A118" s="324" t="s">
        <v>1364</v>
      </c>
      <c r="B118" s="245">
        <f t="shared" ref="B118:G118" si="17">SUM(B115:B117)</f>
        <v>4691343465</v>
      </c>
      <c r="C118" s="245">
        <f t="shared" si="17"/>
        <v>7433859288.9000034</v>
      </c>
      <c r="D118" s="245">
        <f t="shared" si="17"/>
        <v>310826382.38999999</v>
      </c>
      <c r="E118" s="245">
        <f t="shared" si="17"/>
        <v>231650182.38999999</v>
      </c>
      <c r="F118" s="245">
        <f t="shared" si="17"/>
        <v>1964890376.3899999</v>
      </c>
      <c r="G118" s="220">
        <f t="shared" si="17"/>
        <v>9941226230.0700035</v>
      </c>
    </row>
    <row r="119" spans="1:7" ht="15" thickBot="1" x14ac:dyDescent="0.35">
      <c r="A119" s="326" t="s">
        <v>1365</v>
      </c>
      <c r="B119" s="287">
        <f t="shared" ref="B119:G119" si="18">B114-B118</f>
        <v>42769733288.799995</v>
      </c>
      <c r="C119" s="287">
        <f t="shared" si="18"/>
        <v>71832586364.015244</v>
      </c>
      <c r="D119" s="287">
        <f t="shared" si="18"/>
        <v>3352481914.5905266</v>
      </c>
      <c r="E119" s="287">
        <f t="shared" si="18"/>
        <v>3693272840.7320199</v>
      </c>
      <c r="F119" s="287">
        <f t="shared" si="18"/>
        <v>8559392151.2786655</v>
      </c>
      <c r="G119" s="288">
        <f t="shared" si="18"/>
        <v>87437733270.616455</v>
      </c>
    </row>
    <row r="122" spans="1:7" ht="15" thickBot="1" x14ac:dyDescent="0.35"/>
    <row r="123" spans="1:7" x14ac:dyDescent="0.3">
      <c r="A123" s="364" t="s">
        <v>1366</v>
      </c>
      <c r="B123" s="366" t="s">
        <v>1367</v>
      </c>
      <c r="C123" s="366" t="s">
        <v>1368</v>
      </c>
      <c r="D123" s="366" t="s">
        <v>1369</v>
      </c>
      <c r="E123" s="366" t="s">
        <v>1370</v>
      </c>
      <c r="F123" s="368" t="s">
        <v>1421</v>
      </c>
    </row>
    <row r="124" spans="1:7" x14ac:dyDescent="0.3">
      <c r="A124" s="365"/>
      <c r="B124" s="367"/>
      <c r="C124" s="367"/>
      <c r="D124" s="367"/>
      <c r="E124" s="367"/>
      <c r="F124" s="369"/>
    </row>
    <row r="125" spans="1:7" x14ac:dyDescent="0.3">
      <c r="A125" s="247" t="s">
        <v>1371</v>
      </c>
      <c r="B125" s="248">
        <f>D18</f>
        <v>48757849434.010521</v>
      </c>
      <c r="C125" s="248">
        <f>G42</f>
        <v>54321978946.772095</v>
      </c>
      <c r="D125" s="249">
        <f>G66</f>
        <v>68575733454.103668</v>
      </c>
      <c r="E125" s="249">
        <f>G90</f>
        <v>79266445652.915253</v>
      </c>
      <c r="F125" s="250">
        <f>G114</f>
        <v>97378959500.686462</v>
      </c>
    </row>
    <row r="126" spans="1:7" x14ac:dyDescent="0.3">
      <c r="A126" s="247" t="s">
        <v>1372</v>
      </c>
      <c r="B126" s="248">
        <f>D22</f>
        <v>5239430797.3900003</v>
      </c>
      <c r="C126" s="248">
        <f>G46</f>
        <v>5928895844.5600014</v>
      </c>
      <c r="D126" s="249">
        <f>G70</f>
        <v>7019974391.7300024</v>
      </c>
      <c r="E126" s="249">
        <f>G94</f>
        <v>7762324938.9000025</v>
      </c>
      <c r="F126" s="250">
        <f>G118</f>
        <v>9941226230.0700035</v>
      </c>
    </row>
    <row r="127" spans="1:7" x14ac:dyDescent="0.3">
      <c r="A127" s="247" t="s">
        <v>1373</v>
      </c>
      <c r="B127" s="248">
        <f>B125-B126</f>
        <v>43518418636.620522</v>
      </c>
      <c r="C127" s="248">
        <f>C125-C126</f>
        <v>48393083102.212097</v>
      </c>
      <c r="D127" s="248">
        <f>D125-D126</f>
        <v>61555759062.373665</v>
      </c>
      <c r="E127" s="248">
        <f>E125-E126</f>
        <v>71504120714.015244</v>
      </c>
      <c r="F127" s="251">
        <f>F125-F126</f>
        <v>87437733270.616455</v>
      </c>
    </row>
    <row r="128" spans="1:7" ht="25.95" customHeight="1" x14ac:dyDescent="0.3">
      <c r="A128" s="289" t="s">
        <v>1374</v>
      </c>
      <c r="B128" s="252">
        <v>0</v>
      </c>
      <c r="C128" s="253">
        <f>C127-B127</f>
        <v>4874664465.5915756</v>
      </c>
      <c r="D128" s="253">
        <f>D127-B127</f>
        <v>18037340425.753143</v>
      </c>
      <c r="E128" s="253">
        <f>E127-B127</f>
        <v>27985702077.394722</v>
      </c>
      <c r="F128" s="254">
        <f>F127-B127</f>
        <v>43919314633.995934</v>
      </c>
    </row>
    <row r="129" spans="1:6" ht="22.5" customHeight="1" x14ac:dyDescent="0.3">
      <c r="A129" s="255" t="s">
        <v>1375</v>
      </c>
      <c r="B129" s="370">
        <f>B127/$A$134</f>
        <v>0.48818449915442219</v>
      </c>
      <c r="C129" s="370">
        <f>C127/$A$134</f>
        <v>0.54286791149418367</v>
      </c>
      <c r="D129" s="370">
        <f>D127/$A$134</f>
        <v>0.69052526147280036</v>
      </c>
      <c r="E129" s="370">
        <f>E127/$A$134</f>
        <v>0.80212481178887896</v>
      </c>
      <c r="F129" s="372">
        <f>F127/$A$134</f>
        <v>0.98086620243121658</v>
      </c>
    </row>
    <row r="130" spans="1:6" x14ac:dyDescent="0.3">
      <c r="A130" s="290" t="s">
        <v>1419</v>
      </c>
      <c r="B130" s="370"/>
      <c r="C130" s="370"/>
      <c r="D130" s="370"/>
      <c r="E130" s="370"/>
      <c r="F130" s="372"/>
    </row>
    <row r="131" spans="1:6" x14ac:dyDescent="0.3">
      <c r="A131" s="255" t="s">
        <v>1376</v>
      </c>
      <c r="B131" s="370">
        <f>B127/$A$135</f>
        <v>0.25690837051347992</v>
      </c>
      <c r="C131" s="370">
        <f>C127/$A$135</f>
        <v>0.28568565939229174</v>
      </c>
      <c r="D131" s="370">
        <f>D127/$A$135</f>
        <v>0.36339072631483982</v>
      </c>
      <c r="E131" s="370">
        <f>E127/$A$135</f>
        <v>0.42212028178290834</v>
      </c>
      <c r="F131" s="372">
        <f>F127/$A$135</f>
        <v>0.51618340646788707</v>
      </c>
    </row>
    <row r="132" spans="1:6" ht="15" thickBot="1" x14ac:dyDescent="0.35">
      <c r="A132" s="256" t="s">
        <v>1420</v>
      </c>
      <c r="B132" s="371"/>
      <c r="C132" s="371"/>
      <c r="D132" s="371"/>
      <c r="E132" s="371"/>
      <c r="F132" s="373"/>
    </row>
    <row r="134" spans="1:6" x14ac:dyDescent="0.3">
      <c r="A134" s="52">
        <v>89143384749</v>
      </c>
      <c r="B134" s="108" t="s">
        <v>1428</v>
      </c>
      <c r="C134" t="s">
        <v>1429</v>
      </c>
    </row>
    <row r="135" spans="1:6" x14ac:dyDescent="0.3">
      <c r="A135" s="52">
        <v>169392762678.92999</v>
      </c>
      <c r="B135" s="108" t="s">
        <v>1428</v>
      </c>
      <c r="C135" t="s">
        <v>1429</v>
      </c>
      <c r="F135" s="257">
        <f>F131-B131</f>
        <v>0.25927503595440715</v>
      </c>
    </row>
    <row r="136" spans="1:6" x14ac:dyDescent="0.3">
      <c r="A136" s="108"/>
    </row>
    <row r="137" spans="1:6" x14ac:dyDescent="0.3">
      <c r="A137" s="375">
        <f>B127/A134</f>
        <v>0.48818449915442219</v>
      </c>
    </row>
  </sheetData>
  <mergeCells count="48">
    <mergeCell ref="B131:B132"/>
    <mergeCell ref="C131:C132"/>
    <mergeCell ref="D131:D132"/>
    <mergeCell ref="F131:F132"/>
    <mergeCell ref="E129:E130"/>
    <mergeCell ref="E131:E132"/>
    <mergeCell ref="B129:B130"/>
    <mergeCell ref="C129:C130"/>
    <mergeCell ref="D129:D130"/>
    <mergeCell ref="F129:F130"/>
    <mergeCell ref="A123:A124"/>
    <mergeCell ref="B123:B124"/>
    <mergeCell ref="C123:C124"/>
    <mergeCell ref="D123:D124"/>
    <mergeCell ref="F123:F124"/>
    <mergeCell ref="E123:E124"/>
    <mergeCell ref="E51:E52"/>
    <mergeCell ref="F51:F52"/>
    <mergeCell ref="G75:G76"/>
    <mergeCell ref="A99:A100"/>
    <mergeCell ref="B99:B100"/>
    <mergeCell ref="C99:C100"/>
    <mergeCell ref="D99:D100"/>
    <mergeCell ref="E99:E100"/>
    <mergeCell ref="F99:F100"/>
    <mergeCell ref="G99:G100"/>
    <mergeCell ref="A75:A76"/>
    <mergeCell ref="B75:B76"/>
    <mergeCell ref="C75:C76"/>
    <mergeCell ref="D75:D76"/>
    <mergeCell ref="E75:E76"/>
    <mergeCell ref="F75:F76"/>
    <mergeCell ref="A3:A4"/>
    <mergeCell ref="B3:B4"/>
    <mergeCell ref="D3:D4"/>
    <mergeCell ref="C3:C4"/>
    <mergeCell ref="G51:G52"/>
    <mergeCell ref="C27:C28"/>
    <mergeCell ref="G27:G28"/>
    <mergeCell ref="D27:D28"/>
    <mergeCell ref="A27:A28"/>
    <mergeCell ref="B27:B28"/>
    <mergeCell ref="E27:E28"/>
    <mergeCell ref="F27:F28"/>
    <mergeCell ref="A51:A52"/>
    <mergeCell ref="B51:B52"/>
    <mergeCell ref="C51:C52"/>
    <mergeCell ref="D51:D52"/>
  </mergeCells>
  <pageMargins left="0.7" right="0.7" top="0.75" bottom="0.75" header="0.3" footer="0.3"/>
  <pageSetup orientation="portrait" r:id="rId1"/>
  <customProperties>
    <customPr name="EpmWorksheetKeyString_GUID" r:id="rId2"/>
  </customProperties>
  <ignoredErrors>
    <ignoredError sqref="C66 G66 G114" formula="1"/>
    <ignoredError sqref="A29:F29 A5:C5 A53:F53 A77:F77 A101:F10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766150-C484-4B76-B513-A63906ED7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ab29b-20bf-44a4-a666-f4222d918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6D5D45-19A5-49EF-B8BA-CE7E09415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FA64C7-0034-42B4-B15C-8C8864A3C5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Net</vt:lpstr>
      <vt:lpstr>Gross</vt:lpstr>
      <vt:lpstr>ABA</vt:lpstr>
      <vt:lpstr>Kredit</vt:lpstr>
      <vt:lpstr>Resume Kredit</vt:lpstr>
      <vt:lpstr>Tanah dan Bangunan</vt:lpstr>
      <vt:lpstr>Kendaraan</vt:lpstr>
      <vt:lpstr>Inventaris</vt:lpstr>
      <vt:lpstr>AYDA</vt:lpstr>
      <vt:lpstr>Prognosa Biaya</vt:lpstr>
      <vt:lpstr>Prognosa Penerimaan vs Biaya</vt:lpstr>
      <vt:lpstr>'Prognosa Biaya'!Print_Area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 Triyanto</dc:creator>
  <cp:lastModifiedBy>Emerio</cp:lastModifiedBy>
  <dcterms:created xsi:type="dcterms:W3CDTF">2020-06-19T04:17:48Z</dcterms:created>
  <dcterms:modified xsi:type="dcterms:W3CDTF">2021-09-10T12:41:38Z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
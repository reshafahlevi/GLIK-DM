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xl/comments2.xml" ContentType="application/vnd.openxmlformats-officedocument.spreadsheetml.comments+xml"/>
  <Override PartName="/xl/customProperty1.bin" ContentType="application/vnd.openxmlformats-officedocument.spreadsheetml.customProperty"/>
  <Override PartName="/xl/customProperty2.bin" ContentType="application/vnd.openxmlformats-officedocument.spreadsheetml.customProperty"/>
  <Override PartName="/xl/customProperty10.bin" ContentType="application/vnd.openxmlformats-officedocument.spreadsheetml.customProperty"/>
  <Override PartName="/xl/customProperty6.bin" ContentType="application/vnd.openxmlformats-officedocument.spreadsheetml.customProperty"/>
  <Override PartName="/xl/customProperty5.bin" ContentType="application/vnd.openxmlformats-officedocument.spreadsheetml.customProperty"/>
  <Override PartName="/xl/customProperty4.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omments1.xml" ContentType="application/vnd.openxmlformats-officedocument.spreadsheetml.comments+xml"/>
  <Override PartName="/xl/customProperty9.bin" ContentType="application/vnd.openxmlformats-officedocument.spreadsheetml.customProperty"/>
  <Override PartName="/xl/customProperty3.bin" ContentType="application/vnd.openxmlformats-officedocument.spreadsheetml.customPropert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2"/>
  <workbookPr/>
  <mc:AlternateContent xmlns:mc="http://schemas.openxmlformats.org/markup-compatibility/2006">
    <mc:Choice Requires="x15">
      <x15ac:absPath xmlns:x15ac="http://schemas.microsoft.com/office/spreadsheetml/2010/11/ac" url="D:\Users\kahfiendra.n\Documents\1. Work - GLIK\2. Divisi Pengawasan\1-2. KBPR Abang Pasar (DL)\3. Audit Neraca Penutupan\1. Penunjukan KAP\2. Deliverables\"/>
    </mc:Choice>
  </mc:AlternateContent>
  <xr:revisionPtr revIDLastSave="0" documentId="13_ncr:1_{4482058F-6298-4727-8DF4-18C62EC428C2}" xr6:coauthVersionLast="36" xr6:coauthVersionMax="36" xr10:uidLastSave="{00000000-0000-0000-0000-000000000000}"/>
  <bookViews>
    <workbookView xWindow="0" yWindow="0" windowWidth="23040" windowHeight="8772" tabRatio="869" firstSheet="2" activeTab="2" xr2:uid="{00000000-000D-0000-FFFF-FFFF00000000}"/>
  </bookViews>
  <sheets>
    <sheet name="Draft" sheetId="1" state="hidden" r:id="rId1"/>
    <sheet name="Revised" sheetId="2" state="hidden" r:id="rId2"/>
    <sheet name="Rekap Penilaian KAP" sheetId="3" r:id="rId3"/>
    <sheet name="Aspek Penilaian KAP Yaniswar" sheetId="5" r:id="rId4"/>
    <sheet name="Aspek Penilaian KAP DEF" sheetId="10" r:id="rId5"/>
    <sheet name="Aspek Penilaian KAP GHI" sheetId="11" r:id="rId6"/>
    <sheet name="Aspek Penilaian KAP JKL" sheetId="12" r:id="rId7"/>
    <sheet name="Aspek Penilaian KAP MNO" sheetId="13" r:id="rId8"/>
    <sheet name="Neraca" sheetId="16" r:id="rId9"/>
    <sheet name="HPS" sheetId="6" r:id="rId10"/>
  </sheets>
  <definedNames>
    <definedName name="_xlnm.Print_Area" localSheetId="0">Draft!$A$1:$M$44</definedName>
    <definedName name="_xlnm.Print_Area" localSheetId="2">'Rekap Penilaian KAP'!$A$1:$N$99</definedName>
    <definedName name="_xlnm.Print_Area" localSheetId="1">Revised!$A$1:$M$44</definedName>
    <definedName name="_xlnm.Print_Titles" localSheetId="0">Draft!$1:$1</definedName>
    <definedName name="_xlnm.Print_Titles" localSheetId="2">'Rekap Penilaian KAP'!$1:$1</definedName>
    <definedName name="_xlnm.Print_Titles" localSheetId="1">Revised!$1:$1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4" i="10" l="1"/>
  <c r="N130" i="10"/>
  <c r="E130" i="10"/>
  <c r="N119" i="10"/>
  <c r="E119" i="10"/>
  <c r="O134" i="5"/>
  <c r="F134" i="5"/>
  <c r="N130" i="5"/>
  <c r="E124" i="5"/>
  <c r="E125" i="5"/>
  <c r="E126" i="5"/>
  <c r="E127" i="5"/>
  <c r="E128" i="5"/>
  <c r="E129" i="5"/>
  <c r="E130" i="5"/>
  <c r="N118" i="5" l="1"/>
  <c r="E118" i="5"/>
  <c r="I9" i="16" l="1"/>
  <c r="E89" i="3" l="1"/>
  <c r="O134" i="13" l="1"/>
  <c r="F134" i="13"/>
  <c r="N134" i="13"/>
  <c r="E134" i="13"/>
  <c r="E123" i="13"/>
  <c r="E124" i="13"/>
  <c r="N124" i="13"/>
  <c r="O134" i="12"/>
  <c r="N134" i="12"/>
  <c r="F134" i="12"/>
  <c r="E134" i="12"/>
  <c r="E134" i="11"/>
  <c r="O134" i="11"/>
  <c r="F134" i="11"/>
  <c r="N124" i="12"/>
  <c r="E124" i="12"/>
  <c r="O134" i="10"/>
  <c r="N123" i="11"/>
  <c r="E123" i="11"/>
  <c r="N132" i="10"/>
  <c r="E132" i="10"/>
  <c r="I51" i="3" l="1"/>
  <c r="I50" i="3"/>
  <c r="I49" i="3"/>
  <c r="I48" i="3"/>
  <c r="I47" i="3"/>
  <c r="F51" i="3"/>
  <c r="F50" i="3"/>
  <c r="F49" i="3"/>
  <c r="F48" i="3"/>
  <c r="F47" i="3"/>
  <c r="C51" i="3"/>
  <c r="C50" i="3"/>
  <c r="C49" i="3"/>
  <c r="C48" i="3"/>
  <c r="C47" i="3"/>
  <c r="L49" i="3" l="1"/>
  <c r="O49" i="3" s="1"/>
  <c r="L58" i="3" s="1"/>
  <c r="L50" i="3"/>
  <c r="O50" i="3" s="1"/>
  <c r="L59" i="3" s="1"/>
  <c r="L48" i="3"/>
  <c r="O48" i="3" s="1"/>
  <c r="L57" i="3" s="1"/>
  <c r="N57" i="3" s="1"/>
  <c r="L51" i="3"/>
  <c r="O51" i="3" s="1"/>
  <c r="L47" i="3"/>
  <c r="O47" i="3" s="1"/>
  <c r="L56" i="3" s="1"/>
  <c r="N56" i="3" s="1"/>
  <c r="K58" i="3" l="1"/>
  <c r="K59" i="3"/>
  <c r="K57" i="3"/>
  <c r="K56" i="3"/>
  <c r="L60" i="3"/>
  <c r="N60" i="3" s="1"/>
  <c r="K60" i="3"/>
  <c r="M60" i="3" s="1"/>
  <c r="J60" i="3"/>
  <c r="B60" i="3"/>
  <c r="J59" i="3"/>
  <c r="B59" i="3"/>
  <c r="J58" i="3"/>
  <c r="B58" i="3"/>
  <c r="J57" i="3"/>
  <c r="B57" i="3"/>
  <c r="J56" i="3"/>
  <c r="B56" i="3"/>
  <c r="J69" i="3"/>
  <c r="J68" i="3"/>
  <c r="J67" i="3"/>
  <c r="J66" i="3"/>
  <c r="J65" i="3"/>
  <c r="B69" i="3"/>
  <c r="B68" i="3"/>
  <c r="B67" i="3"/>
  <c r="B66" i="3"/>
  <c r="B65" i="3"/>
  <c r="B51" i="3"/>
  <c r="B50" i="3"/>
  <c r="B49" i="3"/>
  <c r="B48" i="3"/>
  <c r="B47" i="3"/>
  <c r="B41" i="3"/>
  <c r="B40" i="3"/>
  <c r="B39" i="3"/>
  <c r="B38" i="3"/>
  <c r="B37" i="3"/>
  <c r="B32" i="3"/>
  <c r="B31" i="3"/>
  <c r="B30" i="3"/>
  <c r="B29" i="3"/>
  <c r="B28" i="3"/>
  <c r="B23" i="3"/>
  <c r="B22" i="3"/>
  <c r="B21" i="3"/>
  <c r="B20" i="3"/>
  <c r="B19" i="3"/>
  <c r="B13" i="3"/>
  <c r="B12" i="3"/>
  <c r="B11" i="3"/>
  <c r="B10" i="3"/>
  <c r="B9" i="3"/>
  <c r="N133" i="10"/>
  <c r="N131" i="10"/>
  <c r="N129" i="10"/>
  <c r="N128" i="10"/>
  <c r="N127" i="10"/>
  <c r="N126" i="10"/>
  <c r="N125" i="10"/>
  <c r="N124" i="10"/>
  <c r="N123" i="10"/>
  <c r="N122" i="10"/>
  <c r="N121" i="10"/>
  <c r="N118" i="10"/>
  <c r="N117" i="10"/>
  <c r="N116" i="10"/>
  <c r="N115" i="10"/>
  <c r="N114" i="10"/>
  <c r="N113" i="10"/>
  <c r="N112" i="10"/>
  <c r="N111" i="10"/>
  <c r="N110" i="10"/>
  <c r="N109" i="10"/>
  <c r="N133" i="5"/>
  <c r="N132" i="5"/>
  <c r="N131" i="5"/>
  <c r="N129" i="5"/>
  <c r="N128" i="5"/>
  <c r="N127" i="5"/>
  <c r="N126" i="5"/>
  <c r="N125" i="5"/>
  <c r="N124" i="5"/>
  <c r="N123" i="5"/>
  <c r="N122" i="5"/>
  <c r="N121" i="5"/>
  <c r="N119" i="5"/>
  <c r="N117" i="5"/>
  <c r="N116" i="5"/>
  <c r="N115" i="5"/>
  <c r="N114" i="5"/>
  <c r="N113" i="5"/>
  <c r="N112" i="5"/>
  <c r="N111" i="5"/>
  <c r="N110" i="5"/>
  <c r="N109" i="5"/>
  <c r="E133" i="10"/>
  <c r="E131" i="10"/>
  <c r="E129" i="10"/>
  <c r="E128" i="10"/>
  <c r="E127" i="10"/>
  <c r="E126" i="10"/>
  <c r="E125" i="10"/>
  <c r="E124" i="10"/>
  <c r="E123" i="10"/>
  <c r="E122" i="10"/>
  <c r="E121" i="10"/>
  <c r="E118" i="10"/>
  <c r="E117" i="10"/>
  <c r="E116" i="10"/>
  <c r="E115" i="10"/>
  <c r="E114" i="10"/>
  <c r="E113" i="10"/>
  <c r="E112" i="10"/>
  <c r="E111" i="10"/>
  <c r="E110" i="10"/>
  <c r="E109" i="10"/>
  <c r="E133" i="5"/>
  <c r="E132" i="5"/>
  <c r="E131" i="5"/>
  <c r="E123" i="5"/>
  <c r="E122" i="5"/>
  <c r="E121" i="5"/>
  <c r="E119" i="5"/>
  <c r="E117" i="5"/>
  <c r="E116" i="5"/>
  <c r="E115" i="5"/>
  <c r="E114" i="5"/>
  <c r="E113" i="5"/>
  <c r="E112" i="5"/>
  <c r="E111" i="5"/>
  <c r="E110" i="5"/>
  <c r="E109" i="5"/>
  <c r="N134" i="10" l="1"/>
  <c r="E134" i="10"/>
  <c r="E134" i="5"/>
  <c r="N134" i="5"/>
  <c r="P60" i="3"/>
  <c r="M56" i="3"/>
  <c r="F86" i="13"/>
  <c r="F86" i="12"/>
  <c r="F86" i="11"/>
  <c r="F86" i="10"/>
  <c r="N119" i="13"/>
  <c r="N118" i="13"/>
  <c r="N117" i="13"/>
  <c r="N116" i="13"/>
  <c r="N115" i="13"/>
  <c r="N114" i="13"/>
  <c r="N113" i="13"/>
  <c r="N112" i="13"/>
  <c r="N111" i="13"/>
  <c r="N110" i="13"/>
  <c r="N109" i="13"/>
  <c r="N133" i="13"/>
  <c r="N132" i="13"/>
  <c r="N131" i="13"/>
  <c r="N130" i="13"/>
  <c r="N129" i="13"/>
  <c r="N128" i="13"/>
  <c r="N127" i="13"/>
  <c r="N126" i="13"/>
  <c r="N125" i="13"/>
  <c r="N123" i="13"/>
  <c r="N122" i="13"/>
  <c r="N121" i="13"/>
  <c r="E133" i="13"/>
  <c r="E132" i="13"/>
  <c r="E131" i="13"/>
  <c r="E130" i="13"/>
  <c r="E129" i="13"/>
  <c r="E128" i="13"/>
  <c r="E127" i="13"/>
  <c r="E126" i="13"/>
  <c r="E125" i="13"/>
  <c r="E122" i="13"/>
  <c r="E121" i="13"/>
  <c r="E119" i="13"/>
  <c r="E118" i="13"/>
  <c r="E117" i="13"/>
  <c r="E116" i="13"/>
  <c r="E115" i="13"/>
  <c r="E114" i="13"/>
  <c r="E113" i="13"/>
  <c r="E112" i="13"/>
  <c r="E111" i="13"/>
  <c r="E110" i="13"/>
  <c r="E109" i="13"/>
  <c r="N119" i="12"/>
  <c r="N118" i="12"/>
  <c r="N117" i="12"/>
  <c r="N116" i="12"/>
  <c r="N115" i="12"/>
  <c r="N114" i="12"/>
  <c r="N113" i="12"/>
  <c r="N112" i="12"/>
  <c r="N111" i="12"/>
  <c r="N110" i="12"/>
  <c r="N109" i="12"/>
  <c r="N133" i="12"/>
  <c r="N132" i="12"/>
  <c r="N131" i="12"/>
  <c r="N130" i="12"/>
  <c r="N129" i="12"/>
  <c r="N128" i="12"/>
  <c r="N127" i="12"/>
  <c r="N126" i="12"/>
  <c r="N125" i="12"/>
  <c r="N123" i="12"/>
  <c r="N122" i="12"/>
  <c r="N121" i="12"/>
  <c r="E133" i="12"/>
  <c r="E132" i="12"/>
  <c r="E131" i="12"/>
  <c r="E130" i="12"/>
  <c r="E129" i="12"/>
  <c r="E128" i="12"/>
  <c r="E127" i="12"/>
  <c r="E126" i="12"/>
  <c r="E125" i="12"/>
  <c r="E123" i="12"/>
  <c r="E122" i="12"/>
  <c r="E121" i="12"/>
  <c r="E119" i="12"/>
  <c r="E118" i="12"/>
  <c r="E117" i="12"/>
  <c r="E116" i="12"/>
  <c r="E115" i="12"/>
  <c r="E114" i="12"/>
  <c r="E113" i="12"/>
  <c r="E112" i="12"/>
  <c r="E111" i="12"/>
  <c r="E110" i="12"/>
  <c r="E109" i="12"/>
  <c r="N119" i="11"/>
  <c r="N118" i="11"/>
  <c r="N117" i="11"/>
  <c r="N116" i="11"/>
  <c r="N115" i="11"/>
  <c r="N114" i="11"/>
  <c r="N113" i="11"/>
  <c r="N112" i="11"/>
  <c r="N111" i="11"/>
  <c r="N110" i="11"/>
  <c r="N109" i="11"/>
  <c r="N134" i="11" s="1"/>
  <c r="N133" i="11"/>
  <c r="N132" i="11"/>
  <c r="N131" i="11"/>
  <c r="N130" i="11"/>
  <c r="N129" i="11"/>
  <c r="N128" i="11"/>
  <c r="N127" i="11"/>
  <c r="N126" i="11"/>
  <c r="N125" i="11"/>
  <c r="N124" i="11"/>
  <c r="N122" i="11"/>
  <c r="N121" i="11"/>
  <c r="E133" i="11"/>
  <c r="E132" i="11"/>
  <c r="E131" i="11"/>
  <c r="E130" i="11"/>
  <c r="E129" i="11"/>
  <c r="E128" i="11"/>
  <c r="E127" i="11"/>
  <c r="E126" i="11"/>
  <c r="E125" i="11"/>
  <c r="E124" i="11"/>
  <c r="E122" i="11"/>
  <c r="E121" i="11"/>
  <c r="E119" i="11"/>
  <c r="E118" i="11"/>
  <c r="E117" i="11"/>
  <c r="E116" i="11"/>
  <c r="E115" i="11"/>
  <c r="E114" i="11"/>
  <c r="E113" i="11"/>
  <c r="E112" i="11"/>
  <c r="E111" i="11"/>
  <c r="E110" i="11"/>
  <c r="E109" i="11"/>
  <c r="P81" i="13"/>
  <c r="P80" i="13"/>
  <c r="P79" i="13"/>
  <c r="P78" i="13"/>
  <c r="P73" i="13"/>
  <c r="P72" i="13"/>
  <c r="P71" i="13"/>
  <c r="P70" i="13"/>
  <c r="G81" i="13"/>
  <c r="G80" i="13"/>
  <c r="G79" i="13"/>
  <c r="G78" i="13"/>
  <c r="G73" i="13"/>
  <c r="G72" i="13"/>
  <c r="G71" i="13"/>
  <c r="G70" i="13"/>
  <c r="P81" i="12"/>
  <c r="P80" i="12"/>
  <c r="P79" i="12"/>
  <c r="P78" i="12"/>
  <c r="P73" i="12"/>
  <c r="P72" i="12"/>
  <c r="P71" i="12"/>
  <c r="P70" i="12"/>
  <c r="G81" i="12"/>
  <c r="G80" i="12"/>
  <c r="G79" i="12"/>
  <c r="G78" i="12"/>
  <c r="G73" i="12"/>
  <c r="G72" i="12"/>
  <c r="G71" i="12"/>
  <c r="G70" i="12"/>
  <c r="P73" i="11"/>
  <c r="P72" i="11"/>
  <c r="P71" i="11"/>
  <c r="P70" i="11"/>
  <c r="P81" i="11"/>
  <c r="P80" i="11"/>
  <c r="P79" i="11"/>
  <c r="P78" i="11"/>
  <c r="G81" i="11"/>
  <c r="G80" i="11"/>
  <c r="G79" i="11"/>
  <c r="G78" i="11"/>
  <c r="G73" i="11"/>
  <c r="G72" i="11"/>
  <c r="G71" i="11"/>
  <c r="G70" i="11"/>
  <c r="P73" i="10"/>
  <c r="P72" i="10"/>
  <c r="P71" i="10"/>
  <c r="P70" i="10"/>
  <c r="P81" i="10"/>
  <c r="P80" i="10"/>
  <c r="P79" i="10"/>
  <c r="P78" i="10"/>
  <c r="G81" i="10"/>
  <c r="G80" i="10"/>
  <c r="G79" i="10"/>
  <c r="G78" i="10"/>
  <c r="G73" i="10"/>
  <c r="G72" i="10"/>
  <c r="G71" i="10"/>
  <c r="G70" i="10"/>
  <c r="E99" i="3"/>
  <c r="E98" i="3"/>
  <c r="E97" i="3"/>
  <c r="E96" i="3"/>
  <c r="E95" i="3"/>
  <c r="E94" i="3"/>
  <c r="E93" i="3"/>
  <c r="E92" i="3"/>
  <c r="E91" i="3"/>
  <c r="E90" i="3"/>
  <c r="E88" i="3"/>
  <c r="E87" i="3"/>
  <c r="E85" i="3"/>
  <c r="E84" i="3"/>
  <c r="E83" i="3"/>
  <c r="E82" i="3"/>
  <c r="E81" i="3"/>
  <c r="E80" i="3"/>
  <c r="E79" i="3"/>
  <c r="E78" i="3"/>
  <c r="E77" i="3"/>
  <c r="E76" i="3"/>
  <c r="E75" i="3"/>
  <c r="P81" i="5"/>
  <c r="P80" i="5"/>
  <c r="P79" i="5"/>
  <c r="P78" i="5"/>
  <c r="D51" i="3" l="1"/>
  <c r="G51" i="3"/>
  <c r="D50" i="3"/>
  <c r="G50" i="3"/>
  <c r="D49" i="3"/>
  <c r="G49" i="3"/>
  <c r="G81" i="5"/>
  <c r="G80" i="5"/>
  <c r="G79" i="5"/>
  <c r="G78" i="5"/>
  <c r="P73" i="5"/>
  <c r="P72" i="5"/>
  <c r="P71" i="5"/>
  <c r="P70" i="5"/>
  <c r="G73" i="5"/>
  <c r="G72" i="5"/>
  <c r="G71" i="5"/>
  <c r="G70" i="5"/>
  <c r="E33" i="16" l="1"/>
  <c r="D33" i="16"/>
  <c r="F32" i="16"/>
  <c r="F31" i="16"/>
  <c r="F30" i="16"/>
  <c r="F29" i="16"/>
  <c r="F28" i="16"/>
  <c r="I28" i="16" s="1"/>
  <c r="F27" i="16"/>
  <c r="I27" i="16" s="1"/>
  <c r="F26" i="16"/>
  <c r="I26" i="16" s="1"/>
  <c r="F25" i="16"/>
  <c r="I25" i="16" s="1"/>
  <c r="F24" i="16"/>
  <c r="I24" i="16" s="1"/>
  <c r="F23" i="16"/>
  <c r="I23" i="16" s="1"/>
  <c r="F22" i="16"/>
  <c r="F21" i="16"/>
  <c r="F20" i="16"/>
  <c r="I20" i="16" s="1"/>
  <c r="E16" i="16"/>
  <c r="D16" i="16"/>
  <c r="F15" i="16"/>
  <c r="I15" i="16" s="1"/>
  <c r="F14" i="16"/>
  <c r="I14" i="16" s="1"/>
  <c r="F13" i="16"/>
  <c r="F12" i="16"/>
  <c r="I12" i="16" s="1"/>
  <c r="F11" i="16"/>
  <c r="I11" i="16" s="1"/>
  <c r="F10" i="16"/>
  <c r="I10" i="16" s="1"/>
  <c r="E12" i="6" s="1"/>
  <c r="F9" i="16"/>
  <c r="F8" i="16"/>
  <c r="I8" i="16" s="1"/>
  <c r="F7" i="16"/>
  <c r="I7" i="16" s="1"/>
  <c r="F6" i="16"/>
  <c r="F5" i="16"/>
  <c r="I5" i="16" s="1"/>
  <c r="I33" i="16" l="1"/>
  <c r="E9" i="6"/>
  <c r="F33" i="16"/>
  <c r="F16" i="16"/>
  <c r="I16" i="16"/>
  <c r="I34" i="16" l="1"/>
  <c r="H4" i="6" s="1"/>
  <c r="G4" i="6" s="1"/>
  <c r="F4" i="6" s="1"/>
  <c r="E10" i="6"/>
  <c r="G16" i="6" s="1"/>
  <c r="E11" i="6"/>
  <c r="F17" i="6" s="1"/>
  <c r="G15" i="6"/>
  <c r="F15" i="6"/>
  <c r="H15" i="6"/>
  <c r="N96" i="5"/>
  <c r="N46" i="5" s="1"/>
  <c r="H20" i="6" l="1"/>
  <c r="N45" i="5"/>
  <c r="G17" i="6"/>
  <c r="H17" i="6"/>
  <c r="H16" i="6"/>
  <c r="F16" i="6"/>
  <c r="H22" i="6" l="1"/>
  <c r="H21" i="6"/>
  <c r="F22" i="6"/>
  <c r="F20" i="6"/>
  <c r="F21" i="6"/>
  <c r="G22" i="6"/>
  <c r="G20" i="6"/>
  <c r="G21" i="6"/>
  <c r="J51" i="3"/>
  <c r="M51" i="3" s="1"/>
  <c r="J50" i="3"/>
  <c r="J49" i="3"/>
  <c r="J48" i="3"/>
  <c r="G48" i="3"/>
  <c r="G47" i="3"/>
  <c r="D48" i="3"/>
  <c r="J47" i="3"/>
  <c r="D47" i="3"/>
  <c r="M47" i="3" l="1"/>
  <c r="P47" i="3" s="1"/>
  <c r="P51" i="3"/>
  <c r="N137" i="13"/>
  <c r="E137" i="13"/>
  <c r="N88" i="13"/>
  <c r="O88" i="13" s="1"/>
  <c r="E88" i="13"/>
  <c r="F88" i="13" s="1"/>
  <c r="N96" i="13"/>
  <c r="N46" i="13" s="1"/>
  <c r="E96" i="13"/>
  <c r="E46" i="13" s="1"/>
  <c r="O86" i="13"/>
  <c r="Q81" i="13"/>
  <c r="H81" i="13"/>
  <c r="Q80" i="13"/>
  <c r="H80" i="13"/>
  <c r="Q79" i="13"/>
  <c r="H79" i="13"/>
  <c r="Q78" i="13"/>
  <c r="H78" i="13"/>
  <c r="Q73" i="13"/>
  <c r="H73" i="13"/>
  <c r="Q72" i="13"/>
  <c r="H72" i="13"/>
  <c r="Q71" i="13"/>
  <c r="H71" i="13"/>
  <c r="Q70" i="13"/>
  <c r="H70" i="13"/>
  <c r="O57" i="13"/>
  <c r="F57" i="13"/>
  <c r="O56" i="13"/>
  <c r="F56" i="13"/>
  <c r="O55" i="13"/>
  <c r="F55" i="13"/>
  <c r="O54" i="13"/>
  <c r="F54" i="13"/>
  <c r="O53" i="13"/>
  <c r="F53" i="13"/>
  <c r="O52" i="13"/>
  <c r="F52" i="13"/>
  <c r="O51" i="13"/>
  <c r="F51" i="13"/>
  <c r="O44" i="13"/>
  <c r="F44" i="13"/>
  <c r="O39" i="13"/>
  <c r="F39" i="13"/>
  <c r="O38" i="13"/>
  <c r="F38" i="13"/>
  <c r="O37" i="13"/>
  <c r="F37" i="13"/>
  <c r="O36" i="13"/>
  <c r="F36" i="13"/>
  <c r="O35" i="13"/>
  <c r="F35" i="13"/>
  <c r="O34" i="13"/>
  <c r="F34" i="13"/>
  <c r="O33" i="13"/>
  <c r="F33" i="13"/>
  <c r="O32" i="13"/>
  <c r="F32" i="13"/>
  <c r="O27" i="13"/>
  <c r="F27" i="13"/>
  <c r="O26" i="13"/>
  <c r="F26" i="13"/>
  <c r="O25" i="13"/>
  <c r="F25" i="13"/>
  <c r="O24" i="13"/>
  <c r="F24" i="13"/>
  <c r="O23" i="13"/>
  <c r="F23" i="13"/>
  <c r="O22" i="13"/>
  <c r="F22" i="13"/>
  <c r="O21" i="13"/>
  <c r="F21" i="13"/>
  <c r="O20" i="13"/>
  <c r="F20" i="13"/>
  <c r="O19" i="13"/>
  <c r="F19" i="13"/>
  <c r="O18" i="13"/>
  <c r="F18" i="13"/>
  <c r="O17" i="13"/>
  <c r="F17" i="13"/>
  <c r="O16" i="13"/>
  <c r="F16" i="13"/>
  <c r="O15" i="13"/>
  <c r="F15" i="13"/>
  <c r="O14" i="13"/>
  <c r="F14" i="13"/>
  <c r="O13" i="13"/>
  <c r="F13" i="13"/>
  <c r="O11" i="13"/>
  <c r="F11" i="13"/>
  <c r="O10" i="13"/>
  <c r="F10" i="13"/>
  <c r="O9" i="13"/>
  <c r="F9" i="13"/>
  <c r="N137" i="12"/>
  <c r="E137" i="12"/>
  <c r="N88" i="12"/>
  <c r="O88" i="12" s="1"/>
  <c r="E88" i="12"/>
  <c r="F88" i="12" s="1"/>
  <c r="N96" i="12"/>
  <c r="N46" i="12" s="1"/>
  <c r="E96" i="12"/>
  <c r="E46" i="12" s="1"/>
  <c r="O86" i="12"/>
  <c r="Q81" i="12"/>
  <c r="H81" i="12"/>
  <c r="Q80" i="12"/>
  <c r="H80" i="12"/>
  <c r="Q79" i="12"/>
  <c r="H79" i="12"/>
  <c r="Q78" i="12"/>
  <c r="H78" i="12"/>
  <c r="Q73" i="12"/>
  <c r="H73" i="12"/>
  <c r="Q72" i="12"/>
  <c r="H72" i="12"/>
  <c r="Q71" i="12"/>
  <c r="H71" i="12"/>
  <c r="Q70" i="12"/>
  <c r="H70" i="12"/>
  <c r="O57" i="12"/>
  <c r="F57" i="12"/>
  <c r="O56" i="12"/>
  <c r="F56" i="12"/>
  <c r="O55" i="12"/>
  <c r="F55" i="12"/>
  <c r="O54" i="12"/>
  <c r="F54" i="12"/>
  <c r="O53" i="12"/>
  <c r="F53" i="12"/>
  <c r="O52" i="12"/>
  <c r="F52" i="12"/>
  <c r="O51" i="12"/>
  <c r="F51" i="12"/>
  <c r="O44" i="12"/>
  <c r="F44" i="12"/>
  <c r="O39" i="12"/>
  <c r="F39" i="12"/>
  <c r="O38" i="12"/>
  <c r="F38" i="12"/>
  <c r="O37" i="12"/>
  <c r="F37" i="12"/>
  <c r="O36" i="12"/>
  <c r="F36" i="12"/>
  <c r="O35" i="12"/>
  <c r="F35" i="12"/>
  <c r="O34" i="12"/>
  <c r="F34" i="12"/>
  <c r="O33" i="12"/>
  <c r="F33" i="12"/>
  <c r="O32" i="12"/>
  <c r="F32" i="12"/>
  <c r="O27" i="12"/>
  <c r="F27" i="12"/>
  <c r="O26" i="12"/>
  <c r="F26" i="12"/>
  <c r="O25" i="12"/>
  <c r="F25" i="12"/>
  <c r="O24" i="12"/>
  <c r="F24" i="12"/>
  <c r="O23" i="12"/>
  <c r="F23" i="12"/>
  <c r="O22" i="12"/>
  <c r="F22" i="12"/>
  <c r="O21" i="12"/>
  <c r="F21" i="12"/>
  <c r="O20" i="12"/>
  <c r="F20" i="12"/>
  <c r="O19" i="12"/>
  <c r="F19" i="12"/>
  <c r="O18" i="12"/>
  <c r="F18" i="12"/>
  <c r="O17" i="12"/>
  <c r="F17" i="12"/>
  <c r="O16" i="12"/>
  <c r="F16" i="12"/>
  <c r="O15" i="12"/>
  <c r="F15" i="12"/>
  <c r="O14" i="12"/>
  <c r="F14" i="12"/>
  <c r="O13" i="12"/>
  <c r="F13" i="12"/>
  <c r="O11" i="12"/>
  <c r="F11" i="12"/>
  <c r="O10" i="12"/>
  <c r="F10" i="12"/>
  <c r="O9" i="12"/>
  <c r="F9" i="12"/>
  <c r="N137" i="11"/>
  <c r="E137" i="11"/>
  <c r="N88" i="11"/>
  <c r="O88" i="11" s="1"/>
  <c r="E88" i="11"/>
  <c r="F88" i="11" s="1"/>
  <c r="E87" i="11"/>
  <c r="F87" i="11" s="1"/>
  <c r="N96" i="11"/>
  <c r="N46" i="11" s="1"/>
  <c r="E96" i="11"/>
  <c r="E46" i="11" s="1"/>
  <c r="O86" i="11"/>
  <c r="Q81" i="11"/>
  <c r="H81" i="11"/>
  <c r="Q80" i="11"/>
  <c r="H80" i="11"/>
  <c r="Q79" i="11"/>
  <c r="H79" i="11"/>
  <c r="Q78" i="11"/>
  <c r="H78" i="11"/>
  <c r="Q73" i="11"/>
  <c r="H73" i="11"/>
  <c r="Q72" i="11"/>
  <c r="H72" i="11"/>
  <c r="Q71" i="11"/>
  <c r="H71" i="11"/>
  <c r="Q70" i="11"/>
  <c r="H70" i="11"/>
  <c r="O57" i="11"/>
  <c r="F57" i="11"/>
  <c r="O56" i="11"/>
  <c r="F56" i="11"/>
  <c r="O55" i="11"/>
  <c r="F55" i="11"/>
  <c r="O54" i="11"/>
  <c r="F54" i="11"/>
  <c r="O53" i="11"/>
  <c r="F53" i="11"/>
  <c r="O52" i="11"/>
  <c r="F52" i="11"/>
  <c r="O51" i="11"/>
  <c r="F51" i="11"/>
  <c r="O44" i="11"/>
  <c r="F44" i="11"/>
  <c r="O39" i="11"/>
  <c r="F39" i="11"/>
  <c r="O38" i="11"/>
  <c r="F38" i="11"/>
  <c r="O37" i="11"/>
  <c r="F37" i="11"/>
  <c r="O36" i="11"/>
  <c r="F36" i="11"/>
  <c r="O35" i="11"/>
  <c r="F35" i="11"/>
  <c r="O34" i="11"/>
  <c r="F34" i="11"/>
  <c r="O33" i="11"/>
  <c r="F33" i="11"/>
  <c r="O32" i="11"/>
  <c r="F32" i="11"/>
  <c r="O27" i="11"/>
  <c r="F27" i="11"/>
  <c r="O26" i="11"/>
  <c r="F26" i="11"/>
  <c r="O25" i="11"/>
  <c r="F25" i="11"/>
  <c r="O24" i="11"/>
  <c r="F24" i="11"/>
  <c r="O23" i="11"/>
  <c r="F23" i="11"/>
  <c r="O22" i="11"/>
  <c r="F22" i="11"/>
  <c r="O21" i="11"/>
  <c r="F21" i="11"/>
  <c r="O20" i="11"/>
  <c r="F20" i="11"/>
  <c r="O19" i="11"/>
  <c r="F19" i="11"/>
  <c r="O18" i="11"/>
  <c r="F18" i="11"/>
  <c r="O17" i="11"/>
  <c r="F17" i="11"/>
  <c r="O16" i="11"/>
  <c r="F16" i="11"/>
  <c r="O15" i="11"/>
  <c r="F15" i="11"/>
  <c r="O14" i="11"/>
  <c r="F14" i="11"/>
  <c r="O13" i="11"/>
  <c r="F13" i="11"/>
  <c r="O11" i="11"/>
  <c r="F11" i="11"/>
  <c r="O10" i="11"/>
  <c r="F10" i="11"/>
  <c r="O9" i="11"/>
  <c r="F9" i="11"/>
  <c r="N137" i="10"/>
  <c r="E137" i="10"/>
  <c r="N88" i="10"/>
  <c r="O88" i="10" s="1"/>
  <c r="E88" i="10"/>
  <c r="F88" i="10" s="1"/>
  <c r="E87" i="10"/>
  <c r="F87" i="10" s="1"/>
  <c r="N96" i="10"/>
  <c r="N46" i="10" s="1"/>
  <c r="E96" i="10"/>
  <c r="E46" i="10" s="1"/>
  <c r="O86" i="10"/>
  <c r="Q81" i="10"/>
  <c r="H81" i="10"/>
  <c r="Q80" i="10"/>
  <c r="H80" i="10"/>
  <c r="Q79" i="10"/>
  <c r="H79" i="10"/>
  <c r="Q78" i="10"/>
  <c r="H78" i="10"/>
  <c r="Q73" i="10"/>
  <c r="H73" i="10"/>
  <c r="Q72" i="10"/>
  <c r="H72" i="10"/>
  <c r="Q71" i="10"/>
  <c r="H71" i="10"/>
  <c r="Q70" i="10"/>
  <c r="H70" i="10"/>
  <c r="O57" i="10"/>
  <c r="F57" i="10"/>
  <c r="O56" i="10"/>
  <c r="F56" i="10"/>
  <c r="O55" i="10"/>
  <c r="F55" i="10"/>
  <c r="O54" i="10"/>
  <c r="F54" i="10"/>
  <c r="O53" i="10"/>
  <c r="F53" i="10"/>
  <c r="O52" i="10"/>
  <c r="F52" i="10"/>
  <c r="O51" i="10"/>
  <c r="F51" i="10"/>
  <c r="O44" i="10"/>
  <c r="F44" i="10"/>
  <c r="O39" i="10"/>
  <c r="F39" i="10"/>
  <c r="O38" i="10"/>
  <c r="F38" i="10"/>
  <c r="O37" i="10"/>
  <c r="F37" i="10"/>
  <c r="O36" i="10"/>
  <c r="F36" i="10"/>
  <c r="O35" i="10"/>
  <c r="F35" i="10"/>
  <c r="O34" i="10"/>
  <c r="F34" i="10"/>
  <c r="O33" i="10"/>
  <c r="F33" i="10"/>
  <c r="O32" i="10"/>
  <c r="F32" i="10"/>
  <c r="O27" i="10"/>
  <c r="F27" i="10"/>
  <c r="O26" i="10"/>
  <c r="F26" i="10"/>
  <c r="O25" i="10"/>
  <c r="F25" i="10"/>
  <c r="O24" i="10"/>
  <c r="F24" i="10"/>
  <c r="O23" i="10"/>
  <c r="F23" i="10"/>
  <c r="O22" i="10"/>
  <c r="F22" i="10"/>
  <c r="O21" i="10"/>
  <c r="F21" i="10"/>
  <c r="O20" i="10"/>
  <c r="F20" i="10"/>
  <c r="O19" i="10"/>
  <c r="F19" i="10"/>
  <c r="O18" i="10"/>
  <c r="F18" i="10"/>
  <c r="O17" i="10"/>
  <c r="F17" i="10"/>
  <c r="O16" i="10"/>
  <c r="F16" i="10"/>
  <c r="O15" i="10"/>
  <c r="F15" i="10"/>
  <c r="O14" i="10"/>
  <c r="F14" i="10"/>
  <c r="O13" i="10"/>
  <c r="F13" i="10"/>
  <c r="O11" i="10"/>
  <c r="F11" i="10"/>
  <c r="O10" i="10"/>
  <c r="F10" i="10"/>
  <c r="O9" i="10"/>
  <c r="F9" i="10"/>
  <c r="O27" i="5"/>
  <c r="F27" i="5"/>
  <c r="F57" i="5"/>
  <c r="F56" i="5"/>
  <c r="F55" i="5"/>
  <c r="F54" i="5"/>
  <c r="F53" i="5"/>
  <c r="F52" i="5"/>
  <c r="F51" i="5"/>
  <c r="F44" i="5"/>
  <c r="F39" i="5"/>
  <c r="F38" i="5"/>
  <c r="F37" i="5"/>
  <c r="F36" i="5"/>
  <c r="F35" i="5"/>
  <c r="F34" i="5"/>
  <c r="F33" i="5"/>
  <c r="F32" i="5"/>
  <c r="L65" i="3" l="1"/>
  <c r="K65" i="3"/>
  <c r="N45" i="12"/>
  <c r="E45" i="13"/>
  <c r="E45" i="11"/>
  <c r="N45" i="13"/>
  <c r="N45" i="11"/>
  <c r="F46" i="10"/>
  <c r="E45" i="10"/>
  <c r="N45" i="10"/>
  <c r="E45" i="12"/>
  <c r="Q82" i="13"/>
  <c r="N64" i="13" s="1"/>
  <c r="E32" i="3" s="1"/>
  <c r="G32" i="3" s="1"/>
  <c r="F46" i="13"/>
  <c r="F46" i="11"/>
  <c r="F46" i="12"/>
  <c r="Q82" i="11"/>
  <c r="N64" i="11" s="1"/>
  <c r="O64" i="11" s="1"/>
  <c r="Q74" i="10"/>
  <c r="N63" i="10" s="1"/>
  <c r="H82" i="10"/>
  <c r="E64" i="10" s="1"/>
  <c r="Q82" i="12"/>
  <c r="N64" i="12" s="1"/>
  <c r="Q82" i="10"/>
  <c r="N64" i="10" s="1"/>
  <c r="H74" i="10"/>
  <c r="E63" i="10" s="1"/>
  <c r="E87" i="13"/>
  <c r="F87" i="13" s="1"/>
  <c r="F89" i="13" s="1"/>
  <c r="E65" i="13" s="1"/>
  <c r="F58" i="10"/>
  <c r="I10" i="3" s="1"/>
  <c r="F58" i="12"/>
  <c r="I12" i="3" s="1"/>
  <c r="H82" i="13"/>
  <c r="E64" i="13" s="1"/>
  <c r="F89" i="10"/>
  <c r="E65" i="10" s="1"/>
  <c r="N87" i="10"/>
  <c r="O87" i="10" s="1"/>
  <c r="O89" i="10" s="1"/>
  <c r="N65" i="10" s="1"/>
  <c r="O40" i="11"/>
  <c r="F11" i="3" s="1"/>
  <c r="O40" i="12"/>
  <c r="F12" i="3" s="1"/>
  <c r="H74" i="12"/>
  <c r="E63" i="12" s="1"/>
  <c r="O58" i="10"/>
  <c r="J10" i="3" s="1"/>
  <c r="H74" i="11"/>
  <c r="E63" i="11" s="1"/>
  <c r="E87" i="12"/>
  <c r="F87" i="12" s="1"/>
  <c r="F89" i="12" s="1"/>
  <c r="E65" i="12" s="1"/>
  <c r="N87" i="12"/>
  <c r="O87" i="12" s="1"/>
  <c r="O89" i="12" s="1"/>
  <c r="N65" i="12" s="1"/>
  <c r="H74" i="13"/>
  <c r="E63" i="13" s="1"/>
  <c r="F58" i="11"/>
  <c r="I11" i="3" s="1"/>
  <c r="H82" i="12"/>
  <c r="E64" i="12" s="1"/>
  <c r="F89" i="11"/>
  <c r="E65" i="11" s="1"/>
  <c r="N87" i="11"/>
  <c r="O87" i="11" s="1"/>
  <c r="O89" i="11" s="1"/>
  <c r="N65" i="11" s="1"/>
  <c r="F40" i="11"/>
  <c r="E11" i="3" s="1"/>
  <c r="F28" i="11"/>
  <c r="C11" i="3" s="1"/>
  <c r="F40" i="5"/>
  <c r="E9" i="3" s="1"/>
  <c r="N87" i="13"/>
  <c r="O87" i="13" s="1"/>
  <c r="O89" i="13" s="1"/>
  <c r="N65" i="13" s="1"/>
  <c r="O28" i="13"/>
  <c r="D13" i="3" s="1"/>
  <c r="O58" i="13"/>
  <c r="J13" i="3" s="1"/>
  <c r="O40" i="13"/>
  <c r="F13" i="3" s="1"/>
  <c r="F40" i="13"/>
  <c r="E13" i="3" s="1"/>
  <c r="F58" i="13"/>
  <c r="I13" i="3" s="1"/>
  <c r="O28" i="12"/>
  <c r="D12" i="3" s="1"/>
  <c r="O58" i="12"/>
  <c r="J12" i="3" s="1"/>
  <c r="F40" i="12"/>
  <c r="E12" i="3" s="1"/>
  <c r="O28" i="11"/>
  <c r="D11" i="3" s="1"/>
  <c r="O58" i="11"/>
  <c r="J11" i="3" s="1"/>
  <c r="O40" i="10"/>
  <c r="F10" i="3" s="1"/>
  <c r="F28" i="10"/>
  <c r="C10" i="3" s="1"/>
  <c r="F40" i="10"/>
  <c r="E10" i="3" s="1"/>
  <c r="Q74" i="13"/>
  <c r="N63" i="13" s="1"/>
  <c r="F28" i="13"/>
  <c r="C13" i="3" s="1"/>
  <c r="Q74" i="12"/>
  <c r="N63" i="12" s="1"/>
  <c r="F28" i="12"/>
  <c r="C12" i="3" s="1"/>
  <c r="Q74" i="11"/>
  <c r="N63" i="11" s="1"/>
  <c r="H82" i="11"/>
  <c r="E64" i="11" s="1"/>
  <c r="O28" i="10"/>
  <c r="D10" i="3" s="1"/>
  <c r="F58" i="5"/>
  <c r="I9" i="3" s="1"/>
  <c r="O57" i="5"/>
  <c r="O56" i="5"/>
  <c r="O44" i="5"/>
  <c r="O51" i="5"/>
  <c r="O52" i="5"/>
  <c r="O53" i="5"/>
  <c r="O54" i="5"/>
  <c r="O55" i="5"/>
  <c r="O33" i="5"/>
  <c r="O34" i="5"/>
  <c r="O35" i="5"/>
  <c r="O36" i="5"/>
  <c r="O37" i="5"/>
  <c r="O38" i="5"/>
  <c r="O39" i="5"/>
  <c r="O32" i="5"/>
  <c r="O64" i="13" l="1"/>
  <c r="O60" i="3"/>
  <c r="Q60" i="3" s="1"/>
  <c r="E30" i="3"/>
  <c r="G30" i="3" s="1"/>
  <c r="O65" i="12"/>
  <c r="E40" i="3"/>
  <c r="G40" i="3" s="1"/>
  <c r="O65" i="11"/>
  <c r="E39" i="3"/>
  <c r="G39" i="3" s="1"/>
  <c r="O64" i="10"/>
  <c r="E29" i="3"/>
  <c r="G29" i="3" s="1"/>
  <c r="F65" i="12"/>
  <c r="D40" i="3"/>
  <c r="F40" i="3" s="1"/>
  <c r="F64" i="11"/>
  <c r="D30" i="3"/>
  <c r="F30" i="3" s="1"/>
  <c r="F65" i="10"/>
  <c r="D38" i="3"/>
  <c r="F38" i="3" s="1"/>
  <c r="O63" i="11"/>
  <c r="E21" i="3"/>
  <c r="G21" i="3" s="1"/>
  <c r="O64" i="12"/>
  <c r="E31" i="3"/>
  <c r="G31" i="3" s="1"/>
  <c r="F65" i="11"/>
  <c r="D39" i="3"/>
  <c r="F39" i="3" s="1"/>
  <c r="F64" i="13"/>
  <c r="D32" i="3"/>
  <c r="F32" i="3" s="1"/>
  <c r="F63" i="11"/>
  <c r="D21" i="3"/>
  <c r="F21" i="3" s="1"/>
  <c r="O46" i="12"/>
  <c r="F64" i="10"/>
  <c r="D29" i="3"/>
  <c r="F29" i="3" s="1"/>
  <c r="F64" i="12"/>
  <c r="D31" i="3"/>
  <c r="F31" i="3" s="1"/>
  <c r="O63" i="10"/>
  <c r="E20" i="3"/>
  <c r="G20" i="3" s="1"/>
  <c r="F63" i="12"/>
  <c r="D22" i="3"/>
  <c r="F22" i="3" s="1"/>
  <c r="F63" i="13"/>
  <c r="D23" i="3"/>
  <c r="F23" i="3" s="1"/>
  <c r="O63" i="12"/>
  <c r="E22" i="3"/>
  <c r="G22" i="3" s="1"/>
  <c r="O65" i="10"/>
  <c r="E38" i="3"/>
  <c r="G38" i="3" s="1"/>
  <c r="O46" i="11"/>
  <c r="F65" i="13"/>
  <c r="D41" i="3"/>
  <c r="F41" i="3" s="1"/>
  <c r="O63" i="13"/>
  <c r="E23" i="3"/>
  <c r="G23" i="3" s="1"/>
  <c r="F63" i="10"/>
  <c r="D20" i="3"/>
  <c r="F20" i="3" s="1"/>
  <c r="O46" i="10"/>
  <c r="O46" i="13"/>
  <c r="O65" i="13"/>
  <c r="E41" i="3"/>
  <c r="G41" i="3" s="1"/>
  <c r="O58" i="5"/>
  <c r="J9" i="3" s="1"/>
  <c r="O40" i="5"/>
  <c r="F9" i="3" s="1"/>
  <c r="N88" i="5"/>
  <c r="O88" i="5" s="1"/>
  <c r="E88" i="5"/>
  <c r="N137" i="5"/>
  <c r="O86" i="5"/>
  <c r="Q81" i="5"/>
  <c r="Q80" i="5"/>
  <c r="Q79" i="5"/>
  <c r="Q78" i="5"/>
  <c r="Q73" i="5"/>
  <c r="Q72" i="5"/>
  <c r="Q70" i="5"/>
  <c r="O26" i="5"/>
  <c r="O25" i="5"/>
  <c r="O24" i="5"/>
  <c r="O23" i="5"/>
  <c r="O22" i="5"/>
  <c r="O21" i="5"/>
  <c r="O20" i="5"/>
  <c r="O19" i="5"/>
  <c r="O18" i="5"/>
  <c r="O17" i="5"/>
  <c r="O16" i="5"/>
  <c r="O15" i="5"/>
  <c r="O14" i="5"/>
  <c r="O13" i="5"/>
  <c r="O11" i="5"/>
  <c r="O10" i="5"/>
  <c r="O9" i="5"/>
  <c r="F10" i="5"/>
  <c r="F11" i="5"/>
  <c r="F13" i="5"/>
  <c r="F14" i="5"/>
  <c r="F15" i="5"/>
  <c r="F16" i="5"/>
  <c r="F17" i="5"/>
  <c r="F18" i="5"/>
  <c r="F19" i="5"/>
  <c r="F20" i="5"/>
  <c r="F21" i="5"/>
  <c r="F22" i="5"/>
  <c r="F23" i="5"/>
  <c r="F24" i="5"/>
  <c r="F25" i="5"/>
  <c r="F26" i="5"/>
  <c r="F9" i="5"/>
  <c r="D57" i="3" l="1"/>
  <c r="D59" i="3"/>
  <c r="D60" i="3"/>
  <c r="D58" i="3"/>
  <c r="E60" i="3"/>
  <c r="E102" i="13" s="1"/>
  <c r="O66" i="11"/>
  <c r="N101" i="11" s="1"/>
  <c r="O101" i="11" s="1"/>
  <c r="O66" i="10"/>
  <c r="N101" i="10" s="1"/>
  <c r="O101" i="10" s="1"/>
  <c r="D69" i="3"/>
  <c r="O66" i="13"/>
  <c r="N101" i="13" s="1"/>
  <c r="O101" i="13" s="1"/>
  <c r="O66" i="12"/>
  <c r="N101" i="12" s="1"/>
  <c r="O101" i="12" s="1"/>
  <c r="F66" i="10"/>
  <c r="E101" i="10" s="1"/>
  <c r="F101" i="10" s="1"/>
  <c r="D67" i="3"/>
  <c r="Q71" i="5"/>
  <c r="Q74" i="5" s="1"/>
  <c r="N63" i="5" s="1"/>
  <c r="E19" i="3" s="1"/>
  <c r="H70" i="5"/>
  <c r="F66" i="12"/>
  <c r="D66" i="3"/>
  <c r="D68" i="3"/>
  <c r="F66" i="13"/>
  <c r="F66" i="11"/>
  <c r="M49" i="3"/>
  <c r="P49" i="3" s="1"/>
  <c r="M48" i="3"/>
  <c r="M50" i="3"/>
  <c r="P50" i="3" s="1"/>
  <c r="O28" i="5"/>
  <c r="D9" i="3" s="1"/>
  <c r="F28" i="5"/>
  <c r="C9" i="3" s="1"/>
  <c r="E87" i="5"/>
  <c r="Q82" i="5"/>
  <c r="N64" i="5" s="1"/>
  <c r="E28" i="3" s="1"/>
  <c r="N87" i="5"/>
  <c r="O87" i="5" s="1"/>
  <c r="O89" i="5" s="1"/>
  <c r="N65" i="5" s="1"/>
  <c r="E37" i="3" s="1"/>
  <c r="G37" i="3" s="1"/>
  <c r="N59" i="3" l="1"/>
  <c r="N58" i="3"/>
  <c r="E101" i="11"/>
  <c r="F101" i="11" s="1"/>
  <c r="E101" i="13"/>
  <c r="F101" i="13" s="1"/>
  <c r="E101" i="12"/>
  <c r="F101" i="12" s="1"/>
  <c r="O46" i="5"/>
  <c r="O63" i="5"/>
  <c r="G19" i="3"/>
  <c r="O64" i="5"/>
  <c r="O65" i="5"/>
  <c r="M59" i="3" l="1"/>
  <c r="P59" i="3" s="1"/>
  <c r="O59" i="3"/>
  <c r="O58" i="3"/>
  <c r="M58" i="3"/>
  <c r="P58" i="3" s="1"/>
  <c r="O66" i="5"/>
  <c r="N101" i="5" s="1"/>
  <c r="O101" i="5" s="1"/>
  <c r="H12" i="6"/>
  <c r="G12" i="6"/>
  <c r="F12" i="6"/>
  <c r="H6" i="6"/>
  <c r="G6" i="6"/>
  <c r="F6" i="6"/>
  <c r="Q58" i="3" l="1"/>
  <c r="E58" i="3" s="1"/>
  <c r="E102" i="11" s="1"/>
  <c r="Q59" i="3"/>
  <c r="E59" i="3" s="1"/>
  <c r="E102" i="12" s="1"/>
  <c r="G27" i="6"/>
  <c r="G26" i="6"/>
  <c r="G25" i="6"/>
  <c r="F27" i="6"/>
  <c r="F26" i="6"/>
  <c r="F25" i="6"/>
  <c r="H27" i="6"/>
  <c r="H26" i="6"/>
  <c r="H25" i="6"/>
  <c r="G28" i="6" l="1"/>
  <c r="F28" i="6"/>
  <c r="H28" i="6"/>
  <c r="F30" i="6" l="1"/>
  <c r="F31" i="6" l="1"/>
  <c r="D94" i="11" s="1"/>
  <c r="F94" i="11" s="1"/>
  <c r="E51" i="3"/>
  <c r="M93" i="5"/>
  <c r="O93" i="5" s="1"/>
  <c r="E50" i="3"/>
  <c r="D93" i="10"/>
  <c r="F93" i="10" s="1"/>
  <c r="E49" i="3"/>
  <c r="E47" i="3"/>
  <c r="E48" i="3"/>
  <c r="D93" i="5"/>
  <c r="F93" i="5" s="1"/>
  <c r="M93" i="10"/>
  <c r="O93" i="10" s="1"/>
  <c r="M93" i="11"/>
  <c r="O93" i="11" s="1"/>
  <c r="M93" i="13"/>
  <c r="O93" i="13" s="1"/>
  <c r="D93" i="11"/>
  <c r="F93" i="11" s="1"/>
  <c r="D93" i="13"/>
  <c r="F93" i="13" s="1"/>
  <c r="D93" i="12"/>
  <c r="F93" i="12" s="1"/>
  <c r="M93" i="12"/>
  <c r="O93" i="12" s="1"/>
  <c r="F32" i="6" l="1"/>
  <c r="F33" i="6" s="1"/>
  <c r="H50" i="3"/>
  <c r="D94" i="10"/>
  <c r="F94" i="10" s="1"/>
  <c r="H49" i="3"/>
  <c r="M94" i="10"/>
  <c r="O94" i="10" s="1"/>
  <c r="H48" i="3"/>
  <c r="M94" i="5"/>
  <c r="O94" i="5" s="1"/>
  <c r="H51" i="3"/>
  <c r="H47" i="3"/>
  <c r="D94" i="5"/>
  <c r="F94" i="5" s="1"/>
  <c r="D94" i="13"/>
  <c r="F94" i="13" s="1"/>
  <c r="M94" i="13"/>
  <c r="O94" i="13" s="1"/>
  <c r="M94" i="12"/>
  <c r="O94" i="12" s="1"/>
  <c r="M94" i="11"/>
  <c r="O94" i="11" s="1"/>
  <c r="D94" i="12"/>
  <c r="F94" i="12" s="1"/>
  <c r="F34" i="6" l="1"/>
  <c r="F35" i="6" s="1"/>
  <c r="K48" i="3"/>
  <c r="N48" i="3" s="1"/>
  <c r="P48" i="3" s="1"/>
  <c r="M95" i="10"/>
  <c r="O95" i="10" s="1"/>
  <c r="O96" i="10" s="1"/>
  <c r="K51" i="3"/>
  <c r="N51" i="3" s="1"/>
  <c r="K47" i="3"/>
  <c r="D95" i="5"/>
  <c r="F95" i="5" s="1"/>
  <c r="F96" i="5" s="1"/>
  <c r="K50" i="3"/>
  <c r="N50" i="3" s="1"/>
  <c r="K49" i="3"/>
  <c r="N49" i="3" s="1"/>
  <c r="D95" i="10"/>
  <c r="F95" i="10" s="1"/>
  <c r="F96" i="10" s="1"/>
  <c r="M95" i="5"/>
  <c r="M95" i="11"/>
  <c r="O95" i="11" s="1"/>
  <c r="O96" i="11" s="1"/>
  <c r="M95" i="12"/>
  <c r="O95" i="12" s="1"/>
  <c r="O96" i="12" s="1"/>
  <c r="D95" i="11"/>
  <c r="F95" i="11" s="1"/>
  <c r="F96" i="11" s="1"/>
  <c r="M95" i="13"/>
  <c r="O95" i="13" s="1"/>
  <c r="O96" i="13" s="1"/>
  <c r="D95" i="12"/>
  <c r="F95" i="12" s="1"/>
  <c r="F96" i="12" s="1"/>
  <c r="D95" i="13"/>
  <c r="F95" i="13" s="1"/>
  <c r="F96" i="13" s="1"/>
  <c r="D96" i="5" l="1"/>
  <c r="L66" i="3"/>
  <c r="K68" i="3"/>
  <c r="L68" i="3"/>
  <c r="L67" i="3"/>
  <c r="K67" i="3"/>
  <c r="L69" i="3"/>
  <c r="K69" i="3"/>
  <c r="K66" i="3"/>
  <c r="M96" i="11"/>
  <c r="P96" i="11" s="1"/>
  <c r="M96" i="10"/>
  <c r="D96" i="12"/>
  <c r="G96" i="12" s="1"/>
  <c r="D96" i="13"/>
  <c r="G96" i="13" s="1"/>
  <c r="M96" i="13"/>
  <c r="P96" i="13" s="1"/>
  <c r="D96" i="11"/>
  <c r="G96" i="11" s="1"/>
  <c r="O95" i="5"/>
  <c r="M96" i="5"/>
  <c r="M96" i="12"/>
  <c r="P96" i="12" s="1"/>
  <c r="D96" i="10"/>
  <c r="E137" i="5"/>
  <c r="F88" i="5"/>
  <c r="F87" i="5"/>
  <c r="F86" i="5"/>
  <c r="H81" i="5"/>
  <c r="H80" i="5"/>
  <c r="H79" i="5"/>
  <c r="H78" i="5"/>
  <c r="H73" i="5"/>
  <c r="H72" i="5"/>
  <c r="H71" i="5"/>
  <c r="M67" i="3" l="1"/>
  <c r="O66" i="3"/>
  <c r="G96" i="10"/>
  <c r="M57" i="3"/>
  <c r="P57" i="3" s="1"/>
  <c r="O57" i="3"/>
  <c r="P96" i="5"/>
  <c r="P96" i="10"/>
  <c r="O69" i="3"/>
  <c r="M69" i="3"/>
  <c r="O68" i="3"/>
  <c r="O45" i="12"/>
  <c r="O47" i="12" s="1"/>
  <c r="H12" i="3" s="1"/>
  <c r="F45" i="13"/>
  <c r="F47" i="13" s="1"/>
  <c r="G13" i="3" s="1"/>
  <c r="F45" i="12"/>
  <c r="F47" i="12" s="1"/>
  <c r="G12" i="3" s="1"/>
  <c r="F45" i="11"/>
  <c r="F47" i="11" s="1"/>
  <c r="G11" i="3" s="1"/>
  <c r="O45" i="13"/>
  <c r="O59" i="13" s="1"/>
  <c r="L13" i="3" s="1"/>
  <c r="O45" i="11"/>
  <c r="O47" i="11" s="1"/>
  <c r="H11" i="3" s="1"/>
  <c r="O96" i="5"/>
  <c r="O67" i="3"/>
  <c r="E96" i="5"/>
  <c r="E46" i="5" s="1"/>
  <c r="F89" i="5"/>
  <c r="H82" i="5"/>
  <c r="E64" i="5" s="1"/>
  <c r="D28" i="3" s="1"/>
  <c r="H74" i="5"/>
  <c r="E63" i="5" s="1"/>
  <c r="F59" i="12" l="1"/>
  <c r="F59" i="13"/>
  <c r="K13" i="3" s="1"/>
  <c r="C60" i="3" s="1"/>
  <c r="E45" i="5"/>
  <c r="G96" i="5"/>
  <c r="O56" i="3" s="1"/>
  <c r="O45" i="5"/>
  <c r="O47" i="5" s="1"/>
  <c r="H9" i="3" s="1"/>
  <c r="F45" i="10"/>
  <c r="O45" i="10"/>
  <c r="O59" i="10" s="1"/>
  <c r="N100" i="10" s="1"/>
  <c r="O100" i="10" s="1"/>
  <c r="Q57" i="3"/>
  <c r="E57" i="3" s="1"/>
  <c r="E102" i="10" s="1"/>
  <c r="F102" i="10" s="1"/>
  <c r="E65" i="5"/>
  <c r="F65" i="5" s="1"/>
  <c r="O59" i="12"/>
  <c r="L12" i="3" s="1"/>
  <c r="C68" i="3" s="1"/>
  <c r="O59" i="11"/>
  <c r="L11" i="3" s="1"/>
  <c r="C67" i="3" s="1"/>
  <c r="O47" i="13"/>
  <c r="H13" i="3" s="1"/>
  <c r="F59" i="11"/>
  <c r="K11" i="3" s="1"/>
  <c r="C58" i="3" s="1"/>
  <c r="F102" i="12"/>
  <c r="F102" i="13"/>
  <c r="F102" i="11"/>
  <c r="D19" i="3"/>
  <c r="F19" i="3" s="1"/>
  <c r="C69" i="3"/>
  <c r="N100" i="13"/>
  <c r="O100" i="13" s="1"/>
  <c r="F64" i="5"/>
  <c r="F63" i="5"/>
  <c r="E100" i="12" l="1"/>
  <c r="F100" i="12" s="1"/>
  <c r="F103" i="12" s="1"/>
  <c r="K12" i="3"/>
  <c r="C59" i="3" s="1"/>
  <c r="F59" i="3" s="1"/>
  <c r="E100" i="13"/>
  <c r="F100" i="13" s="1"/>
  <c r="F103" i="13" s="1"/>
  <c r="F60" i="3"/>
  <c r="N100" i="11"/>
  <c r="O100" i="11" s="1"/>
  <c r="E100" i="11"/>
  <c r="F100" i="11" s="1"/>
  <c r="F103" i="11" s="1"/>
  <c r="F58" i="3"/>
  <c r="F46" i="5"/>
  <c r="O59" i="5"/>
  <c r="L9" i="3" s="1"/>
  <c r="C65" i="3" s="1"/>
  <c r="O47" i="10"/>
  <c r="H10" i="3" s="1"/>
  <c r="F45" i="5"/>
  <c r="L10" i="3"/>
  <c r="C66" i="3" s="1"/>
  <c r="F47" i="10"/>
  <c r="G10" i="3" s="1"/>
  <c r="F59" i="10"/>
  <c r="K10" i="3" s="1"/>
  <c r="C57" i="3" s="1"/>
  <c r="D37" i="3"/>
  <c r="N100" i="12"/>
  <c r="O100" i="12" s="1"/>
  <c r="F66" i="5"/>
  <c r="F59" i="5" l="1"/>
  <c r="K9" i="3" s="1"/>
  <c r="C56" i="3" s="1"/>
  <c r="F47" i="5"/>
  <c r="G9" i="3" s="1"/>
  <c r="E100" i="10"/>
  <c r="F100" i="10" s="1"/>
  <c r="F103" i="10" s="1"/>
  <c r="F57" i="3"/>
  <c r="E101" i="5"/>
  <c r="F101" i="5" s="1"/>
  <c r="E100" i="5" l="1"/>
  <c r="F100" i="5" s="1"/>
  <c r="G28" i="3"/>
  <c r="D65" i="3" s="1"/>
  <c r="F28" i="3"/>
  <c r="N47" i="3"/>
  <c r="F37" i="3"/>
  <c r="D56" i="3" l="1"/>
  <c r="N65" i="3"/>
  <c r="E75" i="2"/>
  <c r="F75" i="2"/>
  <c r="O65" i="3" l="1"/>
  <c r="M65" i="3"/>
  <c r="P56" i="3"/>
  <c r="M68" i="3"/>
  <c r="N67" i="3"/>
  <c r="N66" i="3"/>
  <c r="M66" i="3"/>
  <c r="N68" i="3"/>
  <c r="N69" i="3"/>
  <c r="E44" i="2"/>
  <c r="P65" i="3" l="1"/>
  <c r="Q65" i="3" s="1"/>
  <c r="Q56" i="3"/>
  <c r="E56" i="3" s="1"/>
  <c r="P66" i="3"/>
  <c r="P67" i="3"/>
  <c r="Q67" i="3" s="1"/>
  <c r="E67" i="3" s="1"/>
  <c r="P68" i="3"/>
  <c r="Q68" i="3" s="1"/>
  <c r="E68" i="3" s="1"/>
  <c r="P69" i="3"/>
  <c r="Q69" i="3" s="1"/>
  <c r="E69" i="3" s="1"/>
  <c r="F29" i="2"/>
  <c r="F28" i="2"/>
  <c r="F27" i="2"/>
  <c r="F22" i="2"/>
  <c r="F21" i="2"/>
  <c r="F20" i="2"/>
  <c r="F15" i="2"/>
  <c r="F14" i="2"/>
  <c r="F13" i="2"/>
  <c r="J35" i="2"/>
  <c r="E102" i="5" l="1"/>
  <c r="F102" i="5" s="1"/>
  <c r="F103" i="5" s="1"/>
  <c r="E65" i="3"/>
  <c r="N102" i="5" s="1"/>
  <c r="O102" i="5" s="1"/>
  <c r="F56" i="3"/>
  <c r="Q66" i="3"/>
  <c r="E66" i="3" s="1"/>
  <c r="N102" i="12"/>
  <c r="O102" i="12" s="1"/>
  <c r="O103" i="12" s="1"/>
  <c r="F68" i="3"/>
  <c r="N102" i="11"/>
  <c r="O102" i="11" s="1"/>
  <c r="O103" i="11" s="1"/>
  <c r="F67" i="3"/>
  <c r="N102" i="13"/>
  <c r="O102" i="13" s="1"/>
  <c r="O103" i="13" s="1"/>
  <c r="F69" i="3"/>
  <c r="D44" i="2"/>
  <c r="F44" i="2" s="1"/>
  <c r="I37" i="2"/>
  <c r="I36" i="2"/>
  <c r="H36" i="2"/>
  <c r="H37" i="2" s="1"/>
  <c r="F36" i="2"/>
  <c r="F37" i="2" s="1"/>
  <c r="D36" i="2"/>
  <c r="I35" i="2"/>
  <c r="G29" i="2"/>
  <c r="E22" i="2"/>
  <c r="G22" i="2" s="1"/>
  <c r="E15" i="2"/>
  <c r="G15" i="2" s="1"/>
  <c r="F65" i="3" l="1"/>
  <c r="N102" i="10"/>
  <c r="O102" i="10" s="1"/>
  <c r="O103" i="10" s="1"/>
  <c r="F66" i="3"/>
  <c r="J36" i="2"/>
  <c r="D37" i="2"/>
  <c r="J37" i="2" s="1"/>
  <c r="E47" i="1"/>
  <c r="F36" i="1"/>
  <c r="G29" i="1" l="1"/>
  <c r="F29" i="1"/>
  <c r="G28" i="1"/>
  <c r="F28" i="1"/>
  <c r="G27" i="1"/>
  <c r="F27" i="1"/>
  <c r="F22" i="1"/>
  <c r="E22" i="1"/>
  <c r="G22" i="1" s="1"/>
  <c r="G21" i="1"/>
  <c r="F21" i="1"/>
  <c r="G20" i="1"/>
  <c r="F20" i="1"/>
  <c r="G14" i="1"/>
  <c r="G13" i="1"/>
  <c r="J35" i="1"/>
  <c r="H36" i="1"/>
  <c r="H37" i="1" s="1"/>
  <c r="F37" i="1"/>
  <c r="D36" i="1"/>
  <c r="D37" i="1" s="1"/>
  <c r="F13" i="1"/>
  <c r="J36" i="1" l="1"/>
  <c r="J37" i="1"/>
  <c r="I37" i="1"/>
  <c r="E44" i="1" s="1"/>
  <c r="I36" i="1"/>
  <c r="E43" i="1" s="1"/>
  <c r="I35" i="1"/>
  <c r="E42" i="1" s="1"/>
  <c r="F15" i="1"/>
  <c r="D44" i="1" s="1"/>
  <c r="E46" i="1" s="1"/>
  <c r="E15" i="1"/>
  <c r="G15" i="1" s="1"/>
  <c r="F14" i="1"/>
  <c r="D42" i="1" l="1"/>
  <c r="D43" i="1"/>
  <c r="N100" i="5"/>
  <c r="O100" i="5" s="1"/>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Rengga Putra</author>
  </authors>
  <commentList>
    <comment ref="I9" authorId="0" shapeId="0" xr:uid="{00000000-0006-0000-0800-000001000000}">
      <text>
        <r>
          <rPr>
            <b/>
            <sz val="9"/>
            <color indexed="81"/>
            <rFont val="Tahoma"/>
            <family val="2"/>
          </rPr>
          <t>Rengga Putra:</t>
        </r>
        <r>
          <rPr>
            <sz val="9"/>
            <color indexed="81"/>
            <rFont val="Tahoma"/>
            <family val="2"/>
          </rPr>
          <t xml:space="preserve">
merupakan asumsi sampling tergantung jumlah debitur.
7200 merupakan 10 auditor mengerjakan 10 debitur per hari selama 90 hari pengerjaan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Rengga Putra</author>
  </authors>
  <commentList>
    <comment ref="H4" authorId="0" shapeId="0" xr:uid="{00000000-0006-0000-0900-000001000000}">
      <text>
        <r>
          <rPr>
            <b/>
            <sz val="9"/>
            <color indexed="81"/>
            <rFont val="Tahoma"/>
            <family val="2"/>
          </rPr>
          <t>Rengga Putra:</t>
        </r>
        <r>
          <rPr>
            <sz val="9"/>
            <color indexed="81"/>
            <rFont val="Tahoma"/>
            <family val="2"/>
          </rPr>
          <t xml:space="preserve">
1.asumsi pembagian 60/90 hari adalah 67% dari 2x72 hari kerja untuk pengerjaan kredit/pembiayaan
2. asumsi pembagian estimasi hari pekerjaan melalui hari audit karena saat mengaudit kredit/pembiayaan memerlukan waktu full time sehingga tidak dapat diselingi dengan akun lain</t>
        </r>
      </text>
    </comment>
  </commentList>
</comments>
</file>

<file path=xl/sharedStrings.xml><?xml version="1.0" encoding="utf-8"?>
<sst xmlns="http://schemas.openxmlformats.org/spreadsheetml/2006/main" count="3876" uniqueCount="338">
  <si>
    <t>I. Administrasi</t>
  </si>
  <si>
    <t>No.</t>
  </si>
  <si>
    <t>KAP</t>
  </si>
  <si>
    <t>Proposal diterima tepat waktu</t>
  </si>
  <si>
    <t>Surat Pengantar</t>
  </si>
  <si>
    <t>Izin Menkeu</t>
  </si>
  <si>
    <t>Terdaftar di BI/OJK</t>
  </si>
  <si>
    <t>Pengalaman Audit Industri Perbankan</t>
  </si>
  <si>
    <t>Pegawai Tetap</t>
  </si>
  <si>
    <t>Lulus</t>
  </si>
  <si>
    <t>Tidak Lulus</t>
  </si>
  <si>
    <t>Tepat Waktu</t>
  </si>
  <si>
    <t>di TTD Pimpinan/
Rekan</t>
  </si>
  <si>
    <t xml:space="preserve">Memuat pernyataan yg disyaratkan </t>
  </si>
  <si>
    <t>Minimal 6 orang</t>
  </si>
  <si>
    <t>Min 50% dari pegawai yg ditugaskan</t>
  </si>
  <si>
    <t>V</t>
  </si>
  <si>
    <t>-</t>
  </si>
  <si>
    <t>KAP Drs. Abror, Ak</t>
  </si>
  <si>
    <t>II. Penilaian</t>
  </si>
  <si>
    <t>A.</t>
  </si>
  <si>
    <t>Penilaian Teknis - Pengalaman KAP</t>
  </si>
  <si>
    <t>Pengalaman KAP</t>
  </si>
  <si>
    <t>Nilai</t>
  </si>
  <si>
    <t>Jumlah</t>
  </si>
  <si>
    <t>Keterangan</t>
  </si>
  <si>
    <t>TL</t>
  </si>
  <si>
    <t>Analisis</t>
  </si>
  <si>
    <t>B.</t>
  </si>
  <si>
    <t>Penilaian Teknis - AP/Personil</t>
  </si>
  <si>
    <t>C.</t>
  </si>
  <si>
    <t>Penilaian Teknis - Metodologi &amp; Usulan Prosedur yang Disepakati</t>
  </si>
  <si>
    <t>Hasil penilaian TL telah sesuai dengan pedoman penunjukkan KAP, berdasarkan verifikasi atas proposal cakupan dan relevansi atas metodologi dan usulan prosedur yang disepakati telah sesuai.</t>
  </si>
  <si>
    <t>D.</t>
  </si>
  <si>
    <t xml:space="preserve">Penilaian Biaya </t>
  </si>
  <si>
    <t>Biaya Remunerasi</t>
  </si>
  <si>
    <t>Biaya Operasional</t>
  </si>
  <si>
    <t>PPN</t>
  </si>
  <si>
    <t>Total</t>
  </si>
  <si>
    <t>Penawaran</t>
  </si>
  <si>
    <t>HPS</t>
  </si>
  <si>
    <t>HPS (Pembulatan)</t>
  </si>
  <si>
    <t>Dibawah HPS</t>
  </si>
  <si>
    <t>Diatas HPS</t>
  </si>
  <si>
    <t>Penjelasan</t>
  </si>
  <si>
    <t>Ya</t>
  </si>
  <si>
    <t>Menawarkan biaya terendah</t>
  </si>
  <si>
    <t>III. Kesimpulan :</t>
  </si>
  <si>
    <t>Administrasi</t>
  </si>
  <si>
    <t>Teknis</t>
  </si>
  <si>
    <t>Biaya</t>
  </si>
  <si>
    <t>KERTAS KERJA 
PENILAIAN PENUNJUKKAN KAP DALAM RANGKA AUDIT ATAS NERACA PENUTUPAN
PT BPR TEBAS LOKARIZKI (DL) - SAMBAS</t>
  </si>
  <si>
    <t>KAP Luthfi Muhammad &amp; Rekan</t>
  </si>
  <si>
    <t>KAP Yaniswar &amp; Rekan</t>
  </si>
  <si>
    <t>Hasil penilaian TL telah sesuai dengan pedoman penunjukkan KAP, berdasarkan verifikasi atas proposal, KAP telah memiliki pengalaman audit NAL &amp; NP pada 3 BDL dalam 5 tahun terakhir.</t>
  </si>
  <si>
    <t>Hasil penilaian TL telah sesuai dengan pedoman penunjukkan KAP, berdasarkan verifikasi atas proposal, KAP telah memiliki pengalaman audit NAL &amp; NP pada 4 BDL dalam 5 tahun terakhir.</t>
  </si>
  <si>
    <t>Hasil penilaian TL telah sesuai dengan pedoman penunjukkan KAP, berdasarkan verifikasi atas proposal, KAP/Personil telah memiliki pengalaman audit NAL &amp; NP pada 4 BDL &amp; audit umum pada 5 BPR dalam 5 th terakhir.</t>
  </si>
  <si>
    <t>Hasil penilaian TL telah sesuai dengan pedoman penunjukkan KAP, berdasarkan verifikasi atas proposal, KAP/Personil telah memiliki pengalaman audit NAL &amp; NP pada 6 BDL &amp; audit umum pada 14 BPR serta 1 BPD dalam 5 th terakhir.</t>
  </si>
  <si>
    <r>
      <rPr>
        <b/>
        <sz val="8"/>
        <rFont val="Book Antiqua"/>
        <family val="1"/>
      </rPr>
      <t>Keterangan</t>
    </r>
    <r>
      <rPr>
        <sz val="8"/>
        <rFont val="Book Antiqua"/>
        <family val="1"/>
      </rPr>
      <t xml:space="preserve">
1) TL telah mengundang 8 (delapan) KAP untuk mengajukan proposal penawaran
2) Berdasarkan hasil verifikasi atas penilaian TL terhadap proposal penawaran, diketahui bahwa hasil penilaian tersebut telah sesuai dengan Pedoman Penunjukkan KAP dalam rangka Audit Atas Neraca Penutupan Bank Yang dicabut Izin Usahanya (Lampiran KKE No.Kep-064/KE/VII/2008 Tgl 10 Juli 2008) 
2) KAP Drs. Abror, Ak yang diusulkan TL telah memenuhi syarat untuk ditunjuk sebagai pelaksana Audit atas Neraca Penutupan PT. BPR Tebas Lokarizki.(DL) dari aspek administrasi, teknis dan biaya.</t>
    </r>
  </si>
  <si>
    <t>N/A</t>
  </si>
  <si>
    <t>KECAKUPAN DAN RELEVANSI USULAN PROSEDUR YANG DISEPAKATI*)</t>
  </si>
  <si>
    <t>AKUN</t>
  </si>
  <si>
    <t>KECAKUPAN</t>
  </si>
  <si>
    <t>RELEVANSI</t>
  </si>
  <si>
    <t>(Ya/Tidak)</t>
  </si>
  <si>
    <t>(0 atau 4.2)</t>
  </si>
  <si>
    <t>(0,1.4,2.8,4.2)</t>
  </si>
  <si>
    <t>AKTIVA</t>
  </si>
  <si>
    <t>Kas</t>
  </si>
  <si>
    <t>Giro dan tabungan</t>
  </si>
  <si>
    <t>Deposito</t>
  </si>
  <si>
    <t>Surat berharga dan derivatif</t>
  </si>
  <si>
    <t>Tidak</t>
  </si>
  <si>
    <t>Kredit/pembiayaan</t>
  </si>
  <si>
    <t>Tagihan lain</t>
  </si>
  <si>
    <t xml:space="preserve">Tanah </t>
  </si>
  <si>
    <t xml:space="preserve">Bangunan </t>
  </si>
  <si>
    <t xml:space="preserve">Kendaraan </t>
  </si>
  <si>
    <t>Peralatan dan perlengkapan</t>
  </si>
  <si>
    <t>Aset yang diagunkan</t>
  </si>
  <si>
    <t>Aset lain-lain</t>
  </si>
  <si>
    <t>PASIVA</t>
  </si>
  <si>
    <t>Hak kreditur separatis</t>
  </si>
  <si>
    <t>Akrual estimasi biaya likuidasi</t>
  </si>
  <si>
    <t>Akrual estimasi biaya pelepasan</t>
  </si>
  <si>
    <t>Utang operasional likuidasi</t>
  </si>
  <si>
    <t>Utang talangan gaji pegawai</t>
  </si>
  <si>
    <t>Utang talangan pesangon pegawai</t>
  </si>
  <si>
    <t>Utang biaya perkara pengadilan, lelang, dan operasional kantor</t>
  </si>
  <si>
    <t>Utang biaya penyelamatan</t>
  </si>
  <si>
    <t>Utang klaim penjaminan</t>
  </si>
  <si>
    <t>Utang pajak</t>
  </si>
  <si>
    <t>Bagian simpanan yang tidak dibayarkan penjaminannya dan simpanan yang tidak dijamin</t>
  </si>
  <si>
    <t>Hak kreditur lain</t>
  </si>
  <si>
    <t>T  O  T  A  L</t>
  </si>
  <si>
    <t>Bobot</t>
  </si>
  <si>
    <t>Dida Juanda</t>
  </si>
  <si>
    <t>Pelaksana Likuidasi Bank</t>
  </si>
  <si>
    <t>Kepala Divisi Pengawasan Likuidasi Bank</t>
  </si>
  <si>
    <t>Item Yang Dinilai</t>
  </si>
  <si>
    <t>Pemenuhan</t>
  </si>
  <si>
    <t>1.</t>
  </si>
  <si>
    <t>2.</t>
  </si>
  <si>
    <t>3.</t>
  </si>
  <si>
    <t>4.</t>
  </si>
  <si>
    <t>Surat Pengantar memuat pernyataan :</t>
  </si>
  <si>
    <t xml:space="preserve">a. </t>
  </si>
  <si>
    <t>b.</t>
  </si>
  <si>
    <t>Bersedia untuk tidak ikut proses seleksi lebih lanjut apabila menurut Tim Likuidasi ternyata KAP pernah memiliki kepentingan dalam 3 tahun terakhir.</t>
  </si>
  <si>
    <t>c.</t>
  </si>
  <si>
    <t>KAP dan personil sanggup menjaga kerahasiaan penugasan</t>
  </si>
  <si>
    <t>d.</t>
  </si>
  <si>
    <t>Bahwa data dan informasi yang disajikan dalam proposal adalah benar/sah dan KAP sanggup menunjukan dokumen asli ketika diminta.</t>
  </si>
  <si>
    <t>e.</t>
  </si>
  <si>
    <t>f.</t>
  </si>
  <si>
    <t>g.</t>
  </si>
  <si>
    <t>Kesanggupan untuk mengikuti seleksi dengan biaya sendiri</t>
  </si>
  <si>
    <t>5.</t>
  </si>
  <si>
    <t>AP memiliki izin AP dari Menteri Keuangan</t>
  </si>
  <si>
    <t>6.</t>
  </si>
  <si>
    <t>7.</t>
  </si>
  <si>
    <t>Merupakan AP yang terdaftar di BI / OJK</t>
  </si>
  <si>
    <t>8.</t>
  </si>
  <si>
    <t xml:space="preserve">Memiliki pengalaman audit di industri perbankan </t>
  </si>
  <si>
    <t>9.</t>
  </si>
  <si>
    <t>Memiliki auditor yang pegawai tetap sekurang-kurangya 6 orang</t>
  </si>
  <si>
    <t>10.</t>
  </si>
  <si>
    <t>Auditor yang ditugaskan sekurang-kurangnya 50 % telah menjadi pegawai tetap sejak 1 tahun terakhir.</t>
  </si>
  <si>
    <t>11.</t>
  </si>
  <si>
    <t>Kesimpulan : Lulus persyaratan administratif</t>
  </si>
  <si>
    <t>RINCIAN PENILAIAN TEKNIS</t>
  </si>
  <si>
    <t>Pengalaman AP/Personil</t>
  </si>
  <si>
    <t>Metodologi dan usulan prosedur yang disepakati</t>
  </si>
  <si>
    <t>1.1.</t>
  </si>
  <si>
    <t>RINCIAN PENGALAMAN KAP (DALAM 5 TAHUN TERAKHIR DAN MAKSIMAL 5 PENGALAMAN)</t>
  </si>
  <si>
    <t>Tahun Penugasan</t>
  </si>
  <si>
    <t>Dalam perikatan untuk menerapkan prosedur yang disepakati (Bank Umum/BPR)</t>
  </si>
  <si>
    <t>Dalam perikatan untuk menerapkan prosedur yang disepakati di industri non perbankan.</t>
  </si>
  <si>
    <t xml:space="preserve">Dalam perikatan audit umum atas laporan keuangan Bank Umum/BPR </t>
  </si>
  <si>
    <t>Dalam penugasan lain di industri perbankan (Bank Umum/BPR)</t>
  </si>
  <si>
    <t>1.2.</t>
  </si>
  <si>
    <t>RINCIAN PENGALAMAN AP/PERSONIL (DALAM 5 TAHUN TERAKHIR DAN MAKSIMAL 5 PENGALAMAN)</t>
  </si>
  <si>
    <t>1.3.</t>
  </si>
  <si>
    <t>METODOLOGI DAN USULAN PROSEDUR</t>
  </si>
  <si>
    <t>Kelengkapan program kerja</t>
  </si>
  <si>
    <t>Kecakupan prosedur</t>
  </si>
  <si>
    <t>Relevansi prosedur utama</t>
  </si>
  <si>
    <t>RINCIAN PENILAIAN BIAYA</t>
  </si>
  <si>
    <t>Selisih</t>
  </si>
  <si>
    <t>HASIL PENILAIAN</t>
  </si>
  <si>
    <t>Grand Nilai Total</t>
  </si>
  <si>
    <t>Keterangan :</t>
  </si>
  <si>
    <t>Baik Sekali</t>
  </si>
  <si>
    <t>Baik</t>
  </si>
  <si>
    <t>Kurang Baik</t>
  </si>
  <si>
    <t>Buruk</t>
  </si>
  <si>
    <t xml:space="preserve">*) Menggunakan nilai maksimal, dengan catatan KAP menyebutkan PLPS Pencatatan Transaksi dan Pelaporan Keuangan BDL sebagai pedoman </t>
  </si>
  <si>
    <t>AP dan/atau KAP tidak sedang menjalani sanksi pembekuan izin oleh Departemen Keuangan, IAI atau IAPI</t>
  </si>
  <si>
    <t>AP dan/atau KAP tidak sedang menjalani proses pemeriksaan oleh Departemen Keuangan, IAI atau IAPI terkait dengan indikasi pelanggaran azas SPAP dan/atau peraturan perundang-undangan yang berlaku.</t>
  </si>
  <si>
    <t>AP memiliki atau menjadi rekan pada KAP yang memiliki izin dari Menteri Keuangan.</t>
  </si>
  <si>
    <t>PERHITUNGAN HARGA PERKIRAAN SENDIRI (HPS)</t>
  </si>
  <si>
    <t>U R A I A N</t>
  </si>
  <si>
    <t>Hari</t>
  </si>
  <si>
    <t>Level I</t>
  </si>
  <si>
    <t>Level II</t>
  </si>
  <si>
    <t>Level III</t>
  </si>
  <si>
    <t>Catatan:</t>
  </si>
  <si>
    <t>Jumlah Orang</t>
  </si>
  <si>
    <t>Billing Rate SBOB - Inkindo 2020</t>
  </si>
  <si>
    <t>Billing Rate SBOH : (SBOB/22)*1,1</t>
  </si>
  <si>
    <t>a.</t>
  </si>
  <si>
    <t>DALAM %</t>
  </si>
  <si>
    <t>Perencanaan</t>
  </si>
  <si>
    <t>Lapangan</t>
  </si>
  <si>
    <t>Pelaporan</t>
  </si>
  <si>
    <t>DALAM HARI / ORANG</t>
  </si>
  <si>
    <t>MAN DAYS / SEMUA ORANG</t>
  </si>
  <si>
    <t>TOTAL REMUNERASI</t>
  </si>
  <si>
    <t>BIAYA OPERASIONAL</t>
  </si>
  <si>
    <t>TOTAL FEE AUDIT</t>
  </si>
  <si>
    <t xml:space="preserve">PPN </t>
  </si>
  <si>
    <t>GRAND TOTAL</t>
  </si>
  <si>
    <t>PEMBULATAN</t>
  </si>
  <si>
    <t xml:space="preserve">KERTAS KERJA </t>
  </si>
  <si>
    <t>PENILAIAN PENUNJUKKAN KAP DALAM RANGKA AUDIT ATAS NERACA PENUTUPAN</t>
  </si>
  <si>
    <t>PENILAIAN TL</t>
  </si>
  <si>
    <t>Pengalaman</t>
  </si>
  <si>
    <t>:</t>
  </si>
  <si>
    <t>PENILAIAN</t>
  </si>
  <si>
    <r>
      <t xml:space="preserve">Tidak memiliki dan tidak pernah memiliki kepentingan dengan PT BPR </t>
    </r>
    <r>
      <rPr>
        <sz val="12"/>
        <color rgb="FFFF0000"/>
        <rFont val="Book Antiqua"/>
        <family val="1"/>
      </rPr>
      <t>XXX</t>
    </r>
    <r>
      <rPr>
        <sz val="12"/>
        <rFont val="Book Antiqua"/>
        <family val="1"/>
      </rPr>
      <t xml:space="preserve"> (DL) dalam 3 tahun terakhir.</t>
    </r>
  </si>
  <si>
    <r>
      <t xml:space="preserve">Bukan AP/KAP yang melakukan audit atas laporan keuangan PT BPR </t>
    </r>
    <r>
      <rPr>
        <sz val="12"/>
        <color rgb="FFFF0000"/>
        <rFont val="Book Antiqua"/>
        <family val="1"/>
      </rPr>
      <t>XXX</t>
    </r>
    <r>
      <rPr>
        <sz val="12"/>
        <rFont val="Book Antiqua"/>
        <family val="1"/>
      </rPr>
      <t xml:space="preserve"> (DL)</t>
    </r>
  </si>
  <si>
    <r>
      <t xml:space="preserve">Peserta Penugasan Audit Neraca Penutupan PT BPR </t>
    </r>
    <r>
      <rPr>
        <b/>
        <sz val="12"/>
        <color rgb="FFFF0000"/>
        <rFont val="Book Antiqua"/>
        <family val="1"/>
      </rPr>
      <t>XXX</t>
    </r>
    <r>
      <rPr>
        <b/>
        <sz val="12"/>
        <rFont val="Book Antiqua"/>
        <family val="1"/>
      </rPr>
      <t xml:space="preserve"> (DL)</t>
    </r>
  </si>
  <si>
    <t>PENILAIAN PIC</t>
  </si>
  <si>
    <t>PENILAIAN ASPEK ADMINISTRATIF</t>
  </si>
  <si>
    <t>Billing rate HPS TL mengacu berdasarkan tarif jasa konsultan</t>
  </si>
  <si>
    <t>Penawaran jasa audit di bawah HPS TL</t>
  </si>
  <si>
    <t>Biaya operasional jasa audit selain remunerasi maksimum 25% dari remunerasi</t>
  </si>
  <si>
    <t>UMUM</t>
  </si>
  <si>
    <t>HARGA PERKIRAAN SENDIRI (HPS)</t>
  </si>
  <si>
    <t>Apakah Tim Likuidasi telah mengundang sekurang-kurangnya 3 (tiga) Kantor Akuntan Publik?</t>
  </si>
  <si>
    <t>Apakah Tim Likuidasi telah menyusun kerangka acuan kerja dalam rangka pelaksanan audit Neraca Penutupan?</t>
  </si>
  <si>
    <t>Apakah kerangka acuan kerja yang disusun oleh Tim Likuidasi telah berdasarkan pedoman yang ditetapkan LPS?</t>
  </si>
  <si>
    <t>Apakah penunjukan Kantor Akuntan Publik dalam rangka melakukan audit Neraca Penutupan dilakukan Tim Likuidasi paling lama 30 hari kalender sejak Neraca Penutupan diterima Tim Likuidasi?</t>
  </si>
  <si>
    <t>Apakah penugasan dalam audit Neraca Penutupan yang akan disampaikan Tim Likuidasi ke LPS paling lama 120 hari kalender sejak penunjukan Kantor Akuntan Publik?</t>
  </si>
  <si>
    <t>Tim Likuidasi telah melakukan negosiasi dengan KAP terkait dengan usulan penunjukan KAP</t>
  </si>
  <si>
    <t>Apakah Tim Likuidasi telah melakukan penilaiaan terhadap Kantor Akuntan Publik meliputi aspek Adminisistrasi, Biaya, dan Teknis?</t>
  </si>
  <si>
    <t>Surat Pengantar ditanda-tangani oleh Pimpinan KAP/Rekan dengan materai</t>
  </si>
  <si>
    <t>Kesimpulan A1-A4 : Lulus persyaratan administratif</t>
  </si>
  <si>
    <t>Form A ditandatangani oleh Pimpinan atau penanggungjawab dari KAP/Cabang KAP</t>
  </si>
  <si>
    <t>Form B dibuat lengkap</t>
  </si>
  <si>
    <t>Form C (biodata personil) ditandatangani oleh personil yang bersangkutan dan oleh KAP</t>
  </si>
  <si>
    <t>Form D (usulan prosedur yang disepakati) diisi dengan lengkap</t>
  </si>
  <si>
    <t>Form E (rincian biaya) diisi lengkap</t>
  </si>
  <si>
    <t>Form F (Daftar Pegawai Tetap) diisi dengan lengkap</t>
  </si>
  <si>
    <t>KAP/AP independen terhadap objek audit</t>
  </si>
  <si>
    <t>KAP dan/atau AP memiliki pengalaman yang dinilai</t>
  </si>
  <si>
    <r>
      <rPr>
        <sz val="12"/>
        <color rgb="FFFF0000"/>
        <rFont val="Book Antiqua"/>
        <family val="1"/>
      </rPr>
      <t>xx</t>
    </r>
    <r>
      <rPr>
        <sz val="12"/>
        <rFont val="Book Antiqua"/>
        <family val="1"/>
      </rPr>
      <t xml:space="preserve"> undangan</t>
    </r>
  </si>
  <si>
    <r>
      <rPr>
        <sz val="12"/>
        <color rgb="FFFF0000"/>
        <rFont val="Book Antiqua"/>
        <family val="1"/>
      </rPr>
      <t>xx</t>
    </r>
    <r>
      <rPr>
        <sz val="12"/>
        <rFont val="Book Antiqua"/>
        <family val="1"/>
      </rPr>
      <t xml:space="preserve"> hari</t>
    </r>
  </si>
  <si>
    <t>BA Negosiasi &amp; Klarifikasi terlampir</t>
  </si>
  <si>
    <t>Ya, Kertas Kerja Terlampir</t>
  </si>
  <si>
    <t>Total A2</t>
  </si>
  <si>
    <t>Total A3</t>
  </si>
  <si>
    <t>Total A4</t>
  </si>
  <si>
    <t>Total A1</t>
  </si>
  <si>
    <t>Rata-rata A1 - A4</t>
  </si>
  <si>
    <t>ASPEK ADMINISTRATIF - KELENGKAPAN DOKUMEN</t>
  </si>
  <si>
    <t>A1. Kelengkapan Dokumen</t>
  </si>
  <si>
    <t>A2. Penilaian Aspek Administratif</t>
  </si>
  <si>
    <t>A3. Harga Perkiraan Sendiri (HPS)</t>
  </si>
  <si>
    <t>A4. Umum</t>
  </si>
  <si>
    <t>12.</t>
  </si>
  <si>
    <t xml:space="preserve">KAK telah ditandatangani oleh TL </t>
  </si>
  <si>
    <t>KAK telah ditandatnagani oleh TL</t>
  </si>
  <si>
    <t>Nama KAP</t>
  </si>
  <si>
    <t>Ranking</t>
  </si>
  <si>
    <t>Bobot Nilai</t>
  </si>
  <si>
    <t>Nilai Akhir</t>
  </si>
  <si>
    <t>Nilai Awal</t>
  </si>
  <si>
    <t>No</t>
  </si>
  <si>
    <t>Pos Neraca</t>
  </si>
  <si>
    <t>Saldo (Rp)</t>
  </si>
  <si>
    <t>Saldo Valas (Rp)</t>
  </si>
  <si>
    <t>Jumlah (Rp)</t>
  </si>
  <si>
    <t>Q</t>
  </si>
  <si>
    <t>Estimasi Waktu Pengerjaan (hari)</t>
  </si>
  <si>
    <t>Jumlah kantor yang mengelola kas?</t>
  </si>
  <si>
    <t>Keterangan:</t>
  </si>
  <si>
    <t>Jumlah rekening penempatan di bank lain?</t>
  </si>
  <si>
    <t>Kredit yang Diberikan</t>
  </si>
  <si>
    <t>Jumlah debitur? (Termasuk hapus buku)</t>
  </si>
  <si>
    <t>Aset Tetap dan Inventaris</t>
  </si>
  <si>
    <t>Jumlah kantor pusat, KC, dan KCP</t>
  </si>
  <si>
    <t xml:space="preserve"> Akumulasi Penyusutan Aset Tetap dan Inventaris -/-</t>
  </si>
  <si>
    <t>Rupa-Rupa Aset</t>
  </si>
  <si>
    <t>JUMLAH ASET</t>
  </si>
  <si>
    <t>Pos Kewajiban &amp; Modal</t>
  </si>
  <si>
    <t>Tabungan</t>
  </si>
  <si>
    <t>Pinjaman yang diterima</t>
  </si>
  <si>
    <t>Cadangan</t>
  </si>
  <si>
    <t>JUMLAH KEWAJIBAN DAN MODAL</t>
  </si>
  <si>
    <t>GRAND TOTAL (ESTIMASI HARI PENGERJAAN)</t>
  </si>
  <si>
    <t>90 hari kalender = 72 hari kerja</t>
  </si>
  <si>
    <t>60 hari kalender = 48 hari kerja</t>
  </si>
  <si>
    <t>diisi dengan informasi BDL</t>
  </si>
  <si>
    <t>Di bawah HPS</t>
  </si>
  <si>
    <t>Di atas HPS</t>
  </si>
  <si>
    <t>IIIB. Kesimpulan PIC :</t>
  </si>
  <si>
    <t>IIIA. Kesimpulan TL :</t>
  </si>
  <si>
    <t>Neraca Penutupan</t>
  </si>
  <si>
    <t>Bukan AP/KAP yang melakukan audit atas laporan keuangan PT BPR XXX</t>
  </si>
  <si>
    <t>Tidak memiliki dan tidak pernah memiliki kepentingan dengan PT BPR XXX dalam 3 tahun terakhir.</t>
  </si>
  <si>
    <t>Ketua Tim Likuidasi</t>
  </si>
  <si>
    <t>Anggota Tim Likuidasi</t>
  </si>
  <si>
    <t>SBI</t>
  </si>
  <si>
    <t>ABA</t>
  </si>
  <si>
    <t>PPAP</t>
  </si>
  <si>
    <t>Aktiva dalam valas</t>
  </si>
  <si>
    <t>Aktiva tetap dan inventaris</t>
  </si>
  <si>
    <t>Akumulasi Penyusutan</t>
  </si>
  <si>
    <t>Antar kantor aktiva</t>
  </si>
  <si>
    <t>Rupa-rupa aktiva</t>
  </si>
  <si>
    <t>Kewajiban segera</t>
  </si>
  <si>
    <t>Bank Indonesia</t>
  </si>
  <si>
    <t>Modal</t>
  </si>
  <si>
    <t>Laba/rugi tahun lalu</t>
  </si>
  <si>
    <t>Laba/rugi tahun berjalan</t>
  </si>
  <si>
    <t>Selisih kenaikan/penurunan atas revaluasi aset</t>
  </si>
  <si>
    <t>Antar Bank Pasiva</t>
  </si>
  <si>
    <t>Antar kantor pasiva</t>
  </si>
  <si>
    <t>Rupa-rupa pasiva</t>
  </si>
  <si>
    <t>4</t>
  </si>
  <si>
    <t>5</t>
  </si>
  <si>
    <t>6</t>
  </si>
  <si>
    <t>7</t>
  </si>
  <si>
    <t>8</t>
  </si>
  <si>
    <t>10</t>
  </si>
  <si>
    <t>11</t>
  </si>
  <si>
    <t>12</t>
  </si>
  <si>
    <t>13</t>
  </si>
  <si>
    <t>14</t>
  </si>
  <si>
    <t>15</t>
  </si>
  <si>
    <t>Billing rate Inkindo Tahun 2021</t>
  </si>
  <si>
    <t>16</t>
  </si>
  <si>
    <t>17</t>
  </si>
  <si>
    <t>18</t>
  </si>
  <si>
    <t>19</t>
  </si>
  <si>
    <t>20</t>
  </si>
  <si>
    <t>21</t>
  </si>
  <si>
    <t>22</t>
  </si>
  <si>
    <t>23</t>
  </si>
  <si>
    <t>24</t>
  </si>
  <si>
    <t>Rate saat ini menggunakan inkindo 2021 dengan rincian:</t>
  </si>
  <si>
    <t>level I: Ahli Utama (S1) dengan 5 tahun pengalaman (tabel 2-21)</t>
  </si>
  <si>
    <t>level II:  tenaga ahli tanpa SKK/SKA dengan 3 tahun pengalaman (tabel 3-21)</t>
  </si>
  <si>
    <t>level III:  Sub profesional staff (tabel 4-21)</t>
  </si>
  <si>
    <t>Tim Likuidasi Koperasi BPR Abang Pasar (DL)</t>
  </si>
  <si>
    <t>Koperasi BPR Abang Pasar (DL)</t>
  </si>
  <si>
    <t>Per Tanggal 11 Februari 2021</t>
  </si>
  <si>
    <t>Supriyadi</t>
  </si>
  <si>
    <t>Indo Manni</t>
  </si>
  <si>
    <t>Bukan AP/KAP yang melakukan audit atas laporan keuangan KBPR Abang Pasar</t>
  </si>
  <si>
    <t>7 undangan</t>
  </si>
  <si>
    <t>Deadline 18 Maret 2021</t>
  </si>
  <si>
    <t>60 hari</t>
  </si>
  <si>
    <t>Tidak memiliki dan tidak pernah memiliki kepentingan dengan Koperasi BPR Abang Pasar dalam 3 tahun terakhir.</t>
  </si>
  <si>
    <t>Kahfiendra Nugrahsatya</t>
  </si>
  <si>
    <t>KOPERASI BPR ABANG PASAR (DL)</t>
  </si>
  <si>
    <t>KAP Yaniswar dan Rekan</t>
  </si>
  <si>
    <r>
      <rPr>
        <b/>
        <sz val="8"/>
        <rFont val="Book Antiqua"/>
        <family val="1"/>
      </rPr>
      <t>Keterangan</t>
    </r>
    <r>
      <rPr>
        <sz val="8"/>
        <rFont val="Book Antiqua"/>
        <family val="1"/>
      </rPr>
      <t xml:space="preserve">
1) TL telah mengundang </t>
    </r>
    <r>
      <rPr>
        <sz val="8"/>
        <color rgb="FFFF0000"/>
        <rFont val="Book Antiqua"/>
        <family val="1"/>
      </rPr>
      <t>7 (tujuh)</t>
    </r>
    <r>
      <rPr>
        <sz val="8"/>
        <rFont val="Book Antiqua"/>
        <family val="1"/>
      </rPr>
      <t xml:space="preserve"> KAP untuk mengajukan proposal penawaran
2) Berdasarkan hasil verifikasi atas penilaian TL terhadap proposal penawaran, diketahui bahwa hasil penilaian tersebut telah sesuai dengan Pedoman Penunjukkan KAP dalam rangka Audit Atas Neraca Penutupan Bank Yang dicabut Izin Usahanya (Lampiran PKE Nomor 46 Tahun 2019 tentang Pengawasan Pelaksanaan Likuidasi Bank) 
3) KAP </t>
    </r>
    <r>
      <rPr>
        <sz val="8"/>
        <color rgb="FFFF0000"/>
        <rFont val="Book Antiqua"/>
        <family val="1"/>
      </rPr>
      <t>Yaniswar dan Rekan</t>
    </r>
    <r>
      <rPr>
        <sz val="8"/>
        <rFont val="Book Antiqua"/>
        <family val="1"/>
      </rPr>
      <t xml:space="preserve"> yang diusulkan TL telah memenuhi syarat untuk ditunjuk sebagai pelaksana Audit atas Neraca Koperasi BPR Abang Pasar</t>
    </r>
    <r>
      <rPr>
        <sz val="8"/>
        <color rgb="FFFF0000"/>
        <rFont val="Book Antiqua"/>
        <family val="1"/>
      </rPr>
      <t xml:space="preserve"> </t>
    </r>
    <r>
      <rPr>
        <sz val="8"/>
        <rFont val="Book Antiqua"/>
        <family val="1"/>
      </rPr>
      <t>(DL) dari aspek administrasi, teknis dan biaya.</t>
    </r>
  </si>
  <si>
    <r>
      <rPr>
        <b/>
        <sz val="8"/>
        <rFont val="Book Antiqua"/>
        <family val="1"/>
      </rPr>
      <t>Keterangan</t>
    </r>
    <r>
      <rPr>
        <sz val="8"/>
        <rFont val="Book Antiqua"/>
        <family val="1"/>
      </rPr>
      <t xml:space="preserve">
1) TL telah mengundang </t>
    </r>
    <r>
      <rPr>
        <sz val="8"/>
        <color rgb="FFFF0000"/>
        <rFont val="Book Antiqua"/>
        <family val="1"/>
      </rPr>
      <t>7 (tujuh)</t>
    </r>
    <r>
      <rPr>
        <sz val="8"/>
        <rFont val="Book Antiqua"/>
        <family val="1"/>
      </rPr>
      <t xml:space="preserve"> KAP untuk mengajukan proposal penawaran
2) Berdasarkan hasil verifikasi atas penilaian TL terhadap proposal penawaran, diketahui bahwa hasil penilaian tersebut telah sesuai dengan Pedoman Penunjukkan KAP dalam rangka Audit Atas Neraca Penutupan Bank Yang dicabut Izin Usahanya (Lampiran PKE Nomor 46 Tahun 2019 tentang Pengawasan Pelaksanaan Likuidasi Bank) 
3) KAP </t>
    </r>
    <r>
      <rPr>
        <sz val="8"/>
        <color rgb="FFFF0000"/>
        <rFont val="Book Antiqua"/>
        <family val="1"/>
      </rPr>
      <t>Yaniswar dan Rekan</t>
    </r>
    <r>
      <rPr>
        <sz val="8"/>
        <rFont val="Book Antiqua"/>
        <family val="1"/>
      </rPr>
      <t xml:space="preserve"> yang diusulkan TL telah memenuhi syarat untuk ditunjuk sebagai pelaksana Audit atas Neraca Penutupan Koperasi BPR Abang Pasar</t>
    </r>
    <r>
      <rPr>
        <sz val="8"/>
        <color rgb="FFFF0000"/>
        <rFont val="Book Antiqua"/>
        <family val="1"/>
      </rPr>
      <t xml:space="preserve"> </t>
    </r>
    <r>
      <rPr>
        <sz val="8"/>
        <rFont val="Book Antiqua"/>
        <family val="1"/>
      </rPr>
      <t>(DL) dari aspek administrasi, teknis dan biaya.</t>
    </r>
  </si>
  <si>
    <t>TTD, 15 Maret 2021</t>
  </si>
  <si>
    <t>Peserta Penugasan Audit Neraca Penutupan Koperasi BPR Abang Pasar (DL)</t>
  </si>
  <si>
    <t>Izin Usaha Kantor Akuntan Publik (KAP) SK Menkeu Nomor : 44/KM.1/2018</t>
  </si>
  <si>
    <t xml:space="preserve"> </t>
  </si>
  <si>
    <t>No. STTD.AP-359/NB.122/2018</t>
  </si>
  <si>
    <t>Tanda daftar KAP terlampir pada https://kapyaniswar.com/aspek-legal/</t>
  </si>
  <si>
    <t>Gowa, 23 Februari 2021</t>
  </si>
  <si>
    <t>Prosedur yang diusulkan berdasarkan KAK yang ditetapkan TL sesuai pedoman LPS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</si>
</sst>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_);_(&quot;Rp&quot;* \(#,##0\);_(&quot;Rp&quot;* &quot;-&quot;_);_(@_)"/>
    <numFmt numFmtId="168" formatCode="_(&quot;Rp&quot;* #,##0.00_);_(&quot;Rp&quot;* \(#,##0.00\);_(&quot;Rp&quot;* &quot;-&quot;??_);_(@_)"/>
    <numFmt numFmtId="169" formatCode="0.0"/>
    <numFmt numFmtId="170" formatCode="_(* #,##0.0_);_(* \(#,##0.0\);_(* &quot;-&quot;_);_(@_)"/>
    <numFmt numFmtId="171" formatCode="0.0000"/>
    <numFmt numFmtId="172" formatCode="_(* #,##0.00_);_(* \(#,##0.00\);_(* &quot;-&quot;_);_(@_)"/>
    <numFmt numFmtId="173" formatCode="_(* #,##0_);_(* \(#,##0\);_(* &quot;-&quot;??_);_(@_)"/>
  </numFmts>
  <fonts count="30" x14ac:knownFonts="1">
    <font>
      <sz val="10"/>
      <name val="Arial"/>
      <family val="2"/>
    </font>
    <font>
      <sz val="11"/>
      <color theme="1"/>
      <name val="Calibri"/>
      <family val="2"/>
      <scheme val="minor"/>
    </font>
    <font>
      <sz val="10"/>
      <name val="Arial"/>
      <family val="2"/>
    </font>
    <font>
      <b/>
      <sz val="10"/>
      <name val="Book Antiqua"/>
      <family val="1"/>
    </font>
    <font>
      <sz val="8"/>
      <name val="Book Antiqua"/>
      <family val="1"/>
    </font>
    <font>
      <b/>
      <sz val="8"/>
      <name val="Book Antiqua"/>
      <family val="1"/>
    </font>
    <font>
      <sz val="10"/>
      <name val="Arial"/>
      <family val="2"/>
    </font>
    <font>
      <b/>
      <sz val="12"/>
      <name val="Book Antiqua"/>
      <family val="1"/>
    </font>
    <font>
      <sz val="12"/>
      <name val="Book Antiqua"/>
      <family val="1"/>
    </font>
    <font>
      <sz val="12"/>
      <name val="Times New Roman"/>
      <family val="1"/>
    </font>
    <font>
      <b/>
      <sz val="12"/>
      <name val="Times New Roman"/>
      <family val="1"/>
    </font>
    <font>
      <sz val="11"/>
      <color theme="1"/>
      <name val="Calibri"/>
      <family val="2"/>
      <scheme val="minor"/>
    </font>
    <font>
      <u/>
      <sz val="11"/>
      <color theme="10"/>
      <name val="Calibri"/>
      <family val="2"/>
      <scheme val="minor"/>
    </font>
    <font>
      <sz val="12"/>
      <color rgb="FFFF0000"/>
      <name val="Book Antiqua"/>
      <family val="1"/>
    </font>
    <font>
      <i/>
      <sz val="12"/>
      <name val="Book Antiqua"/>
      <family val="1"/>
    </font>
    <font>
      <b/>
      <sz val="10"/>
      <name val="Arial"/>
      <family val="2"/>
    </font>
    <font>
      <sz val="8"/>
      <color theme="1"/>
      <name val="Book Antiqua"/>
      <family val="1"/>
    </font>
    <font>
      <b/>
      <sz val="12"/>
      <color rgb="FFFF0000"/>
      <name val="Book Antiqua"/>
      <family val="1"/>
    </font>
    <font>
      <sz val="11"/>
      <color theme="1"/>
      <name val="Calibri"/>
      <family val="2"/>
      <charset val="1"/>
      <scheme val="minor"/>
    </font>
    <font>
      <b/>
      <sz val="10"/>
      <color theme="1"/>
      <name val="Book Antiqua"/>
      <family val="1"/>
    </font>
    <font>
      <sz val="10"/>
      <color rgb="FFFF0000"/>
      <name val="Book Antiqua"/>
      <family val="1"/>
    </font>
    <font>
      <sz val="10"/>
      <color theme="1"/>
      <name val="Book Antiqua"/>
      <family val="1"/>
    </font>
    <font>
      <sz val="10"/>
      <name val="Book Antiqua"/>
      <family val="1"/>
    </font>
    <font>
      <b/>
      <sz val="10"/>
      <color theme="1"/>
      <name val="Book Antiqua"/>
      <family val="1"/>
      <charset val="204"/>
    </font>
    <font>
      <b/>
      <sz val="10"/>
      <color rgb="FF000000"/>
      <name val="Book Antiqua"/>
      <family val="1"/>
    </font>
    <font>
      <sz val="10"/>
      <color rgb="FF000000"/>
      <name val="Book Antiqua"/>
      <family val="1"/>
    </font>
    <font>
      <b/>
      <sz val="9"/>
      <color indexed="81"/>
      <name val="Tahoma"/>
      <family val="2"/>
    </font>
    <font>
      <sz val="9"/>
      <color indexed="81"/>
      <name val="Tahoma"/>
      <family val="2"/>
    </font>
    <font>
      <b/>
      <sz val="10"/>
      <color rgb="FFFF0000"/>
      <name val="Book Antiqua"/>
      <family val="1"/>
    </font>
    <font>
      <sz val="8"/>
      <color rgb="FFFF0000"/>
      <name val="Book Antiqua"/>
      <family val="1"/>
    </font>
  </fonts>
  <fills count="9">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bgColor indexed="64"/>
      </patternFill>
    </fill>
    <fill>
      <patternFill patternType="solid">
        <fgColor theme="0"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4">
    <xf numFmtId="0" fontId="0" fillId="0" borderId="0"/>
    <xf numFmtId="41" fontId="2" fillId="0" borderId="0" applyFont="0" applyFill="0" applyBorder="0" applyAlignment="0" applyProtection="0"/>
    <xf numFmtId="0" fontId="6" fillId="0" borderId="0"/>
    <xf numFmtId="41" fontId="6" fillId="0" borderId="0" applyFont="0" applyFill="0" applyBorder="0" applyAlignment="0" applyProtection="0"/>
    <xf numFmtId="168" fontId="2" fillId="0" borderId="0" applyFont="0" applyFill="0" applyBorder="0" applyAlignment="0" applyProtection="0"/>
    <xf numFmtId="41" fontId="6" fillId="0" borderId="0" applyFont="0" applyFill="0" applyBorder="0" applyAlignment="0" applyProtection="0"/>
    <xf numFmtId="165" fontId="6" fillId="0" borderId="0" applyFont="0" applyFill="0" applyBorder="0" applyAlignment="0" applyProtection="0"/>
    <xf numFmtId="165" fontId="11" fillId="0" borderId="0" applyFont="0" applyFill="0" applyBorder="0" applyAlignment="0" applyProtection="0"/>
    <xf numFmtId="41" fontId="2"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166" fontId="11" fillId="0" borderId="0" applyFont="0" applyFill="0" applyBorder="0" applyAlignment="0" applyProtection="0"/>
    <xf numFmtId="0" fontId="12" fillId="0" borderId="0" applyNumberFormat="0" applyFill="0" applyBorder="0" applyAlignment="0" applyProtection="0"/>
    <xf numFmtId="0" fontId="6" fillId="0" borderId="0"/>
    <xf numFmtId="0" fontId="6" fillId="0" borderId="0"/>
    <xf numFmtId="0" fontId="11" fillId="0" borderId="0"/>
    <xf numFmtId="0" fontId="2" fillId="0" borderId="0"/>
    <xf numFmtId="9" fontId="6" fillId="0" borderId="0" applyFont="0" applyFill="0" applyBorder="0" applyAlignment="0" applyProtection="0"/>
    <xf numFmtId="0" fontId="18" fillId="0" borderId="0"/>
    <xf numFmtId="0" fontId="1" fillId="0" borderId="0"/>
    <xf numFmtId="0" fontId="18" fillId="0" borderId="0"/>
    <xf numFmtId="0" fontId="2" fillId="0" borderId="0"/>
    <xf numFmtId="41" fontId="2" fillId="0" borderId="0" applyFont="0" applyFill="0" applyBorder="0" applyAlignment="0" applyProtection="0"/>
    <xf numFmtId="43" fontId="2" fillId="0" borderId="0" applyFont="0" applyFill="0" applyBorder="0" applyAlignment="0" applyProtection="0"/>
  </cellStyleXfs>
  <cellXfs count="610">
    <xf numFmtId="0" fontId="0" fillId="0" borderId="0" xfId="0"/>
    <xf numFmtId="0" fontId="4" fillId="0" borderId="0" xfId="0" applyFont="1" applyAlignment="1">
      <alignment horizontal="center"/>
    </xf>
    <xf numFmtId="0" fontId="5" fillId="0" borderId="0" xfId="0" applyFont="1" applyAlignment="1">
      <alignment horizontal="left"/>
    </xf>
    <xf numFmtId="0" fontId="4" fillId="0" borderId="0" xfId="0" applyFont="1"/>
    <xf numFmtId="0" fontId="4" fillId="0" borderId="0" xfId="0" applyFont="1" applyAlignment="1">
      <alignment horizont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quotePrefix="1" applyFont="1" applyBorder="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xf>
    <xf numFmtId="0" fontId="5" fillId="0" borderId="0" xfId="0" applyFont="1"/>
    <xf numFmtId="0" fontId="5" fillId="2" borderId="1" xfId="0" applyFont="1" applyFill="1" applyBorder="1" applyAlignment="1">
      <alignment horizontal="center" vertical="center"/>
    </xf>
    <xf numFmtId="9" fontId="4"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xf>
    <xf numFmtId="0" fontId="4" fillId="0" borderId="0" xfId="0" applyFont="1" applyBorder="1" applyAlignment="1">
      <alignment horizontal="center"/>
    </xf>
    <xf numFmtId="0" fontId="4" fillId="0" borderId="0" xfId="0" applyFont="1" applyBorder="1" applyAlignment="1">
      <alignment horizontal="left" vertical="center" wrapText="1"/>
    </xf>
    <xf numFmtId="9" fontId="4" fillId="0" borderId="0" xfId="0" applyNumberFormat="1" applyFont="1"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164" fontId="4" fillId="0" borderId="1" xfId="0" applyNumberFormat="1" applyFont="1" applyFill="1" applyBorder="1" applyAlignment="1">
      <alignment horizontal="center" vertical="center"/>
    </xf>
    <xf numFmtId="164" fontId="4"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164" fontId="4" fillId="0" borderId="1" xfId="0" applyNumberFormat="1" applyFont="1" applyFill="1" applyBorder="1" applyAlignment="1">
      <alignment horizontal="center" wrapText="1"/>
    </xf>
    <xf numFmtId="164" fontId="4" fillId="0" borderId="1" xfId="1" applyNumberFormat="1" applyFont="1" applyFill="1" applyBorder="1" applyAlignment="1">
      <alignment vertical="center" wrapText="1"/>
    </xf>
    <xf numFmtId="41" fontId="4" fillId="0" borderId="1" xfId="1" applyFont="1" applyFill="1" applyBorder="1" applyAlignment="1">
      <alignment horizontal="center" vertical="center" wrapText="1"/>
    </xf>
    <xf numFmtId="41" fontId="4" fillId="0" borderId="1" xfId="1" quotePrefix="1" applyFont="1" applyFill="1" applyBorder="1" applyAlignment="1">
      <alignment horizontal="center" vertical="center" wrapText="1"/>
    </xf>
    <xf numFmtId="0" fontId="4" fillId="0" borderId="1" xfId="0" applyFont="1" applyFill="1" applyBorder="1" applyAlignment="1">
      <alignment vertical="center" wrapText="1"/>
    </xf>
    <xf numFmtId="0" fontId="4" fillId="0" borderId="0" xfId="0" applyFont="1" applyFill="1"/>
    <xf numFmtId="164"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quotePrefix="1" applyFont="1" applyBorder="1" applyAlignment="1">
      <alignment horizontal="center" vertical="center" wrapText="1"/>
    </xf>
    <xf numFmtId="1" fontId="4" fillId="0" borderId="1" xfId="1"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0" fontId="5" fillId="0" borderId="0" xfId="0" applyFont="1" applyAlignment="1">
      <alignment horizontal="left" vertical="center"/>
    </xf>
    <xf numFmtId="0" fontId="4" fillId="0" borderId="0" xfId="0"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xf>
    <xf numFmtId="0" fontId="5" fillId="3" borderId="1"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5" xfId="0" applyFont="1" applyFill="1" applyBorder="1" applyAlignment="1">
      <alignment horizontal="left" vertical="center"/>
    </xf>
    <xf numFmtId="0" fontId="4" fillId="4" borderId="0" xfId="0" applyFont="1" applyFill="1" applyBorder="1" applyAlignment="1">
      <alignment horizontal="left" vertical="center"/>
    </xf>
    <xf numFmtId="0" fontId="4" fillId="4" borderId="12" xfId="0" applyFont="1" applyFill="1" applyBorder="1" applyAlignment="1">
      <alignment horizontal="center" vertical="center"/>
    </xf>
    <xf numFmtId="169" fontId="4" fillId="4" borderId="2" xfId="0" applyNumberFormat="1" applyFont="1" applyFill="1" applyBorder="1" applyAlignment="1">
      <alignment horizontal="center" vertical="center"/>
    </xf>
    <xf numFmtId="169" fontId="4" fillId="4" borderId="12" xfId="0" applyNumberFormat="1" applyFont="1" applyFill="1" applyBorder="1" applyAlignment="1">
      <alignment horizontal="center" vertical="center"/>
    </xf>
    <xf numFmtId="169" fontId="4" fillId="4" borderId="5" xfId="0" applyNumberFormat="1" applyFont="1" applyFill="1" applyBorder="1" applyAlignment="1">
      <alignment horizontal="center" vertical="center"/>
    </xf>
    <xf numFmtId="169" fontId="4" fillId="4" borderId="14" xfId="0" applyNumberFormat="1" applyFont="1" applyFill="1" applyBorder="1" applyAlignment="1">
      <alignment horizontal="center" vertical="center"/>
    </xf>
    <xf numFmtId="169" fontId="4" fillId="4" borderId="7" xfId="0" applyNumberFormat="1" applyFont="1" applyFill="1" applyBorder="1" applyAlignment="1">
      <alignment horizontal="center" vertical="center"/>
    </xf>
    <xf numFmtId="169" fontId="4" fillId="4" borderId="13" xfId="0" applyNumberFormat="1" applyFont="1" applyFill="1" applyBorder="1" applyAlignment="1">
      <alignment horizontal="center" vertical="center"/>
    </xf>
    <xf numFmtId="0" fontId="5" fillId="0" borderId="1" xfId="0" applyFont="1" applyBorder="1" applyAlignment="1">
      <alignment horizontal="center" vertical="center"/>
    </xf>
    <xf numFmtId="1" fontId="5" fillId="0" borderId="1" xfId="1" applyNumberFormat="1" applyFont="1" applyBorder="1" applyAlignment="1">
      <alignment horizontal="center" vertical="top"/>
    </xf>
    <xf numFmtId="1" fontId="5" fillId="0" borderId="13" xfId="1" applyNumberFormat="1" applyFont="1" applyBorder="1" applyAlignment="1">
      <alignment horizontal="center"/>
    </xf>
    <xf numFmtId="0" fontId="4" fillId="4" borderId="6"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6" xfId="0" applyFont="1" applyFill="1" applyBorder="1" applyAlignment="1">
      <alignment horizontal="left" vertical="center"/>
    </xf>
    <xf numFmtId="0" fontId="4" fillId="4" borderId="4" xfId="0" applyFont="1" applyFill="1" applyBorder="1" applyAlignment="1">
      <alignment horizontal="center" vertical="center"/>
    </xf>
    <xf numFmtId="0" fontId="4" fillId="4" borderId="9" xfId="0" applyFont="1" applyFill="1" applyBorder="1" applyAlignment="1">
      <alignment horizontal="left" vertical="center"/>
    </xf>
    <xf numFmtId="0" fontId="4" fillId="3" borderId="10" xfId="0" applyFont="1" applyFill="1" applyBorder="1" applyAlignment="1">
      <alignment horizontal="center" vertical="center"/>
    </xf>
    <xf numFmtId="9" fontId="5" fillId="2" borderId="1" xfId="0" applyNumberFormat="1" applyFont="1" applyFill="1" applyBorder="1" applyAlignment="1">
      <alignment horizontal="center" vertical="center" wrapText="1"/>
    </xf>
    <xf numFmtId="0" fontId="7" fillId="2" borderId="1" xfId="2" applyFont="1" applyFill="1" applyBorder="1" applyAlignment="1">
      <alignment horizontal="center"/>
    </xf>
    <xf numFmtId="0" fontId="8" fillId="0" borderId="1" xfId="2" applyFont="1" applyBorder="1" applyAlignment="1">
      <alignment horizontal="center" vertical="center"/>
    </xf>
    <xf numFmtId="0" fontId="8" fillId="0" borderId="0" xfId="2" applyFont="1" applyFill="1"/>
    <xf numFmtId="0" fontId="7" fillId="3" borderId="1" xfId="2" applyFont="1" applyFill="1" applyBorder="1" applyAlignment="1">
      <alignment horizontal="center"/>
    </xf>
    <xf numFmtId="0" fontId="7" fillId="3" borderId="1" xfId="2" applyFont="1" applyFill="1" applyBorder="1" applyAlignment="1">
      <alignment horizontal="center" vertical="top"/>
    </xf>
    <xf numFmtId="41" fontId="8" fillId="0" borderId="1" xfId="3" applyFont="1" applyFill="1" applyBorder="1" applyAlignment="1">
      <alignment horizontal="center" vertical="center"/>
    </xf>
    <xf numFmtId="41" fontId="8" fillId="0" borderId="1" xfId="3" applyFont="1" applyFill="1" applyBorder="1" applyAlignment="1"/>
    <xf numFmtId="41" fontId="8" fillId="0" borderId="1" xfId="3" applyFont="1" applyFill="1" applyBorder="1" applyAlignment="1">
      <alignment horizontal="center"/>
    </xf>
    <xf numFmtId="9" fontId="8" fillId="0" borderId="1" xfId="2" applyNumberFormat="1" applyFont="1" applyFill="1" applyBorder="1" applyAlignment="1">
      <alignment horizontal="center"/>
    </xf>
    <xf numFmtId="1" fontId="8" fillId="0" borderId="1" xfId="4" applyNumberFormat="1" applyFont="1" applyFill="1" applyBorder="1" applyAlignment="1">
      <alignment horizontal="center" vertical="center"/>
    </xf>
    <xf numFmtId="1" fontId="8" fillId="0" borderId="1" xfId="3" applyNumberFormat="1" applyFont="1" applyFill="1" applyBorder="1" applyAlignment="1">
      <alignment horizontal="center" vertical="center"/>
    </xf>
    <xf numFmtId="1" fontId="8" fillId="0" borderId="1" xfId="2" applyNumberFormat="1" applyFont="1" applyFill="1" applyBorder="1" applyAlignment="1">
      <alignment horizontal="center" vertical="center"/>
    </xf>
    <xf numFmtId="0" fontId="7" fillId="0" borderId="1" xfId="2" applyFont="1" applyFill="1" applyBorder="1"/>
    <xf numFmtId="1" fontId="7" fillId="0" borderId="1" xfId="2" applyNumberFormat="1" applyFont="1" applyFill="1" applyBorder="1" applyAlignment="1">
      <alignment horizontal="center" vertical="center"/>
    </xf>
    <xf numFmtId="1" fontId="7" fillId="0" borderId="1" xfId="3" applyNumberFormat="1" applyFont="1" applyFill="1" applyBorder="1" applyAlignment="1">
      <alignment horizontal="center" vertical="center"/>
    </xf>
    <xf numFmtId="0" fontId="8" fillId="0" borderId="0" xfId="16" applyFont="1" applyAlignment="1">
      <alignment vertical="top" wrapText="1"/>
    </xf>
    <xf numFmtId="0" fontId="8" fillId="0" borderId="0" xfId="16" applyFont="1" applyAlignment="1">
      <alignment horizontal="center" vertical="center"/>
    </xf>
    <xf numFmtId="0" fontId="8" fillId="0" borderId="0" xfId="16" applyFont="1" applyAlignment="1">
      <alignment horizontal="center" vertical="top"/>
    </xf>
    <xf numFmtId="0" fontId="8" fillId="0" borderId="0" xfId="16" applyFont="1" applyAlignment="1">
      <alignment horizontal="center"/>
    </xf>
    <xf numFmtId="0" fontId="8" fillId="0" borderId="0" xfId="16" applyFont="1"/>
    <xf numFmtId="0" fontId="7" fillId="3" borderId="1" xfId="16" applyFont="1" applyFill="1" applyBorder="1" applyAlignment="1">
      <alignment horizontal="center"/>
    </xf>
    <xf numFmtId="0" fontId="7" fillId="3" borderId="1" xfId="16" applyFont="1" applyFill="1" applyBorder="1" applyAlignment="1">
      <alignment horizontal="center" vertical="top"/>
    </xf>
    <xf numFmtId="0" fontId="8" fillId="0" borderId="1" xfId="16" applyFont="1" applyBorder="1" applyAlignment="1">
      <alignment horizontal="center" vertical="center"/>
    </xf>
    <xf numFmtId="0" fontId="8" fillId="0" borderId="1" xfId="16" applyFont="1" applyBorder="1" applyAlignment="1">
      <alignment horizontal="center" vertical="center" wrapText="1"/>
    </xf>
    <xf numFmtId="0" fontId="8" fillId="0" borderId="1" xfId="16" applyFont="1" applyBorder="1" applyAlignment="1">
      <alignment vertical="top" wrapText="1"/>
    </xf>
    <xf numFmtId="0" fontId="8" fillId="0" borderId="0" xfId="16" applyFont="1" applyAlignment="1">
      <alignment wrapText="1"/>
    </xf>
    <xf numFmtId="0" fontId="8" fillId="0" borderId="0" xfId="16" applyFont="1" applyAlignment="1">
      <alignment horizontal="center" vertical="top" wrapText="1"/>
    </xf>
    <xf numFmtId="1" fontId="7" fillId="0" borderId="1" xfId="16" applyNumberFormat="1" applyFont="1" applyBorder="1" applyAlignment="1">
      <alignment horizontal="center"/>
    </xf>
    <xf numFmtId="0" fontId="8" fillId="0" borderId="0" xfId="16" applyFont="1" applyFill="1" applyAlignment="1">
      <alignment horizontal="center"/>
    </xf>
    <xf numFmtId="0" fontId="7" fillId="3" borderId="1" xfId="16" applyFont="1" applyFill="1" applyBorder="1" applyAlignment="1">
      <alignment horizontal="center" vertical="center"/>
    </xf>
    <xf numFmtId="9" fontId="8" fillId="0" borderId="1" xfId="16" applyNumberFormat="1" applyFont="1" applyBorder="1" applyAlignment="1">
      <alignment horizontal="center" vertical="center"/>
    </xf>
    <xf numFmtId="0" fontId="8" fillId="0" borderId="1" xfId="16" applyFont="1" applyBorder="1" applyAlignment="1">
      <alignment vertical="center"/>
    </xf>
    <xf numFmtId="0" fontId="8" fillId="0" borderId="0" xfId="16" applyFont="1" applyBorder="1" applyAlignment="1">
      <alignment horizontal="center" vertical="center"/>
    </xf>
    <xf numFmtId="0" fontId="8" fillId="0" borderId="0" xfId="16" applyFont="1" applyBorder="1" applyAlignment="1">
      <alignment horizontal="center" vertical="center" wrapText="1"/>
    </xf>
    <xf numFmtId="0" fontId="8" fillId="0" borderId="0" xfId="16" applyFont="1" applyBorder="1" applyAlignment="1">
      <alignment vertical="center"/>
    </xf>
    <xf numFmtId="0" fontId="8" fillId="0" borderId="0" xfId="16" applyFont="1" applyFill="1" applyAlignment="1">
      <alignment horizontal="center" vertical="center"/>
    </xf>
    <xf numFmtId="0" fontId="8" fillId="0" borderId="1" xfId="16" applyFont="1" applyFill="1" applyBorder="1" applyAlignment="1">
      <alignment horizontal="center" vertical="center"/>
    </xf>
    <xf numFmtId="9" fontId="8" fillId="0" borderId="1" xfId="16" applyNumberFormat="1" applyFont="1" applyFill="1" applyBorder="1" applyAlignment="1">
      <alignment horizontal="center" vertical="center"/>
    </xf>
    <xf numFmtId="0" fontId="8" fillId="0" borderId="1" xfId="16" applyFont="1" applyFill="1" applyBorder="1" applyAlignment="1">
      <alignment vertical="center"/>
    </xf>
    <xf numFmtId="0" fontId="8" fillId="0" borderId="0" xfId="16" applyFont="1" applyFill="1" applyAlignment="1">
      <alignment horizontal="center" vertical="top" wrapText="1"/>
    </xf>
    <xf numFmtId="0" fontId="8" fillId="0" borderId="0" xfId="16" applyFont="1" applyFill="1" applyAlignment="1">
      <alignment vertical="top" wrapText="1"/>
    </xf>
    <xf numFmtId="0" fontId="8" fillId="0" borderId="0" xfId="16" applyFont="1" applyFill="1"/>
    <xf numFmtId="0" fontId="8" fillId="0" borderId="0" xfId="16" applyFont="1" applyFill="1" applyAlignment="1">
      <alignment horizontal="center" vertical="top"/>
    </xf>
    <xf numFmtId="9" fontId="8" fillId="0" borderId="1" xfId="16" applyNumberFormat="1" applyFont="1" applyFill="1" applyBorder="1" applyAlignment="1">
      <alignment horizontal="center"/>
    </xf>
    <xf numFmtId="1" fontId="8" fillId="0" borderId="1" xfId="16" applyNumberFormat="1" applyFont="1" applyFill="1" applyBorder="1" applyAlignment="1">
      <alignment horizontal="center"/>
    </xf>
    <xf numFmtId="0" fontId="8" fillId="0" borderId="1" xfId="16" applyFont="1" applyFill="1" applyBorder="1"/>
    <xf numFmtId="1" fontId="7" fillId="0" borderId="1" xfId="16" applyNumberFormat="1" applyFont="1" applyFill="1" applyBorder="1" applyAlignment="1">
      <alignment horizontal="center"/>
    </xf>
    <xf numFmtId="0" fontId="8" fillId="4" borderId="5" xfId="16" applyFont="1" applyFill="1" applyBorder="1" applyAlignment="1">
      <alignment horizontal="left" vertical="center"/>
    </xf>
    <xf numFmtId="0" fontId="8" fillId="4" borderId="0" xfId="16" applyFont="1" applyFill="1" applyBorder="1" applyAlignment="1">
      <alignment horizontal="left" vertical="center"/>
    </xf>
    <xf numFmtId="0" fontId="8" fillId="0" borderId="0" xfId="16" applyFont="1" applyAlignment="1">
      <alignment horizontal="left" vertical="top" wrapText="1"/>
    </xf>
    <xf numFmtId="0" fontId="8" fillId="0" borderId="0" xfId="16" applyFont="1" applyAlignment="1">
      <alignment vertical="center"/>
    </xf>
    <xf numFmtId="0" fontId="8" fillId="0" borderId="0" xfId="16" applyFont="1" applyFill="1" applyBorder="1" applyAlignment="1">
      <alignment horizontal="center" vertical="center"/>
    </xf>
    <xf numFmtId="0" fontId="8" fillId="0" borderId="0" xfId="16" applyFont="1" applyAlignment="1">
      <alignment horizontal="left"/>
    </xf>
    <xf numFmtId="1" fontId="4" fillId="0" borderId="1" xfId="0" applyNumberFormat="1" applyFont="1" applyFill="1" applyBorder="1" applyAlignment="1">
      <alignment horizontal="center" vertical="center"/>
    </xf>
    <xf numFmtId="41" fontId="7" fillId="0" borderId="1" xfId="3" applyFont="1" applyFill="1" applyBorder="1" applyAlignment="1">
      <alignment horizontal="center"/>
    </xf>
    <xf numFmtId="0" fontId="7" fillId="0" borderId="1" xfId="16" applyFont="1" applyBorder="1" applyAlignment="1">
      <alignment vertical="center" wrapText="1"/>
    </xf>
    <xf numFmtId="41" fontId="7" fillId="0" borderId="1" xfId="8" applyFont="1" applyBorder="1" applyAlignment="1">
      <alignment horizontal="center" vertical="center"/>
    </xf>
    <xf numFmtId="0" fontId="4" fillId="4" borderId="7" xfId="0" applyFont="1" applyFill="1" applyBorder="1" applyAlignment="1">
      <alignment horizontal="left" vertical="center"/>
    </xf>
    <xf numFmtId="164" fontId="4" fillId="0" borderId="0" xfId="0" applyNumberFormat="1" applyFont="1" applyAlignment="1">
      <alignment horizontal="center" wrapText="1"/>
    </xf>
    <xf numFmtId="0" fontId="7" fillId="0" borderId="1" xfId="16" applyFont="1" applyBorder="1" applyAlignment="1">
      <alignment horizontal="center" vertical="center" wrapText="1"/>
    </xf>
    <xf numFmtId="0" fontId="4" fillId="0" borderId="0" xfId="0" applyFont="1" applyBorder="1" applyAlignment="1">
      <alignment horizontal="center"/>
    </xf>
    <xf numFmtId="0" fontId="3" fillId="0" borderId="0" xfId="0" applyFont="1" applyAlignment="1">
      <alignment wrapText="1"/>
    </xf>
    <xf numFmtId="0" fontId="7" fillId="0" borderId="19" xfId="16" applyFont="1" applyBorder="1" applyAlignment="1">
      <alignment horizontal="center"/>
    </xf>
    <xf numFmtId="0" fontId="8" fillId="0" borderId="0" xfId="16" applyFont="1" applyBorder="1" applyAlignment="1">
      <alignment horizontal="center"/>
    </xf>
    <xf numFmtId="0" fontId="8" fillId="0" borderId="20" xfId="16" applyFont="1" applyBorder="1" applyAlignment="1">
      <alignment horizontal="center"/>
    </xf>
    <xf numFmtId="0" fontId="7" fillId="3" borderId="21" xfId="16" applyFont="1" applyFill="1" applyBorder="1" applyAlignment="1">
      <alignment horizontal="center"/>
    </xf>
    <xf numFmtId="0" fontId="8" fillId="0" borderId="0" xfId="16" applyFont="1" applyBorder="1"/>
    <xf numFmtId="0" fontId="8" fillId="0" borderId="0" xfId="16" applyFont="1" applyBorder="1" applyAlignment="1">
      <alignment horizontal="center" vertical="top"/>
    </xf>
    <xf numFmtId="0" fontId="8" fillId="0" borderId="19" xfId="16" applyFont="1" applyBorder="1"/>
    <xf numFmtId="0" fontId="8" fillId="0" borderId="0" xfId="16" applyFont="1" applyBorder="1" applyAlignment="1">
      <alignment wrapText="1"/>
    </xf>
    <xf numFmtId="0" fontId="8" fillId="0" borderId="19" xfId="16" applyFont="1" applyBorder="1" applyAlignment="1">
      <alignment horizontal="center"/>
    </xf>
    <xf numFmtId="0" fontId="8" fillId="0" borderId="0" xfId="16" applyFont="1" applyBorder="1" applyAlignment="1">
      <alignment horizontal="center" vertical="top" wrapText="1"/>
    </xf>
    <xf numFmtId="0" fontId="8" fillId="0" borderId="20" xfId="16" applyFont="1" applyFill="1" applyBorder="1" applyAlignment="1">
      <alignment horizontal="center"/>
    </xf>
    <xf numFmtId="0" fontId="8" fillId="0" borderId="0" xfId="16" applyFont="1" applyBorder="1" applyAlignment="1">
      <alignment vertical="top" wrapText="1"/>
    </xf>
    <xf numFmtId="0" fontId="7" fillId="3" borderId="25" xfId="16" applyFont="1" applyFill="1" applyBorder="1" applyAlignment="1">
      <alignment horizontal="center" vertical="center"/>
    </xf>
    <xf numFmtId="0" fontId="8" fillId="0" borderId="21" xfId="16" applyFont="1" applyBorder="1" applyAlignment="1">
      <alignment horizontal="center" vertical="center"/>
    </xf>
    <xf numFmtId="0" fontId="8" fillId="0" borderId="25" xfId="16" applyFont="1" applyBorder="1" applyAlignment="1">
      <alignment horizontal="center" vertical="center"/>
    </xf>
    <xf numFmtId="0" fontId="7" fillId="0" borderId="25" xfId="16" applyFont="1" applyBorder="1" applyAlignment="1">
      <alignment horizontal="center" vertical="center"/>
    </xf>
    <xf numFmtId="0" fontId="8" fillId="0" borderId="19" xfId="16" applyFont="1" applyBorder="1" applyAlignment="1">
      <alignment horizontal="center" vertical="center"/>
    </xf>
    <xf numFmtId="0" fontId="8" fillId="0" borderId="20" xfId="16" applyFont="1" applyBorder="1" applyAlignment="1">
      <alignment horizontal="center" vertical="center"/>
    </xf>
    <xf numFmtId="0" fontId="7" fillId="3" borderId="21" xfId="16" applyFont="1" applyFill="1" applyBorder="1" applyAlignment="1">
      <alignment horizontal="center" vertical="center"/>
    </xf>
    <xf numFmtId="0" fontId="8" fillId="0" borderId="21" xfId="16" applyFont="1" applyFill="1" applyBorder="1" applyAlignment="1">
      <alignment horizontal="center" vertical="center"/>
    </xf>
    <xf numFmtId="0" fontId="8" fillId="0" borderId="25" xfId="16" applyFont="1" applyFill="1" applyBorder="1" applyAlignment="1">
      <alignment horizontal="center" vertical="center"/>
    </xf>
    <xf numFmtId="0" fontId="8" fillId="0" borderId="21" xfId="16" applyFont="1" applyFill="1" applyBorder="1" applyAlignment="1">
      <alignment horizontal="center"/>
    </xf>
    <xf numFmtId="0" fontId="7" fillId="0" borderId="25" xfId="16" applyFont="1" applyFill="1" applyBorder="1" applyAlignment="1">
      <alignment horizontal="center" vertical="center"/>
    </xf>
    <xf numFmtId="0" fontId="8" fillId="0" borderId="19" xfId="16" applyFont="1" applyFill="1" applyBorder="1" applyAlignment="1">
      <alignment horizontal="center"/>
    </xf>
    <xf numFmtId="0" fontId="8" fillId="0" borderId="0" xfId="16" applyFont="1" applyFill="1" applyBorder="1" applyAlignment="1">
      <alignment horizontal="center" vertical="top" wrapText="1"/>
    </xf>
    <xf numFmtId="0" fontId="8" fillId="0" borderId="0" xfId="16" applyFont="1" applyFill="1" applyBorder="1" applyAlignment="1">
      <alignment vertical="top" wrapText="1"/>
    </xf>
    <xf numFmtId="0" fontId="8" fillId="0" borderId="0" xfId="16" applyFont="1" applyFill="1" applyBorder="1"/>
    <xf numFmtId="0" fontId="8" fillId="0" borderId="0" xfId="16" applyFont="1" applyFill="1" applyBorder="1" applyAlignment="1">
      <alignment horizontal="center" vertical="top"/>
    </xf>
    <xf numFmtId="0" fontId="8" fillId="0" borderId="0" xfId="16" applyFont="1" applyFill="1" applyBorder="1" applyAlignment="1">
      <alignment horizontal="center"/>
    </xf>
    <xf numFmtId="0" fontId="8" fillId="0" borderId="19" xfId="2" applyFont="1" applyFill="1" applyBorder="1" applyAlignment="1">
      <alignment horizontal="center"/>
    </xf>
    <xf numFmtId="0" fontId="8" fillId="0" borderId="0" xfId="2" applyFont="1" applyFill="1" applyBorder="1" applyAlignment="1">
      <alignment horizontal="center" vertical="top" wrapText="1"/>
    </xf>
    <xf numFmtId="0" fontId="8" fillId="0" borderId="0" xfId="2" applyFont="1" applyFill="1" applyBorder="1" applyAlignment="1">
      <alignment horizontal="center"/>
    </xf>
    <xf numFmtId="0" fontId="9" fillId="0" borderId="20" xfId="2" applyFont="1" applyFill="1" applyBorder="1" applyAlignment="1">
      <alignment horizontal="center"/>
    </xf>
    <xf numFmtId="0" fontId="7" fillId="3" borderId="21" xfId="2" applyFont="1" applyFill="1" applyBorder="1" applyAlignment="1">
      <alignment horizontal="center"/>
    </xf>
    <xf numFmtId="0" fontId="8" fillId="0" borderId="21" xfId="2" applyFont="1" applyFill="1" applyBorder="1" applyAlignment="1">
      <alignment horizontal="center"/>
    </xf>
    <xf numFmtId="0" fontId="7" fillId="0" borderId="21" xfId="2" applyFont="1" applyFill="1" applyBorder="1" applyAlignment="1">
      <alignment horizontal="center"/>
    </xf>
    <xf numFmtId="0" fontId="8" fillId="0" borderId="0" xfId="2" applyFont="1" applyFill="1" applyBorder="1" applyAlignment="1">
      <alignment vertical="top" wrapText="1"/>
    </xf>
    <xf numFmtId="0" fontId="8" fillId="0" borderId="0" xfId="2" applyFont="1" applyFill="1" applyBorder="1"/>
    <xf numFmtId="41" fontId="8" fillId="0" borderId="0" xfId="2" applyNumberFormat="1" applyFont="1" applyFill="1" applyBorder="1" applyAlignment="1">
      <alignment horizontal="center" vertical="top"/>
    </xf>
    <xf numFmtId="0" fontId="7" fillId="0" borderId="19" xfId="2" applyFont="1" applyFill="1" applyBorder="1" applyAlignment="1">
      <alignment horizontal="center"/>
    </xf>
    <xf numFmtId="0" fontId="9" fillId="0" borderId="20" xfId="2" applyFont="1" applyBorder="1" applyAlignment="1">
      <alignment horizontal="center"/>
    </xf>
    <xf numFmtId="0" fontId="7" fillId="0" borderId="19" xfId="16" applyFont="1" applyBorder="1" applyAlignment="1">
      <alignment horizontal="left" vertical="center"/>
    </xf>
    <xf numFmtId="0" fontId="8" fillId="3" borderId="19" xfId="16" applyFont="1" applyFill="1" applyBorder="1" applyAlignment="1">
      <alignment horizontal="center" vertical="center"/>
    </xf>
    <xf numFmtId="0" fontId="8" fillId="4" borderId="19" xfId="16" applyFont="1" applyFill="1" applyBorder="1" applyAlignment="1">
      <alignment horizontal="center" vertical="center"/>
    </xf>
    <xf numFmtId="0" fontId="7" fillId="0" borderId="21" xfId="16" applyFont="1" applyBorder="1" applyAlignment="1">
      <alignment horizontal="center" vertical="center"/>
    </xf>
    <xf numFmtId="1" fontId="8" fillId="0" borderId="20" xfId="16" applyNumberFormat="1" applyFont="1" applyBorder="1" applyAlignment="1">
      <alignment horizontal="center" vertical="center"/>
    </xf>
    <xf numFmtId="0" fontId="8" fillId="0" borderId="19" xfId="16" applyFont="1" applyBorder="1" applyAlignment="1">
      <alignment horizontal="left" vertical="center"/>
    </xf>
    <xf numFmtId="0" fontId="8" fillId="0" borderId="0" xfId="16" applyFont="1" applyBorder="1" applyAlignment="1">
      <alignment horizontal="left" vertical="top" wrapText="1"/>
    </xf>
    <xf numFmtId="170" fontId="8" fillId="0" borderId="0" xfId="8" applyNumberFormat="1" applyFont="1" applyBorder="1" applyAlignment="1">
      <alignment horizontal="right" vertical="top"/>
    </xf>
    <xf numFmtId="0" fontId="8" fillId="0" borderId="0" xfId="16" applyFont="1" applyBorder="1" applyAlignment="1">
      <alignment horizontal="left"/>
    </xf>
    <xf numFmtId="37" fontId="8" fillId="0" borderId="0" xfId="8" applyNumberFormat="1" applyFont="1" applyBorder="1" applyAlignment="1">
      <alignment horizontal="right" vertical="top"/>
    </xf>
    <xf numFmtId="0" fontId="14" fillId="0" borderId="0" xfId="16" applyFont="1" applyBorder="1" applyAlignment="1">
      <alignment vertical="center"/>
    </xf>
    <xf numFmtId="41" fontId="8" fillId="0" borderId="0" xfId="8" applyFont="1" applyBorder="1" applyAlignment="1">
      <alignment horizontal="center" vertical="top"/>
    </xf>
    <xf numFmtId="0" fontId="8" fillId="0" borderId="26" xfId="16" applyFont="1" applyBorder="1" applyAlignment="1">
      <alignment horizontal="left"/>
    </xf>
    <xf numFmtId="0" fontId="8" fillId="0" borderId="27" xfId="16" applyFont="1" applyBorder="1" applyAlignment="1">
      <alignment horizontal="left" vertical="top" wrapText="1"/>
    </xf>
    <xf numFmtId="0" fontId="8" fillId="0" borderId="27" xfId="16" applyFont="1" applyBorder="1"/>
    <xf numFmtId="0" fontId="8" fillId="0" borderId="27" xfId="16" applyFont="1" applyBorder="1" applyAlignment="1">
      <alignment horizontal="center" vertical="top"/>
    </xf>
    <xf numFmtId="0" fontId="8" fillId="0" borderId="27" xfId="16" applyFont="1" applyBorder="1" applyAlignment="1">
      <alignment horizontal="center"/>
    </xf>
    <xf numFmtId="0" fontId="8" fillId="0" borderId="28" xfId="16" applyFont="1" applyBorder="1" applyAlignment="1">
      <alignment horizontal="center"/>
    </xf>
    <xf numFmtId="1" fontId="7" fillId="0" borderId="0" xfId="16" applyNumberFormat="1" applyFont="1" applyBorder="1" applyAlignment="1">
      <alignment horizontal="center"/>
    </xf>
    <xf numFmtId="0" fontId="7" fillId="0" borderId="0" xfId="16" applyFont="1" applyBorder="1" applyAlignment="1">
      <alignment horizontal="center" vertical="top" wrapText="1"/>
    </xf>
    <xf numFmtId="0" fontId="7" fillId="0" borderId="0" xfId="16" applyFont="1" applyBorder="1" applyAlignment="1">
      <alignment horizontal="center" vertical="top"/>
    </xf>
    <xf numFmtId="0" fontId="7" fillId="0" borderId="0" xfId="16" applyFont="1" applyBorder="1" applyAlignment="1">
      <alignment horizontal="center"/>
    </xf>
    <xf numFmtId="0" fontId="7" fillId="0" borderId="20" xfId="16" applyFont="1" applyBorder="1" applyAlignment="1">
      <alignment horizontal="center"/>
    </xf>
    <xf numFmtId="0" fontId="7" fillId="0" borderId="0" xfId="16" applyFont="1"/>
    <xf numFmtId="0" fontId="7" fillId="0" borderId="19" xfId="16" applyFont="1" applyFill="1" applyBorder="1" applyAlignment="1">
      <alignment horizontal="center" vertical="center"/>
    </xf>
    <xf numFmtId="0" fontId="7" fillId="0" borderId="0" xfId="16" applyFont="1" applyFill="1" applyBorder="1" applyAlignment="1">
      <alignment horizontal="center" vertical="center" wrapText="1"/>
    </xf>
    <xf numFmtId="0" fontId="7" fillId="0" borderId="0" xfId="16" applyFont="1" applyFill="1" applyBorder="1" applyAlignment="1">
      <alignment horizontal="center" vertical="center"/>
    </xf>
    <xf numFmtId="0" fontId="7" fillId="0" borderId="20" xfId="16" applyFont="1" applyFill="1" applyBorder="1" applyAlignment="1">
      <alignment horizontal="center" vertical="center"/>
    </xf>
    <xf numFmtId="0" fontId="7" fillId="0" borderId="19" xfId="16" applyFont="1" applyFill="1" applyBorder="1" applyAlignment="1">
      <alignment horizontal="center"/>
    </xf>
    <xf numFmtId="0" fontId="7" fillId="0" borderId="0" xfId="16" applyFont="1" applyFill="1" applyBorder="1" applyAlignment="1">
      <alignment horizontal="center" vertical="top" wrapText="1"/>
    </xf>
    <xf numFmtId="0" fontId="7" fillId="0" borderId="0" xfId="16" applyFont="1" applyFill="1" applyBorder="1" applyAlignment="1">
      <alignment horizontal="center"/>
    </xf>
    <xf numFmtId="0" fontId="7" fillId="0" borderId="20" xfId="16" applyFont="1" applyFill="1" applyBorder="1" applyAlignment="1">
      <alignment horizontal="center"/>
    </xf>
    <xf numFmtId="0" fontId="7" fillId="0" borderId="0" xfId="2" applyFont="1" applyFill="1" applyBorder="1" applyAlignment="1">
      <alignment horizontal="center"/>
    </xf>
    <xf numFmtId="0" fontId="10" fillId="0" borderId="20" xfId="2" applyFont="1" applyFill="1" applyBorder="1" applyAlignment="1">
      <alignment horizontal="center"/>
    </xf>
    <xf numFmtId="0" fontId="15" fillId="0" borderId="0" xfId="2" applyFont="1" applyFill="1"/>
    <xf numFmtId="0" fontId="7" fillId="0" borderId="0" xfId="16" applyFont="1" applyBorder="1" applyAlignment="1">
      <alignment horizontal="left" vertical="top" wrapText="1"/>
    </xf>
    <xf numFmtId="0" fontId="7" fillId="0" borderId="0" xfId="16" applyFont="1" applyFill="1" applyBorder="1" applyAlignment="1">
      <alignment horizontal="left" vertical="center" wrapText="1"/>
    </xf>
    <xf numFmtId="0" fontId="7" fillId="0" borderId="0" xfId="16" applyFont="1" applyFill="1" applyBorder="1" applyAlignment="1">
      <alignment horizontal="left" vertical="top" wrapText="1"/>
    </xf>
    <xf numFmtId="0" fontId="7" fillId="0" borderId="0" xfId="2" applyFont="1" applyFill="1" applyBorder="1" applyAlignment="1">
      <alignment horizontal="left" vertical="top" wrapText="1"/>
    </xf>
    <xf numFmtId="0" fontId="8" fillId="0" borderId="0" xfId="2" applyFont="1" applyBorder="1" applyAlignment="1">
      <alignment horizontal="center" vertical="center"/>
    </xf>
    <xf numFmtId="0" fontId="8" fillId="0" borderId="0" xfId="16" applyFont="1" applyFill="1" applyBorder="1" applyAlignment="1"/>
    <xf numFmtId="0" fontId="7" fillId="0" borderId="13" xfId="16" applyFont="1" applyBorder="1" applyAlignment="1">
      <alignment horizontal="center" vertical="center"/>
    </xf>
    <xf numFmtId="169" fontId="4" fillId="4" borderId="3" xfId="2" applyNumberFormat="1" applyFont="1" applyFill="1" applyBorder="1" applyAlignment="1">
      <alignment horizontal="center" vertical="center"/>
    </xf>
    <xf numFmtId="169" fontId="4" fillId="4" borderId="0" xfId="2" applyNumberFormat="1" applyFont="1" applyFill="1" applyBorder="1" applyAlignment="1">
      <alignment horizontal="center" vertical="center"/>
    </xf>
    <xf numFmtId="0" fontId="4" fillId="0" borderId="0" xfId="0" applyFont="1" applyFill="1" applyAlignment="1">
      <alignment horizontal="center" wrapText="1"/>
    </xf>
    <xf numFmtId="164" fontId="4" fillId="0" borderId="0" xfId="0" applyNumberFormat="1" applyFont="1" applyFill="1" applyAlignment="1">
      <alignment horizontal="center" wrapText="1"/>
    </xf>
    <xf numFmtId="0" fontId="16" fillId="0" borderId="1" xfId="0" applyFont="1" applyFill="1" applyBorder="1" applyAlignment="1">
      <alignment horizontal="center" vertical="center"/>
    </xf>
    <xf numFmtId="1" fontId="16" fillId="0" borderId="1" xfId="0" applyNumberFormat="1" applyFont="1" applyFill="1" applyBorder="1" applyAlignment="1">
      <alignment horizontal="center" vertical="center"/>
    </xf>
    <xf numFmtId="0" fontId="7" fillId="0" borderId="0" xfId="16" applyFont="1" applyFill="1" applyAlignment="1">
      <alignment horizontal="left" vertical="center"/>
    </xf>
    <xf numFmtId="0" fontId="8" fillId="5" borderId="0" xfId="16" applyFont="1" applyFill="1" applyAlignment="1">
      <alignment horizontal="center" vertical="top" wrapText="1"/>
    </xf>
    <xf numFmtId="0" fontId="8" fillId="5" borderId="0" xfId="16" applyFont="1" applyFill="1" applyAlignment="1">
      <alignment vertical="top" wrapText="1"/>
    </xf>
    <xf numFmtId="0" fontId="8" fillId="0" borderId="0" xfId="16" applyFont="1" applyFill="1" applyAlignment="1">
      <alignment wrapText="1"/>
    </xf>
    <xf numFmtId="0" fontId="7" fillId="0" borderId="0" xfId="2" applyFont="1" applyAlignment="1">
      <alignment horizontal="left" vertical="center"/>
    </xf>
    <xf numFmtId="0" fontId="8" fillId="0" borderId="1" xfId="2" applyFont="1" applyFill="1" applyBorder="1"/>
    <xf numFmtId="0" fontId="8" fillId="0" borderId="1" xfId="2" applyFont="1" applyBorder="1"/>
    <xf numFmtId="0" fontId="8" fillId="0" borderId="1" xfId="2" applyFont="1" applyFill="1" applyBorder="1" applyAlignment="1">
      <alignment horizontal="left"/>
    </xf>
    <xf numFmtId="0" fontId="7" fillId="0" borderId="0" xfId="2" applyFont="1" applyFill="1"/>
    <xf numFmtId="0" fontId="8" fillId="0" borderId="0" xfId="2" applyFont="1"/>
    <xf numFmtId="0" fontId="2" fillId="0" borderId="0" xfId="2" applyFont="1"/>
    <xf numFmtId="0" fontId="2" fillId="0" borderId="0" xfId="2" applyFont="1" applyFill="1"/>
    <xf numFmtId="169" fontId="8" fillId="4" borderId="3" xfId="2" applyNumberFormat="1" applyFont="1" applyFill="1" applyBorder="1" applyAlignment="1">
      <alignment horizontal="center" vertical="center"/>
    </xf>
    <xf numFmtId="169" fontId="8" fillId="4" borderId="0" xfId="2" applyNumberFormat="1" applyFont="1" applyFill="1" applyBorder="1" applyAlignment="1">
      <alignment horizontal="center" vertical="center"/>
    </xf>
    <xf numFmtId="0" fontId="8" fillId="0" borderId="0" xfId="2" applyFont="1" applyFill="1" applyBorder="1" applyAlignment="1"/>
    <xf numFmtId="171" fontId="8" fillId="0" borderId="0" xfId="16" applyNumberFormat="1" applyFont="1"/>
    <xf numFmtId="0" fontId="7" fillId="0" borderId="0" xfId="14" applyFont="1" applyAlignment="1">
      <alignment vertical="center"/>
    </xf>
    <xf numFmtId="0" fontId="8" fillId="0" borderId="0" xfId="14" applyFont="1" applyAlignment="1">
      <alignment vertical="center"/>
    </xf>
    <xf numFmtId="0" fontId="8" fillId="0" borderId="0" xfId="14" applyFont="1" applyAlignment="1">
      <alignment horizontal="center" vertical="center"/>
    </xf>
    <xf numFmtId="0" fontId="8" fillId="0" borderId="1" xfId="14" applyFont="1" applyBorder="1" applyAlignment="1">
      <alignment vertical="center"/>
    </xf>
    <xf numFmtId="0" fontId="8" fillId="0" borderId="1" xfId="14" applyFont="1" applyBorder="1" applyAlignment="1">
      <alignment horizontal="center" vertical="center"/>
    </xf>
    <xf numFmtId="0" fontId="8" fillId="0" borderId="0" xfId="14" applyFont="1" applyFill="1" applyAlignment="1">
      <alignment vertical="center"/>
    </xf>
    <xf numFmtId="0" fontId="8" fillId="0" borderId="10" xfId="14" applyFont="1" applyBorder="1" applyAlignment="1">
      <alignment vertical="center"/>
    </xf>
    <xf numFmtId="0" fontId="8" fillId="0" borderId="11" xfId="14" applyFont="1" applyBorder="1" applyAlignment="1">
      <alignment vertical="center"/>
    </xf>
    <xf numFmtId="41" fontId="8" fillId="0" borderId="1" xfId="5" applyFont="1" applyBorder="1" applyAlignment="1">
      <alignment vertical="center"/>
    </xf>
    <xf numFmtId="0" fontId="7" fillId="0" borderId="10" xfId="14" applyFont="1" applyBorder="1" applyAlignment="1">
      <alignment vertical="center"/>
    </xf>
    <xf numFmtId="0" fontId="7" fillId="0" borderId="11" xfId="14" applyFont="1" applyBorder="1" applyAlignment="1">
      <alignment horizontal="center" vertical="center"/>
    </xf>
    <xf numFmtId="0" fontId="7" fillId="0" borderId="1" xfId="14" applyFont="1" applyBorder="1" applyAlignment="1">
      <alignment horizontal="center" vertical="center"/>
    </xf>
    <xf numFmtId="9" fontId="7" fillId="0" borderId="1" xfId="14" applyNumberFormat="1" applyFont="1" applyBorder="1" applyAlignment="1">
      <alignment vertical="center"/>
    </xf>
    <xf numFmtId="172" fontId="8" fillId="0" borderId="1" xfId="5" applyNumberFormat="1" applyFont="1" applyBorder="1" applyAlignment="1">
      <alignment vertical="center"/>
    </xf>
    <xf numFmtId="41" fontId="7" fillId="0" borderId="1" xfId="5" applyFont="1" applyBorder="1" applyAlignment="1">
      <alignment vertical="center"/>
    </xf>
    <xf numFmtId="9" fontId="8" fillId="0" borderId="1" xfId="14" applyNumberFormat="1" applyFont="1" applyFill="1" applyBorder="1" applyAlignment="1">
      <alignment horizontal="center" vertical="center"/>
    </xf>
    <xf numFmtId="9" fontId="8" fillId="0" borderId="1" xfId="14" applyNumberFormat="1" applyFont="1" applyBorder="1" applyAlignment="1">
      <alignment horizontal="center" vertical="center"/>
    </xf>
    <xf numFmtId="173" fontId="8" fillId="0" borderId="0" xfId="14" applyNumberFormat="1" applyFont="1" applyAlignment="1">
      <alignment vertical="center"/>
    </xf>
    <xf numFmtId="1" fontId="4" fillId="0" borderId="1" xfId="0" applyNumberFormat="1" applyFont="1" applyBorder="1" applyAlignment="1">
      <alignment horizontal="center" vertical="center" wrapText="1"/>
    </xf>
    <xf numFmtId="1" fontId="4" fillId="0" borderId="0" xfId="0" quotePrefix="1" applyNumberFormat="1" applyFont="1" applyBorder="1" applyAlignment="1">
      <alignment horizontal="center" vertical="center"/>
    </xf>
    <xf numFmtId="0" fontId="7" fillId="5" borderId="0" xfId="16" applyFont="1" applyFill="1" applyAlignment="1" applyProtection="1">
      <alignment horizontal="left" vertical="center"/>
      <protection locked="0"/>
    </xf>
    <xf numFmtId="0" fontId="7" fillId="5" borderId="0" xfId="2" applyFont="1" applyFill="1" applyAlignment="1" applyProtection="1">
      <alignment horizontal="left" vertical="center"/>
      <protection locked="0"/>
    </xf>
    <xf numFmtId="0" fontId="8" fillId="5" borderId="1" xfId="2" applyFont="1" applyFill="1" applyBorder="1" applyProtection="1">
      <protection locked="0"/>
    </xf>
    <xf numFmtId="0" fontId="8" fillId="5" borderId="1" xfId="2" applyFont="1" applyFill="1" applyBorder="1" applyAlignment="1" applyProtection="1">
      <alignment horizontal="center" vertical="center"/>
      <protection locked="0"/>
    </xf>
    <xf numFmtId="0" fontId="8" fillId="5" borderId="1" xfId="16" applyFont="1" applyFill="1" applyBorder="1" applyAlignment="1" applyProtection="1">
      <alignment vertical="top" wrapText="1"/>
      <protection locked="0"/>
    </xf>
    <xf numFmtId="0" fontId="8" fillId="5" borderId="1" xfId="2" applyFont="1" applyFill="1" applyBorder="1" applyAlignment="1" applyProtection="1">
      <alignment horizontal="left"/>
      <protection locked="0"/>
    </xf>
    <xf numFmtId="9" fontId="8" fillId="5" borderId="1" xfId="16" applyNumberFormat="1" applyFont="1" applyFill="1" applyBorder="1" applyAlignment="1" applyProtection="1">
      <alignment horizontal="center" vertical="center"/>
      <protection locked="0"/>
    </xf>
    <xf numFmtId="0" fontId="8" fillId="5" borderId="1" xfId="16" applyNumberFormat="1" applyFont="1" applyFill="1" applyBorder="1" applyAlignment="1" applyProtection="1">
      <alignment horizontal="center" vertical="center"/>
      <protection locked="0"/>
    </xf>
    <xf numFmtId="41" fontId="8" fillId="5" borderId="1" xfId="3" applyFont="1" applyFill="1" applyBorder="1" applyAlignment="1" applyProtection="1">
      <protection locked="0"/>
    </xf>
    <xf numFmtId="41" fontId="8" fillId="5" borderId="1" xfId="3" applyFont="1" applyFill="1" applyBorder="1" applyAlignment="1" applyProtection="1">
      <alignment horizontal="center" vertical="top"/>
      <protection locked="0"/>
    </xf>
    <xf numFmtId="0" fontId="8" fillId="5" borderId="12" xfId="2" applyFont="1" applyFill="1" applyBorder="1" applyAlignment="1" applyProtection="1">
      <alignment horizontal="center" vertical="center"/>
      <protection locked="0"/>
    </xf>
    <xf numFmtId="0" fontId="8" fillId="5" borderId="14" xfId="2" applyFont="1" applyFill="1" applyBorder="1" applyAlignment="1" applyProtection="1">
      <alignment horizontal="center" vertical="center"/>
      <protection locked="0"/>
    </xf>
    <xf numFmtId="0" fontId="8" fillId="5" borderId="13" xfId="2" applyFont="1" applyFill="1" applyBorder="1" applyAlignment="1" applyProtection="1">
      <alignment horizontal="center" vertical="center"/>
      <protection locked="0"/>
    </xf>
    <xf numFmtId="169" fontId="8" fillId="5" borderId="12" xfId="2" applyNumberFormat="1" applyFont="1" applyFill="1" applyBorder="1" applyAlignment="1" applyProtection="1">
      <alignment horizontal="center" vertical="center"/>
      <protection locked="0"/>
    </xf>
    <xf numFmtId="169" fontId="8" fillId="5" borderId="14" xfId="2" applyNumberFormat="1" applyFont="1" applyFill="1" applyBorder="1" applyAlignment="1" applyProtection="1">
      <alignment horizontal="center" vertical="center"/>
      <protection locked="0"/>
    </xf>
    <xf numFmtId="0" fontId="8" fillId="6" borderId="1" xfId="2" applyFont="1" applyFill="1" applyBorder="1" applyProtection="1">
      <protection locked="0"/>
    </xf>
    <xf numFmtId="0" fontId="8" fillId="6" borderId="1" xfId="2" applyFont="1" applyFill="1" applyBorder="1" applyAlignment="1" applyProtection="1">
      <alignment horizontal="center" vertical="center"/>
      <protection locked="0"/>
    </xf>
    <xf numFmtId="0" fontId="8" fillId="6" borderId="1" xfId="16" applyFont="1" applyFill="1" applyBorder="1" applyAlignment="1" applyProtection="1">
      <alignment vertical="top" wrapText="1"/>
      <protection locked="0"/>
    </xf>
    <xf numFmtId="0" fontId="8" fillId="6" borderId="1" xfId="2" applyFont="1" applyFill="1" applyBorder="1" applyAlignment="1" applyProtection="1">
      <alignment horizontal="left"/>
      <protection locked="0"/>
    </xf>
    <xf numFmtId="9" fontId="8" fillId="6" borderId="1" xfId="16" applyNumberFormat="1" applyFont="1" applyFill="1" applyBorder="1" applyAlignment="1" applyProtection="1">
      <alignment horizontal="center" vertical="center"/>
      <protection locked="0"/>
    </xf>
    <xf numFmtId="0" fontId="8" fillId="6" borderId="1" xfId="16" applyNumberFormat="1" applyFont="1" applyFill="1" applyBorder="1" applyAlignment="1" applyProtection="1">
      <alignment horizontal="center" vertical="center"/>
      <protection locked="0"/>
    </xf>
    <xf numFmtId="41" fontId="8" fillId="6" borderId="1" xfId="3" applyFont="1" applyFill="1" applyBorder="1" applyAlignment="1" applyProtection="1">
      <protection locked="0"/>
    </xf>
    <xf numFmtId="41" fontId="8" fillId="6" borderId="1" xfId="3" applyFont="1" applyFill="1" applyBorder="1" applyAlignment="1" applyProtection="1">
      <alignment horizontal="center" vertical="top"/>
      <protection locked="0"/>
    </xf>
    <xf numFmtId="0" fontId="8" fillId="6" borderId="12" xfId="2" applyFont="1" applyFill="1" applyBorder="1" applyAlignment="1" applyProtection="1">
      <alignment horizontal="center" vertical="center"/>
      <protection locked="0"/>
    </xf>
    <xf numFmtId="0" fontId="8" fillId="6" borderId="14" xfId="2" applyFont="1" applyFill="1" applyBorder="1" applyAlignment="1" applyProtection="1">
      <alignment horizontal="center" vertical="center"/>
      <protection locked="0"/>
    </xf>
    <xf numFmtId="0" fontId="8" fillId="6" borderId="13" xfId="2" applyFont="1" applyFill="1" applyBorder="1" applyAlignment="1" applyProtection="1">
      <alignment horizontal="center" vertical="center"/>
      <protection locked="0"/>
    </xf>
    <xf numFmtId="169" fontId="8" fillId="6" borderId="12" xfId="2" applyNumberFormat="1" applyFont="1" applyFill="1" applyBorder="1" applyAlignment="1" applyProtection="1">
      <alignment horizontal="center" vertical="center"/>
      <protection locked="0"/>
    </xf>
    <xf numFmtId="169" fontId="8" fillId="6" borderId="14" xfId="2" applyNumberFormat="1" applyFont="1" applyFill="1" applyBorder="1" applyAlignment="1" applyProtection="1">
      <alignment horizontal="center" vertical="center"/>
      <protection locked="0"/>
    </xf>
    <xf numFmtId="0" fontId="7" fillId="0" borderId="1" xfId="16" applyFont="1" applyBorder="1" applyAlignment="1">
      <alignment horizontal="center" vertical="center" wrapText="1"/>
    </xf>
    <xf numFmtId="0" fontId="7" fillId="0" borderId="0" xfId="16" applyFont="1" applyBorder="1" applyAlignment="1">
      <alignment horizontal="center" vertical="center"/>
    </xf>
    <xf numFmtId="0" fontId="10" fillId="0" borderId="0" xfId="2" applyFont="1" applyFill="1" applyBorder="1" applyAlignment="1">
      <alignment horizontal="center"/>
    </xf>
    <xf numFmtId="0" fontId="9" fillId="0" borderId="0" xfId="2" applyFont="1" applyFill="1" applyBorder="1" applyAlignment="1">
      <alignment horizontal="center"/>
    </xf>
    <xf numFmtId="1" fontId="8" fillId="0" borderId="0" xfId="16" applyNumberFormat="1" applyFont="1" applyFill="1" applyBorder="1" applyAlignment="1">
      <alignment horizontal="center" vertical="center"/>
    </xf>
    <xf numFmtId="0" fontId="8" fillId="6" borderId="1" xfId="2" applyFont="1" applyFill="1" applyBorder="1" applyAlignment="1" applyProtection="1">
      <alignment vertical="center"/>
      <protection locked="0"/>
    </xf>
    <xf numFmtId="0" fontId="8" fillId="0" borderId="1" xfId="16" applyFont="1" applyBorder="1" applyAlignment="1">
      <alignment vertical="center"/>
    </xf>
    <xf numFmtId="0" fontId="7" fillId="0" borderId="0" xfId="16" applyFont="1" applyBorder="1"/>
    <xf numFmtId="1" fontId="8" fillId="0" borderId="1" xfId="16" applyNumberFormat="1" applyFont="1" applyBorder="1" applyAlignment="1">
      <alignment horizontal="center" vertical="center"/>
    </xf>
    <xf numFmtId="0" fontId="7" fillId="0" borderId="1" xfId="16" applyFont="1" applyBorder="1" applyAlignment="1">
      <alignment vertical="center"/>
    </xf>
    <xf numFmtId="1" fontId="7" fillId="0" borderId="1" xfId="16" applyNumberFormat="1" applyFont="1" applyBorder="1" applyAlignment="1">
      <alignment horizontal="center" vertical="center"/>
    </xf>
    <xf numFmtId="1" fontId="7" fillId="0" borderId="0" xfId="16" applyNumberFormat="1" applyFont="1" applyFill="1" applyBorder="1" applyAlignment="1">
      <alignment horizontal="center" vertical="center"/>
    </xf>
    <xf numFmtId="0" fontId="7" fillId="0" borderId="19" xfId="16" applyFont="1" applyBorder="1" applyAlignment="1">
      <alignment horizontal="center" vertical="center"/>
    </xf>
    <xf numFmtId="0" fontId="7" fillId="0" borderId="0" xfId="16" applyFont="1" applyBorder="1" applyAlignment="1">
      <alignment horizontal="center" vertical="center" wrapText="1"/>
    </xf>
    <xf numFmtId="0" fontId="7" fillId="0" borderId="20" xfId="16" applyFont="1" applyBorder="1" applyAlignment="1">
      <alignment horizontal="center" vertical="center"/>
    </xf>
    <xf numFmtId="1" fontId="7" fillId="0" borderId="0" xfId="16" applyNumberFormat="1" applyFont="1" applyBorder="1" applyAlignment="1">
      <alignment horizontal="center" vertical="center"/>
    </xf>
    <xf numFmtId="169" fontId="4" fillId="4" borderId="8" xfId="2" applyNumberFormat="1" applyFont="1" applyFill="1" applyBorder="1" applyAlignment="1">
      <alignment horizontal="center" vertical="center"/>
    </xf>
    <xf numFmtId="169" fontId="4" fillId="6" borderId="12" xfId="2" applyNumberFormat="1" applyFont="1" applyFill="1" applyBorder="1" applyAlignment="1" applyProtection="1">
      <alignment horizontal="center" vertical="center"/>
      <protection locked="0"/>
    </xf>
    <xf numFmtId="169" fontId="4" fillId="6" borderId="14" xfId="2" applyNumberFormat="1" applyFont="1" applyFill="1" applyBorder="1" applyAlignment="1" applyProtection="1">
      <alignment horizontal="center" vertical="center"/>
      <protection locked="0"/>
    </xf>
    <xf numFmtId="0" fontId="4" fillId="6" borderId="12" xfId="2" applyFont="1" applyFill="1" applyBorder="1" applyAlignment="1" applyProtection="1">
      <alignment horizontal="center" vertical="center"/>
      <protection locked="0"/>
    </xf>
    <xf numFmtId="0" fontId="4" fillId="6" borderId="14" xfId="2" applyFont="1" applyFill="1" applyBorder="1" applyAlignment="1" applyProtection="1">
      <alignment horizontal="center" vertical="center"/>
      <protection locked="0"/>
    </xf>
    <xf numFmtId="0" fontId="4" fillId="6" borderId="13" xfId="2" applyFont="1" applyFill="1" applyBorder="1" applyAlignment="1" applyProtection="1">
      <alignment horizontal="center" vertical="center"/>
      <protection locked="0"/>
    </xf>
    <xf numFmtId="169" fontId="4" fillId="6" borderId="13" xfId="2" applyNumberFormat="1" applyFont="1" applyFill="1" applyBorder="1" applyAlignment="1" applyProtection="1">
      <alignment horizontal="center" vertical="center"/>
      <protection locked="0"/>
    </xf>
    <xf numFmtId="0" fontId="4" fillId="0" borderId="0" xfId="0" applyFont="1" applyFill="1" applyBorder="1" applyAlignment="1">
      <alignment horizontal="center"/>
    </xf>
    <xf numFmtId="0" fontId="4" fillId="0" borderId="0" xfId="0" quotePrefix="1" applyFont="1" applyFill="1" applyBorder="1" applyAlignment="1" applyProtection="1">
      <alignment horizontal="center" vertical="center" wrapText="1"/>
    </xf>
    <xf numFmtId="0" fontId="4" fillId="0" borderId="0" xfId="0" quotePrefix="1" applyFont="1" applyFill="1" applyBorder="1" applyAlignment="1" applyProtection="1">
      <alignment horizontal="center" vertical="center"/>
    </xf>
    <xf numFmtId="0" fontId="4" fillId="0" borderId="0" xfId="0" applyFont="1" applyBorder="1"/>
    <xf numFmtId="0" fontId="7" fillId="0" borderId="19" xfId="16" applyFont="1" applyFill="1" applyBorder="1" applyAlignment="1" applyProtection="1"/>
    <xf numFmtId="0" fontId="7" fillId="0" borderId="0" xfId="16" applyFont="1" applyFill="1" applyBorder="1" applyAlignment="1" applyProtection="1"/>
    <xf numFmtId="0" fontId="7" fillId="0" borderId="0" xfId="16" applyFont="1" applyFill="1" applyBorder="1" applyAlignment="1">
      <alignment vertical="center"/>
    </xf>
    <xf numFmtId="0" fontId="2" fillId="0" borderId="0" xfId="2" applyFont="1" applyBorder="1"/>
    <xf numFmtId="0" fontId="2" fillId="0" borderId="0" xfId="2" applyFont="1" applyFill="1" applyBorder="1"/>
    <xf numFmtId="0" fontId="8" fillId="0" borderId="5" xfId="16" applyFont="1" applyBorder="1"/>
    <xf numFmtId="0" fontId="7" fillId="2" borderId="1" xfId="2" applyFont="1" applyFill="1" applyBorder="1" applyAlignment="1">
      <alignment horizontal="center" vertical="center"/>
    </xf>
    <xf numFmtId="0" fontId="8" fillId="0" borderId="1" xfId="16" applyFont="1" applyBorder="1"/>
    <xf numFmtId="0" fontId="7" fillId="0" borderId="1" xfId="16" applyFont="1" applyBorder="1" applyAlignment="1">
      <alignment horizontal="center" vertical="center"/>
    </xf>
    <xf numFmtId="0" fontId="7" fillId="0" borderId="0" xfId="16" applyFont="1" applyFill="1" applyBorder="1" applyAlignment="1">
      <alignment horizontal="center" wrapText="1"/>
    </xf>
    <xf numFmtId="1" fontId="8" fillId="0" borderId="1" xfId="16" applyNumberFormat="1" applyFont="1" applyFill="1" applyBorder="1" applyAlignment="1">
      <alignment horizontal="center" vertical="center"/>
    </xf>
    <xf numFmtId="1" fontId="7" fillId="0" borderId="1" xfId="16" applyNumberFormat="1" applyFont="1" applyFill="1" applyBorder="1" applyAlignment="1">
      <alignment horizontal="center" vertical="center"/>
    </xf>
    <xf numFmtId="0" fontId="8" fillId="6" borderId="1" xfId="2" applyFont="1" applyFill="1" applyBorder="1" applyAlignment="1" applyProtection="1">
      <alignment vertical="center" wrapText="1"/>
      <protection locked="0"/>
    </xf>
    <xf numFmtId="0" fontId="8" fillId="5" borderId="1" xfId="2" applyFont="1" applyFill="1" applyBorder="1" applyAlignment="1" applyProtection="1">
      <alignment vertical="center"/>
      <protection locked="0"/>
    </xf>
    <xf numFmtId="0" fontId="8" fillId="5" borderId="1" xfId="2" applyFont="1" applyFill="1" applyBorder="1" applyAlignment="1" applyProtection="1">
      <alignment vertical="center" wrapText="1"/>
      <protection locked="0"/>
    </xf>
    <xf numFmtId="0" fontId="8" fillId="0" borderId="11" xfId="16" applyFont="1" applyBorder="1" applyAlignment="1">
      <alignment horizontal="center" vertical="center"/>
    </xf>
    <xf numFmtId="0" fontId="7" fillId="0" borderId="8" xfId="2" applyFont="1" applyFill="1" applyBorder="1" applyAlignment="1">
      <alignment vertical="top" wrapText="1"/>
    </xf>
    <xf numFmtId="0" fontId="7" fillId="0" borderId="8" xfId="2" applyFont="1" applyFill="1" applyBorder="1" applyAlignment="1">
      <alignment vertical="top"/>
    </xf>
    <xf numFmtId="0" fontId="7" fillId="0" borderId="19" xfId="2" applyFont="1" applyBorder="1" applyAlignment="1">
      <alignment horizontal="center" vertical="center"/>
    </xf>
    <xf numFmtId="0" fontId="7" fillId="0" borderId="8" xfId="2" applyFont="1" applyBorder="1" applyAlignment="1">
      <alignment horizontal="center" vertical="center" wrapText="1"/>
    </xf>
    <xf numFmtId="0" fontId="7" fillId="0" borderId="0" xfId="2" applyFont="1" applyBorder="1" applyAlignment="1">
      <alignment horizontal="center" vertical="center" wrapText="1"/>
    </xf>
    <xf numFmtId="0" fontId="7" fillId="0" borderId="0" xfId="16" applyFont="1" applyAlignment="1">
      <alignment horizontal="center" vertical="center"/>
    </xf>
    <xf numFmtId="0" fontId="7" fillId="0" borderId="8" xfId="2" applyFont="1" applyBorder="1" applyAlignment="1">
      <alignment horizontal="left" vertical="center" wrapText="1"/>
    </xf>
    <xf numFmtId="0" fontId="7" fillId="0" borderId="0" xfId="16" applyFont="1" applyBorder="1" applyAlignment="1">
      <alignment horizontal="left" vertical="center"/>
    </xf>
    <xf numFmtId="0" fontId="7" fillId="0" borderId="8" xfId="16" applyFont="1" applyBorder="1" applyAlignment="1">
      <alignment horizontal="center" vertical="center"/>
    </xf>
    <xf numFmtId="164" fontId="4" fillId="0" borderId="0" xfId="0" applyNumberFormat="1" applyFont="1"/>
    <xf numFmtId="2" fontId="4" fillId="0" borderId="0" xfId="0" applyNumberFormat="1" applyFont="1"/>
    <xf numFmtId="2" fontId="5" fillId="0" borderId="0" xfId="0" applyNumberFormat="1" applyFont="1"/>
    <xf numFmtId="0" fontId="8" fillId="0" borderId="1" xfId="2" applyFont="1" applyFill="1" applyBorder="1" applyAlignment="1" applyProtection="1">
      <alignment horizontal="center" vertical="center"/>
    </xf>
    <xf numFmtId="1" fontId="17" fillId="0" borderId="0" xfId="16" applyNumberFormat="1" applyFont="1" applyFill="1" applyBorder="1" applyAlignment="1">
      <alignment horizontal="center"/>
    </xf>
    <xf numFmtId="1" fontId="7" fillId="0" borderId="0" xfId="16" applyNumberFormat="1" applyFont="1" applyFill="1" applyBorder="1" applyAlignment="1">
      <alignment horizontal="center"/>
    </xf>
    <xf numFmtId="164" fontId="4" fillId="0" borderId="1" xfId="1" applyNumberFormat="1" applyFont="1" applyFill="1" applyBorder="1" applyAlignment="1" applyProtection="1">
      <alignment horizontal="center" vertical="center" wrapText="1"/>
    </xf>
    <xf numFmtId="0" fontId="7" fillId="0" borderId="19" xfId="16" applyFont="1" applyFill="1" applyBorder="1" applyAlignment="1">
      <alignment horizontal="center" vertical="center" wrapText="1"/>
    </xf>
    <xf numFmtId="0" fontId="7" fillId="0" borderId="20" xfId="16" applyFont="1" applyFill="1" applyBorder="1" applyAlignment="1">
      <alignment horizontal="center" vertical="center" wrapText="1"/>
    </xf>
    <xf numFmtId="0" fontId="8" fillId="0" borderId="0" xfId="16" applyFont="1" applyAlignment="1">
      <alignment horizontal="center" vertical="center" wrapText="1"/>
    </xf>
    <xf numFmtId="0" fontId="8" fillId="0" borderId="0" xfId="16" applyFont="1" applyFill="1" applyBorder="1" applyAlignment="1">
      <alignment horizontal="center" vertical="center" wrapText="1"/>
    </xf>
    <xf numFmtId="2" fontId="4" fillId="0" borderId="1" xfId="0" applyNumberFormat="1" applyFont="1" applyBorder="1" applyAlignment="1">
      <alignment horizontal="center" vertical="center"/>
    </xf>
    <xf numFmtId="2" fontId="4" fillId="0" borderId="1" xfId="0" applyNumberFormat="1" applyFont="1" applyFill="1" applyBorder="1" applyAlignment="1" applyProtection="1">
      <alignment horizontal="center" vertical="center" wrapText="1"/>
    </xf>
    <xf numFmtId="0" fontId="4" fillId="0" borderId="1" xfId="0" applyFont="1" applyFill="1" applyBorder="1" applyAlignment="1" applyProtection="1">
      <alignment horizontal="center" vertical="center" wrapText="1"/>
    </xf>
    <xf numFmtId="1" fontId="4" fillId="0" borderId="1" xfId="0" applyNumberFormat="1" applyFont="1" applyFill="1" applyBorder="1" applyAlignment="1" applyProtection="1">
      <alignment horizontal="center" vertical="center" wrapText="1"/>
    </xf>
    <xf numFmtId="0" fontId="19" fillId="0" borderId="0" xfId="18" applyNumberFormat="1" applyFont="1"/>
    <xf numFmtId="0" fontId="1" fillId="0" borderId="0" xfId="19"/>
    <xf numFmtId="41" fontId="1" fillId="0" borderId="0" xfId="1" applyFont="1"/>
    <xf numFmtId="41" fontId="19" fillId="0" borderId="0" xfId="1" applyFont="1"/>
    <xf numFmtId="41" fontId="20" fillId="0" borderId="0" xfId="1" applyFont="1"/>
    <xf numFmtId="0" fontId="19" fillId="8" borderId="10" xfId="18" applyNumberFormat="1" applyFont="1" applyFill="1" applyBorder="1" applyAlignment="1">
      <alignment horizontal="center" vertical="center"/>
    </xf>
    <xf numFmtId="0" fontId="19" fillId="8" borderId="11" xfId="18" applyNumberFormat="1" applyFont="1" applyFill="1" applyBorder="1" applyAlignment="1">
      <alignment horizontal="center" vertical="center"/>
    </xf>
    <xf numFmtId="0" fontId="19" fillId="8" borderId="15" xfId="18" applyNumberFormat="1" applyFont="1" applyFill="1" applyBorder="1" applyAlignment="1">
      <alignment horizontal="center" vertical="center"/>
    </xf>
    <xf numFmtId="41" fontId="19" fillId="8" borderId="12" xfId="1" applyFont="1" applyFill="1" applyBorder="1" applyAlignment="1">
      <alignment horizontal="center" vertical="center"/>
    </xf>
    <xf numFmtId="41" fontId="19" fillId="8" borderId="1" xfId="1" applyFont="1" applyFill="1" applyBorder="1" applyAlignment="1">
      <alignment horizontal="center" vertical="center"/>
    </xf>
    <xf numFmtId="41" fontId="19" fillId="8" borderId="11" xfId="1" applyFont="1" applyFill="1" applyBorder="1" applyAlignment="1">
      <alignment horizontal="center" vertical="center"/>
    </xf>
    <xf numFmtId="41" fontId="19" fillId="8" borderId="10" xfId="1" applyFont="1" applyFill="1" applyBorder="1" applyAlignment="1">
      <alignment horizontal="center" vertical="center"/>
    </xf>
    <xf numFmtId="41" fontId="1" fillId="8" borderId="1" xfId="1" applyFont="1" applyFill="1" applyBorder="1"/>
    <xf numFmtId="0" fontId="19" fillId="0" borderId="10" xfId="20" applyFont="1" applyBorder="1" applyAlignment="1">
      <alignment horizontal="center" vertical="center"/>
    </xf>
    <xf numFmtId="49" fontId="19" fillId="0" borderId="11" xfId="20" applyNumberFormat="1" applyFont="1" applyBorder="1" applyAlignment="1">
      <alignment horizontal="left" vertical="center"/>
    </xf>
    <xf numFmtId="49" fontId="19" fillId="0" borderId="15" xfId="20" applyNumberFormat="1" applyFont="1" applyBorder="1" applyAlignment="1">
      <alignment horizontal="center" vertical="center"/>
    </xf>
    <xf numFmtId="41" fontId="23" fillId="0" borderId="1" xfId="1" applyFont="1" applyFill="1" applyBorder="1" applyAlignment="1">
      <alignment horizontal="right"/>
    </xf>
    <xf numFmtId="41" fontId="23" fillId="8" borderId="10" xfId="1" applyFont="1" applyFill="1" applyBorder="1" applyAlignment="1">
      <alignment horizontal="right"/>
    </xf>
    <xf numFmtId="41" fontId="23" fillId="8" borderId="1" xfId="1" applyFont="1" applyFill="1" applyBorder="1" applyAlignment="1">
      <alignment horizontal="right"/>
    </xf>
    <xf numFmtId="0" fontId="1" fillId="0" borderId="0" xfId="19" applyAlignment="1">
      <alignment horizontal="center"/>
    </xf>
    <xf numFmtId="41" fontId="21" fillId="4" borderId="0" xfId="1" applyFont="1" applyFill="1" applyBorder="1" applyAlignment="1">
      <alignment horizontal="right"/>
    </xf>
    <xf numFmtId="41" fontId="22" fillId="0" borderId="0" xfId="1" applyFont="1"/>
    <xf numFmtId="49" fontId="19" fillId="0" borderId="0" xfId="18" applyNumberFormat="1" applyFont="1" applyAlignment="1">
      <alignment horizontal="center"/>
    </xf>
    <xf numFmtId="49" fontId="24" fillId="8" borderId="1" xfId="20" applyNumberFormat="1" applyFont="1" applyFill="1" applyBorder="1" applyAlignment="1">
      <alignment horizontal="center" vertical="center" wrapText="1"/>
    </xf>
    <xf numFmtId="49" fontId="24" fillId="8" borderId="10" xfId="20" applyNumberFormat="1" applyFont="1" applyFill="1" applyBorder="1" applyAlignment="1">
      <alignment horizontal="center" vertical="center" wrapText="1"/>
    </xf>
    <xf numFmtId="41" fontId="1" fillId="0" borderId="1" xfId="1" applyFont="1" applyBorder="1"/>
    <xf numFmtId="0" fontId="21" fillId="0" borderId="1" xfId="20" applyFont="1" applyBorder="1" applyAlignment="1">
      <alignment horizontal="center" vertical="center" wrapText="1"/>
    </xf>
    <xf numFmtId="49" fontId="24" fillId="0" borderId="1" xfId="20" applyNumberFormat="1" applyFont="1" applyBorder="1" applyAlignment="1">
      <alignment vertical="center" wrapText="1"/>
    </xf>
    <xf numFmtId="49" fontId="24" fillId="0" borderId="10" xfId="20" applyNumberFormat="1" applyFont="1" applyBorder="1" applyAlignment="1">
      <alignment horizontal="center" vertical="center" wrapText="1"/>
    </xf>
    <xf numFmtId="0" fontId="1" fillId="0" borderId="1" xfId="19" applyBorder="1" applyAlignment="1">
      <alignment horizontal="center"/>
    </xf>
    <xf numFmtId="0" fontId="19" fillId="0" borderId="1" xfId="19" applyFont="1" applyBorder="1"/>
    <xf numFmtId="0" fontId="1" fillId="0" borderId="1" xfId="19" applyBorder="1"/>
    <xf numFmtId="0" fontId="8" fillId="0" borderId="0" xfId="21" applyFont="1" applyAlignment="1">
      <alignment vertical="center"/>
    </xf>
    <xf numFmtId="0" fontId="8" fillId="0" borderId="0" xfId="21" applyFont="1" applyAlignment="1">
      <alignment horizontal="center" vertical="center"/>
    </xf>
    <xf numFmtId="0" fontId="8" fillId="0" borderId="1" xfId="21" applyFont="1" applyFill="1" applyBorder="1" applyAlignment="1">
      <alignment vertical="center"/>
    </xf>
    <xf numFmtId="0" fontId="8" fillId="0" borderId="0" xfId="21" applyFont="1" applyFill="1" applyAlignment="1">
      <alignment vertical="center"/>
    </xf>
    <xf numFmtId="0" fontId="8" fillId="0" borderId="1" xfId="21" applyFont="1" applyFill="1" applyBorder="1" applyAlignment="1">
      <alignment horizontal="center" vertical="center"/>
    </xf>
    <xf numFmtId="41" fontId="8" fillId="0" borderId="1" xfId="22" applyFont="1" applyFill="1" applyBorder="1" applyAlignment="1">
      <alignment vertical="center"/>
    </xf>
    <xf numFmtId="9" fontId="8" fillId="0" borderId="1" xfId="21" applyNumberFormat="1" applyFont="1" applyFill="1" applyBorder="1" applyAlignment="1">
      <alignment vertical="center"/>
    </xf>
    <xf numFmtId="0" fontId="7" fillId="0" borderId="1" xfId="21" applyFont="1" applyFill="1" applyBorder="1" applyAlignment="1">
      <alignment horizontal="center" vertical="center"/>
    </xf>
    <xf numFmtId="172" fontId="8" fillId="0" borderId="1" xfId="22" applyNumberFormat="1" applyFont="1" applyFill="1" applyBorder="1" applyAlignment="1">
      <alignment vertical="center"/>
    </xf>
    <xf numFmtId="41" fontId="8" fillId="0" borderId="1" xfId="21" applyNumberFormat="1" applyFont="1" applyBorder="1" applyAlignment="1">
      <alignment vertical="center"/>
    </xf>
    <xf numFmtId="41" fontId="7" fillId="0" borderId="1" xfId="21" applyNumberFormat="1" applyFont="1" applyBorder="1" applyAlignment="1">
      <alignment vertical="center"/>
    </xf>
    <xf numFmtId="173" fontId="7" fillId="0" borderId="1" xfId="23" applyNumberFormat="1" applyFont="1" applyFill="1" applyBorder="1" applyAlignment="1">
      <alignment vertical="center"/>
    </xf>
    <xf numFmtId="41" fontId="8" fillId="0" borderId="1" xfId="3" applyFont="1" applyFill="1" applyBorder="1" applyAlignment="1">
      <alignment vertical="center"/>
    </xf>
    <xf numFmtId="0" fontId="1" fillId="0" borderId="0" xfId="19" applyFill="1"/>
    <xf numFmtId="0" fontId="1" fillId="5" borderId="0" xfId="19" applyFill="1"/>
    <xf numFmtId="49" fontId="21" fillId="0" borderId="5" xfId="20" applyNumberFormat="1" applyFont="1" applyFill="1" applyBorder="1" applyAlignment="1">
      <alignment horizontal="center"/>
    </xf>
    <xf numFmtId="49" fontId="21" fillId="0" borderId="6" xfId="20" applyNumberFormat="1" applyFont="1" applyFill="1" applyBorder="1"/>
    <xf numFmtId="49" fontId="21" fillId="0" borderId="0" xfId="20" applyNumberFormat="1" applyFont="1" applyFill="1" applyBorder="1" applyAlignment="1">
      <alignment horizontal="center" vertical="center"/>
    </xf>
    <xf numFmtId="41" fontId="22" fillId="0" borderId="6" xfId="1" applyFont="1" applyFill="1" applyBorder="1"/>
    <xf numFmtId="41" fontId="22" fillId="0" borderId="5" xfId="1" applyFont="1" applyFill="1" applyBorder="1"/>
    <xf numFmtId="41" fontId="22" fillId="0" borderId="14" xfId="1" applyFont="1" applyFill="1" applyBorder="1"/>
    <xf numFmtId="41" fontId="1" fillId="0" borderId="14" xfId="1" applyFont="1" applyFill="1" applyBorder="1"/>
    <xf numFmtId="0" fontId="21" fillId="0" borderId="0" xfId="20" applyFont="1" applyFill="1" applyBorder="1" applyAlignment="1">
      <alignment horizontal="center" vertical="center"/>
    </xf>
    <xf numFmtId="0" fontId="21" fillId="0" borderId="5" xfId="20" applyFont="1" applyFill="1" applyBorder="1" applyAlignment="1">
      <alignment horizontal="center"/>
    </xf>
    <xf numFmtId="49" fontId="20" fillId="0" borderId="0" xfId="20" applyNumberFormat="1" applyFont="1" applyFill="1" applyBorder="1" applyAlignment="1">
      <alignment horizontal="center" vertical="center"/>
    </xf>
    <xf numFmtId="49" fontId="25" fillId="0" borderId="14" xfId="20" applyNumberFormat="1" applyFont="1" applyFill="1" applyBorder="1" applyAlignment="1">
      <alignment horizontal="center" vertical="center" wrapText="1"/>
    </xf>
    <xf numFmtId="49" fontId="25" fillId="0" borderId="14" xfId="20" applyNumberFormat="1" applyFont="1" applyFill="1" applyBorder="1" applyAlignment="1">
      <alignment vertical="center" wrapText="1"/>
    </xf>
    <xf numFmtId="49" fontId="25" fillId="0" borderId="5" xfId="20" applyNumberFormat="1" applyFont="1" applyFill="1" applyBorder="1" applyAlignment="1">
      <alignment horizontal="center" vertical="center" wrapText="1"/>
    </xf>
    <xf numFmtId="0" fontId="25" fillId="0" borderId="5" xfId="20" applyFont="1" applyFill="1" applyBorder="1" applyAlignment="1">
      <alignment horizontal="center" vertical="center" wrapText="1"/>
    </xf>
    <xf numFmtId="0" fontId="21" fillId="0" borderId="5" xfId="20" applyFont="1" applyFill="1" applyBorder="1" applyAlignment="1">
      <alignment vertical="center" wrapText="1"/>
    </xf>
    <xf numFmtId="41" fontId="21" fillId="5" borderId="12" xfId="1" applyFont="1" applyFill="1" applyBorder="1" applyAlignment="1" applyProtection="1">
      <alignment horizontal="right"/>
      <protection locked="0"/>
    </xf>
    <xf numFmtId="41" fontId="21" fillId="5" borderId="6" xfId="1" applyFont="1" applyFill="1" applyBorder="1" applyProtection="1">
      <protection locked="0"/>
    </xf>
    <xf numFmtId="41" fontId="21" fillId="5" borderId="14" xfId="1" applyFont="1" applyFill="1" applyBorder="1" applyAlignment="1" applyProtection="1">
      <alignment horizontal="right"/>
      <protection locked="0"/>
    </xf>
    <xf numFmtId="41" fontId="21" fillId="5" borderId="13" xfId="1" applyFont="1" applyFill="1" applyBorder="1" applyAlignment="1" applyProtection="1">
      <alignment horizontal="right"/>
      <protection locked="0"/>
    </xf>
    <xf numFmtId="41" fontId="21" fillId="5" borderId="9" xfId="1" applyFont="1" applyFill="1" applyBorder="1" applyProtection="1">
      <protection locked="0"/>
    </xf>
    <xf numFmtId="41" fontId="21" fillId="5" borderId="4" xfId="1" applyFont="1" applyFill="1" applyBorder="1" applyProtection="1">
      <protection locked="0"/>
    </xf>
    <xf numFmtId="41" fontId="25" fillId="5" borderId="6" xfId="1" applyFont="1" applyFill="1" applyBorder="1" applyAlignment="1" applyProtection="1">
      <alignment vertical="center" wrapText="1"/>
      <protection locked="0"/>
    </xf>
    <xf numFmtId="41" fontId="22" fillId="5" borderId="14" xfId="1" applyFont="1" applyFill="1" applyBorder="1" applyProtection="1">
      <protection locked="0"/>
    </xf>
    <xf numFmtId="0" fontId="5" fillId="2" borderId="13" xfId="0" applyFont="1" applyFill="1" applyBorder="1" applyAlignment="1" applyProtection="1">
      <alignment horizontal="center" vertical="center" wrapText="1"/>
    </xf>
    <xf numFmtId="0" fontId="4" fillId="0" borderId="1" xfId="0" applyFont="1" applyFill="1" applyBorder="1" applyAlignment="1" applyProtection="1">
      <alignment horizontal="center" vertical="center" wrapText="1"/>
    </xf>
    <xf numFmtId="0" fontId="8" fillId="5" borderId="1" xfId="2" applyFont="1" applyFill="1" applyBorder="1" applyAlignment="1" applyProtection="1">
      <alignment horizontal="left" wrapText="1"/>
      <protection locked="0"/>
    </xf>
    <xf numFmtId="41" fontId="8" fillId="5" borderId="1" xfId="22" applyFont="1" applyFill="1" applyBorder="1" applyAlignment="1" applyProtection="1">
      <protection locked="0"/>
    </xf>
    <xf numFmtId="41" fontId="8" fillId="5" borderId="1" xfId="22" applyFont="1" applyFill="1" applyBorder="1" applyAlignment="1" applyProtection="1">
      <alignment horizontal="center" vertical="top"/>
      <protection locked="0"/>
    </xf>
    <xf numFmtId="0" fontId="5" fillId="0" borderId="0" xfId="0" applyFont="1" applyFill="1" applyBorder="1" applyAlignment="1">
      <alignment horizontal="center" vertical="center" wrapText="1"/>
    </xf>
    <xf numFmtId="167" fontId="4" fillId="0" borderId="1" xfId="0" applyNumberFormat="1" applyFont="1" applyFill="1" applyBorder="1" applyAlignment="1" applyProtection="1">
      <alignment horizontal="center" vertical="center" wrapText="1"/>
    </xf>
    <xf numFmtId="170" fontId="7" fillId="0" borderId="0" xfId="1" applyNumberFormat="1" applyFont="1" applyBorder="1" applyAlignment="1">
      <alignment horizontal="center" vertical="center"/>
    </xf>
    <xf numFmtId="169" fontId="4"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13" xfId="0" applyFont="1" applyFill="1" applyBorder="1" applyAlignment="1" applyProtection="1">
      <alignment horizontal="center" vertical="center" wrapText="1"/>
    </xf>
    <xf numFmtId="41" fontId="9" fillId="0" borderId="0" xfId="3" applyFont="1" applyFill="1" applyBorder="1" applyAlignment="1"/>
    <xf numFmtId="164" fontId="4" fillId="0" borderId="0" xfId="0" applyNumberFormat="1" applyFont="1" applyFill="1" applyBorder="1" applyAlignment="1">
      <alignment horizontal="center" vertical="center"/>
    </xf>
    <xf numFmtId="164" fontId="4" fillId="0" borderId="0" xfId="0" applyNumberFormat="1" applyFont="1" applyFill="1" applyBorder="1" applyAlignment="1">
      <alignment vertical="center" wrapText="1"/>
    </xf>
    <xf numFmtId="164" fontId="4" fillId="0" borderId="0" xfId="1" applyNumberFormat="1" applyFont="1" applyFill="1" applyBorder="1" applyAlignment="1">
      <alignment vertical="center" wrapText="1"/>
    </xf>
    <xf numFmtId="41" fontId="4" fillId="0" borderId="0" xfId="1" quotePrefix="1" applyFont="1" applyFill="1" applyBorder="1" applyAlignment="1">
      <alignment horizontal="center" vertical="center" wrapText="1"/>
    </xf>
    <xf numFmtId="0" fontId="4" fillId="0" borderId="0" xfId="0" applyFont="1" applyFill="1" applyBorder="1" applyAlignment="1" applyProtection="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0" borderId="0" xfId="0" applyFont="1" applyFill="1" applyBorder="1" applyAlignment="1">
      <alignment horizontal="center" vertical="center"/>
    </xf>
    <xf numFmtId="0" fontId="19" fillId="5" borderId="0" xfId="18" applyNumberFormat="1" applyFont="1" applyFill="1" applyProtection="1">
      <protection locked="0"/>
    </xf>
    <xf numFmtId="0" fontId="7" fillId="0" borderId="1" xfId="16" applyFont="1" applyBorder="1" applyAlignment="1">
      <alignment horizontal="center" vertical="center" wrapText="1"/>
    </xf>
    <xf numFmtId="0" fontId="8" fillId="5" borderId="6" xfId="2" applyFont="1" applyFill="1" applyBorder="1" applyAlignment="1" applyProtection="1">
      <alignment horizontal="center" vertical="center"/>
      <protection locked="0"/>
    </xf>
    <xf numFmtId="0" fontId="8" fillId="4" borderId="6" xfId="16" applyFont="1" applyFill="1" applyBorder="1" applyAlignment="1">
      <alignment horizontal="left" vertical="center"/>
    </xf>
    <xf numFmtId="0" fontId="4" fillId="4" borderId="5" xfId="0" applyFont="1" applyFill="1" applyBorder="1" applyAlignment="1">
      <alignment vertical="center" wrapText="1"/>
    </xf>
    <xf numFmtId="0" fontId="4" fillId="4" borderId="6" xfId="0" applyFont="1" applyFill="1" applyBorder="1" applyAlignment="1">
      <alignment vertical="center" wrapText="1"/>
    </xf>
    <xf numFmtId="0" fontId="4" fillId="4" borderId="13" xfId="0" applyFont="1" applyFill="1" applyBorder="1" applyAlignment="1">
      <alignment horizontal="center" vertical="center"/>
    </xf>
    <xf numFmtId="0" fontId="13" fillId="6" borderId="1" xfId="2" applyFont="1" applyFill="1" applyBorder="1" applyAlignment="1" applyProtection="1">
      <alignment vertical="center" wrapText="1"/>
      <protection locked="0"/>
    </xf>
    <xf numFmtId="0" fontId="3" fillId="0" borderId="0" xfId="0" applyFont="1" applyAlignment="1">
      <alignment horizontal="center" wrapText="1"/>
    </xf>
    <xf numFmtId="0" fontId="3" fillId="0" borderId="0" xfId="0" applyFont="1" applyAlignment="1">
      <alignment horizont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0" borderId="7" xfId="0" applyFont="1" applyFill="1" applyBorder="1" applyAlignment="1">
      <alignment horizontal="left" vertical="top" wrapText="1"/>
    </xf>
    <xf numFmtId="0" fontId="4"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4" fillId="0" borderId="10"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left" vertical="top" wrapText="1"/>
    </xf>
    <xf numFmtId="0" fontId="5" fillId="3" borderId="11" xfId="0" applyFont="1" applyFill="1" applyBorder="1" applyAlignment="1">
      <alignment horizontal="left" vertical="top" wrapText="1"/>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0" xfId="0" applyFont="1" applyFill="1" applyBorder="1" applyAlignment="1">
      <alignment horizontal="center"/>
    </xf>
    <xf numFmtId="0" fontId="4" fillId="3" borderId="6" xfId="0" applyFont="1" applyFill="1" applyBorder="1" applyAlignment="1">
      <alignment horizontal="center"/>
    </xf>
    <xf numFmtId="0" fontId="5" fillId="0" borderId="10" xfId="0" applyFont="1" applyBorder="1" applyAlignment="1">
      <alignment horizontal="center" vertical="top" wrapText="1"/>
    </xf>
    <xf numFmtId="0" fontId="5" fillId="0" borderId="15" xfId="0" applyFont="1" applyBorder="1" applyAlignment="1">
      <alignment horizontal="center" vertical="top" wrapText="1"/>
    </xf>
    <xf numFmtId="0" fontId="5" fillId="0" borderId="9" xfId="0" applyFont="1" applyBorder="1" applyAlignment="1">
      <alignment horizontal="center" vertical="top"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0" borderId="1" xfId="0" applyFont="1" applyBorder="1" applyAlignment="1">
      <alignment horizontal="center" vertical="center"/>
    </xf>
    <xf numFmtId="0" fontId="4" fillId="6" borderId="1" xfId="0" applyFont="1" applyFill="1" applyBorder="1" applyAlignment="1" applyProtection="1">
      <alignment horizontal="center"/>
      <protection locked="0"/>
    </xf>
    <xf numFmtId="0" fontId="4" fillId="6" borderId="1" xfId="0" applyFont="1" applyFill="1" applyBorder="1" applyAlignment="1" applyProtection="1">
      <alignment horizontal="center" vertical="center" wrapText="1"/>
      <protection locked="0"/>
    </xf>
    <xf numFmtId="0" fontId="5" fillId="2" borderId="1" xfId="0" applyFont="1" applyFill="1" applyBorder="1" applyAlignment="1" applyProtection="1">
      <alignment horizontal="center" vertical="center" wrapText="1"/>
    </xf>
    <xf numFmtId="0" fontId="5" fillId="2" borderId="12" xfId="0" applyFont="1" applyFill="1" applyBorder="1" applyAlignment="1" applyProtection="1">
      <alignment horizontal="center" vertical="center" wrapText="1"/>
    </xf>
    <xf numFmtId="0" fontId="5" fillId="2" borderId="13" xfId="0" applyFont="1" applyFill="1" applyBorder="1" applyAlignment="1" applyProtection="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4" fillId="5" borderId="1" xfId="0" applyFont="1" applyFill="1" applyBorder="1" applyAlignment="1" applyProtection="1">
      <alignment horizontal="left" vertical="top" wrapText="1"/>
      <protection locked="0"/>
    </xf>
    <xf numFmtId="0" fontId="5" fillId="2" borderId="10"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4" xfId="0" applyFont="1" applyFill="1" applyBorder="1" applyAlignment="1">
      <alignment horizontal="center" vertical="center"/>
    </xf>
    <xf numFmtId="0" fontId="28" fillId="6" borderId="0" xfId="0" applyFont="1" applyFill="1" applyAlignment="1" applyProtection="1">
      <alignment horizontal="center" wrapText="1"/>
      <protection locked="0"/>
    </xf>
    <xf numFmtId="0" fontId="4" fillId="6" borderId="10" xfId="0" applyFont="1" applyFill="1" applyBorder="1" applyAlignment="1" applyProtection="1">
      <alignment horizontal="left" vertical="center" wrapText="1"/>
      <protection locked="0"/>
    </xf>
    <xf numFmtId="0" fontId="4" fillId="6" borderId="15" xfId="0" applyFont="1" applyFill="1" applyBorder="1" applyAlignment="1" applyProtection="1">
      <alignment horizontal="left" vertical="center" wrapText="1"/>
      <protection locked="0"/>
    </xf>
    <xf numFmtId="0" fontId="4" fillId="6" borderId="11" xfId="0" applyFont="1" applyFill="1" applyBorder="1" applyAlignment="1" applyProtection="1">
      <alignment horizontal="left" vertical="center" wrapText="1"/>
      <protection locked="0"/>
    </xf>
    <xf numFmtId="0" fontId="4" fillId="6" borderId="1" xfId="0" applyFont="1" applyFill="1" applyBorder="1" applyAlignment="1" applyProtection="1">
      <alignment horizontal="left" vertical="center" wrapText="1"/>
      <protection locked="0"/>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4" fillId="6" borderId="10" xfId="0" applyFont="1" applyFill="1" applyBorder="1" applyAlignment="1" applyProtection="1">
      <alignment horizontal="center" vertical="center" wrapText="1"/>
      <protection locked="0"/>
    </xf>
    <xf numFmtId="0" fontId="4" fillId="6" borderId="15" xfId="0" applyFont="1" applyFill="1" applyBorder="1" applyAlignment="1" applyProtection="1">
      <alignment horizontal="center" vertical="center" wrapText="1"/>
      <protection locked="0"/>
    </xf>
    <xf numFmtId="0" fontId="4" fillId="6" borderId="11" xfId="0" applyFont="1" applyFill="1" applyBorder="1" applyAlignment="1" applyProtection="1">
      <alignment horizontal="center" vertical="center" wrapText="1"/>
      <protection locked="0"/>
    </xf>
    <xf numFmtId="0" fontId="4" fillId="3" borderId="10" xfId="2" applyFont="1" applyFill="1" applyBorder="1" applyAlignment="1">
      <alignment horizontal="center"/>
    </xf>
    <xf numFmtId="0" fontId="4" fillId="3" borderId="15" xfId="2" applyFont="1" applyFill="1" applyBorder="1" applyAlignment="1">
      <alignment horizontal="center"/>
    </xf>
    <xf numFmtId="0" fontId="4" fillId="3" borderId="11" xfId="2" applyFont="1" applyFill="1" applyBorder="1" applyAlignment="1">
      <alignment horizontal="center"/>
    </xf>
    <xf numFmtId="0" fontId="4" fillId="6" borderId="1" xfId="0" applyFont="1" applyFill="1" applyBorder="1" applyAlignment="1" applyProtection="1">
      <alignment horizontal="left" vertical="top" wrapText="1"/>
      <protection locked="0"/>
    </xf>
    <xf numFmtId="0" fontId="4" fillId="0" borderId="8" xfId="0" applyFont="1" applyBorder="1" applyAlignment="1">
      <alignment horizontal="center"/>
    </xf>
    <xf numFmtId="0" fontId="29" fillId="6" borderId="7" xfId="0" applyFont="1" applyFill="1" applyBorder="1" applyAlignment="1" applyProtection="1">
      <alignment horizontal="center"/>
      <protection locked="0"/>
    </xf>
    <xf numFmtId="0" fontId="29" fillId="6" borderId="8" xfId="0" applyFont="1" applyFill="1" applyBorder="1" applyAlignment="1" applyProtection="1">
      <alignment horizontal="center"/>
      <protection locked="0"/>
    </xf>
    <xf numFmtId="0" fontId="29" fillId="6" borderId="9" xfId="0" applyFont="1" applyFill="1" applyBorder="1" applyAlignment="1" applyProtection="1">
      <alignment horizontal="center"/>
      <protection locked="0"/>
    </xf>
    <xf numFmtId="0" fontId="4" fillId="2" borderId="10" xfId="0" applyFont="1" applyFill="1" applyBorder="1" applyAlignment="1">
      <alignment horizontal="center"/>
    </xf>
    <xf numFmtId="0" fontId="4" fillId="2" borderId="15" xfId="0" applyFont="1" applyFill="1" applyBorder="1" applyAlignment="1">
      <alignment horizontal="center"/>
    </xf>
    <xf numFmtId="0" fontId="4" fillId="2" borderId="11" xfId="0" applyFont="1" applyFill="1" applyBorder="1" applyAlignment="1">
      <alignment horizontal="center"/>
    </xf>
    <xf numFmtId="0" fontId="4" fillId="6" borderId="10" xfId="0" applyFont="1" applyFill="1" applyBorder="1" applyAlignment="1" applyProtection="1">
      <alignment horizontal="left" vertical="center"/>
      <protection locked="0"/>
    </xf>
    <xf numFmtId="0" fontId="4" fillId="6" borderId="15" xfId="0" applyFont="1" applyFill="1" applyBorder="1" applyAlignment="1" applyProtection="1">
      <alignment horizontal="left" vertical="center"/>
      <protection locked="0"/>
    </xf>
    <xf numFmtId="0" fontId="4" fillId="6" borderId="11" xfId="0" applyFont="1" applyFill="1" applyBorder="1" applyAlignment="1" applyProtection="1">
      <alignment horizontal="left" vertical="center"/>
      <protection locked="0"/>
    </xf>
    <xf numFmtId="0" fontId="4" fillId="2" borderId="1" xfId="0" applyFont="1" applyFill="1" applyBorder="1" applyAlignment="1">
      <alignment horizontal="center"/>
    </xf>
    <xf numFmtId="0" fontId="5" fillId="0" borderId="0"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8" fillId="0" borderId="1" xfId="16" applyFont="1" applyBorder="1" applyAlignment="1">
      <alignment vertical="center" wrapText="1"/>
    </xf>
    <xf numFmtId="0" fontId="8" fillId="0" borderId="10" xfId="16" applyFont="1" applyFill="1" applyBorder="1" applyAlignment="1" applyProtection="1">
      <alignment horizontal="left" wrapText="1"/>
    </xf>
    <xf numFmtId="0" fontId="8" fillId="0" borderId="11" xfId="16" applyFont="1" applyFill="1" applyBorder="1" applyAlignment="1" applyProtection="1">
      <alignment horizontal="left" wrapText="1"/>
    </xf>
    <xf numFmtId="0" fontId="7" fillId="3" borderId="1" xfId="16" applyFont="1" applyFill="1" applyBorder="1" applyAlignment="1">
      <alignment horizontal="center" wrapText="1"/>
    </xf>
    <xf numFmtId="0" fontId="8" fillId="0" borderId="1" xfId="16" applyFont="1" applyBorder="1" applyAlignment="1">
      <alignment vertical="center"/>
    </xf>
    <xf numFmtId="0" fontId="7" fillId="3" borderId="1" xfId="16" applyFont="1" applyFill="1" applyBorder="1" applyAlignment="1">
      <alignment horizontal="center" vertical="center" wrapText="1"/>
    </xf>
    <xf numFmtId="0" fontId="7" fillId="7" borderId="16" xfId="16" applyFont="1" applyFill="1" applyBorder="1" applyAlignment="1">
      <alignment horizontal="center" vertical="center"/>
    </xf>
    <xf numFmtId="0" fontId="7" fillId="7" borderId="17" xfId="16" applyFont="1" applyFill="1" applyBorder="1" applyAlignment="1">
      <alignment horizontal="center" vertical="center"/>
    </xf>
    <xf numFmtId="0" fontId="7" fillId="7" borderId="18" xfId="16" applyFont="1" applyFill="1" applyBorder="1" applyAlignment="1">
      <alignment horizontal="center" vertical="center"/>
    </xf>
    <xf numFmtId="0" fontId="7" fillId="7" borderId="26" xfId="16" applyFont="1" applyFill="1" applyBorder="1" applyAlignment="1">
      <alignment horizontal="center" vertical="center"/>
    </xf>
    <xf numFmtId="0" fontId="7" fillId="7" borderId="27" xfId="16" applyFont="1" applyFill="1" applyBorder="1" applyAlignment="1">
      <alignment horizontal="center" vertical="center"/>
    </xf>
    <xf numFmtId="0" fontId="7" fillId="7" borderId="28" xfId="16" applyFont="1" applyFill="1" applyBorder="1" applyAlignment="1">
      <alignment horizontal="center" vertical="center"/>
    </xf>
    <xf numFmtId="0" fontId="8" fillId="0" borderId="1" xfId="16" applyFont="1" applyBorder="1" applyAlignment="1">
      <alignment horizontal="left" wrapText="1"/>
    </xf>
    <xf numFmtId="0" fontId="8" fillId="3" borderId="2" xfId="16" applyFont="1" applyFill="1" applyBorder="1" applyAlignment="1">
      <alignment horizontal="center"/>
    </xf>
    <xf numFmtId="0" fontId="8" fillId="3" borderId="15" xfId="16" applyFont="1" applyFill="1" applyBorder="1" applyAlignment="1">
      <alignment horizontal="center"/>
    </xf>
    <xf numFmtId="0" fontId="8" fillId="3" borderId="11" xfId="16" applyFont="1" applyFill="1" applyBorder="1" applyAlignment="1">
      <alignment horizontal="center"/>
    </xf>
    <xf numFmtId="0" fontId="8" fillId="3" borderId="5" xfId="2" applyFont="1" applyFill="1" applyBorder="1" applyAlignment="1">
      <alignment horizontal="center"/>
    </xf>
    <xf numFmtId="0" fontId="8" fillId="3" borderId="15" xfId="2" applyFont="1" applyFill="1" applyBorder="1" applyAlignment="1">
      <alignment horizontal="center"/>
    </xf>
    <xf numFmtId="0" fontId="8" fillId="3" borderId="11" xfId="2" applyFont="1" applyFill="1" applyBorder="1" applyAlignment="1">
      <alignment horizontal="center"/>
    </xf>
    <xf numFmtId="0" fontId="8" fillId="0" borderId="22" xfId="16" applyFont="1" applyBorder="1" applyAlignment="1">
      <alignment horizontal="center" vertical="center"/>
    </xf>
    <xf numFmtId="0" fontId="8" fillId="0" borderId="23" xfId="16" applyFont="1" applyBorder="1" applyAlignment="1">
      <alignment horizontal="center" vertical="center"/>
    </xf>
    <xf numFmtId="0" fontId="8" fillId="0" borderId="24" xfId="16" applyFont="1" applyBorder="1" applyAlignment="1">
      <alignment horizontal="center" vertical="center"/>
    </xf>
    <xf numFmtId="0" fontId="8" fillId="0" borderId="10" xfId="16" applyFont="1" applyBorder="1" applyAlignment="1">
      <alignment horizontal="left" vertical="center" wrapText="1"/>
    </xf>
    <xf numFmtId="0" fontId="8" fillId="0" borderId="11" xfId="16" applyFont="1" applyBorder="1" applyAlignment="1">
      <alignment horizontal="left" vertical="center" wrapText="1"/>
    </xf>
    <xf numFmtId="0" fontId="8" fillId="5" borderId="10" xfId="16" applyFont="1" applyFill="1" applyBorder="1" applyAlignment="1" applyProtection="1">
      <alignment horizontal="left" wrapText="1"/>
      <protection locked="0"/>
    </xf>
    <xf numFmtId="0" fontId="8" fillId="5" borderId="11" xfId="16" applyFont="1" applyFill="1" applyBorder="1" applyAlignment="1" applyProtection="1">
      <alignment horizontal="left" wrapText="1"/>
      <protection locked="0"/>
    </xf>
    <xf numFmtId="0" fontId="7" fillId="5" borderId="1" xfId="16" applyFont="1" applyFill="1" applyBorder="1" applyAlignment="1" applyProtection="1">
      <protection locked="0"/>
    </xf>
    <xf numFmtId="0" fontId="7" fillId="0" borderId="8" xfId="16" applyFont="1" applyBorder="1" applyAlignment="1">
      <alignment horizontal="left" vertical="center" wrapText="1"/>
    </xf>
    <xf numFmtId="0" fontId="7" fillId="0" borderId="1" xfId="16" applyFont="1" applyBorder="1" applyAlignment="1">
      <alignment horizontal="center" vertical="center" wrapText="1"/>
    </xf>
    <xf numFmtId="0" fontId="7" fillId="0" borderId="8" xfId="16" applyFont="1" applyBorder="1" applyAlignment="1">
      <alignment horizontal="left" vertical="top" wrapText="1"/>
    </xf>
    <xf numFmtId="0" fontId="8" fillId="0" borderId="1" xfId="16" applyFont="1" applyBorder="1" applyAlignment="1">
      <alignment horizontal="left" vertical="center" wrapText="1"/>
    </xf>
    <xf numFmtId="0" fontId="7" fillId="0" borderId="8" xfId="16" applyFont="1" applyFill="1" applyBorder="1" applyAlignment="1">
      <alignment horizontal="left" vertical="center" wrapText="1"/>
    </xf>
    <xf numFmtId="0" fontId="7" fillId="3" borderId="22" xfId="16" applyFont="1" applyFill="1" applyBorder="1" applyAlignment="1">
      <alignment horizontal="center" vertical="center"/>
    </xf>
    <xf numFmtId="0" fontId="7" fillId="3" borderId="24" xfId="16" applyFont="1" applyFill="1" applyBorder="1" applyAlignment="1">
      <alignment horizontal="center" vertical="center"/>
    </xf>
    <xf numFmtId="0" fontId="7" fillId="3" borderId="2" xfId="16" applyFont="1" applyFill="1" applyBorder="1" applyAlignment="1">
      <alignment horizontal="center" vertical="center" wrapText="1"/>
    </xf>
    <xf numFmtId="0" fontId="7" fillId="3" borderId="4" xfId="16" applyFont="1" applyFill="1" applyBorder="1" applyAlignment="1">
      <alignment horizontal="center" vertical="center" wrapText="1"/>
    </xf>
    <xf numFmtId="0" fontId="7" fillId="3" borderId="7" xfId="16" applyFont="1" applyFill="1" applyBorder="1" applyAlignment="1">
      <alignment horizontal="center" vertical="center" wrapText="1"/>
    </xf>
    <xf numFmtId="0" fontId="7" fillId="3" borderId="9" xfId="16" applyFont="1" applyFill="1" applyBorder="1" applyAlignment="1">
      <alignment horizontal="center" vertical="center" wrapText="1"/>
    </xf>
    <xf numFmtId="0" fontId="8" fillId="0" borderId="1" xfId="2" applyFont="1" applyFill="1" applyBorder="1" applyAlignment="1">
      <alignment horizontal="left" vertical="top" wrapText="1"/>
    </xf>
    <xf numFmtId="0" fontId="7" fillId="0" borderId="1" xfId="2" applyFont="1" applyFill="1" applyBorder="1" applyAlignment="1">
      <alignment horizontal="left" vertical="top" wrapText="1"/>
    </xf>
    <xf numFmtId="0" fontId="7" fillId="0" borderId="8" xfId="2" applyFont="1" applyFill="1" applyBorder="1" applyAlignment="1">
      <alignment horizontal="left" vertical="top" wrapText="1"/>
    </xf>
    <xf numFmtId="0" fontId="7" fillId="3" borderId="1" xfId="2" applyFont="1" applyFill="1" applyBorder="1" applyAlignment="1">
      <alignment horizontal="center" wrapText="1"/>
    </xf>
    <xf numFmtId="0" fontId="7" fillId="6" borderId="21" xfId="16" applyFont="1" applyFill="1" applyBorder="1" applyAlignment="1" applyProtection="1">
      <protection locked="0"/>
    </xf>
    <xf numFmtId="0" fontId="7" fillId="6" borderId="1" xfId="16" applyFont="1" applyFill="1" applyBorder="1" applyAlignment="1" applyProtection="1">
      <protection locked="0"/>
    </xf>
    <xf numFmtId="0" fontId="7" fillId="3" borderId="2" xfId="16" applyFont="1" applyFill="1" applyBorder="1" applyAlignment="1">
      <alignment horizontal="left" vertical="top" wrapText="1"/>
    </xf>
    <xf numFmtId="0" fontId="7" fillId="3" borderId="4" xfId="16" applyFont="1" applyFill="1" applyBorder="1" applyAlignment="1">
      <alignment horizontal="left" vertical="top" wrapText="1"/>
    </xf>
    <xf numFmtId="0" fontId="7" fillId="3" borderId="5" xfId="16" applyFont="1" applyFill="1" applyBorder="1" applyAlignment="1">
      <alignment horizontal="left" vertical="top" wrapText="1"/>
    </xf>
    <xf numFmtId="0" fontId="7" fillId="3" borderId="6" xfId="16" applyFont="1" applyFill="1" applyBorder="1" applyAlignment="1">
      <alignment horizontal="left" vertical="top" wrapText="1"/>
    </xf>
    <xf numFmtId="0" fontId="7" fillId="0" borderId="1" xfId="2" applyFont="1" applyFill="1" applyBorder="1" applyAlignment="1">
      <alignment horizontal="center" wrapText="1"/>
    </xf>
    <xf numFmtId="0" fontId="8" fillId="0" borderId="1" xfId="16" applyFont="1" applyFill="1" applyBorder="1" applyAlignment="1">
      <alignment horizontal="left" vertical="center" wrapText="1"/>
    </xf>
    <xf numFmtId="0" fontId="7" fillId="0" borderId="1" xfId="16" applyFont="1" applyFill="1" applyBorder="1" applyAlignment="1">
      <alignment horizontal="center" vertical="center" wrapText="1"/>
    </xf>
    <xf numFmtId="0" fontId="7" fillId="0" borderId="8" xfId="16" applyFont="1" applyFill="1" applyBorder="1" applyAlignment="1">
      <alignment horizontal="left" wrapText="1"/>
    </xf>
    <xf numFmtId="0" fontId="8" fillId="0" borderId="1" xfId="16" applyFont="1" applyFill="1" applyBorder="1" applyAlignment="1">
      <alignment horizontal="left" vertical="top" wrapText="1"/>
    </xf>
    <xf numFmtId="0" fontId="7" fillId="0" borderId="1" xfId="16" applyFont="1" applyFill="1" applyBorder="1" applyAlignment="1">
      <alignment horizontal="center" wrapText="1"/>
    </xf>
    <xf numFmtId="0" fontId="7" fillId="0" borderId="8" xfId="16" applyFont="1" applyFill="1" applyBorder="1" applyAlignment="1">
      <alignment horizontal="left" vertical="top" wrapText="1"/>
    </xf>
    <xf numFmtId="0" fontId="8" fillId="6" borderId="10" xfId="16" applyFont="1" applyFill="1" applyBorder="1" applyAlignment="1" applyProtection="1">
      <alignment horizontal="left" wrapText="1"/>
      <protection locked="0"/>
    </xf>
    <xf numFmtId="0" fontId="8" fillId="6" borderId="11" xfId="16" applyFont="1" applyFill="1" applyBorder="1" applyAlignment="1" applyProtection="1">
      <alignment horizontal="left" wrapText="1"/>
      <protection locked="0"/>
    </xf>
    <xf numFmtId="0" fontId="8" fillId="5" borderId="1" xfId="14" applyFont="1" applyFill="1" applyBorder="1" applyAlignment="1" applyProtection="1">
      <alignment horizontal="center" vertical="center"/>
      <protection locked="0"/>
    </xf>
    <xf numFmtId="0" fontId="8" fillId="5" borderId="10" xfId="14" applyFont="1" applyFill="1" applyBorder="1" applyAlignment="1" applyProtection="1">
      <alignment horizontal="center" vertical="center"/>
      <protection locked="0"/>
    </xf>
    <xf numFmtId="0" fontId="8" fillId="5" borderId="15" xfId="14" applyFont="1" applyFill="1" applyBorder="1" applyAlignment="1" applyProtection="1">
      <alignment horizontal="center" vertical="center"/>
      <protection locked="0"/>
    </xf>
    <xf numFmtId="0" fontId="8" fillId="5" borderId="11" xfId="14" applyFont="1" applyFill="1" applyBorder="1" applyAlignment="1" applyProtection="1">
      <alignment horizontal="center" vertical="center"/>
      <protection locked="0"/>
    </xf>
    <xf numFmtId="0" fontId="8" fillId="0" borderId="10" xfId="14" applyFont="1" applyBorder="1" applyAlignment="1">
      <alignment horizontal="center" vertical="center"/>
    </xf>
    <xf numFmtId="0" fontId="8" fillId="0" borderId="15" xfId="14" applyFont="1" applyBorder="1" applyAlignment="1">
      <alignment horizontal="center" vertical="center"/>
    </xf>
    <xf numFmtId="0" fontId="8" fillId="0" borderId="11" xfId="14" applyFont="1" applyBorder="1" applyAlignment="1">
      <alignment horizontal="center" vertical="center"/>
    </xf>
    <xf numFmtId="0" fontId="8" fillId="0" borderId="2" xfId="14" applyFont="1" applyBorder="1" applyAlignment="1">
      <alignment horizontal="center" vertical="center"/>
    </xf>
    <xf numFmtId="0" fontId="8" fillId="0" borderId="3" xfId="14" applyFont="1" applyBorder="1" applyAlignment="1">
      <alignment horizontal="center" vertical="center"/>
    </xf>
    <xf numFmtId="0" fontId="8" fillId="0" borderId="4" xfId="14" applyFont="1" applyBorder="1" applyAlignment="1">
      <alignment horizontal="center" vertical="center"/>
    </xf>
    <xf numFmtId="0" fontId="8" fillId="0" borderId="5" xfId="14" applyFont="1" applyBorder="1" applyAlignment="1">
      <alignment horizontal="center" vertical="center"/>
    </xf>
    <xf numFmtId="0" fontId="8" fillId="0" borderId="0" xfId="14" applyFont="1" applyBorder="1" applyAlignment="1">
      <alignment horizontal="center" vertical="center"/>
    </xf>
    <xf numFmtId="0" fontId="8" fillId="0" borderId="6" xfId="14" applyFont="1" applyBorder="1" applyAlignment="1">
      <alignment horizontal="center" vertical="center"/>
    </xf>
    <xf numFmtId="0" fontId="8" fillId="0" borderId="7" xfId="14" applyFont="1" applyBorder="1" applyAlignment="1">
      <alignment horizontal="center" vertical="center"/>
    </xf>
    <xf numFmtId="0" fontId="8" fillId="0" borderId="8" xfId="14" applyFont="1" applyBorder="1" applyAlignment="1">
      <alignment horizontal="center" vertical="center"/>
    </xf>
    <xf numFmtId="0" fontId="8" fillId="0" borderId="9" xfId="14" applyFont="1" applyBorder="1" applyAlignment="1">
      <alignment horizontal="center" vertical="center"/>
    </xf>
    <xf numFmtId="0" fontId="8" fillId="0" borderId="12" xfId="14" applyFont="1" applyBorder="1" applyAlignment="1">
      <alignment horizontal="center" vertical="center"/>
    </xf>
    <xf numFmtId="0" fontId="8" fillId="0" borderId="14" xfId="14" applyFont="1" applyBorder="1" applyAlignment="1">
      <alignment horizontal="center" vertical="center"/>
    </xf>
    <xf numFmtId="0" fontId="8" fillId="0" borderId="13" xfId="14" applyFont="1" applyBorder="1" applyAlignment="1">
      <alignment horizontal="center" vertical="center"/>
    </xf>
    <xf numFmtId="0" fontId="7" fillId="0" borderId="1" xfId="14" applyFont="1" applyBorder="1" applyAlignment="1">
      <alignment horizontal="left" vertical="center"/>
    </xf>
    <xf numFmtId="0" fontId="7" fillId="0" borderId="1" xfId="14" applyFont="1" applyBorder="1" applyAlignment="1">
      <alignment horizontal="center" vertical="center"/>
    </xf>
    <xf numFmtId="0" fontId="8" fillId="0" borderId="1" xfId="14" applyFont="1" applyBorder="1" applyAlignment="1">
      <alignment horizontal="left" vertical="center"/>
    </xf>
  </cellXfs>
  <cellStyles count="24">
    <cellStyle name="Comma [0]" xfId="1" builtinId="6"/>
    <cellStyle name="Comma [0] 2" xfId="3" xr:uid="{00000000-0005-0000-0000-000001000000}"/>
    <cellStyle name="Comma [0] 2 2" xfId="5" xr:uid="{00000000-0005-0000-0000-000002000000}"/>
    <cellStyle name="Comma [0] 2 2 2" xfId="22" xr:uid="{00000000-0005-0000-0000-000003000000}"/>
    <cellStyle name="Comma [0] 3" xfId="6" xr:uid="{00000000-0005-0000-0000-000004000000}"/>
    <cellStyle name="Comma [0] 4" xfId="7" xr:uid="{00000000-0005-0000-0000-000005000000}"/>
    <cellStyle name="Comma [0] 5" xfId="8" xr:uid="{00000000-0005-0000-0000-000006000000}"/>
    <cellStyle name="Comma 2" xfId="9" xr:uid="{00000000-0005-0000-0000-000007000000}"/>
    <cellStyle name="Comma 2 2" xfId="10" xr:uid="{00000000-0005-0000-0000-000008000000}"/>
    <cellStyle name="Comma 2 2 2" xfId="23" xr:uid="{00000000-0005-0000-0000-000009000000}"/>
    <cellStyle name="Comma 2 3" xfId="11" xr:uid="{00000000-0005-0000-0000-00000A000000}"/>
    <cellStyle name="Currency 2" xfId="4" xr:uid="{00000000-0005-0000-0000-00000B000000}"/>
    <cellStyle name="Hyperlink 2" xfId="12" xr:uid="{00000000-0005-0000-0000-00000C000000}"/>
    <cellStyle name="Normal" xfId="0" builtinId="0"/>
    <cellStyle name="Normal 10" xfId="20" xr:uid="{00000000-0005-0000-0000-00000E000000}"/>
    <cellStyle name="Normal 2" xfId="2" xr:uid="{00000000-0005-0000-0000-00000F000000}"/>
    <cellStyle name="Normal 2 5" xfId="13" xr:uid="{00000000-0005-0000-0000-000010000000}"/>
    <cellStyle name="Normal 3" xfId="14" xr:uid="{00000000-0005-0000-0000-000011000000}"/>
    <cellStyle name="Normal 3 2" xfId="18" xr:uid="{00000000-0005-0000-0000-000012000000}"/>
    <cellStyle name="Normal 3 3" xfId="21" xr:uid="{00000000-0005-0000-0000-000013000000}"/>
    <cellStyle name="Normal 4" xfId="15" xr:uid="{00000000-0005-0000-0000-000014000000}"/>
    <cellStyle name="Normal 4 2" xfId="19" xr:uid="{00000000-0005-0000-0000-000015000000}"/>
    <cellStyle name="Normal 5" xfId="16" xr:uid="{00000000-0005-0000-0000-000016000000}"/>
    <cellStyle name="Percent 2" xfId="17"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sikap.bpk.go.id/Kantor/Details/6ad11226-827e-4876-b12c-4246eed94aab" TargetMode="External"/><Relationship Id="rId7" Type="http://schemas.openxmlformats.org/officeDocument/2006/relationships/hyperlink" Target="https://sikap.bpk.go.id/Kantor/Details/6ad11226-827e-4876-b12c-4246eed94aab" TargetMode="External"/><Relationship Id="rId2" Type="http://schemas.openxmlformats.org/officeDocument/2006/relationships/hyperlink" Target="https://sikap.bpk.go.id/Kantor/Details/6ad11226-827e-4876-b12c-4246eed94aab" TargetMode="External"/><Relationship Id="rId1" Type="http://schemas.openxmlformats.org/officeDocument/2006/relationships/hyperlink" Target="https://sikap.bpk.go.id/Kantor/Details/6ad11226-827e-4876-b12c-4246eed94aab" TargetMode="External"/><Relationship Id="rId6" Type="http://schemas.openxmlformats.org/officeDocument/2006/relationships/hyperlink" Target="https://sikap.bpk.go.id/Kantor/Details/6ad11226-827e-4876-b12c-4246eed94aab" TargetMode="External"/><Relationship Id="rId5" Type="http://schemas.openxmlformats.org/officeDocument/2006/relationships/hyperlink" Target="https://sikap.bpk.go.id/Kantor/Details/6ad11226-827e-4876-b12c-4246eed94aab" TargetMode="External"/><Relationship Id="rId4" Type="http://schemas.openxmlformats.org/officeDocument/2006/relationships/hyperlink" Target="https://sikap.bpk.go.id/Kantor/Details/6ad11226-827e-4876-b12c-4246eed94aab" TargetMode="External"/><Relationship Id="rId9"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2.bin"/><Relationship Id="rId3" Type="http://schemas.openxmlformats.org/officeDocument/2006/relationships/hyperlink" Target="https://sikap.bpk.go.id/Kantor/Details/6ad11226-827e-4876-b12c-4246eed94aab" TargetMode="External"/><Relationship Id="rId7" Type="http://schemas.openxmlformats.org/officeDocument/2006/relationships/printerSettings" Target="../printerSettings/printerSettings2.bin"/><Relationship Id="rId2" Type="http://schemas.openxmlformats.org/officeDocument/2006/relationships/hyperlink" Target="https://sikap.bpk.go.id/Kantor/Details/6ad11226-827e-4876-b12c-4246eed94aab" TargetMode="External"/><Relationship Id="rId1" Type="http://schemas.openxmlformats.org/officeDocument/2006/relationships/hyperlink" Target="https://sikap.bpk.go.id/Kantor/Details/6ad11226-827e-4876-b12c-4246eed94aab" TargetMode="External"/><Relationship Id="rId6" Type="http://schemas.openxmlformats.org/officeDocument/2006/relationships/hyperlink" Target="https://sikap.bpk.go.id/Kantor/Details/6ad11226-827e-4876-b12c-4246eed94aab" TargetMode="External"/><Relationship Id="rId5" Type="http://schemas.openxmlformats.org/officeDocument/2006/relationships/hyperlink" Target="https://sikap.bpk.go.id/Kantor/Details/6ad11226-827e-4876-b12c-4246eed94aab" TargetMode="External"/><Relationship Id="rId4" Type="http://schemas.openxmlformats.org/officeDocument/2006/relationships/hyperlink" Target="https://sikap.bpk.go.id/Kantor/Details/6ad11226-827e-4876-b12c-4246eed94aab" TargetMode="Externa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10.bin"/><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8"/>
  <sheetViews>
    <sheetView topLeftCell="A9" workbookViewId="0">
      <selection activeCell="H13" sqref="H13:M15"/>
    </sheetView>
  </sheetViews>
  <sheetFormatPr defaultColWidth="8.77734375" defaultRowHeight="10.8" x14ac:dyDescent="0.25"/>
  <cols>
    <col min="1" max="1" width="3" style="1" bestFit="1" customWidth="1"/>
    <col min="2" max="2" width="26.5546875" style="3" customWidth="1"/>
    <col min="3" max="4" width="11.77734375" style="4" customWidth="1"/>
    <col min="5" max="5" width="12.5546875" style="4" customWidth="1"/>
    <col min="6" max="6" width="11.5546875" style="1" customWidth="1"/>
    <col min="7" max="8" width="11.77734375" style="1" customWidth="1"/>
    <col min="9" max="9" width="16" style="1" customWidth="1"/>
    <col min="10" max="10" width="12" style="1" customWidth="1"/>
    <col min="11" max="11" width="10.21875" style="1" customWidth="1"/>
    <col min="12" max="12" width="21" style="1" customWidth="1"/>
    <col min="13" max="13" width="20.5546875" style="1" customWidth="1"/>
    <col min="14" max="14" width="8.77734375" style="1"/>
    <col min="15" max="16384" width="8.77734375" style="3"/>
  </cols>
  <sheetData>
    <row r="1" spans="1:13" ht="46.5" customHeight="1" x14ac:dyDescent="0.3">
      <c r="A1" s="447" t="s">
        <v>51</v>
      </c>
      <c r="B1" s="448"/>
      <c r="C1" s="448"/>
      <c r="D1" s="448"/>
      <c r="E1" s="448"/>
      <c r="F1" s="448"/>
      <c r="G1" s="448"/>
      <c r="H1" s="448"/>
      <c r="I1" s="448"/>
      <c r="J1" s="448"/>
      <c r="K1" s="448"/>
      <c r="L1" s="448"/>
      <c r="M1" s="448"/>
    </row>
    <row r="2" spans="1:13" ht="12" x14ac:dyDescent="0.3">
      <c r="A2" s="2" t="s">
        <v>0</v>
      </c>
    </row>
    <row r="3" spans="1:13" ht="12" x14ac:dyDescent="0.25">
      <c r="A3" s="449" t="s">
        <v>1</v>
      </c>
      <c r="B3" s="449" t="s">
        <v>2</v>
      </c>
      <c r="C3" s="450" t="s">
        <v>3</v>
      </c>
      <c r="D3" s="450" t="s">
        <v>4</v>
      </c>
      <c r="E3" s="450"/>
      <c r="F3" s="450"/>
      <c r="G3" s="450" t="s">
        <v>5</v>
      </c>
      <c r="H3" s="450" t="s">
        <v>6</v>
      </c>
      <c r="I3" s="450" t="s">
        <v>7</v>
      </c>
      <c r="J3" s="450" t="s">
        <v>8</v>
      </c>
      <c r="K3" s="450"/>
      <c r="L3" s="449" t="s">
        <v>9</v>
      </c>
      <c r="M3" s="449" t="s">
        <v>10</v>
      </c>
    </row>
    <row r="4" spans="1:13" ht="36" x14ac:dyDescent="0.25">
      <c r="A4" s="449"/>
      <c r="B4" s="449"/>
      <c r="C4" s="450"/>
      <c r="D4" s="5" t="s">
        <v>11</v>
      </c>
      <c r="E4" s="5" t="s">
        <v>12</v>
      </c>
      <c r="F4" s="5" t="s">
        <v>13</v>
      </c>
      <c r="G4" s="450"/>
      <c r="H4" s="450"/>
      <c r="I4" s="450"/>
      <c r="J4" s="5" t="s">
        <v>14</v>
      </c>
      <c r="K4" s="5" t="s">
        <v>15</v>
      </c>
      <c r="L4" s="449"/>
      <c r="M4" s="449"/>
    </row>
    <row r="5" spans="1:13" ht="13.05" customHeight="1" x14ac:dyDescent="0.25">
      <c r="A5" s="6">
        <v>1</v>
      </c>
      <c r="B5" s="7" t="s">
        <v>52</v>
      </c>
      <c r="C5" s="8" t="s">
        <v>16</v>
      </c>
      <c r="D5" s="8" t="s">
        <v>16</v>
      </c>
      <c r="E5" s="8" t="s">
        <v>16</v>
      </c>
      <c r="F5" s="8" t="s">
        <v>16</v>
      </c>
      <c r="G5" s="8" t="s">
        <v>16</v>
      </c>
      <c r="H5" s="8" t="s">
        <v>16</v>
      </c>
      <c r="I5" s="8" t="s">
        <v>16</v>
      </c>
      <c r="J5" s="8" t="s">
        <v>16</v>
      </c>
      <c r="K5" s="8" t="s">
        <v>16</v>
      </c>
      <c r="L5" s="9" t="s">
        <v>16</v>
      </c>
      <c r="M5" s="9"/>
    </row>
    <row r="6" spans="1:13" x14ac:dyDescent="0.25">
      <c r="A6" s="6">
        <v>2</v>
      </c>
      <c r="B6" s="7" t="s">
        <v>53</v>
      </c>
      <c r="C6" s="8" t="s">
        <v>16</v>
      </c>
      <c r="D6" s="8" t="s">
        <v>16</v>
      </c>
      <c r="E6" s="8" t="s">
        <v>16</v>
      </c>
      <c r="F6" s="8" t="s">
        <v>16</v>
      </c>
      <c r="G6" s="8" t="s">
        <v>16</v>
      </c>
      <c r="H6" s="8" t="s">
        <v>16</v>
      </c>
      <c r="I6" s="8" t="s">
        <v>16</v>
      </c>
      <c r="J6" s="8" t="s">
        <v>16</v>
      </c>
      <c r="K6" s="8" t="s">
        <v>16</v>
      </c>
      <c r="L6" s="6" t="s">
        <v>16</v>
      </c>
      <c r="M6" s="9" t="s">
        <v>17</v>
      </c>
    </row>
    <row r="7" spans="1:13" x14ac:dyDescent="0.25">
      <c r="A7" s="6">
        <v>3</v>
      </c>
      <c r="B7" s="16" t="s">
        <v>18</v>
      </c>
      <c r="C7" s="8" t="s">
        <v>16</v>
      </c>
      <c r="D7" s="8" t="s">
        <v>16</v>
      </c>
      <c r="E7" s="8" t="s">
        <v>16</v>
      </c>
      <c r="F7" s="8" t="s">
        <v>16</v>
      </c>
      <c r="G7" s="8" t="s">
        <v>16</v>
      </c>
      <c r="H7" s="8" t="s">
        <v>16</v>
      </c>
      <c r="I7" s="8" t="s">
        <v>16</v>
      </c>
      <c r="J7" s="8" t="s">
        <v>16</v>
      </c>
      <c r="K7" s="8" t="s">
        <v>16</v>
      </c>
      <c r="L7" s="6" t="s">
        <v>16</v>
      </c>
      <c r="M7" s="9" t="s">
        <v>17</v>
      </c>
    </row>
    <row r="8" spans="1:13" x14ac:dyDescent="0.25">
      <c r="C8" s="10"/>
      <c r="D8" s="10"/>
      <c r="E8" s="10"/>
      <c r="F8" s="11"/>
      <c r="G8" s="11"/>
    </row>
    <row r="9" spans="1:13" ht="12" x14ac:dyDescent="0.3">
      <c r="A9" s="2" t="s">
        <v>19</v>
      </c>
      <c r="C9" s="10"/>
      <c r="D9" s="10"/>
      <c r="E9" s="10"/>
      <c r="F9" s="11"/>
      <c r="G9" s="11"/>
    </row>
    <row r="10" spans="1:13" ht="12" x14ac:dyDescent="0.3">
      <c r="A10" s="12" t="s">
        <v>20</v>
      </c>
      <c r="B10" s="13" t="s">
        <v>21</v>
      </c>
      <c r="C10" s="10"/>
      <c r="D10" s="10"/>
      <c r="E10" s="10"/>
      <c r="F10" s="11"/>
      <c r="G10" s="11"/>
    </row>
    <row r="11" spans="1:13" ht="12" x14ac:dyDescent="0.25">
      <c r="A11" s="449" t="s">
        <v>1</v>
      </c>
      <c r="B11" s="449" t="s">
        <v>2</v>
      </c>
      <c r="C11" s="450" t="s">
        <v>22</v>
      </c>
      <c r="D11" s="450" t="s">
        <v>23</v>
      </c>
      <c r="E11" s="450"/>
      <c r="F11" s="450" t="s">
        <v>24</v>
      </c>
      <c r="G11" s="450"/>
      <c r="H11" s="450" t="s">
        <v>25</v>
      </c>
      <c r="I11" s="450"/>
      <c r="J11" s="450"/>
      <c r="K11" s="450"/>
      <c r="L11" s="450"/>
      <c r="M11" s="450"/>
    </row>
    <row r="12" spans="1:13" ht="12" x14ac:dyDescent="0.25">
      <c r="A12" s="449"/>
      <c r="B12" s="449"/>
      <c r="C12" s="450"/>
      <c r="D12" s="14" t="s">
        <v>26</v>
      </c>
      <c r="E12" s="14" t="s">
        <v>27</v>
      </c>
      <c r="F12" s="14" t="s">
        <v>26</v>
      </c>
      <c r="G12" s="14" t="s">
        <v>27</v>
      </c>
      <c r="H12" s="450"/>
      <c r="I12" s="450"/>
      <c r="J12" s="450"/>
      <c r="K12" s="450"/>
      <c r="L12" s="450"/>
      <c r="M12" s="450"/>
    </row>
    <row r="13" spans="1:13" ht="26.25" customHeight="1" x14ac:dyDescent="0.25">
      <c r="A13" s="6">
        <v>1</v>
      </c>
      <c r="B13" s="16" t="s">
        <v>52</v>
      </c>
      <c r="C13" s="15">
        <v>0.3</v>
      </c>
      <c r="D13" s="25">
        <v>85</v>
      </c>
      <c r="E13" s="25">
        <v>80</v>
      </c>
      <c r="F13" s="25">
        <f>D13*C13</f>
        <v>25.5</v>
      </c>
      <c r="G13" s="25">
        <f>E13*C13</f>
        <v>24</v>
      </c>
      <c r="H13" s="451" t="s">
        <v>54</v>
      </c>
      <c r="I13" s="451"/>
      <c r="J13" s="451"/>
      <c r="K13" s="451"/>
      <c r="L13" s="451"/>
      <c r="M13" s="451"/>
    </row>
    <row r="14" spans="1:13" ht="22.5" customHeight="1" x14ac:dyDescent="0.25">
      <c r="A14" s="6">
        <v>2</v>
      </c>
      <c r="B14" s="16" t="s">
        <v>53</v>
      </c>
      <c r="C14" s="15">
        <v>0.3</v>
      </c>
      <c r="D14" s="25">
        <v>85</v>
      </c>
      <c r="E14" s="25">
        <v>90</v>
      </c>
      <c r="F14" s="25">
        <f t="shared" ref="F14" si="0">D14*C14</f>
        <v>25.5</v>
      </c>
      <c r="G14" s="25">
        <f t="shared" ref="G14:G15" si="1">E14*C14</f>
        <v>27</v>
      </c>
      <c r="H14" s="451" t="s">
        <v>55</v>
      </c>
      <c r="I14" s="451"/>
      <c r="J14" s="451"/>
      <c r="K14" s="451"/>
      <c r="L14" s="451"/>
      <c r="M14" s="451"/>
    </row>
    <row r="15" spans="1:13" ht="24.6" customHeight="1" x14ac:dyDescent="0.25">
      <c r="A15" s="17">
        <v>3</v>
      </c>
      <c r="B15" s="7" t="s">
        <v>18</v>
      </c>
      <c r="C15" s="15">
        <v>0.3</v>
      </c>
      <c r="D15" s="26">
        <v>100</v>
      </c>
      <c r="E15" s="26">
        <f t="shared" ref="E15" si="2">D15</f>
        <v>100</v>
      </c>
      <c r="F15" s="26">
        <f>D15*C15</f>
        <v>30</v>
      </c>
      <c r="G15" s="25">
        <f t="shared" si="1"/>
        <v>30</v>
      </c>
      <c r="H15" s="451" t="s">
        <v>56</v>
      </c>
      <c r="I15" s="451"/>
      <c r="J15" s="451"/>
      <c r="K15" s="451"/>
      <c r="L15" s="451"/>
      <c r="M15" s="451"/>
    </row>
    <row r="16" spans="1:13" x14ac:dyDescent="0.25">
      <c r="C16" s="10"/>
      <c r="D16" s="10"/>
      <c r="E16" s="10"/>
      <c r="F16" s="11"/>
      <c r="G16" s="11"/>
    </row>
    <row r="17" spans="1:14" ht="12" x14ac:dyDescent="0.3">
      <c r="A17" s="12" t="s">
        <v>28</v>
      </c>
      <c r="B17" s="13" t="s">
        <v>29</v>
      </c>
      <c r="C17" s="10"/>
      <c r="D17" s="10"/>
      <c r="E17" s="10"/>
      <c r="F17" s="11"/>
      <c r="G17" s="11"/>
    </row>
    <row r="18" spans="1:14" ht="12" x14ac:dyDescent="0.25">
      <c r="A18" s="449" t="s">
        <v>1</v>
      </c>
      <c r="B18" s="449" t="s">
        <v>2</v>
      </c>
      <c r="C18" s="450" t="s">
        <v>22</v>
      </c>
      <c r="D18" s="450" t="s">
        <v>23</v>
      </c>
      <c r="E18" s="450"/>
      <c r="F18" s="450" t="s">
        <v>24</v>
      </c>
      <c r="G18" s="450"/>
      <c r="H18" s="450" t="s">
        <v>25</v>
      </c>
      <c r="I18" s="450"/>
      <c r="J18" s="450"/>
      <c r="K18" s="450"/>
      <c r="L18" s="450"/>
      <c r="M18" s="450"/>
    </row>
    <row r="19" spans="1:14" ht="12" x14ac:dyDescent="0.25">
      <c r="A19" s="449"/>
      <c r="B19" s="449"/>
      <c r="C19" s="450"/>
      <c r="D19" s="14" t="s">
        <v>26</v>
      </c>
      <c r="E19" s="14" t="s">
        <v>27</v>
      </c>
      <c r="F19" s="14" t="s">
        <v>26</v>
      </c>
      <c r="G19" s="14" t="s">
        <v>27</v>
      </c>
      <c r="H19" s="450"/>
      <c r="I19" s="450"/>
      <c r="J19" s="450"/>
      <c r="K19" s="450"/>
      <c r="L19" s="450"/>
      <c r="M19" s="450"/>
    </row>
    <row r="20" spans="1:14" ht="26.25" customHeight="1" x14ac:dyDescent="0.25">
      <c r="A20" s="6">
        <v>1</v>
      </c>
      <c r="B20" s="16" t="s">
        <v>52</v>
      </c>
      <c r="C20" s="15">
        <v>0.3</v>
      </c>
      <c r="D20" s="25">
        <v>85</v>
      </c>
      <c r="E20" s="25">
        <v>80</v>
      </c>
      <c r="F20" s="25">
        <f>D20*C20</f>
        <v>25.5</v>
      </c>
      <c r="G20" s="25">
        <f>E20*C20</f>
        <v>24</v>
      </c>
      <c r="H20" s="451" t="s">
        <v>54</v>
      </c>
      <c r="I20" s="451"/>
      <c r="J20" s="451"/>
      <c r="K20" s="451"/>
      <c r="L20" s="451"/>
      <c r="M20" s="451"/>
    </row>
    <row r="21" spans="1:14" ht="23.1" customHeight="1" x14ac:dyDescent="0.25">
      <c r="A21" s="6">
        <v>2</v>
      </c>
      <c r="B21" s="16" t="s">
        <v>53</v>
      </c>
      <c r="C21" s="15">
        <v>0.3</v>
      </c>
      <c r="D21" s="25">
        <v>85</v>
      </c>
      <c r="E21" s="25">
        <v>90</v>
      </c>
      <c r="F21" s="25">
        <f t="shared" ref="F21" si="3">D21*C21</f>
        <v>25.5</v>
      </c>
      <c r="G21" s="25">
        <f t="shared" ref="G21:G22" si="4">E21*C21</f>
        <v>27</v>
      </c>
      <c r="H21" s="451" t="s">
        <v>55</v>
      </c>
      <c r="I21" s="451"/>
      <c r="J21" s="451"/>
      <c r="K21" s="451"/>
      <c r="L21" s="451"/>
      <c r="M21" s="451"/>
    </row>
    <row r="22" spans="1:14" ht="23.1" customHeight="1" x14ac:dyDescent="0.25">
      <c r="A22" s="17">
        <v>3</v>
      </c>
      <c r="B22" s="16" t="s">
        <v>18</v>
      </c>
      <c r="C22" s="15">
        <v>0.3</v>
      </c>
      <c r="D22" s="26">
        <v>100</v>
      </c>
      <c r="E22" s="26">
        <f t="shared" ref="E22" si="5">D22</f>
        <v>100</v>
      </c>
      <c r="F22" s="26">
        <f>D22*C22</f>
        <v>30</v>
      </c>
      <c r="G22" s="25">
        <f t="shared" si="4"/>
        <v>30</v>
      </c>
      <c r="H22" s="451" t="s">
        <v>57</v>
      </c>
      <c r="I22" s="451"/>
      <c r="J22" s="451"/>
      <c r="K22" s="451"/>
      <c r="L22" s="451"/>
      <c r="M22" s="451"/>
    </row>
    <row r="23" spans="1:14" x14ac:dyDescent="0.25">
      <c r="C23" s="10"/>
      <c r="D23" s="10"/>
      <c r="E23" s="10"/>
      <c r="F23" s="11"/>
      <c r="G23" s="11"/>
    </row>
    <row r="24" spans="1:14" ht="12" x14ac:dyDescent="0.3">
      <c r="A24" s="12" t="s">
        <v>30</v>
      </c>
      <c r="B24" s="13" t="s">
        <v>31</v>
      </c>
      <c r="C24" s="10"/>
      <c r="D24" s="10"/>
      <c r="E24" s="10"/>
      <c r="F24" s="11"/>
      <c r="G24" s="11"/>
    </row>
    <row r="25" spans="1:14" ht="12" x14ac:dyDescent="0.25">
      <c r="A25" s="449" t="s">
        <v>1</v>
      </c>
      <c r="B25" s="449" t="s">
        <v>2</v>
      </c>
      <c r="C25" s="450" t="s">
        <v>22</v>
      </c>
      <c r="D25" s="450" t="s">
        <v>23</v>
      </c>
      <c r="E25" s="450"/>
      <c r="F25" s="450" t="s">
        <v>24</v>
      </c>
      <c r="G25" s="450"/>
      <c r="H25" s="450" t="s">
        <v>25</v>
      </c>
      <c r="I25" s="450"/>
      <c r="J25" s="450"/>
      <c r="K25" s="450"/>
      <c r="L25" s="450"/>
      <c r="M25" s="450"/>
    </row>
    <row r="26" spans="1:14" ht="12" x14ac:dyDescent="0.25">
      <c r="A26" s="449"/>
      <c r="B26" s="449"/>
      <c r="C26" s="450"/>
      <c r="D26" s="14" t="s">
        <v>26</v>
      </c>
      <c r="E26" s="14" t="s">
        <v>27</v>
      </c>
      <c r="F26" s="14" t="s">
        <v>26</v>
      </c>
      <c r="G26" s="14" t="s">
        <v>27</v>
      </c>
      <c r="H26" s="450"/>
      <c r="I26" s="450"/>
      <c r="J26" s="450"/>
      <c r="K26" s="450"/>
      <c r="L26" s="450"/>
      <c r="M26" s="450"/>
    </row>
    <row r="27" spans="1:14" ht="25.5" customHeight="1" x14ac:dyDescent="0.25">
      <c r="A27" s="6">
        <v>1</v>
      </c>
      <c r="B27" s="16" t="s">
        <v>52</v>
      </c>
      <c r="C27" s="15">
        <v>0.3</v>
      </c>
      <c r="D27" s="25">
        <v>81</v>
      </c>
      <c r="E27" s="25">
        <v>50</v>
      </c>
      <c r="F27" s="25">
        <f>D27*C27</f>
        <v>24.3</v>
      </c>
      <c r="G27" s="25">
        <f>E27*C27</f>
        <v>15</v>
      </c>
      <c r="H27" s="451" t="s">
        <v>32</v>
      </c>
      <c r="I27" s="451"/>
      <c r="J27" s="451"/>
      <c r="K27" s="451"/>
      <c r="L27" s="451"/>
      <c r="M27" s="451"/>
    </row>
    <row r="28" spans="1:14" ht="25.05" customHeight="1" x14ac:dyDescent="0.25">
      <c r="A28" s="6">
        <v>2</v>
      </c>
      <c r="B28" s="16" t="s">
        <v>53</v>
      </c>
      <c r="C28" s="15">
        <v>0.3</v>
      </c>
      <c r="D28" s="25">
        <v>81</v>
      </c>
      <c r="E28" s="25">
        <v>50</v>
      </c>
      <c r="F28" s="25">
        <f t="shared" ref="F28" si="6">D28*C28</f>
        <v>24.3</v>
      </c>
      <c r="G28" s="25">
        <f t="shared" ref="G28:G29" si="7">E28*C28</f>
        <v>15</v>
      </c>
      <c r="H28" s="451" t="s">
        <v>32</v>
      </c>
      <c r="I28" s="451"/>
      <c r="J28" s="451"/>
      <c r="K28" s="451"/>
      <c r="L28" s="451"/>
      <c r="M28" s="451"/>
    </row>
    <row r="29" spans="1:14" ht="23.1" customHeight="1" x14ac:dyDescent="0.25">
      <c r="A29" s="17">
        <v>3</v>
      </c>
      <c r="B29" s="16" t="s">
        <v>18</v>
      </c>
      <c r="C29" s="15">
        <v>0.3</v>
      </c>
      <c r="D29" s="26">
        <v>85</v>
      </c>
      <c r="E29" s="25">
        <v>100</v>
      </c>
      <c r="F29" s="26">
        <f>D29*C29</f>
        <v>25.5</v>
      </c>
      <c r="G29" s="25">
        <f t="shared" si="7"/>
        <v>30</v>
      </c>
      <c r="H29" s="451" t="s">
        <v>32</v>
      </c>
      <c r="I29" s="451"/>
      <c r="J29" s="451"/>
      <c r="K29" s="451"/>
      <c r="L29" s="451"/>
      <c r="M29" s="451"/>
      <c r="N29" s="3"/>
    </row>
    <row r="30" spans="1:14" ht="23.1" customHeight="1" x14ac:dyDescent="0.25">
      <c r="A30" s="18"/>
      <c r="B30" s="19"/>
      <c r="C30" s="20"/>
      <c r="D30" s="21"/>
      <c r="E30" s="22"/>
      <c r="F30" s="22"/>
      <c r="G30" s="22"/>
      <c r="H30" s="19"/>
      <c r="I30" s="19"/>
      <c r="J30" s="19"/>
      <c r="K30" s="19"/>
      <c r="L30" s="19"/>
      <c r="M30" s="19"/>
      <c r="N30" s="3"/>
    </row>
    <row r="32" spans="1:14" ht="12" x14ac:dyDescent="0.3">
      <c r="A32" s="12" t="s">
        <v>33</v>
      </c>
      <c r="B32" s="13" t="s">
        <v>34</v>
      </c>
      <c r="N32" s="3"/>
    </row>
    <row r="33" spans="1:14" ht="12" x14ac:dyDescent="0.25">
      <c r="A33" s="449" t="s">
        <v>1</v>
      </c>
      <c r="B33" s="449" t="s">
        <v>2</v>
      </c>
      <c r="C33" s="450" t="s">
        <v>35</v>
      </c>
      <c r="D33" s="450"/>
      <c r="E33" s="450" t="s">
        <v>36</v>
      </c>
      <c r="F33" s="450"/>
      <c r="G33" s="450" t="s">
        <v>37</v>
      </c>
      <c r="H33" s="450"/>
      <c r="I33" s="450" t="s">
        <v>38</v>
      </c>
      <c r="J33" s="450"/>
      <c r="K33" s="450" t="s">
        <v>25</v>
      </c>
      <c r="L33" s="450"/>
      <c r="M33" s="450"/>
      <c r="N33" s="3"/>
    </row>
    <row r="34" spans="1:14" ht="24" x14ac:dyDescent="0.25">
      <c r="A34" s="449"/>
      <c r="B34" s="449"/>
      <c r="C34" s="5" t="s">
        <v>39</v>
      </c>
      <c r="D34" s="5" t="s">
        <v>40</v>
      </c>
      <c r="E34" s="5" t="s">
        <v>39</v>
      </c>
      <c r="F34" s="5" t="s">
        <v>40</v>
      </c>
      <c r="G34" s="5" t="s">
        <v>39</v>
      </c>
      <c r="H34" s="5" t="s">
        <v>40</v>
      </c>
      <c r="I34" s="5" t="s">
        <v>39</v>
      </c>
      <c r="J34" s="5" t="s">
        <v>41</v>
      </c>
      <c r="K34" s="5" t="s">
        <v>42</v>
      </c>
      <c r="L34" s="5" t="s">
        <v>43</v>
      </c>
      <c r="M34" s="5" t="s">
        <v>44</v>
      </c>
      <c r="N34" s="3"/>
    </row>
    <row r="35" spans="1:14" s="35" customFormat="1" x14ac:dyDescent="0.25">
      <c r="A35" s="25">
        <v>1</v>
      </c>
      <c r="B35" s="29" t="s">
        <v>52</v>
      </c>
      <c r="C35" s="27">
        <v>83000000</v>
      </c>
      <c r="D35" s="27">
        <v>55775000.000000007</v>
      </c>
      <c r="E35" s="27">
        <v>17000000</v>
      </c>
      <c r="F35" s="27">
        <v>13943750.000000002</v>
      </c>
      <c r="G35" s="28">
        <v>10000000</v>
      </c>
      <c r="H35" s="28">
        <v>7808500.0000000019</v>
      </c>
      <c r="I35" s="31">
        <f>SUM(C35,E35,G35)</f>
        <v>110000000</v>
      </c>
      <c r="J35" s="28">
        <f>D35+F35+H35</f>
        <v>77527250.000000015</v>
      </c>
      <c r="K35" s="32" t="s">
        <v>17</v>
      </c>
      <c r="L35" s="33" t="s">
        <v>45</v>
      </c>
      <c r="M35" s="34"/>
    </row>
    <row r="36" spans="1:14" s="35" customFormat="1" x14ac:dyDescent="0.25">
      <c r="A36" s="25">
        <v>2</v>
      </c>
      <c r="B36" s="29" t="s">
        <v>53</v>
      </c>
      <c r="C36" s="30">
        <v>49450000</v>
      </c>
      <c r="D36" s="27">
        <f>D35</f>
        <v>55775000.000000007</v>
      </c>
      <c r="E36" s="27">
        <v>13960000</v>
      </c>
      <c r="F36" s="27">
        <f>F35</f>
        <v>13943750.000000002</v>
      </c>
      <c r="G36" s="28">
        <v>6341000</v>
      </c>
      <c r="H36" s="28">
        <f>H35</f>
        <v>7808500.0000000019</v>
      </c>
      <c r="I36" s="31">
        <f>SUM(C36,E36,G36)</f>
        <v>69751000</v>
      </c>
      <c r="J36" s="28">
        <f t="shared" ref="J36:J37" si="8">D36+F36+H36</f>
        <v>77527250.000000015</v>
      </c>
      <c r="K36" s="32" t="s">
        <v>45</v>
      </c>
      <c r="L36" s="33" t="s">
        <v>17</v>
      </c>
      <c r="M36" s="34"/>
    </row>
    <row r="37" spans="1:14" s="35" customFormat="1" x14ac:dyDescent="0.25">
      <c r="A37" s="25">
        <v>3</v>
      </c>
      <c r="B37" s="29" t="s">
        <v>18</v>
      </c>
      <c r="C37" s="36">
        <v>47000000</v>
      </c>
      <c r="D37" s="27">
        <f>D36</f>
        <v>55775000.000000007</v>
      </c>
      <c r="E37" s="36">
        <v>18000000</v>
      </c>
      <c r="F37" s="27">
        <f>F36</f>
        <v>13943750.000000002</v>
      </c>
      <c r="G37" s="28">
        <v>0</v>
      </c>
      <c r="H37" s="28">
        <f>H36</f>
        <v>7808500.0000000019</v>
      </c>
      <c r="I37" s="31">
        <f>SUM(C37,E37,G37)</f>
        <v>65000000</v>
      </c>
      <c r="J37" s="28">
        <f t="shared" si="8"/>
        <v>77527250.000000015</v>
      </c>
      <c r="K37" s="32" t="s">
        <v>45</v>
      </c>
      <c r="L37" s="33" t="s">
        <v>17</v>
      </c>
      <c r="M37" s="34" t="s">
        <v>46</v>
      </c>
    </row>
    <row r="39" spans="1:14" ht="12" x14ac:dyDescent="0.3">
      <c r="A39" s="2" t="s">
        <v>47</v>
      </c>
      <c r="N39" s="3"/>
    </row>
    <row r="40" spans="1:14" ht="10.5" customHeight="1" x14ac:dyDescent="0.25">
      <c r="A40" s="449" t="s">
        <v>1</v>
      </c>
      <c r="B40" s="449" t="s">
        <v>2</v>
      </c>
      <c r="C40" s="450" t="s">
        <v>48</v>
      </c>
      <c r="D40" s="450" t="s">
        <v>49</v>
      </c>
      <c r="E40" s="450" t="s">
        <v>50</v>
      </c>
      <c r="F40" s="452" t="s">
        <v>58</v>
      </c>
      <c r="G40" s="453"/>
      <c r="H40" s="453"/>
      <c r="I40" s="453"/>
      <c r="J40" s="453"/>
      <c r="K40" s="453"/>
      <c r="L40" s="453"/>
      <c r="M40" s="454"/>
      <c r="N40" s="3"/>
    </row>
    <row r="41" spans="1:14" x14ac:dyDescent="0.25">
      <c r="A41" s="449"/>
      <c r="B41" s="449"/>
      <c r="C41" s="450"/>
      <c r="D41" s="450"/>
      <c r="E41" s="450"/>
      <c r="F41" s="455"/>
      <c r="G41" s="456"/>
      <c r="H41" s="456"/>
      <c r="I41" s="456"/>
      <c r="J41" s="456"/>
      <c r="K41" s="456"/>
      <c r="L41" s="456"/>
      <c r="M41" s="457"/>
      <c r="N41" s="3"/>
    </row>
    <row r="42" spans="1:14" ht="19.5" customHeight="1" x14ac:dyDescent="0.25">
      <c r="A42" s="6">
        <v>1</v>
      </c>
      <c r="B42" s="16" t="s">
        <v>52</v>
      </c>
      <c r="C42" s="26" t="s">
        <v>9</v>
      </c>
      <c r="D42" s="26">
        <f>F13+F20+F27</f>
        <v>75.3</v>
      </c>
      <c r="E42" s="36">
        <f>I35</f>
        <v>110000000</v>
      </c>
      <c r="F42" s="455"/>
      <c r="G42" s="456"/>
      <c r="H42" s="456"/>
      <c r="I42" s="456"/>
      <c r="J42" s="456"/>
      <c r="K42" s="456"/>
      <c r="L42" s="456"/>
      <c r="M42" s="457"/>
      <c r="N42" s="3"/>
    </row>
    <row r="43" spans="1:14" ht="17.25" customHeight="1" x14ac:dyDescent="0.25">
      <c r="A43" s="6">
        <v>2</v>
      </c>
      <c r="B43" s="16" t="s">
        <v>53</v>
      </c>
      <c r="C43" s="26" t="s">
        <v>9</v>
      </c>
      <c r="D43" s="26">
        <f>F14+F21+F28</f>
        <v>75.3</v>
      </c>
      <c r="E43" s="36">
        <f>I36</f>
        <v>69751000</v>
      </c>
      <c r="F43" s="455"/>
      <c r="G43" s="456"/>
      <c r="H43" s="456"/>
      <c r="I43" s="456"/>
      <c r="J43" s="456"/>
      <c r="K43" s="456"/>
      <c r="L43" s="456"/>
      <c r="M43" s="457"/>
      <c r="N43" s="3"/>
    </row>
    <row r="44" spans="1:14" ht="19.5" customHeight="1" x14ac:dyDescent="0.25">
      <c r="A44" s="17">
        <v>3</v>
      </c>
      <c r="B44" s="16" t="s">
        <v>18</v>
      </c>
      <c r="C44" s="26" t="s">
        <v>9</v>
      </c>
      <c r="D44" s="26">
        <f>F15+F22+F29</f>
        <v>85.5</v>
      </c>
      <c r="E44" s="36">
        <f t="shared" ref="E44" si="9">I37</f>
        <v>65000000</v>
      </c>
      <c r="F44" s="458"/>
      <c r="G44" s="459"/>
      <c r="H44" s="459"/>
      <c r="I44" s="459"/>
      <c r="J44" s="459"/>
      <c r="K44" s="459"/>
      <c r="L44" s="459"/>
      <c r="M44" s="460"/>
      <c r="N44" s="3"/>
    </row>
    <row r="46" spans="1:14" ht="32.4" x14ac:dyDescent="0.25">
      <c r="D46" s="4">
        <v>0.7</v>
      </c>
      <c r="E46" s="4">
        <f>D44*D46</f>
        <v>59.849999999999994</v>
      </c>
      <c r="F46" s="16" t="s">
        <v>52</v>
      </c>
    </row>
    <row r="47" spans="1:14" ht="21.6" x14ac:dyDescent="0.25">
      <c r="C47" s="4">
        <v>100</v>
      </c>
      <c r="D47" s="4">
        <v>0.3</v>
      </c>
      <c r="E47" s="4">
        <f>C47*D47</f>
        <v>30</v>
      </c>
      <c r="F47" s="16" t="s">
        <v>53</v>
      </c>
    </row>
    <row r="48" spans="1:14" ht="21.6" x14ac:dyDescent="0.25">
      <c r="F48" s="16" t="s">
        <v>18</v>
      </c>
    </row>
  </sheetData>
  <mergeCells count="51">
    <mergeCell ref="F40:M44"/>
    <mergeCell ref="A33:A34"/>
    <mergeCell ref="B33:B34"/>
    <mergeCell ref="C33:D33"/>
    <mergeCell ref="E33:F33"/>
    <mergeCell ref="G33:H33"/>
    <mergeCell ref="A40:A41"/>
    <mergeCell ref="B40:B41"/>
    <mergeCell ref="C40:C41"/>
    <mergeCell ref="D40:D41"/>
    <mergeCell ref="E40:E41"/>
    <mergeCell ref="H27:M27"/>
    <mergeCell ref="H28:M28"/>
    <mergeCell ref="H29:M29"/>
    <mergeCell ref="I33:J33"/>
    <mergeCell ref="K33:M33"/>
    <mergeCell ref="A25:A26"/>
    <mergeCell ref="B25:B26"/>
    <mergeCell ref="C25:C26"/>
    <mergeCell ref="D25:E25"/>
    <mergeCell ref="F25:G25"/>
    <mergeCell ref="H25:M26"/>
    <mergeCell ref="H18:M19"/>
    <mergeCell ref="H20:M20"/>
    <mergeCell ref="H21:M21"/>
    <mergeCell ref="H22:M22"/>
    <mergeCell ref="H11:M12"/>
    <mergeCell ref="A18:A19"/>
    <mergeCell ref="B18:B19"/>
    <mergeCell ref="C18:C19"/>
    <mergeCell ref="D18:E18"/>
    <mergeCell ref="F18:G18"/>
    <mergeCell ref="H13:M13"/>
    <mergeCell ref="H14:M14"/>
    <mergeCell ref="H15:M15"/>
    <mergeCell ref="A11:A12"/>
    <mergeCell ref="B11:B12"/>
    <mergeCell ref="C11:C12"/>
    <mergeCell ref="D11:E11"/>
    <mergeCell ref="F11:G11"/>
    <mergeCell ref="A1:M1"/>
    <mergeCell ref="A3:A4"/>
    <mergeCell ref="B3:B4"/>
    <mergeCell ref="C3:C4"/>
    <mergeCell ref="D3:F3"/>
    <mergeCell ref="G3:G4"/>
    <mergeCell ref="H3:H4"/>
    <mergeCell ref="I3:I4"/>
    <mergeCell ref="J3:K3"/>
    <mergeCell ref="L3:L4"/>
    <mergeCell ref="M3:M4"/>
  </mergeCells>
  <hyperlinks>
    <hyperlink ref="B15" r:id="rId1" display="https://sikap.bpk.go.id/Kantor/Details/6ad11226-827e-4876-b12c-4246eed94aab" xr:uid="{00000000-0004-0000-0000-000000000000}"/>
    <hyperlink ref="B7" r:id="rId2" display="https://sikap.bpk.go.id/Kantor/Details/6ad11226-827e-4876-b12c-4246eed94aab" xr:uid="{00000000-0004-0000-0000-000001000000}"/>
    <hyperlink ref="B22" r:id="rId3" display="https://sikap.bpk.go.id/Kantor/Details/6ad11226-827e-4876-b12c-4246eed94aab" xr:uid="{00000000-0004-0000-0000-000002000000}"/>
    <hyperlink ref="B29" r:id="rId4" display="https://sikap.bpk.go.id/Kantor/Details/6ad11226-827e-4876-b12c-4246eed94aab" xr:uid="{00000000-0004-0000-0000-000003000000}"/>
    <hyperlink ref="B37" r:id="rId5" display="https://sikap.bpk.go.id/Kantor/Details/6ad11226-827e-4876-b12c-4246eed94aab" xr:uid="{00000000-0004-0000-0000-000004000000}"/>
    <hyperlink ref="B44" r:id="rId6" display="https://sikap.bpk.go.id/Kantor/Details/6ad11226-827e-4876-b12c-4246eed94aab" xr:uid="{00000000-0004-0000-0000-000005000000}"/>
    <hyperlink ref="F48" r:id="rId7" display="https://sikap.bpk.go.id/Kantor/Details/6ad11226-827e-4876-b12c-4246eed94aab" xr:uid="{00000000-0004-0000-0000-000006000000}"/>
  </hyperlinks>
  <pageMargins left="0" right="0" top="0" bottom="0" header="0.31496062992125984" footer="0.31496062992125984"/>
  <pageSetup paperSize="9" scale="69" orientation="landscape" r:id="rId8"/>
  <customProperties>
    <customPr name="EpmWorksheetKeyString_GUID" r:id="rId9"/>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75"/>
  <sheetViews>
    <sheetView topLeftCell="A13" workbookViewId="0">
      <selection activeCell="E31" sqref="E31"/>
    </sheetView>
  </sheetViews>
  <sheetFormatPr defaultColWidth="8.77734375" defaultRowHeight="10.8" x14ac:dyDescent="0.25"/>
  <cols>
    <col min="1" max="1" width="3" style="1" bestFit="1" customWidth="1"/>
    <col min="2" max="2" width="26.5546875" style="3" customWidth="1"/>
    <col min="3" max="4" width="11.77734375" style="4" customWidth="1"/>
    <col min="5" max="5" width="12.5546875" style="4" customWidth="1"/>
    <col min="6" max="6" width="11.5546875" style="1" customWidth="1"/>
    <col min="7" max="8" width="11.77734375" style="1" customWidth="1"/>
    <col min="9" max="9" width="16" style="1" customWidth="1"/>
    <col min="10" max="10" width="12" style="1" customWidth="1"/>
    <col min="11" max="11" width="10.21875" style="1" customWidth="1"/>
    <col min="12" max="12" width="21" style="1" customWidth="1"/>
    <col min="13" max="13" width="20.5546875" style="1" customWidth="1"/>
    <col min="14" max="14" width="8.77734375" style="1"/>
    <col min="15" max="16384" width="8.77734375" style="3"/>
  </cols>
  <sheetData>
    <row r="1" spans="1:13" ht="46.5" customHeight="1" x14ac:dyDescent="0.3">
      <c r="A1" s="447" t="s">
        <v>51</v>
      </c>
      <c r="B1" s="448"/>
      <c r="C1" s="448"/>
      <c r="D1" s="448"/>
      <c r="E1" s="448"/>
      <c r="F1" s="448"/>
      <c r="G1" s="448"/>
      <c r="H1" s="448"/>
      <c r="I1" s="448"/>
      <c r="J1" s="448"/>
      <c r="K1" s="448"/>
      <c r="L1" s="448"/>
      <c r="M1" s="448"/>
    </row>
    <row r="2" spans="1:13" ht="12" x14ac:dyDescent="0.3">
      <c r="A2" s="2" t="s">
        <v>0</v>
      </c>
    </row>
    <row r="3" spans="1:13" ht="12" x14ac:dyDescent="0.25">
      <c r="A3" s="449" t="s">
        <v>1</v>
      </c>
      <c r="B3" s="449" t="s">
        <v>2</v>
      </c>
      <c r="C3" s="450" t="s">
        <v>3</v>
      </c>
      <c r="D3" s="450" t="s">
        <v>4</v>
      </c>
      <c r="E3" s="450"/>
      <c r="F3" s="450"/>
      <c r="G3" s="450" t="s">
        <v>5</v>
      </c>
      <c r="H3" s="450" t="s">
        <v>6</v>
      </c>
      <c r="I3" s="450" t="s">
        <v>7</v>
      </c>
      <c r="J3" s="450" t="s">
        <v>8</v>
      </c>
      <c r="K3" s="450"/>
      <c r="L3" s="449" t="s">
        <v>9</v>
      </c>
      <c r="M3" s="449" t="s">
        <v>10</v>
      </c>
    </row>
    <row r="4" spans="1:13" ht="36" x14ac:dyDescent="0.25">
      <c r="A4" s="449"/>
      <c r="B4" s="449"/>
      <c r="C4" s="450"/>
      <c r="D4" s="23" t="s">
        <v>11</v>
      </c>
      <c r="E4" s="23" t="s">
        <v>12</v>
      </c>
      <c r="F4" s="23" t="s">
        <v>13</v>
      </c>
      <c r="G4" s="450"/>
      <c r="H4" s="450"/>
      <c r="I4" s="450"/>
      <c r="J4" s="23" t="s">
        <v>14</v>
      </c>
      <c r="K4" s="23" t="s">
        <v>15</v>
      </c>
      <c r="L4" s="449"/>
      <c r="M4" s="449"/>
    </row>
    <row r="5" spans="1:13" ht="13.05" customHeight="1" x14ac:dyDescent="0.25">
      <c r="A5" s="6">
        <v>1</v>
      </c>
      <c r="B5" s="16" t="s">
        <v>52</v>
      </c>
      <c r="C5" s="8" t="s">
        <v>16</v>
      </c>
      <c r="D5" s="8" t="s">
        <v>16</v>
      </c>
      <c r="E5" s="8" t="s">
        <v>16</v>
      </c>
      <c r="F5" s="8" t="s">
        <v>16</v>
      </c>
      <c r="G5" s="8" t="s">
        <v>16</v>
      </c>
      <c r="H5" s="8" t="s">
        <v>16</v>
      </c>
      <c r="I5" s="8" t="s">
        <v>16</v>
      </c>
      <c r="J5" s="38" t="s">
        <v>17</v>
      </c>
      <c r="K5" s="8" t="s">
        <v>17</v>
      </c>
      <c r="L5" s="9" t="s">
        <v>17</v>
      </c>
      <c r="M5" s="9" t="s">
        <v>16</v>
      </c>
    </row>
    <row r="6" spans="1:13" x14ac:dyDescent="0.25">
      <c r="A6" s="6">
        <v>2</v>
      </c>
      <c r="B6" s="16" t="s">
        <v>53</v>
      </c>
      <c r="C6" s="8" t="s">
        <v>16</v>
      </c>
      <c r="D6" s="8" t="s">
        <v>16</v>
      </c>
      <c r="E6" s="8" t="s">
        <v>16</v>
      </c>
      <c r="F6" s="8" t="s">
        <v>16</v>
      </c>
      <c r="G6" s="8" t="s">
        <v>16</v>
      </c>
      <c r="H6" s="8" t="s">
        <v>16</v>
      </c>
      <c r="I6" s="8" t="s">
        <v>16</v>
      </c>
      <c r="J6" s="8" t="s">
        <v>16</v>
      </c>
      <c r="K6" s="8" t="s">
        <v>16</v>
      </c>
      <c r="L6" s="9" t="s">
        <v>16</v>
      </c>
      <c r="M6" s="6"/>
    </row>
    <row r="7" spans="1:13" x14ac:dyDescent="0.25">
      <c r="A7" s="6">
        <v>3</v>
      </c>
      <c r="B7" s="16" t="s">
        <v>18</v>
      </c>
      <c r="C7" s="8" t="s">
        <v>16</v>
      </c>
      <c r="D7" s="8" t="s">
        <v>16</v>
      </c>
      <c r="E7" s="8" t="s">
        <v>16</v>
      </c>
      <c r="F7" s="8" t="s">
        <v>16</v>
      </c>
      <c r="G7" s="8" t="s">
        <v>16</v>
      </c>
      <c r="H7" s="8" t="s">
        <v>16</v>
      </c>
      <c r="I7" s="8" t="s">
        <v>16</v>
      </c>
      <c r="J7" s="8" t="s">
        <v>16</v>
      </c>
      <c r="K7" s="8" t="s">
        <v>16</v>
      </c>
      <c r="L7" s="6" t="s">
        <v>16</v>
      </c>
      <c r="M7" s="9" t="s">
        <v>17</v>
      </c>
    </row>
    <row r="8" spans="1:13" x14ac:dyDescent="0.25">
      <c r="C8" s="10"/>
      <c r="D8" s="10"/>
      <c r="E8" s="10"/>
      <c r="F8" s="11"/>
      <c r="G8" s="11"/>
    </row>
    <row r="9" spans="1:13" ht="12" x14ac:dyDescent="0.3">
      <c r="A9" s="2" t="s">
        <v>19</v>
      </c>
      <c r="C9" s="10"/>
      <c r="D9" s="10"/>
      <c r="E9" s="10"/>
      <c r="F9" s="11"/>
      <c r="G9" s="11"/>
    </row>
    <row r="10" spans="1:13" ht="12" x14ac:dyDescent="0.3">
      <c r="A10" s="12" t="s">
        <v>20</v>
      </c>
      <c r="B10" s="13" t="s">
        <v>21</v>
      </c>
      <c r="C10" s="10"/>
      <c r="D10" s="10"/>
      <c r="E10" s="10"/>
      <c r="F10" s="11"/>
      <c r="G10" s="11"/>
    </row>
    <row r="11" spans="1:13" ht="12" x14ac:dyDescent="0.25">
      <c r="A11" s="449" t="s">
        <v>1</v>
      </c>
      <c r="B11" s="449" t="s">
        <v>2</v>
      </c>
      <c r="C11" s="450" t="s">
        <v>22</v>
      </c>
      <c r="D11" s="450" t="s">
        <v>23</v>
      </c>
      <c r="E11" s="450"/>
      <c r="F11" s="450" t="s">
        <v>24</v>
      </c>
      <c r="G11" s="450"/>
      <c r="H11" s="450" t="s">
        <v>25</v>
      </c>
      <c r="I11" s="450"/>
      <c r="J11" s="450"/>
      <c r="K11" s="450"/>
      <c r="L11" s="450"/>
      <c r="M11" s="450"/>
    </row>
    <row r="12" spans="1:13" ht="12" x14ac:dyDescent="0.25">
      <c r="A12" s="449"/>
      <c r="B12" s="449"/>
      <c r="C12" s="450"/>
      <c r="D12" s="24" t="s">
        <v>26</v>
      </c>
      <c r="E12" s="24" t="s">
        <v>27</v>
      </c>
      <c r="F12" s="24" t="s">
        <v>26</v>
      </c>
      <c r="G12" s="24" t="s">
        <v>27</v>
      </c>
      <c r="H12" s="450"/>
      <c r="I12" s="450"/>
      <c r="J12" s="450"/>
      <c r="K12" s="450"/>
      <c r="L12" s="450"/>
      <c r="M12" s="450"/>
    </row>
    <row r="13" spans="1:13" ht="26.25" customHeight="1" x14ac:dyDescent="0.25">
      <c r="A13" s="6">
        <v>1</v>
      </c>
      <c r="B13" s="16" t="s">
        <v>52</v>
      </c>
      <c r="C13" s="15">
        <v>0.3</v>
      </c>
      <c r="D13" s="25">
        <v>85</v>
      </c>
      <c r="E13" s="25" t="s">
        <v>59</v>
      </c>
      <c r="F13" s="25">
        <f>C13*D13</f>
        <v>25.5</v>
      </c>
      <c r="G13" s="25" t="s">
        <v>59</v>
      </c>
      <c r="H13" s="461" t="s">
        <v>59</v>
      </c>
      <c r="I13" s="462"/>
      <c r="J13" s="462"/>
      <c r="K13" s="462"/>
      <c r="L13" s="462"/>
      <c r="M13" s="463"/>
    </row>
    <row r="14" spans="1:13" ht="22.5" customHeight="1" x14ac:dyDescent="0.25">
      <c r="A14" s="6">
        <v>2</v>
      </c>
      <c r="B14" s="16" t="s">
        <v>53</v>
      </c>
      <c r="C14" s="15">
        <v>0.3</v>
      </c>
      <c r="D14" s="25">
        <v>85</v>
      </c>
      <c r="E14" s="25" t="s">
        <v>59</v>
      </c>
      <c r="F14" s="25">
        <f t="shared" ref="F14:F15" si="0">C14*D14</f>
        <v>25.5</v>
      </c>
      <c r="G14" s="25" t="s">
        <v>59</v>
      </c>
      <c r="H14" s="461" t="s">
        <v>59</v>
      </c>
      <c r="I14" s="462"/>
      <c r="J14" s="462"/>
      <c r="K14" s="462"/>
      <c r="L14" s="462"/>
      <c r="M14" s="463"/>
    </row>
    <row r="15" spans="1:13" ht="24.6" customHeight="1" x14ac:dyDescent="0.25">
      <c r="A15" s="17">
        <v>3</v>
      </c>
      <c r="B15" s="16" t="s">
        <v>18</v>
      </c>
      <c r="C15" s="15">
        <v>0.3</v>
      </c>
      <c r="D15" s="26">
        <v>100</v>
      </c>
      <c r="E15" s="26">
        <f t="shared" ref="E15" si="1">D15</f>
        <v>100</v>
      </c>
      <c r="F15" s="25">
        <f t="shared" si="0"/>
        <v>30</v>
      </c>
      <c r="G15" s="25">
        <f t="shared" ref="G15" si="2">E15*C15</f>
        <v>30</v>
      </c>
      <c r="H15" s="451" t="s">
        <v>56</v>
      </c>
      <c r="I15" s="451"/>
      <c r="J15" s="451"/>
      <c r="K15" s="451"/>
      <c r="L15" s="451"/>
      <c r="M15" s="451"/>
    </row>
    <row r="16" spans="1:13" x14ac:dyDescent="0.25">
      <c r="C16" s="10"/>
      <c r="D16" s="10"/>
      <c r="E16" s="10"/>
      <c r="F16" s="11"/>
      <c r="G16" s="11"/>
    </row>
    <row r="17" spans="1:14" ht="12" x14ac:dyDescent="0.3">
      <c r="A17" s="12" t="s">
        <v>28</v>
      </c>
      <c r="B17" s="13" t="s">
        <v>29</v>
      </c>
      <c r="C17" s="10"/>
      <c r="D17" s="10"/>
      <c r="E17" s="10"/>
      <c r="F17" s="11"/>
      <c r="G17" s="11"/>
    </row>
    <row r="18" spans="1:14" ht="13.5" customHeight="1" x14ac:dyDescent="0.25">
      <c r="A18" s="449" t="s">
        <v>1</v>
      </c>
      <c r="B18" s="449" t="s">
        <v>2</v>
      </c>
      <c r="C18" s="464" t="s">
        <v>22</v>
      </c>
      <c r="D18" s="450" t="s">
        <v>23</v>
      </c>
      <c r="E18" s="450"/>
      <c r="F18" s="450" t="s">
        <v>24</v>
      </c>
      <c r="G18" s="450"/>
      <c r="H18" s="450" t="s">
        <v>25</v>
      </c>
      <c r="I18" s="450"/>
      <c r="J18" s="450"/>
      <c r="K18" s="450"/>
      <c r="L18" s="450"/>
      <c r="M18" s="450"/>
    </row>
    <row r="19" spans="1:14" ht="12" x14ac:dyDescent="0.25">
      <c r="A19" s="449"/>
      <c r="B19" s="449"/>
      <c r="C19" s="465"/>
      <c r="D19" s="24" t="s">
        <v>26</v>
      </c>
      <c r="E19" s="24" t="s">
        <v>27</v>
      </c>
      <c r="F19" s="24" t="s">
        <v>26</v>
      </c>
      <c r="G19" s="24" t="s">
        <v>27</v>
      </c>
      <c r="H19" s="450"/>
      <c r="I19" s="450"/>
      <c r="J19" s="450"/>
      <c r="K19" s="450"/>
      <c r="L19" s="450"/>
      <c r="M19" s="450"/>
    </row>
    <row r="20" spans="1:14" ht="26.25" customHeight="1" x14ac:dyDescent="0.25">
      <c r="A20" s="6">
        <v>1</v>
      </c>
      <c r="B20" s="16" t="s">
        <v>52</v>
      </c>
      <c r="C20" s="15">
        <v>0.3</v>
      </c>
      <c r="D20" s="25">
        <v>85</v>
      </c>
      <c r="E20" s="25" t="s">
        <v>59</v>
      </c>
      <c r="F20" s="25">
        <f t="shared" ref="F20:F22" si="3">C20*D20</f>
        <v>25.5</v>
      </c>
      <c r="G20" s="25" t="s">
        <v>59</v>
      </c>
      <c r="H20" s="451" t="s">
        <v>59</v>
      </c>
      <c r="I20" s="451"/>
      <c r="J20" s="451"/>
      <c r="K20" s="451"/>
      <c r="L20" s="451"/>
      <c r="M20" s="451"/>
    </row>
    <row r="21" spans="1:14" ht="23.1" customHeight="1" x14ac:dyDescent="0.25">
      <c r="A21" s="6">
        <v>2</v>
      </c>
      <c r="B21" s="16" t="s">
        <v>53</v>
      </c>
      <c r="C21" s="15">
        <v>0.3</v>
      </c>
      <c r="D21" s="25">
        <v>85</v>
      </c>
      <c r="E21" s="25" t="s">
        <v>59</v>
      </c>
      <c r="F21" s="25">
        <f t="shared" si="3"/>
        <v>25.5</v>
      </c>
      <c r="G21" s="25" t="s">
        <v>59</v>
      </c>
      <c r="H21" s="451" t="s">
        <v>59</v>
      </c>
      <c r="I21" s="451"/>
      <c r="J21" s="451"/>
      <c r="K21" s="451"/>
      <c r="L21" s="451"/>
      <c r="M21" s="451"/>
    </row>
    <row r="22" spans="1:14" ht="23.1" customHeight="1" x14ac:dyDescent="0.25">
      <c r="A22" s="17">
        <v>3</v>
      </c>
      <c r="B22" s="16" t="s">
        <v>18</v>
      </c>
      <c r="C22" s="15">
        <v>0.3</v>
      </c>
      <c r="D22" s="26">
        <v>100</v>
      </c>
      <c r="E22" s="26">
        <f t="shared" ref="E22" si="4">D22</f>
        <v>100</v>
      </c>
      <c r="F22" s="25">
        <f t="shared" si="3"/>
        <v>30</v>
      </c>
      <c r="G22" s="25">
        <f t="shared" ref="G22" si="5">E22*C22</f>
        <v>30</v>
      </c>
      <c r="H22" s="451" t="s">
        <v>57</v>
      </c>
      <c r="I22" s="451"/>
      <c r="J22" s="451"/>
      <c r="K22" s="451"/>
      <c r="L22" s="451"/>
      <c r="M22" s="451"/>
    </row>
    <row r="23" spans="1:14" x14ac:dyDescent="0.25">
      <c r="C23" s="10"/>
      <c r="D23" s="10"/>
      <c r="E23" s="10"/>
      <c r="F23" s="11"/>
      <c r="G23" s="11"/>
    </row>
    <row r="24" spans="1:14" ht="12" x14ac:dyDescent="0.3">
      <c r="A24" s="12" t="s">
        <v>30</v>
      </c>
      <c r="B24" s="13" t="s">
        <v>31</v>
      </c>
      <c r="C24" s="10"/>
      <c r="D24" s="10"/>
      <c r="E24" s="10"/>
      <c r="F24" s="11"/>
      <c r="G24" s="11"/>
    </row>
    <row r="25" spans="1:14" ht="13.5" customHeight="1" x14ac:dyDescent="0.25">
      <c r="A25" s="449" t="s">
        <v>1</v>
      </c>
      <c r="B25" s="449" t="s">
        <v>2</v>
      </c>
      <c r="C25" s="464" t="s">
        <v>22</v>
      </c>
      <c r="D25" s="450" t="s">
        <v>23</v>
      </c>
      <c r="E25" s="450"/>
      <c r="F25" s="450" t="s">
        <v>24</v>
      </c>
      <c r="G25" s="450"/>
      <c r="H25" s="450" t="s">
        <v>25</v>
      </c>
      <c r="I25" s="450"/>
      <c r="J25" s="450"/>
      <c r="K25" s="450"/>
      <c r="L25" s="450"/>
      <c r="M25" s="450"/>
    </row>
    <row r="26" spans="1:14" ht="12" x14ac:dyDescent="0.25">
      <c r="A26" s="449"/>
      <c r="B26" s="449"/>
      <c r="C26" s="465"/>
      <c r="D26" s="24" t="s">
        <v>26</v>
      </c>
      <c r="E26" s="24" t="s">
        <v>27</v>
      </c>
      <c r="F26" s="24" t="s">
        <v>26</v>
      </c>
      <c r="G26" s="24" t="s">
        <v>27</v>
      </c>
      <c r="H26" s="450"/>
      <c r="I26" s="450"/>
      <c r="J26" s="450"/>
      <c r="K26" s="450"/>
      <c r="L26" s="450"/>
      <c r="M26" s="450"/>
    </row>
    <row r="27" spans="1:14" ht="25.5" customHeight="1" x14ac:dyDescent="0.25">
      <c r="A27" s="6">
        <v>1</v>
      </c>
      <c r="B27" s="16" t="s">
        <v>52</v>
      </c>
      <c r="C27" s="15">
        <v>0.4</v>
      </c>
      <c r="D27" s="25">
        <v>81</v>
      </c>
      <c r="E27" s="25" t="s">
        <v>59</v>
      </c>
      <c r="F27" s="25">
        <f t="shared" ref="F27:F29" si="6">C27*D27</f>
        <v>32.4</v>
      </c>
      <c r="G27" s="25" t="s">
        <v>59</v>
      </c>
      <c r="H27" s="451" t="s">
        <v>59</v>
      </c>
      <c r="I27" s="451"/>
      <c r="J27" s="451"/>
      <c r="K27" s="451"/>
      <c r="L27" s="451"/>
      <c r="M27" s="451"/>
    </row>
    <row r="28" spans="1:14" ht="25.05" customHeight="1" x14ac:dyDescent="0.25">
      <c r="A28" s="6">
        <v>2</v>
      </c>
      <c r="B28" s="16" t="s">
        <v>53</v>
      </c>
      <c r="C28" s="15">
        <v>0.4</v>
      </c>
      <c r="D28" s="25">
        <v>81</v>
      </c>
      <c r="E28" s="25" t="s">
        <v>59</v>
      </c>
      <c r="F28" s="25">
        <f t="shared" si="6"/>
        <v>32.4</v>
      </c>
      <c r="G28" s="25" t="s">
        <v>59</v>
      </c>
      <c r="H28" s="451" t="s">
        <v>59</v>
      </c>
      <c r="I28" s="451"/>
      <c r="J28" s="451"/>
      <c r="K28" s="451"/>
      <c r="L28" s="451"/>
      <c r="M28" s="451"/>
    </row>
    <row r="29" spans="1:14" ht="23.1" customHeight="1" x14ac:dyDescent="0.25">
      <c r="A29" s="17">
        <v>3</v>
      </c>
      <c r="B29" s="16" t="s">
        <v>18</v>
      </c>
      <c r="C29" s="15">
        <v>0.4</v>
      </c>
      <c r="D29" s="26">
        <v>85</v>
      </c>
      <c r="E29" s="25">
        <v>100</v>
      </c>
      <c r="F29" s="25">
        <f t="shared" si="6"/>
        <v>34</v>
      </c>
      <c r="G29" s="25">
        <f t="shared" ref="G29" si="7">E29*C29</f>
        <v>40</v>
      </c>
      <c r="H29" s="451" t="s">
        <v>32</v>
      </c>
      <c r="I29" s="451"/>
      <c r="J29" s="451"/>
      <c r="K29" s="451"/>
      <c r="L29" s="451"/>
      <c r="M29" s="451"/>
      <c r="N29" s="3"/>
    </row>
    <row r="30" spans="1:14" ht="23.1" customHeight="1" x14ac:dyDescent="0.25">
      <c r="A30" s="18"/>
      <c r="B30" s="19"/>
      <c r="C30" s="20"/>
      <c r="D30" s="21"/>
      <c r="E30" s="22"/>
      <c r="F30" s="22"/>
      <c r="G30" s="22"/>
      <c r="H30" s="19"/>
      <c r="I30" s="19"/>
      <c r="J30" s="19"/>
      <c r="K30" s="19"/>
      <c r="L30" s="19"/>
      <c r="M30" s="19"/>
      <c r="N30" s="3"/>
    </row>
    <row r="32" spans="1:14" ht="12" x14ac:dyDescent="0.3">
      <c r="A32" s="12" t="s">
        <v>33</v>
      </c>
      <c r="B32" s="13" t="s">
        <v>34</v>
      </c>
      <c r="N32" s="3"/>
    </row>
    <row r="33" spans="1:14" ht="12" x14ac:dyDescent="0.25">
      <c r="A33" s="449" t="s">
        <v>1</v>
      </c>
      <c r="B33" s="449" t="s">
        <v>2</v>
      </c>
      <c r="C33" s="450" t="s">
        <v>35</v>
      </c>
      <c r="D33" s="450"/>
      <c r="E33" s="450" t="s">
        <v>36</v>
      </c>
      <c r="F33" s="450"/>
      <c r="G33" s="450" t="s">
        <v>37</v>
      </c>
      <c r="H33" s="450"/>
      <c r="I33" s="450" t="s">
        <v>38</v>
      </c>
      <c r="J33" s="450"/>
      <c r="K33" s="450" t="s">
        <v>25</v>
      </c>
      <c r="L33" s="450"/>
      <c r="M33" s="450"/>
      <c r="N33" s="3"/>
    </row>
    <row r="34" spans="1:14" ht="24" x14ac:dyDescent="0.25">
      <c r="A34" s="449"/>
      <c r="B34" s="449"/>
      <c r="C34" s="23" t="s">
        <v>39</v>
      </c>
      <c r="D34" s="23" t="s">
        <v>40</v>
      </c>
      <c r="E34" s="23" t="s">
        <v>39</v>
      </c>
      <c r="F34" s="23" t="s">
        <v>40</v>
      </c>
      <c r="G34" s="23" t="s">
        <v>39</v>
      </c>
      <c r="H34" s="23" t="s">
        <v>40</v>
      </c>
      <c r="I34" s="23" t="s">
        <v>39</v>
      </c>
      <c r="J34" s="23" t="s">
        <v>41</v>
      </c>
      <c r="K34" s="23" t="s">
        <v>42</v>
      </c>
      <c r="L34" s="23" t="s">
        <v>43</v>
      </c>
      <c r="M34" s="23" t="s">
        <v>44</v>
      </c>
      <c r="N34" s="3"/>
    </row>
    <row r="35" spans="1:14" s="35" customFormat="1" x14ac:dyDescent="0.25">
      <c r="A35" s="25">
        <v>1</v>
      </c>
      <c r="B35" s="37" t="s">
        <v>52</v>
      </c>
      <c r="C35" s="27" t="s">
        <v>59</v>
      </c>
      <c r="D35" s="27">
        <v>55775000.000000007</v>
      </c>
      <c r="E35" s="27" t="s">
        <v>59</v>
      </c>
      <c r="F35" s="27">
        <v>13943750.000000002</v>
      </c>
      <c r="G35" s="27" t="s">
        <v>59</v>
      </c>
      <c r="H35" s="28">
        <v>6971875.0000000019</v>
      </c>
      <c r="I35" s="31">
        <f>SUM(C35,E35,G35)</f>
        <v>0</v>
      </c>
      <c r="J35" s="28">
        <f>ROUNDUP(D35+F35+H35,-3)</f>
        <v>76691000</v>
      </c>
      <c r="K35" s="33" t="s">
        <v>17</v>
      </c>
      <c r="L35" s="33" t="s">
        <v>17</v>
      </c>
      <c r="M35" s="26" t="s">
        <v>59</v>
      </c>
    </row>
    <row r="36" spans="1:14" s="35" customFormat="1" x14ac:dyDescent="0.25">
      <c r="A36" s="25">
        <v>2</v>
      </c>
      <c r="B36" s="37" t="s">
        <v>53</v>
      </c>
      <c r="C36" s="27" t="s">
        <v>59</v>
      </c>
      <c r="D36" s="27">
        <f>D35</f>
        <v>55775000.000000007</v>
      </c>
      <c r="E36" s="27" t="s">
        <v>59</v>
      </c>
      <c r="F36" s="27">
        <f>F35</f>
        <v>13943750.000000002</v>
      </c>
      <c r="G36" s="27" t="s">
        <v>59</v>
      </c>
      <c r="H36" s="28">
        <f>H35</f>
        <v>6971875.0000000019</v>
      </c>
      <c r="I36" s="31">
        <f>SUM(C36,E36,G36)</f>
        <v>0</v>
      </c>
      <c r="J36" s="28">
        <f t="shared" ref="J36:J37" si="8">ROUNDUP(D36+F36+H36,-3)</f>
        <v>76691000</v>
      </c>
      <c r="K36" s="33" t="s">
        <v>17</v>
      </c>
      <c r="L36" s="33" t="s">
        <v>17</v>
      </c>
      <c r="M36" s="26" t="s">
        <v>59</v>
      </c>
    </row>
    <row r="37" spans="1:14" s="35" customFormat="1" x14ac:dyDescent="0.25">
      <c r="A37" s="25">
        <v>3</v>
      </c>
      <c r="B37" s="37" t="s">
        <v>18</v>
      </c>
      <c r="C37" s="36">
        <v>47000000</v>
      </c>
      <c r="D37" s="27">
        <f>D36</f>
        <v>55775000.000000007</v>
      </c>
      <c r="E37" s="36">
        <v>18000000</v>
      </c>
      <c r="F37" s="27">
        <f>F36</f>
        <v>13943750.000000002</v>
      </c>
      <c r="G37" s="28">
        <v>0</v>
      </c>
      <c r="H37" s="28">
        <f>H36</f>
        <v>6971875.0000000019</v>
      </c>
      <c r="I37" s="31">
        <f>SUM(C37,E37,G37)</f>
        <v>65000000</v>
      </c>
      <c r="J37" s="28">
        <f t="shared" si="8"/>
        <v>76691000</v>
      </c>
      <c r="K37" s="32" t="s">
        <v>45</v>
      </c>
      <c r="L37" s="33" t="s">
        <v>17</v>
      </c>
      <c r="M37" s="34" t="s">
        <v>46</v>
      </c>
    </row>
    <row r="39" spans="1:14" ht="12" x14ac:dyDescent="0.3">
      <c r="A39" s="2" t="s">
        <v>47</v>
      </c>
      <c r="N39" s="3"/>
    </row>
    <row r="40" spans="1:14" ht="10.5" customHeight="1" x14ac:dyDescent="0.25">
      <c r="A40" s="449" t="s">
        <v>1</v>
      </c>
      <c r="B40" s="449" t="s">
        <v>2</v>
      </c>
      <c r="C40" s="450" t="s">
        <v>48</v>
      </c>
      <c r="D40" s="450" t="s">
        <v>49</v>
      </c>
      <c r="E40" s="450" t="s">
        <v>50</v>
      </c>
      <c r="F40" s="450" t="s">
        <v>38</v>
      </c>
      <c r="G40" s="452" t="s">
        <v>58</v>
      </c>
      <c r="H40" s="453"/>
      <c r="I40" s="453"/>
      <c r="J40" s="453"/>
      <c r="K40" s="453"/>
      <c r="L40" s="453"/>
      <c r="M40" s="453"/>
      <c r="N40" s="454"/>
    </row>
    <row r="41" spans="1:14" x14ac:dyDescent="0.25">
      <c r="A41" s="449"/>
      <c r="B41" s="449"/>
      <c r="C41" s="450"/>
      <c r="D41" s="450"/>
      <c r="E41" s="450"/>
      <c r="F41" s="450"/>
      <c r="G41" s="455"/>
      <c r="H41" s="456"/>
      <c r="I41" s="456"/>
      <c r="J41" s="456"/>
      <c r="K41" s="456"/>
      <c r="L41" s="456"/>
      <c r="M41" s="456"/>
      <c r="N41" s="457"/>
    </row>
    <row r="42" spans="1:14" ht="19.5" customHeight="1" x14ac:dyDescent="0.25">
      <c r="A42" s="6">
        <v>1</v>
      </c>
      <c r="B42" s="16" t="s">
        <v>52</v>
      </c>
      <c r="C42" s="26" t="s">
        <v>10</v>
      </c>
      <c r="D42" s="26" t="s">
        <v>59</v>
      </c>
      <c r="E42" s="26" t="s">
        <v>59</v>
      </c>
      <c r="F42" s="26" t="s">
        <v>59</v>
      </c>
      <c r="G42" s="455"/>
      <c r="H42" s="456"/>
      <c r="I42" s="456"/>
      <c r="J42" s="456"/>
      <c r="K42" s="456"/>
      <c r="L42" s="456"/>
      <c r="M42" s="456"/>
      <c r="N42" s="457"/>
    </row>
    <row r="43" spans="1:14" ht="17.25" customHeight="1" x14ac:dyDescent="0.25">
      <c r="A43" s="6">
        <v>2</v>
      </c>
      <c r="B43" s="16" t="s">
        <v>53</v>
      </c>
      <c r="C43" s="26" t="s">
        <v>10</v>
      </c>
      <c r="D43" s="26" t="s">
        <v>59</v>
      </c>
      <c r="E43" s="26" t="s">
        <v>59</v>
      </c>
      <c r="F43" s="26" t="s">
        <v>59</v>
      </c>
      <c r="G43" s="455"/>
      <c r="H43" s="456"/>
      <c r="I43" s="456"/>
      <c r="J43" s="456"/>
      <c r="K43" s="456"/>
      <c r="L43" s="456"/>
      <c r="M43" s="456"/>
      <c r="N43" s="457"/>
    </row>
    <row r="44" spans="1:14" ht="19.5" customHeight="1" x14ac:dyDescent="0.25">
      <c r="A44" s="6">
        <v>3</v>
      </c>
      <c r="B44" s="16" t="s">
        <v>18</v>
      </c>
      <c r="C44" s="26" t="s">
        <v>9</v>
      </c>
      <c r="D44" s="40">
        <f>(F15+F22+F29)</f>
        <v>94</v>
      </c>
      <c r="E44" s="39">
        <f>100</f>
        <v>100</v>
      </c>
      <c r="F44" s="39">
        <f>D44*0.7+E44*0.3</f>
        <v>95.8</v>
      </c>
      <c r="G44" s="458"/>
      <c r="H44" s="459"/>
      <c r="I44" s="459"/>
      <c r="J44" s="459"/>
      <c r="K44" s="459"/>
      <c r="L44" s="459"/>
      <c r="M44" s="459"/>
      <c r="N44" s="460"/>
    </row>
    <row r="46" spans="1:14" ht="12" x14ac:dyDescent="0.25">
      <c r="A46" s="41" t="s">
        <v>60</v>
      </c>
      <c r="B46" s="42"/>
      <c r="C46" s="43"/>
      <c r="D46" s="11"/>
      <c r="E46" s="44"/>
    </row>
    <row r="47" spans="1:14" ht="12" x14ac:dyDescent="0.25">
      <c r="A47" s="466" t="s">
        <v>1</v>
      </c>
      <c r="B47" s="468" t="s">
        <v>61</v>
      </c>
      <c r="C47" s="469"/>
      <c r="D47" s="45" t="s">
        <v>62</v>
      </c>
      <c r="E47" s="45" t="s">
        <v>62</v>
      </c>
      <c r="F47" s="45" t="s">
        <v>63</v>
      </c>
    </row>
    <row r="48" spans="1:14" ht="12" x14ac:dyDescent="0.25">
      <c r="A48" s="467"/>
      <c r="B48" s="470"/>
      <c r="C48" s="471"/>
      <c r="D48" s="45" t="s">
        <v>64</v>
      </c>
      <c r="E48" s="45" t="s">
        <v>65</v>
      </c>
      <c r="F48" s="45" t="s">
        <v>66</v>
      </c>
    </row>
    <row r="49" spans="1:6" ht="12" x14ac:dyDescent="0.25">
      <c r="A49" s="64"/>
      <c r="B49" s="472" t="s">
        <v>67</v>
      </c>
      <c r="C49" s="473"/>
      <c r="D49" s="474"/>
      <c r="E49" s="475"/>
      <c r="F49" s="476"/>
    </row>
    <row r="50" spans="1:6" x14ac:dyDescent="0.25">
      <c r="A50" s="46">
        <v>1</v>
      </c>
      <c r="B50" s="47" t="s">
        <v>68</v>
      </c>
      <c r="C50" s="48"/>
      <c r="D50" s="49" t="s">
        <v>45</v>
      </c>
      <c r="E50" s="50">
        <v>4.17</v>
      </c>
      <c r="F50" s="51">
        <v>4.17</v>
      </c>
    </row>
    <row r="51" spans="1:6" x14ac:dyDescent="0.25">
      <c r="A51" s="46">
        <v>2</v>
      </c>
      <c r="B51" s="47" t="s">
        <v>69</v>
      </c>
      <c r="C51" s="61"/>
      <c r="D51" s="59" t="s">
        <v>45</v>
      </c>
      <c r="E51" s="52">
        <v>4.17</v>
      </c>
      <c r="F51" s="53">
        <v>4.17</v>
      </c>
    </row>
    <row r="52" spans="1:6" x14ac:dyDescent="0.25">
      <c r="A52" s="46">
        <v>3</v>
      </c>
      <c r="B52" s="47" t="s">
        <v>70</v>
      </c>
      <c r="C52" s="61"/>
      <c r="D52" s="59" t="s">
        <v>45</v>
      </c>
      <c r="E52" s="52">
        <v>4.17</v>
      </c>
      <c r="F52" s="53">
        <v>4.17</v>
      </c>
    </row>
    <row r="53" spans="1:6" x14ac:dyDescent="0.25">
      <c r="A53" s="46">
        <v>4</v>
      </c>
      <c r="B53" s="47" t="s">
        <v>71</v>
      </c>
      <c r="C53" s="61"/>
      <c r="D53" s="59" t="s">
        <v>72</v>
      </c>
      <c r="E53" s="52">
        <v>0</v>
      </c>
      <c r="F53" s="53">
        <v>0</v>
      </c>
    </row>
    <row r="54" spans="1:6" x14ac:dyDescent="0.25">
      <c r="A54" s="46">
        <v>5</v>
      </c>
      <c r="B54" s="47" t="s">
        <v>73</v>
      </c>
      <c r="C54" s="61"/>
      <c r="D54" s="59" t="s">
        <v>45</v>
      </c>
      <c r="E54" s="52">
        <v>4.17</v>
      </c>
      <c r="F54" s="53">
        <v>4.17</v>
      </c>
    </row>
    <row r="55" spans="1:6" x14ac:dyDescent="0.25">
      <c r="A55" s="46">
        <v>6</v>
      </c>
      <c r="B55" s="47" t="s">
        <v>74</v>
      </c>
      <c r="C55" s="61"/>
      <c r="D55" s="59" t="s">
        <v>72</v>
      </c>
      <c r="E55" s="52">
        <v>0</v>
      </c>
      <c r="F55" s="53">
        <v>0</v>
      </c>
    </row>
    <row r="56" spans="1:6" x14ac:dyDescent="0.25">
      <c r="A56" s="46">
        <v>7</v>
      </c>
      <c r="B56" s="47" t="s">
        <v>75</v>
      </c>
      <c r="C56" s="61"/>
      <c r="D56" s="59" t="s">
        <v>45</v>
      </c>
      <c r="E56" s="52">
        <v>4.17</v>
      </c>
      <c r="F56" s="53">
        <v>4.17</v>
      </c>
    </row>
    <row r="57" spans="1:6" x14ac:dyDescent="0.25">
      <c r="A57" s="46">
        <v>8</v>
      </c>
      <c r="B57" s="47" t="s">
        <v>76</v>
      </c>
      <c r="C57" s="61"/>
      <c r="D57" s="59" t="s">
        <v>45</v>
      </c>
      <c r="E57" s="52">
        <v>4.17</v>
      </c>
      <c r="F57" s="53">
        <v>4.17</v>
      </c>
    </row>
    <row r="58" spans="1:6" x14ac:dyDescent="0.25">
      <c r="A58" s="46">
        <v>9</v>
      </c>
      <c r="B58" s="47" t="s">
        <v>77</v>
      </c>
      <c r="C58" s="61"/>
      <c r="D58" s="59" t="s">
        <v>45</v>
      </c>
      <c r="E58" s="52">
        <v>4.17</v>
      </c>
      <c r="F58" s="53">
        <v>4.17</v>
      </c>
    </row>
    <row r="59" spans="1:6" x14ac:dyDescent="0.25">
      <c r="A59" s="46">
        <v>10</v>
      </c>
      <c r="B59" s="47" t="s">
        <v>78</v>
      </c>
      <c r="C59" s="61"/>
      <c r="D59" s="59" t="s">
        <v>45</v>
      </c>
      <c r="E59" s="52">
        <v>4.17</v>
      </c>
      <c r="F59" s="53">
        <v>4.17</v>
      </c>
    </row>
    <row r="60" spans="1:6" x14ac:dyDescent="0.25">
      <c r="A60" s="46">
        <v>11</v>
      </c>
      <c r="B60" s="47" t="s">
        <v>79</v>
      </c>
      <c r="C60" s="61"/>
      <c r="D60" s="59" t="s">
        <v>72</v>
      </c>
      <c r="E60" s="52">
        <v>0</v>
      </c>
      <c r="F60" s="53">
        <v>0</v>
      </c>
    </row>
    <row r="61" spans="1:6" x14ac:dyDescent="0.25">
      <c r="A61" s="46">
        <v>12</v>
      </c>
      <c r="B61" s="47" t="s">
        <v>80</v>
      </c>
      <c r="C61" s="61"/>
      <c r="D61" s="60" t="s">
        <v>45</v>
      </c>
      <c r="E61" s="54">
        <v>4.17</v>
      </c>
      <c r="F61" s="55">
        <v>4.17</v>
      </c>
    </row>
    <row r="62" spans="1:6" ht="12" x14ac:dyDescent="0.25">
      <c r="A62" s="64"/>
      <c r="B62" s="472" t="s">
        <v>81</v>
      </c>
      <c r="C62" s="473"/>
      <c r="D62" s="477"/>
      <c r="E62" s="478"/>
      <c r="F62" s="479"/>
    </row>
    <row r="63" spans="1:6" x14ac:dyDescent="0.25">
      <c r="A63" s="46">
        <v>13</v>
      </c>
      <c r="B63" s="47" t="s">
        <v>82</v>
      </c>
      <c r="C63" s="61"/>
      <c r="D63" s="62" t="s">
        <v>72</v>
      </c>
      <c r="E63" s="50">
        <v>0</v>
      </c>
      <c r="F63" s="51">
        <v>0</v>
      </c>
    </row>
    <row r="64" spans="1:6" x14ac:dyDescent="0.25">
      <c r="A64" s="46">
        <v>14</v>
      </c>
      <c r="B64" s="47" t="s">
        <v>83</v>
      </c>
      <c r="C64" s="61"/>
      <c r="D64" s="59" t="s">
        <v>45</v>
      </c>
      <c r="E64" s="52">
        <v>4.17</v>
      </c>
      <c r="F64" s="53">
        <v>4.17</v>
      </c>
    </row>
    <row r="65" spans="1:6" x14ac:dyDescent="0.25">
      <c r="A65" s="46">
        <v>15</v>
      </c>
      <c r="B65" s="47" t="s">
        <v>84</v>
      </c>
      <c r="C65" s="61"/>
      <c r="D65" s="59" t="s">
        <v>45</v>
      </c>
      <c r="E65" s="52">
        <v>4.17</v>
      </c>
      <c r="F65" s="53">
        <v>4.17</v>
      </c>
    </row>
    <row r="66" spans="1:6" x14ac:dyDescent="0.25">
      <c r="A66" s="46">
        <v>16</v>
      </c>
      <c r="B66" s="47" t="s">
        <v>85</v>
      </c>
      <c r="C66" s="61"/>
      <c r="D66" s="59" t="s">
        <v>45</v>
      </c>
      <c r="E66" s="52">
        <v>4.17</v>
      </c>
      <c r="F66" s="53">
        <v>4.17</v>
      </c>
    </row>
    <row r="67" spans="1:6" x14ac:dyDescent="0.25">
      <c r="A67" s="46">
        <v>17</v>
      </c>
      <c r="B67" s="47" t="s">
        <v>86</v>
      </c>
      <c r="C67" s="61"/>
      <c r="D67" s="59" t="s">
        <v>45</v>
      </c>
      <c r="E67" s="52">
        <v>4.17</v>
      </c>
      <c r="F67" s="53">
        <v>4.17</v>
      </c>
    </row>
    <row r="68" spans="1:6" x14ac:dyDescent="0.25">
      <c r="A68" s="46">
        <v>18</v>
      </c>
      <c r="B68" s="47" t="s">
        <v>87</v>
      </c>
      <c r="C68" s="61"/>
      <c r="D68" s="59" t="s">
        <v>45</v>
      </c>
      <c r="E68" s="52">
        <v>4.17</v>
      </c>
      <c r="F68" s="53">
        <v>4.17</v>
      </c>
    </row>
    <row r="69" spans="1:6" ht="25.5" customHeight="1" x14ac:dyDescent="0.25">
      <c r="A69" s="46">
        <v>19</v>
      </c>
      <c r="B69" s="483" t="s">
        <v>88</v>
      </c>
      <c r="C69" s="484"/>
      <c r="D69" s="59" t="s">
        <v>45</v>
      </c>
      <c r="E69" s="52">
        <v>4.17</v>
      </c>
      <c r="F69" s="53">
        <v>4.17</v>
      </c>
    </row>
    <row r="70" spans="1:6" x14ac:dyDescent="0.25">
      <c r="A70" s="46">
        <v>20</v>
      </c>
      <c r="B70" s="47" t="s">
        <v>89</v>
      </c>
      <c r="C70" s="61"/>
      <c r="D70" s="59" t="s">
        <v>45</v>
      </c>
      <c r="E70" s="52">
        <v>4.17</v>
      </c>
      <c r="F70" s="53">
        <v>4.17</v>
      </c>
    </row>
    <row r="71" spans="1:6" x14ac:dyDescent="0.25">
      <c r="A71" s="46">
        <v>21</v>
      </c>
      <c r="B71" s="47" t="s">
        <v>90</v>
      </c>
      <c r="C71" s="61"/>
      <c r="D71" s="59" t="s">
        <v>45</v>
      </c>
      <c r="E71" s="52">
        <v>4.17</v>
      </c>
      <c r="F71" s="53">
        <v>4.17</v>
      </c>
    </row>
    <row r="72" spans="1:6" x14ac:dyDescent="0.25">
      <c r="A72" s="46">
        <v>22</v>
      </c>
      <c r="B72" s="47" t="s">
        <v>91</v>
      </c>
      <c r="C72" s="61"/>
      <c r="D72" s="59" t="s">
        <v>45</v>
      </c>
      <c r="E72" s="52">
        <v>4.17</v>
      </c>
      <c r="F72" s="53">
        <v>4.17</v>
      </c>
    </row>
    <row r="73" spans="1:6" ht="27.75" customHeight="1" x14ac:dyDescent="0.25">
      <c r="A73" s="46">
        <v>23</v>
      </c>
      <c r="B73" s="483" t="s">
        <v>92</v>
      </c>
      <c r="C73" s="484"/>
      <c r="D73" s="59" t="s">
        <v>45</v>
      </c>
      <c r="E73" s="52">
        <v>4.17</v>
      </c>
      <c r="F73" s="53">
        <v>4.17</v>
      </c>
    </row>
    <row r="74" spans="1:6" x14ac:dyDescent="0.25">
      <c r="A74" s="46">
        <v>24</v>
      </c>
      <c r="B74" s="47" t="s">
        <v>93</v>
      </c>
      <c r="C74" s="63"/>
      <c r="D74" s="60" t="s">
        <v>45</v>
      </c>
      <c r="E74" s="54">
        <v>4.17</v>
      </c>
      <c r="F74" s="55">
        <v>4.17</v>
      </c>
    </row>
    <row r="75" spans="1:6" ht="14.25" customHeight="1" x14ac:dyDescent="0.3">
      <c r="A75" s="480" t="s">
        <v>94</v>
      </c>
      <c r="B75" s="481"/>
      <c r="C75" s="482"/>
      <c r="D75" s="56"/>
      <c r="E75" s="57">
        <f>SUM(E50:E74)</f>
        <v>83.40000000000002</v>
      </c>
      <c r="F75" s="58">
        <f>SUM(F50:F74)</f>
        <v>83.40000000000002</v>
      </c>
    </row>
  </sheetData>
  <mergeCells count="61">
    <mergeCell ref="B62:C62"/>
    <mergeCell ref="D62:F62"/>
    <mergeCell ref="A75:C75"/>
    <mergeCell ref="B69:C69"/>
    <mergeCell ref="B73:C73"/>
    <mergeCell ref="A47:A48"/>
    <mergeCell ref="B47:C48"/>
    <mergeCell ref="E40:E41"/>
    <mergeCell ref="B49:C49"/>
    <mergeCell ref="D49:F49"/>
    <mergeCell ref="A40:A41"/>
    <mergeCell ref="B40:B41"/>
    <mergeCell ref="C40:C41"/>
    <mergeCell ref="D40:D41"/>
    <mergeCell ref="F40:F41"/>
    <mergeCell ref="G40:N44"/>
    <mergeCell ref="H27:M27"/>
    <mergeCell ref="H28:M28"/>
    <mergeCell ref="H29:M29"/>
    <mergeCell ref="A33:A34"/>
    <mergeCell ref="B33:B34"/>
    <mergeCell ref="C33:D33"/>
    <mergeCell ref="E33:F33"/>
    <mergeCell ref="G33:H33"/>
    <mergeCell ref="I33:J33"/>
    <mergeCell ref="K33:M33"/>
    <mergeCell ref="H20:M20"/>
    <mergeCell ref="H21:M21"/>
    <mergeCell ref="H22:M22"/>
    <mergeCell ref="A25:A26"/>
    <mergeCell ref="B25:B26"/>
    <mergeCell ref="C25:C26"/>
    <mergeCell ref="D25:E25"/>
    <mergeCell ref="F25:G25"/>
    <mergeCell ref="H25:M26"/>
    <mergeCell ref="H11:M12"/>
    <mergeCell ref="H13:M13"/>
    <mergeCell ref="H14:M14"/>
    <mergeCell ref="H15:M15"/>
    <mergeCell ref="A18:A19"/>
    <mergeCell ref="B18:B19"/>
    <mergeCell ref="C18:C19"/>
    <mergeCell ref="D18:E18"/>
    <mergeCell ref="F18:G18"/>
    <mergeCell ref="H18:M19"/>
    <mergeCell ref="A11:A12"/>
    <mergeCell ref="B11:B12"/>
    <mergeCell ref="C11:C12"/>
    <mergeCell ref="D11:E11"/>
    <mergeCell ref="F11:G11"/>
    <mergeCell ref="A1:M1"/>
    <mergeCell ref="A3:A4"/>
    <mergeCell ref="B3:B4"/>
    <mergeCell ref="C3:C4"/>
    <mergeCell ref="D3:F3"/>
    <mergeCell ref="G3:G4"/>
    <mergeCell ref="H3:H4"/>
    <mergeCell ref="I3:I4"/>
    <mergeCell ref="J3:K3"/>
    <mergeCell ref="L3:L4"/>
    <mergeCell ref="M3:M4"/>
  </mergeCells>
  <hyperlinks>
    <hyperlink ref="B15" r:id="rId1" display="https://sikap.bpk.go.id/Kantor/Details/6ad11226-827e-4876-b12c-4246eed94aab" xr:uid="{00000000-0004-0000-0100-000000000000}"/>
    <hyperlink ref="B7" r:id="rId2" display="https://sikap.bpk.go.id/Kantor/Details/6ad11226-827e-4876-b12c-4246eed94aab" xr:uid="{00000000-0004-0000-0100-000001000000}"/>
    <hyperlink ref="B22" r:id="rId3" display="https://sikap.bpk.go.id/Kantor/Details/6ad11226-827e-4876-b12c-4246eed94aab" xr:uid="{00000000-0004-0000-0100-000002000000}"/>
    <hyperlink ref="B29" r:id="rId4" display="https://sikap.bpk.go.id/Kantor/Details/6ad11226-827e-4876-b12c-4246eed94aab" xr:uid="{00000000-0004-0000-0100-000003000000}"/>
    <hyperlink ref="B37" r:id="rId5" display="https://sikap.bpk.go.id/Kantor/Details/6ad11226-827e-4876-b12c-4246eed94aab" xr:uid="{00000000-0004-0000-0100-000004000000}"/>
    <hyperlink ref="B44" r:id="rId6" display="https://sikap.bpk.go.id/Kantor/Details/6ad11226-827e-4876-b12c-4246eed94aab" xr:uid="{00000000-0004-0000-0100-000005000000}"/>
  </hyperlinks>
  <pageMargins left="0" right="0" top="0" bottom="0" header="0.31496062992125984" footer="0.31496062992125984"/>
  <pageSetup paperSize="9" scale="69" orientation="landscape" r:id="rId7"/>
  <customProperties>
    <customPr name="EpmWorksheetKeyString_GUID" r:id="rId8"/>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99"/>
  <sheetViews>
    <sheetView tabSelected="1" topLeftCell="A55" zoomScale="85" zoomScaleNormal="85" zoomScaleSheetLayoutView="58" workbookViewId="0">
      <selection activeCell="H19" sqref="H19:M19"/>
    </sheetView>
  </sheetViews>
  <sheetFormatPr defaultColWidth="8.77734375" defaultRowHeight="10.8" x14ac:dyDescent="0.25"/>
  <cols>
    <col min="1" max="1" width="3" style="1" bestFit="1" customWidth="1"/>
    <col min="2" max="2" width="26.5546875" style="3" customWidth="1"/>
    <col min="3" max="4" width="11.77734375" style="4" customWidth="1"/>
    <col min="5" max="5" width="12.5546875" style="4" customWidth="1"/>
    <col min="6" max="6" width="12.77734375" style="1" customWidth="1"/>
    <col min="7" max="8" width="11.77734375" style="1" customWidth="1"/>
    <col min="9" max="9" width="12.21875" style="1" customWidth="1"/>
    <col min="10" max="10" width="12" style="1" customWidth="1"/>
    <col min="11" max="11" width="12.21875" style="1" customWidth="1"/>
    <col min="12" max="12" width="12.44140625" style="1" bestFit="1" customWidth="1"/>
    <col min="13" max="13" width="11.44140625" style="1" customWidth="1"/>
    <col min="14" max="14" width="11.5546875" style="1" customWidth="1"/>
    <col min="15" max="15" width="11.21875" style="3" customWidth="1"/>
    <col min="16" max="16" width="13.77734375" style="3" bestFit="1" customWidth="1"/>
    <col min="17" max="17" width="8.77734375" style="3"/>
    <col min="18" max="18" width="13.44140625" style="3" bestFit="1" customWidth="1"/>
    <col min="19" max="20" width="8.77734375" style="3"/>
    <col min="21" max="21" width="4.44140625" style="3" bestFit="1" customWidth="1"/>
    <col min="22" max="22" width="11.77734375" style="3" bestFit="1" customWidth="1"/>
    <col min="23" max="23" width="4.77734375" style="3" bestFit="1" customWidth="1"/>
    <col min="24" max="24" width="5.21875" style="3" bestFit="1" customWidth="1"/>
    <col min="25" max="25" width="6.5546875" style="3" bestFit="1" customWidth="1"/>
    <col min="26" max="16384" width="8.77734375" style="3"/>
  </cols>
  <sheetData>
    <row r="1" spans="1:20" ht="14.55" customHeight="1" x14ac:dyDescent="0.3">
      <c r="A1" s="447" t="s">
        <v>183</v>
      </c>
      <c r="B1" s="447"/>
      <c r="C1" s="447"/>
      <c r="D1" s="447"/>
      <c r="E1" s="447"/>
      <c r="F1" s="447"/>
      <c r="G1" s="447"/>
      <c r="H1" s="447"/>
      <c r="I1" s="447"/>
      <c r="J1" s="447"/>
      <c r="K1" s="447"/>
      <c r="L1" s="447"/>
      <c r="M1" s="447"/>
    </row>
    <row r="2" spans="1:20" ht="16.05" customHeight="1" x14ac:dyDescent="0.3">
      <c r="A2" s="447" t="s">
        <v>184</v>
      </c>
      <c r="B2" s="447"/>
      <c r="C2" s="447"/>
      <c r="D2" s="447"/>
      <c r="E2" s="447"/>
      <c r="F2" s="447"/>
      <c r="G2" s="447"/>
      <c r="H2" s="447"/>
      <c r="I2" s="447"/>
      <c r="J2" s="447"/>
      <c r="K2" s="447"/>
      <c r="L2" s="447"/>
      <c r="M2" s="447"/>
    </row>
    <row r="3" spans="1:20" ht="14.55" customHeight="1" x14ac:dyDescent="0.3">
      <c r="A3" s="498" t="s">
        <v>326</v>
      </c>
      <c r="B3" s="498"/>
      <c r="C3" s="498"/>
      <c r="D3" s="498"/>
      <c r="E3" s="498"/>
      <c r="F3" s="498"/>
      <c r="G3" s="498"/>
      <c r="H3" s="498"/>
      <c r="I3" s="498"/>
      <c r="J3" s="498"/>
      <c r="K3" s="498"/>
      <c r="L3" s="498"/>
      <c r="M3" s="498"/>
    </row>
    <row r="4" spans="1:20" ht="14.55" customHeight="1" x14ac:dyDescent="0.3">
      <c r="A4" s="127"/>
      <c r="B4" s="127"/>
      <c r="C4" s="3"/>
      <c r="D4" s="127"/>
      <c r="E4" s="127"/>
      <c r="F4" s="127"/>
      <c r="G4" s="127"/>
      <c r="H4" s="127"/>
      <c r="I4" s="127"/>
      <c r="J4" s="127"/>
      <c r="K4" s="127"/>
      <c r="L4" s="127"/>
      <c r="M4" s="127"/>
    </row>
    <row r="5" spans="1:20" ht="12" x14ac:dyDescent="0.3">
      <c r="A5" s="2" t="s">
        <v>0</v>
      </c>
    </row>
    <row r="6" spans="1:20" ht="6" customHeight="1" x14ac:dyDescent="0.25">
      <c r="A6" s="491" t="s">
        <v>1</v>
      </c>
      <c r="B6" s="491" t="s">
        <v>2</v>
      </c>
      <c r="C6" s="503" t="s">
        <v>226</v>
      </c>
      <c r="D6" s="505"/>
      <c r="E6" s="503" t="s">
        <v>227</v>
      </c>
      <c r="F6" s="505"/>
      <c r="G6" s="503" t="s">
        <v>228</v>
      </c>
      <c r="H6" s="505"/>
      <c r="I6" s="503" t="s">
        <v>229</v>
      </c>
      <c r="J6" s="505"/>
      <c r="K6" s="503" t="s">
        <v>24</v>
      </c>
      <c r="L6" s="505"/>
      <c r="M6" s="503" t="s">
        <v>25</v>
      </c>
      <c r="N6" s="504"/>
      <c r="O6" s="504"/>
      <c r="P6" s="504"/>
      <c r="Q6" s="504"/>
      <c r="R6" s="505"/>
      <c r="S6" s="527"/>
      <c r="T6" s="304"/>
    </row>
    <row r="7" spans="1:20" s="1" customFormat="1" ht="6" customHeight="1" x14ac:dyDescent="0.25">
      <c r="A7" s="497"/>
      <c r="B7" s="497"/>
      <c r="C7" s="506"/>
      <c r="D7" s="508"/>
      <c r="E7" s="506"/>
      <c r="F7" s="508"/>
      <c r="G7" s="506"/>
      <c r="H7" s="508"/>
      <c r="I7" s="506"/>
      <c r="J7" s="508"/>
      <c r="K7" s="506"/>
      <c r="L7" s="508"/>
      <c r="M7" s="528"/>
      <c r="N7" s="529"/>
      <c r="O7" s="529"/>
      <c r="P7" s="529"/>
      <c r="Q7" s="529"/>
      <c r="R7" s="530"/>
      <c r="S7" s="527"/>
      <c r="T7" s="304"/>
    </row>
    <row r="8" spans="1:20" s="1" customFormat="1" ht="13.95" customHeight="1" x14ac:dyDescent="0.25">
      <c r="A8" s="492"/>
      <c r="B8" s="492"/>
      <c r="C8" s="436" t="s">
        <v>26</v>
      </c>
      <c r="D8" s="437" t="s">
        <v>27</v>
      </c>
      <c r="E8" s="436" t="s">
        <v>26</v>
      </c>
      <c r="F8" s="437" t="s">
        <v>27</v>
      </c>
      <c r="G8" s="436" t="s">
        <v>26</v>
      </c>
      <c r="H8" s="437" t="s">
        <v>27</v>
      </c>
      <c r="I8" s="436" t="s">
        <v>26</v>
      </c>
      <c r="J8" s="437" t="s">
        <v>27</v>
      </c>
      <c r="K8" s="436" t="s">
        <v>26</v>
      </c>
      <c r="L8" s="437" t="s">
        <v>27</v>
      </c>
      <c r="M8" s="506"/>
      <c r="N8" s="507"/>
      <c r="O8" s="507"/>
      <c r="P8" s="507"/>
      <c r="Q8" s="507"/>
      <c r="R8" s="508"/>
      <c r="S8" s="438"/>
      <c r="T8" s="304"/>
    </row>
    <row r="9" spans="1:20" s="1" customFormat="1" ht="19.8" customHeight="1" x14ac:dyDescent="0.25">
      <c r="A9" s="6">
        <v>1</v>
      </c>
      <c r="B9" s="16" t="str">
        <f>IF('Aspek Penilaian KAP Yaniswar'!$C$2=0,"",('Aspek Penilaian KAP Yaniswar'!$A$2&amp;" "&amp;'Aspek Penilaian KAP Yaniswar'!$C$2))</f>
        <v>KAP KAP Yaniswar dan Rekan</v>
      </c>
      <c r="C9" s="251">
        <f>'Aspek Penilaian KAP Yaniswar'!F28</f>
        <v>94.444444444444443</v>
      </c>
      <c r="D9" s="251">
        <f>'Aspek Penilaian KAP Yaniswar'!O28</f>
        <v>100</v>
      </c>
      <c r="E9" s="8">
        <f>'Aspek Penilaian KAP Yaniswar'!F40</f>
        <v>100</v>
      </c>
      <c r="F9" s="8">
        <f>'Aspek Penilaian KAP Yaniswar'!O40</f>
        <v>87.5</v>
      </c>
      <c r="G9" s="426">
        <f>'Aspek Penilaian KAP Yaniswar'!F47</f>
        <v>66.666666666666671</v>
      </c>
      <c r="H9" s="426">
        <f>'Aspek Penilaian KAP Yaniswar'!O47</f>
        <v>66.666666666666671</v>
      </c>
      <c r="I9" s="251">
        <f>'Aspek Penilaian KAP Yaniswar'!F58</f>
        <v>100</v>
      </c>
      <c r="J9" s="251">
        <f>'Aspek Penilaian KAP Yaniswar'!O58</f>
        <v>100</v>
      </c>
      <c r="K9" s="251">
        <f>'Aspek Penilaian KAP Yaniswar'!F59</f>
        <v>94.444444444444443</v>
      </c>
      <c r="L9" s="251">
        <f>'Aspek Penilaian KAP Yaniswar'!O59</f>
        <v>94.444444444444443</v>
      </c>
      <c r="M9" s="502" t="s">
        <v>335</v>
      </c>
      <c r="N9" s="502"/>
      <c r="O9" s="502"/>
      <c r="P9" s="502"/>
      <c r="Q9" s="502"/>
      <c r="R9" s="502"/>
      <c r="S9" s="305"/>
      <c r="T9" s="304"/>
    </row>
    <row r="10" spans="1:20" s="1" customFormat="1" x14ac:dyDescent="0.25">
      <c r="A10" s="6">
        <v>2</v>
      </c>
      <c r="B10" s="16" t="str">
        <f>IF('Aspek Penilaian KAP DEF'!$C$2=0,"",('Aspek Penilaian KAP DEF'!$A$2&amp;" "&amp;'Aspek Penilaian KAP DEF'!$C$2))</f>
        <v/>
      </c>
      <c r="C10" s="251">
        <f>'Aspek Penilaian KAP DEF'!F28</f>
        <v>0</v>
      </c>
      <c r="D10" s="251">
        <f>'Aspek Penilaian KAP DEF'!O28</f>
        <v>0</v>
      </c>
      <c r="E10" s="8">
        <f>'Aspek Penilaian KAP DEF'!F40</f>
        <v>0</v>
      </c>
      <c r="F10" s="8">
        <f>'Aspek Penilaian KAP DEF'!O40</f>
        <v>0</v>
      </c>
      <c r="G10" s="426">
        <f>'Aspek Penilaian KAP DEF'!F47</f>
        <v>0</v>
      </c>
      <c r="H10" s="426">
        <f>'Aspek Penilaian KAP DEF'!O47</f>
        <v>0</v>
      </c>
      <c r="I10" s="251">
        <f>'Aspek Penilaian KAP DEF'!F58</f>
        <v>0</v>
      </c>
      <c r="J10" s="251">
        <f>'Aspek Penilaian KAP DEF'!O58</f>
        <v>0</v>
      </c>
      <c r="K10" s="251">
        <f>'Aspek Penilaian KAP DEF'!F59</f>
        <v>0</v>
      </c>
      <c r="L10" s="251">
        <f>'Aspek Penilaian KAP DEF'!O59</f>
        <v>0</v>
      </c>
      <c r="M10" s="502"/>
      <c r="N10" s="502"/>
      <c r="O10" s="502"/>
      <c r="P10" s="502"/>
      <c r="Q10" s="502"/>
      <c r="R10" s="502"/>
      <c r="S10" s="305"/>
      <c r="T10" s="304"/>
    </row>
    <row r="11" spans="1:20" s="1" customFormat="1" x14ac:dyDescent="0.25">
      <c r="A11" s="6">
        <v>3</v>
      </c>
      <c r="B11" s="16" t="str">
        <f>IF('Aspek Penilaian KAP GHI'!$C$2=0,"",('Aspek Penilaian KAP GHI'!$A$2&amp;" "&amp;'Aspek Penilaian KAP GHI'!$C$2))</f>
        <v/>
      </c>
      <c r="C11" s="251">
        <f>'Aspek Penilaian KAP GHI'!F28</f>
        <v>0</v>
      </c>
      <c r="D11" s="251">
        <f>'Aspek Penilaian KAP GHI'!O28</f>
        <v>0</v>
      </c>
      <c r="E11" s="8">
        <f>'Aspek Penilaian KAP GHI'!F40</f>
        <v>0</v>
      </c>
      <c r="F11" s="8">
        <f>'Aspek Penilaian KAP GHI'!O40</f>
        <v>0</v>
      </c>
      <c r="G11" s="426">
        <f>'Aspek Penilaian KAP GHI'!F47</f>
        <v>0</v>
      </c>
      <c r="H11" s="426">
        <f>'Aspek Penilaian KAP GHI'!O47</f>
        <v>0</v>
      </c>
      <c r="I11" s="251">
        <f>'Aspek Penilaian KAP GHI'!F58</f>
        <v>0</v>
      </c>
      <c r="J11" s="251">
        <f>'Aspek Penilaian KAP GHI'!O58</f>
        <v>0</v>
      </c>
      <c r="K11" s="251">
        <f>'Aspek Penilaian KAP GHI'!F59</f>
        <v>0</v>
      </c>
      <c r="L11" s="251">
        <f>'Aspek Penilaian KAP GHI'!O59</f>
        <v>0</v>
      </c>
      <c r="M11" s="509"/>
      <c r="N11" s="510"/>
      <c r="O11" s="510"/>
      <c r="P11" s="510"/>
      <c r="Q11" s="510"/>
      <c r="R11" s="511"/>
      <c r="S11" s="305"/>
      <c r="T11" s="304"/>
    </row>
    <row r="12" spans="1:20" s="1" customFormat="1" x14ac:dyDescent="0.25">
      <c r="A12" s="6">
        <v>4</v>
      </c>
      <c r="B12" s="16" t="str">
        <f>IF('Aspek Penilaian KAP JKL'!$C$2=0,"",('Aspek Penilaian KAP JKL'!$A$2&amp;" "&amp;'Aspek Penilaian KAP JKL'!$C$2))</f>
        <v/>
      </c>
      <c r="C12" s="251">
        <f>'Aspek Penilaian KAP JKL'!F28</f>
        <v>0</v>
      </c>
      <c r="D12" s="251">
        <f>'Aspek Penilaian KAP JKL'!O28</f>
        <v>0</v>
      </c>
      <c r="E12" s="8">
        <f>'Aspek Penilaian KAP JKL'!F40</f>
        <v>0</v>
      </c>
      <c r="F12" s="8">
        <f>'Aspek Penilaian KAP JKL'!O40</f>
        <v>0</v>
      </c>
      <c r="G12" s="426">
        <f>'Aspek Penilaian KAP JKL'!F47</f>
        <v>0</v>
      </c>
      <c r="H12" s="426">
        <f>'Aspek Penilaian KAP JKL'!O47</f>
        <v>0</v>
      </c>
      <c r="I12" s="251">
        <f>'Aspek Penilaian KAP JKL'!F58</f>
        <v>0</v>
      </c>
      <c r="J12" s="251">
        <f>'Aspek Penilaian KAP JKL'!O58</f>
        <v>0</v>
      </c>
      <c r="K12" s="251">
        <f>'Aspek Penilaian KAP JKL'!F59</f>
        <v>0</v>
      </c>
      <c r="L12" s="251">
        <f>'Aspek Penilaian KAP JKL'!O59</f>
        <v>0</v>
      </c>
      <c r="M12" s="509"/>
      <c r="N12" s="510"/>
      <c r="O12" s="510"/>
      <c r="P12" s="510"/>
      <c r="Q12" s="510"/>
      <c r="R12" s="511"/>
      <c r="S12" s="305"/>
      <c r="T12" s="304"/>
    </row>
    <row r="13" spans="1:20" s="1" customFormat="1" x14ac:dyDescent="0.25">
      <c r="A13" s="6">
        <v>5</v>
      </c>
      <c r="B13" s="16" t="str">
        <f>IF('Aspek Penilaian KAP MNO'!$C$2=0,"",('Aspek Penilaian KAP MNO'!$A$2&amp;" "&amp;'Aspek Penilaian KAP MNO'!$C$2))</f>
        <v/>
      </c>
      <c r="C13" s="251">
        <f>'Aspek Penilaian KAP MNO'!F28</f>
        <v>0</v>
      </c>
      <c r="D13" s="251">
        <f>'Aspek Penilaian KAP MNO'!O28</f>
        <v>0</v>
      </c>
      <c r="E13" s="8">
        <f>'Aspek Penilaian KAP MNO'!F40</f>
        <v>0</v>
      </c>
      <c r="F13" s="8">
        <f>'Aspek Penilaian KAP MNO'!O40</f>
        <v>0</v>
      </c>
      <c r="G13" s="426">
        <f>'Aspek Penilaian KAP MNO'!F47</f>
        <v>0</v>
      </c>
      <c r="H13" s="426">
        <f>'Aspek Penilaian KAP MNO'!O47</f>
        <v>0</v>
      </c>
      <c r="I13" s="251">
        <f>'Aspek Penilaian KAP MNO'!F58</f>
        <v>0</v>
      </c>
      <c r="J13" s="251">
        <f>'Aspek Penilaian KAP MNO'!O58</f>
        <v>0</v>
      </c>
      <c r="K13" s="251">
        <f>'Aspek Penilaian KAP MNO'!F59</f>
        <v>0</v>
      </c>
      <c r="L13" s="251">
        <f>'Aspek Penilaian KAP MNO'!O59</f>
        <v>0</v>
      </c>
      <c r="M13" s="487"/>
      <c r="N13" s="487"/>
      <c r="O13" s="487"/>
      <c r="P13" s="487"/>
      <c r="Q13" s="487"/>
      <c r="R13" s="487"/>
      <c r="S13" s="306"/>
      <c r="T13" s="304"/>
    </row>
    <row r="14" spans="1:20" s="1" customFormat="1" x14ac:dyDescent="0.25">
      <c r="B14" s="3"/>
      <c r="C14" s="10"/>
      <c r="D14" s="10"/>
      <c r="E14" s="10"/>
      <c r="F14" s="10"/>
      <c r="G14" s="10"/>
      <c r="H14" s="10"/>
      <c r="I14" s="10"/>
      <c r="J14" s="10"/>
      <c r="K14" s="10"/>
      <c r="L14" s="10"/>
      <c r="M14" s="252"/>
    </row>
    <row r="15" spans="1:20" s="1" customFormat="1" ht="12" x14ac:dyDescent="0.3">
      <c r="A15" s="2" t="s">
        <v>19</v>
      </c>
      <c r="B15" s="3"/>
      <c r="C15" s="10"/>
      <c r="D15" s="10"/>
      <c r="E15" s="10"/>
      <c r="F15" s="11"/>
      <c r="G15" s="11"/>
    </row>
    <row r="16" spans="1:20" s="1" customFormat="1" ht="12" x14ac:dyDescent="0.3">
      <c r="A16" s="12" t="s">
        <v>20</v>
      </c>
      <c r="B16" s="13" t="s">
        <v>21</v>
      </c>
      <c r="C16" s="10"/>
      <c r="D16" s="10"/>
      <c r="E16" s="10"/>
      <c r="F16" s="11"/>
      <c r="G16" s="11"/>
    </row>
    <row r="17" spans="1:13" s="1" customFormat="1" ht="12" x14ac:dyDescent="0.25">
      <c r="A17" s="449" t="s">
        <v>1</v>
      </c>
      <c r="B17" s="449" t="s">
        <v>2</v>
      </c>
      <c r="C17" s="450" t="s">
        <v>22</v>
      </c>
      <c r="D17" s="450" t="s">
        <v>23</v>
      </c>
      <c r="E17" s="450"/>
      <c r="F17" s="494" t="s">
        <v>24</v>
      </c>
      <c r="G17" s="496"/>
      <c r="H17" s="503" t="s">
        <v>25</v>
      </c>
      <c r="I17" s="504"/>
      <c r="J17" s="504"/>
      <c r="K17" s="504"/>
      <c r="L17" s="504"/>
      <c r="M17" s="505"/>
    </row>
    <row r="18" spans="1:13" s="1" customFormat="1" ht="12" x14ac:dyDescent="0.25">
      <c r="A18" s="449"/>
      <c r="B18" s="449"/>
      <c r="C18" s="450"/>
      <c r="D18" s="24" t="s">
        <v>26</v>
      </c>
      <c r="E18" s="24" t="s">
        <v>27</v>
      </c>
      <c r="F18" s="24" t="s">
        <v>26</v>
      </c>
      <c r="G18" s="24" t="s">
        <v>27</v>
      </c>
      <c r="H18" s="506"/>
      <c r="I18" s="507"/>
      <c r="J18" s="507"/>
      <c r="K18" s="507"/>
      <c r="L18" s="507"/>
      <c r="M18" s="508"/>
    </row>
    <row r="19" spans="1:13" s="1" customFormat="1" ht="26.25" customHeight="1" x14ac:dyDescent="0.25">
      <c r="A19" s="6">
        <v>1</v>
      </c>
      <c r="B19" s="16" t="str">
        <f>IF('Aspek Penilaian KAP Yaniswar'!$C$2=0,"",('Aspek Penilaian KAP Yaniswar'!$A$2&amp;" "&amp;'Aspek Penilaian KAP Yaniswar'!$C$2))</f>
        <v>KAP KAP Yaniswar dan Rekan</v>
      </c>
      <c r="C19" s="15">
        <v>0.3</v>
      </c>
      <c r="D19" s="25">
        <f>'Aspek Penilaian KAP Yaniswar'!E63</f>
        <v>0</v>
      </c>
      <c r="E19" s="215">
        <f>'Aspek Penilaian KAP Yaniswar'!N63</f>
        <v>24</v>
      </c>
      <c r="F19" s="25">
        <f>C19*D19</f>
        <v>0</v>
      </c>
      <c r="G19" s="25">
        <f>E19*C19</f>
        <v>7.1999999999999993</v>
      </c>
      <c r="H19" s="499"/>
      <c r="I19" s="500"/>
      <c r="J19" s="500"/>
      <c r="K19" s="500"/>
      <c r="L19" s="500"/>
      <c r="M19" s="501"/>
    </row>
    <row r="20" spans="1:13" s="1" customFormat="1" ht="26.25" customHeight="1" x14ac:dyDescent="0.25">
      <c r="A20" s="6">
        <v>2</v>
      </c>
      <c r="B20" s="16" t="str">
        <f>IF('Aspek Penilaian KAP DEF'!$C$2=0,"",('Aspek Penilaian KAP DEF'!$A$2&amp;" "&amp;'Aspek Penilaian KAP DEF'!$C$2))</f>
        <v/>
      </c>
      <c r="C20" s="15">
        <v>0.3</v>
      </c>
      <c r="D20" s="25">
        <f>'Aspek Penilaian KAP DEF'!E63</f>
        <v>0</v>
      </c>
      <c r="E20" s="215">
        <f>'Aspek Penilaian KAP DEF'!N63</f>
        <v>0</v>
      </c>
      <c r="F20" s="25">
        <f>C20*D20</f>
        <v>0</v>
      </c>
      <c r="G20" s="25">
        <f>E20*C20</f>
        <v>0</v>
      </c>
      <c r="H20" s="499"/>
      <c r="I20" s="500"/>
      <c r="J20" s="500"/>
      <c r="K20" s="500"/>
      <c r="L20" s="500"/>
      <c r="M20" s="501"/>
    </row>
    <row r="21" spans="1:13" s="1" customFormat="1" ht="26.25" customHeight="1" x14ac:dyDescent="0.25">
      <c r="A21" s="6">
        <v>3</v>
      </c>
      <c r="B21" s="16" t="str">
        <f>IF('Aspek Penilaian KAP GHI'!$C$2=0,"",('Aspek Penilaian KAP GHI'!$A$2&amp;" "&amp;'Aspek Penilaian KAP GHI'!$C$2))</f>
        <v/>
      </c>
      <c r="C21" s="15">
        <v>0.3</v>
      </c>
      <c r="D21" s="25">
        <f>'Aspek Penilaian KAP GHI'!E63</f>
        <v>0</v>
      </c>
      <c r="E21" s="215">
        <f>'Aspek Penilaian KAP GHI'!N63</f>
        <v>0</v>
      </c>
      <c r="F21" s="25">
        <f>C21*D21</f>
        <v>0</v>
      </c>
      <c r="G21" s="25">
        <f>E21*C21</f>
        <v>0</v>
      </c>
      <c r="H21" s="499"/>
      <c r="I21" s="500"/>
      <c r="J21" s="500"/>
      <c r="K21" s="500"/>
      <c r="L21" s="500"/>
      <c r="M21" s="501"/>
    </row>
    <row r="22" spans="1:13" s="1" customFormat="1" ht="26.25" customHeight="1" x14ac:dyDescent="0.25">
      <c r="A22" s="6">
        <v>4</v>
      </c>
      <c r="B22" s="16" t="str">
        <f>IF('Aspek Penilaian KAP JKL'!$C$2=0,"",('Aspek Penilaian KAP JKL'!$A$2&amp;" "&amp;'Aspek Penilaian KAP JKL'!$C$2))</f>
        <v/>
      </c>
      <c r="C22" s="15">
        <v>0.3</v>
      </c>
      <c r="D22" s="25">
        <f>'Aspek Penilaian KAP JKL'!E63</f>
        <v>0</v>
      </c>
      <c r="E22" s="215">
        <f>'Aspek Penilaian KAP JKL'!N63</f>
        <v>0</v>
      </c>
      <c r="F22" s="25">
        <f>C22*D22</f>
        <v>0</v>
      </c>
      <c r="G22" s="25">
        <f>E22*C22</f>
        <v>0</v>
      </c>
      <c r="H22" s="499"/>
      <c r="I22" s="500"/>
      <c r="J22" s="500"/>
      <c r="K22" s="500"/>
      <c r="L22" s="500"/>
      <c r="M22" s="501"/>
    </row>
    <row r="23" spans="1:13" s="1" customFormat="1" ht="28.05" customHeight="1" x14ac:dyDescent="0.25">
      <c r="A23" s="6">
        <v>5</v>
      </c>
      <c r="B23" s="16" t="str">
        <f>IF('Aspek Penilaian KAP MNO'!$C$2=0,"",('Aspek Penilaian KAP MNO'!$A$2&amp;" "&amp;'Aspek Penilaian KAP MNO'!$C$2))</f>
        <v/>
      </c>
      <c r="C23" s="15">
        <v>0.3</v>
      </c>
      <c r="D23" s="25">
        <f>'Aspek Penilaian KAP MNO'!E63</f>
        <v>0</v>
      </c>
      <c r="E23" s="215">
        <f>'Aspek Penilaian KAP MNO'!N63</f>
        <v>0</v>
      </c>
      <c r="F23" s="25">
        <f>C23*D23</f>
        <v>0</v>
      </c>
      <c r="G23" s="25">
        <f>E23*C23</f>
        <v>0</v>
      </c>
      <c r="H23" s="499"/>
      <c r="I23" s="500"/>
      <c r="J23" s="500"/>
      <c r="K23" s="500"/>
      <c r="L23" s="500"/>
      <c r="M23" s="501"/>
    </row>
    <row r="24" spans="1:13" s="1" customFormat="1" x14ac:dyDescent="0.25">
      <c r="B24" s="3"/>
      <c r="C24" s="10"/>
      <c r="D24" s="10"/>
      <c r="E24" s="10"/>
      <c r="F24" s="11"/>
      <c r="G24" s="11"/>
    </row>
    <row r="25" spans="1:13" ht="12" x14ac:dyDescent="0.3">
      <c r="A25" s="12" t="s">
        <v>28</v>
      </c>
      <c r="B25" s="13" t="s">
        <v>29</v>
      </c>
      <c r="C25" s="10"/>
      <c r="D25" s="10"/>
      <c r="E25" s="10"/>
      <c r="F25" s="11"/>
      <c r="G25" s="11"/>
    </row>
    <row r="26" spans="1:13" ht="13.5" customHeight="1" x14ac:dyDescent="0.25">
      <c r="A26" s="449" t="s">
        <v>1</v>
      </c>
      <c r="B26" s="449" t="s">
        <v>2</v>
      </c>
      <c r="C26" s="464" t="s">
        <v>22</v>
      </c>
      <c r="D26" s="450" t="s">
        <v>23</v>
      </c>
      <c r="E26" s="450"/>
      <c r="F26" s="494" t="s">
        <v>24</v>
      </c>
      <c r="G26" s="496"/>
      <c r="H26" s="503" t="s">
        <v>25</v>
      </c>
      <c r="I26" s="504"/>
      <c r="J26" s="504"/>
      <c r="K26" s="504"/>
      <c r="L26" s="504"/>
      <c r="M26" s="505"/>
    </row>
    <row r="27" spans="1:13" ht="12" x14ac:dyDescent="0.25">
      <c r="A27" s="449"/>
      <c r="B27" s="449"/>
      <c r="C27" s="465"/>
      <c r="D27" s="24" t="s">
        <v>26</v>
      </c>
      <c r="E27" s="24" t="s">
        <v>27</v>
      </c>
      <c r="F27" s="24" t="s">
        <v>26</v>
      </c>
      <c r="G27" s="24" t="s">
        <v>27</v>
      </c>
      <c r="H27" s="506"/>
      <c r="I27" s="507"/>
      <c r="J27" s="507"/>
      <c r="K27" s="507"/>
      <c r="L27" s="507"/>
      <c r="M27" s="508"/>
    </row>
    <row r="28" spans="1:13" ht="26.25" customHeight="1" x14ac:dyDescent="0.25">
      <c r="A28" s="6">
        <v>1</v>
      </c>
      <c r="B28" s="16" t="str">
        <f>IF('Aspek Penilaian KAP Yaniswar'!$C$2=0,"",('Aspek Penilaian KAP Yaniswar'!$A$2&amp;" "&amp;'Aspek Penilaian KAP Yaniswar'!$C$2))</f>
        <v>KAP KAP Yaniswar dan Rekan</v>
      </c>
      <c r="C28" s="15">
        <v>0.3</v>
      </c>
      <c r="D28" s="25">
        <f>'Aspek Penilaian KAP Yaniswar'!E64</f>
        <v>100</v>
      </c>
      <c r="E28" s="215">
        <f>'Aspek Penilaian KAP Yaniswar'!N64</f>
        <v>16</v>
      </c>
      <c r="F28" s="25">
        <f>C28*D28</f>
        <v>30</v>
      </c>
      <c r="G28" s="25">
        <f>E28*C28</f>
        <v>4.8</v>
      </c>
      <c r="H28" s="499"/>
      <c r="I28" s="500"/>
      <c r="J28" s="500"/>
      <c r="K28" s="500"/>
      <c r="L28" s="500"/>
      <c r="M28" s="501"/>
    </row>
    <row r="29" spans="1:13" ht="26.25" customHeight="1" x14ac:dyDescent="0.25">
      <c r="A29" s="6">
        <v>2</v>
      </c>
      <c r="B29" s="16" t="str">
        <f>IF('Aspek Penilaian KAP DEF'!$C$2=0,"",('Aspek Penilaian KAP DEF'!$A$2&amp;" "&amp;'Aspek Penilaian KAP DEF'!$C$2))</f>
        <v/>
      </c>
      <c r="C29" s="15">
        <v>0.3</v>
      </c>
      <c r="D29" s="25">
        <f>'Aspek Penilaian KAP DEF'!E64</f>
        <v>0</v>
      </c>
      <c r="E29" s="215">
        <f>'Aspek Penilaian KAP DEF'!N64</f>
        <v>0</v>
      </c>
      <c r="F29" s="25">
        <f>C29*D29</f>
        <v>0</v>
      </c>
      <c r="G29" s="25">
        <f>E29*C29</f>
        <v>0</v>
      </c>
      <c r="H29" s="499"/>
      <c r="I29" s="500"/>
      <c r="J29" s="500"/>
      <c r="K29" s="500"/>
      <c r="L29" s="500"/>
      <c r="M29" s="501"/>
    </row>
    <row r="30" spans="1:13" ht="26.25" customHeight="1" x14ac:dyDescent="0.25">
      <c r="A30" s="6">
        <v>3</v>
      </c>
      <c r="B30" s="16" t="str">
        <f>IF('Aspek Penilaian KAP GHI'!$C$2=0,"",('Aspek Penilaian KAP GHI'!$A$2&amp;" "&amp;'Aspek Penilaian KAP GHI'!$C$2))</f>
        <v/>
      </c>
      <c r="C30" s="15">
        <v>0.3</v>
      </c>
      <c r="D30" s="25">
        <f>'Aspek Penilaian KAP GHI'!E64</f>
        <v>0</v>
      </c>
      <c r="E30" s="215">
        <f>'Aspek Penilaian KAP GHI'!N64</f>
        <v>0</v>
      </c>
      <c r="F30" s="25">
        <f>C30*D30</f>
        <v>0</v>
      </c>
      <c r="G30" s="25">
        <f>E30*C30</f>
        <v>0</v>
      </c>
      <c r="H30" s="499"/>
      <c r="I30" s="500"/>
      <c r="J30" s="500"/>
      <c r="K30" s="500"/>
      <c r="L30" s="500"/>
      <c r="M30" s="501"/>
    </row>
    <row r="31" spans="1:13" ht="26.25" customHeight="1" x14ac:dyDescent="0.25">
      <c r="A31" s="6">
        <v>4</v>
      </c>
      <c r="B31" s="16" t="str">
        <f>IF('Aspek Penilaian KAP JKL'!$C$2=0,"",('Aspek Penilaian KAP JKL'!$A$2&amp;" "&amp;'Aspek Penilaian KAP JKL'!$C$2))</f>
        <v/>
      </c>
      <c r="C31" s="15">
        <v>0.3</v>
      </c>
      <c r="D31" s="25">
        <f>'Aspek Penilaian KAP JKL'!E64</f>
        <v>0</v>
      </c>
      <c r="E31" s="215">
        <f>'Aspek Penilaian KAP JKL'!N64</f>
        <v>0</v>
      </c>
      <c r="F31" s="25">
        <f>C31*D31</f>
        <v>0</v>
      </c>
      <c r="G31" s="25">
        <f>E31*C31</f>
        <v>0</v>
      </c>
      <c r="H31" s="499"/>
      <c r="I31" s="500"/>
      <c r="J31" s="500"/>
      <c r="K31" s="500"/>
      <c r="L31" s="500"/>
      <c r="M31" s="501"/>
    </row>
    <row r="32" spans="1:13" ht="23.1" customHeight="1" x14ac:dyDescent="0.25">
      <c r="A32" s="6">
        <v>5</v>
      </c>
      <c r="B32" s="16" t="str">
        <f>IF('Aspek Penilaian KAP MNO'!$C$2=0,"",('Aspek Penilaian KAP MNO'!$A$2&amp;" "&amp;'Aspek Penilaian KAP MNO'!$C$2))</f>
        <v/>
      </c>
      <c r="C32" s="15">
        <v>0.3</v>
      </c>
      <c r="D32" s="25">
        <f>'Aspek Penilaian KAP MNO'!E64</f>
        <v>0</v>
      </c>
      <c r="E32" s="215">
        <f>'Aspek Penilaian KAP MNO'!N64</f>
        <v>0</v>
      </c>
      <c r="F32" s="25">
        <f>C32*D32</f>
        <v>0</v>
      </c>
      <c r="G32" s="25">
        <f>E32*C32</f>
        <v>0</v>
      </c>
      <c r="H32" s="499"/>
      <c r="I32" s="500"/>
      <c r="J32" s="500"/>
      <c r="K32" s="500"/>
      <c r="L32" s="500"/>
      <c r="M32" s="501"/>
    </row>
    <row r="33" spans="1:20" x14ac:dyDescent="0.25">
      <c r="C33" s="10"/>
      <c r="D33" s="10"/>
      <c r="E33" s="10"/>
      <c r="F33" s="11"/>
      <c r="G33" s="11"/>
    </row>
    <row r="34" spans="1:20" ht="12" x14ac:dyDescent="0.3">
      <c r="A34" s="12" t="s">
        <v>30</v>
      </c>
      <c r="B34" s="13" t="s">
        <v>31</v>
      </c>
      <c r="C34" s="10"/>
      <c r="D34" s="10"/>
      <c r="E34" s="10"/>
      <c r="F34" s="11"/>
      <c r="G34" s="11"/>
    </row>
    <row r="35" spans="1:20" ht="13.5" customHeight="1" x14ac:dyDescent="0.25">
      <c r="A35" s="449" t="s">
        <v>1</v>
      </c>
      <c r="B35" s="449" t="s">
        <v>2</v>
      </c>
      <c r="C35" s="464" t="s">
        <v>22</v>
      </c>
      <c r="D35" s="450" t="s">
        <v>23</v>
      </c>
      <c r="E35" s="450"/>
      <c r="F35" s="494" t="s">
        <v>24</v>
      </c>
      <c r="G35" s="496"/>
      <c r="H35" s="503" t="s">
        <v>25</v>
      </c>
      <c r="I35" s="504"/>
      <c r="J35" s="504"/>
      <c r="K35" s="504"/>
      <c r="L35" s="504"/>
      <c r="M35" s="505"/>
    </row>
    <row r="36" spans="1:20" ht="12" x14ac:dyDescent="0.25">
      <c r="A36" s="449"/>
      <c r="B36" s="449"/>
      <c r="C36" s="465"/>
      <c r="D36" s="24" t="s">
        <v>26</v>
      </c>
      <c r="E36" s="24" t="s">
        <v>27</v>
      </c>
      <c r="F36" s="24" t="s">
        <v>26</v>
      </c>
      <c r="G36" s="24" t="s">
        <v>27</v>
      </c>
      <c r="H36" s="506"/>
      <c r="I36" s="507"/>
      <c r="J36" s="507"/>
      <c r="K36" s="507"/>
      <c r="L36" s="507"/>
      <c r="M36" s="508"/>
    </row>
    <row r="37" spans="1:20" ht="25.5" customHeight="1" x14ac:dyDescent="0.25">
      <c r="A37" s="6">
        <v>1</v>
      </c>
      <c r="B37" s="16" t="str">
        <f>IF('Aspek Penilaian KAP Yaniswar'!$C$2=0,"",('Aspek Penilaian KAP Yaniswar'!$A$2&amp;" "&amp;'Aspek Penilaian KAP Yaniswar'!$C$2))</f>
        <v>KAP KAP Yaniswar dan Rekan</v>
      </c>
      <c r="C37" s="15">
        <v>0.4</v>
      </c>
      <c r="D37" s="119">
        <f>'Aspek Penilaian KAP Yaniswar'!E65</f>
        <v>40</v>
      </c>
      <c r="E37" s="216">
        <f>'Aspek Penilaian KAP Yaniswar'!N65</f>
        <v>48.400000000000006</v>
      </c>
      <c r="F37" s="119">
        <f>C37*D37</f>
        <v>16</v>
      </c>
      <c r="G37" s="119">
        <f>E37*C37</f>
        <v>19.360000000000003</v>
      </c>
      <c r="H37" s="499" t="s">
        <v>337</v>
      </c>
      <c r="I37" s="500"/>
      <c r="J37" s="500"/>
      <c r="K37" s="500"/>
      <c r="L37" s="500"/>
      <c r="M37" s="501"/>
    </row>
    <row r="38" spans="1:20" ht="25.5" customHeight="1" x14ac:dyDescent="0.25">
      <c r="A38" s="6">
        <v>2</v>
      </c>
      <c r="B38" s="16" t="str">
        <f>IF('Aspek Penilaian KAP DEF'!$C$2=0,"",('Aspek Penilaian KAP DEF'!$A$2&amp;" "&amp;'Aspek Penilaian KAP DEF'!$C$2))</f>
        <v/>
      </c>
      <c r="C38" s="15">
        <v>0.4</v>
      </c>
      <c r="D38" s="119">
        <f>'Aspek Penilaian KAP DEF'!E65</f>
        <v>0</v>
      </c>
      <c r="E38" s="216">
        <f>'Aspek Penilaian KAP DEF'!N65</f>
        <v>0</v>
      </c>
      <c r="F38" s="25">
        <f>C38*D38</f>
        <v>0</v>
      </c>
      <c r="G38" s="119">
        <f>E38*C38</f>
        <v>0</v>
      </c>
      <c r="H38" s="499"/>
      <c r="I38" s="500"/>
      <c r="J38" s="500"/>
      <c r="K38" s="500"/>
      <c r="L38" s="500"/>
      <c r="M38" s="501"/>
    </row>
    <row r="39" spans="1:20" ht="25.5" customHeight="1" x14ac:dyDescent="0.25">
      <c r="A39" s="6">
        <v>3</v>
      </c>
      <c r="B39" s="16" t="str">
        <f>IF('Aspek Penilaian KAP GHI'!$C$2=0,"",('Aspek Penilaian KAP GHI'!$A$2&amp;" "&amp;'Aspek Penilaian KAP GHI'!$C$2))</f>
        <v/>
      </c>
      <c r="C39" s="15">
        <v>0.4</v>
      </c>
      <c r="D39" s="119">
        <f>'Aspek Penilaian KAP GHI'!E65</f>
        <v>0</v>
      </c>
      <c r="E39" s="216">
        <f>'Aspek Penilaian KAP GHI'!N65</f>
        <v>0</v>
      </c>
      <c r="F39" s="25">
        <f>C39*D39</f>
        <v>0</v>
      </c>
      <c r="G39" s="119">
        <f>E39*C39</f>
        <v>0</v>
      </c>
      <c r="H39" s="499"/>
      <c r="I39" s="500"/>
      <c r="J39" s="500"/>
      <c r="K39" s="500"/>
      <c r="L39" s="500"/>
      <c r="M39" s="501"/>
    </row>
    <row r="40" spans="1:20" ht="25.5" customHeight="1" x14ac:dyDescent="0.25">
      <c r="A40" s="6">
        <v>4</v>
      </c>
      <c r="B40" s="16" t="str">
        <f>IF('Aspek Penilaian KAP JKL'!$C$2=0,"",('Aspek Penilaian KAP JKL'!$A$2&amp;" "&amp;'Aspek Penilaian KAP JKL'!$C$2))</f>
        <v/>
      </c>
      <c r="C40" s="15">
        <v>0.4</v>
      </c>
      <c r="D40" s="119">
        <f>'Aspek Penilaian KAP JKL'!E65</f>
        <v>0</v>
      </c>
      <c r="E40" s="216">
        <f>'Aspek Penilaian KAP JKL'!N65</f>
        <v>0</v>
      </c>
      <c r="F40" s="25">
        <f>C40*D40</f>
        <v>0</v>
      </c>
      <c r="G40" s="119">
        <f>E40*C40</f>
        <v>0</v>
      </c>
      <c r="H40" s="499"/>
      <c r="I40" s="500"/>
      <c r="J40" s="500"/>
      <c r="K40" s="500"/>
      <c r="L40" s="500"/>
      <c r="M40" s="501"/>
    </row>
    <row r="41" spans="1:20" ht="23.1" customHeight="1" x14ac:dyDescent="0.25">
      <c r="A41" s="6">
        <v>5</v>
      </c>
      <c r="B41" s="16" t="str">
        <f>IF('Aspek Penilaian KAP MNO'!$C$2=0,"",('Aspek Penilaian KAP MNO'!$A$2&amp;" "&amp;'Aspek Penilaian KAP MNO'!$C$2))</f>
        <v/>
      </c>
      <c r="C41" s="15">
        <v>0.4</v>
      </c>
      <c r="D41" s="119">
        <f>'Aspek Penilaian KAP MNO'!E65</f>
        <v>0</v>
      </c>
      <c r="E41" s="216">
        <f>'Aspek Penilaian KAP MNO'!N65</f>
        <v>0</v>
      </c>
      <c r="F41" s="25">
        <f>C41*D41</f>
        <v>0</v>
      </c>
      <c r="G41" s="119">
        <f>E41*C41</f>
        <v>0</v>
      </c>
      <c r="H41" s="499"/>
      <c r="I41" s="500"/>
      <c r="J41" s="500"/>
      <c r="K41" s="500"/>
      <c r="L41" s="500"/>
      <c r="M41" s="501"/>
      <c r="N41" s="3"/>
    </row>
    <row r="42" spans="1:20" x14ac:dyDescent="0.25">
      <c r="D42" s="213"/>
      <c r="E42" s="214"/>
    </row>
    <row r="43" spans="1:20" ht="12" x14ac:dyDescent="0.3">
      <c r="A43" s="12" t="s">
        <v>33</v>
      </c>
      <c r="B43" s="13" t="s">
        <v>34</v>
      </c>
      <c r="E43" s="124"/>
      <c r="N43" s="3"/>
    </row>
    <row r="44" spans="1:20" ht="10.95" customHeight="1" x14ac:dyDescent="0.25">
      <c r="A44" s="491" t="s">
        <v>1</v>
      </c>
      <c r="B44" s="491" t="s">
        <v>2</v>
      </c>
      <c r="C44" s="494" t="s">
        <v>35</v>
      </c>
      <c r="D44" s="495"/>
      <c r="E44" s="496"/>
      <c r="F44" s="494" t="s">
        <v>36</v>
      </c>
      <c r="G44" s="495"/>
      <c r="H44" s="496"/>
      <c r="I44" s="494" t="s">
        <v>37</v>
      </c>
      <c r="J44" s="495"/>
      <c r="K44" s="496"/>
      <c r="L44" s="494" t="s">
        <v>38</v>
      </c>
      <c r="M44" s="495"/>
      <c r="N44" s="496"/>
      <c r="O44" s="494" t="s">
        <v>25</v>
      </c>
      <c r="P44" s="495"/>
      <c r="Q44" s="495"/>
      <c r="R44" s="495"/>
      <c r="S44" s="496"/>
      <c r="T44" s="423"/>
    </row>
    <row r="45" spans="1:20" ht="10.050000000000001" customHeight="1" x14ac:dyDescent="0.25">
      <c r="A45" s="497"/>
      <c r="B45" s="497"/>
      <c r="C45" s="494" t="s">
        <v>39</v>
      </c>
      <c r="D45" s="496"/>
      <c r="E45" s="464" t="s">
        <v>40</v>
      </c>
      <c r="F45" s="494" t="s">
        <v>39</v>
      </c>
      <c r="G45" s="496"/>
      <c r="H45" s="464" t="s">
        <v>40</v>
      </c>
      <c r="I45" s="494" t="s">
        <v>39</v>
      </c>
      <c r="J45" s="496"/>
      <c r="K45" s="464" t="s">
        <v>40</v>
      </c>
      <c r="L45" s="494" t="s">
        <v>39</v>
      </c>
      <c r="M45" s="496"/>
      <c r="N45" s="464" t="s">
        <v>41</v>
      </c>
      <c r="O45" s="450" t="s">
        <v>264</v>
      </c>
      <c r="P45" s="450"/>
      <c r="Q45" s="503" t="s">
        <v>44</v>
      </c>
      <c r="R45" s="504"/>
      <c r="S45" s="505"/>
    </row>
    <row r="46" spans="1:20" ht="12" x14ac:dyDescent="0.25">
      <c r="A46" s="492"/>
      <c r="B46" s="492"/>
      <c r="C46" s="435" t="s">
        <v>26</v>
      </c>
      <c r="D46" s="436" t="s">
        <v>27</v>
      </c>
      <c r="E46" s="465"/>
      <c r="F46" s="436" t="s">
        <v>26</v>
      </c>
      <c r="G46" s="436" t="s">
        <v>27</v>
      </c>
      <c r="H46" s="465"/>
      <c r="I46" s="436" t="s">
        <v>26</v>
      </c>
      <c r="J46" s="436" t="s">
        <v>27</v>
      </c>
      <c r="K46" s="465"/>
      <c r="L46" s="436" t="s">
        <v>26</v>
      </c>
      <c r="M46" s="436" t="s">
        <v>27</v>
      </c>
      <c r="N46" s="465"/>
      <c r="O46" s="436" t="s">
        <v>26</v>
      </c>
      <c r="P46" s="436" t="s">
        <v>27</v>
      </c>
      <c r="Q46" s="506"/>
      <c r="R46" s="507"/>
      <c r="S46" s="508"/>
    </row>
    <row r="47" spans="1:20" s="35" customFormat="1" ht="10.5" customHeight="1" x14ac:dyDescent="0.25">
      <c r="A47" s="6">
        <v>1</v>
      </c>
      <c r="B47" s="16" t="str">
        <f>IF('Aspek Penilaian KAP Yaniswar'!$C$2=0,"",('Aspek Penilaian KAP Yaniswar'!$A$2&amp;" "&amp;'Aspek Penilaian KAP Yaniswar'!$C$2))</f>
        <v>KAP KAP Yaniswar dan Rekan</v>
      </c>
      <c r="C47" s="27">
        <f>'Aspek Penilaian KAP Yaniswar'!E93</f>
        <v>49800000</v>
      </c>
      <c r="D47" s="27">
        <f>'Aspek Penilaian KAP Yaniswar'!N93</f>
        <v>49800000</v>
      </c>
      <c r="E47" s="27">
        <f>HPS!$F$30</f>
        <v>70057500</v>
      </c>
      <c r="F47" s="27">
        <f>'Aspek Penilaian KAP Yaniswar'!E94</f>
        <v>22900000</v>
      </c>
      <c r="G47" s="27">
        <f>'Aspek Penilaian KAP Yaniswar'!N94</f>
        <v>22900000</v>
      </c>
      <c r="H47" s="27">
        <f>HPS!$F$31</f>
        <v>17514375</v>
      </c>
      <c r="I47" s="28">
        <f>'Aspek Penilaian KAP Yaniswar'!E95</f>
        <v>7270000</v>
      </c>
      <c r="J47" s="28">
        <f>'Aspek Penilaian KAP Yaniswar'!N95</f>
        <v>7270000</v>
      </c>
      <c r="K47" s="28">
        <f>HPS!$F$33</f>
        <v>8757187.5</v>
      </c>
      <c r="L47" s="31">
        <f t="shared" ref="L47:M51" si="0">SUM(C47,F47,I47)</f>
        <v>79970000</v>
      </c>
      <c r="M47" s="31">
        <f t="shared" si="0"/>
        <v>79970000</v>
      </c>
      <c r="N47" s="28">
        <f>ROUNDUP(E47+H47+K47,-3)</f>
        <v>96330000</v>
      </c>
      <c r="O47" s="33" t="str">
        <f>IF(L47=0," ",IF(L47&lt;N47,"Ya","Tidak"))</f>
        <v>Ya</v>
      </c>
      <c r="P47" s="33" t="str">
        <f>IF(M47=0," ",IF(M47&lt;N47,"Ya","Tidak"))</f>
        <v>Ya</v>
      </c>
      <c r="Q47" s="523"/>
      <c r="R47" s="524"/>
      <c r="S47" s="525"/>
    </row>
    <row r="48" spans="1:20" s="35" customFormat="1" x14ac:dyDescent="0.25">
      <c r="A48" s="6">
        <v>2</v>
      </c>
      <c r="B48" s="16" t="str">
        <f>IF('Aspek Penilaian KAP DEF'!$C$2=0,"",('Aspek Penilaian KAP DEF'!$A$2&amp;" "&amp;'Aspek Penilaian KAP DEF'!$C$2))</f>
        <v/>
      </c>
      <c r="C48" s="27">
        <f>'Aspek Penilaian KAP DEF'!E93</f>
        <v>0</v>
      </c>
      <c r="D48" s="27">
        <f>'Aspek Penilaian KAP DEF'!N93</f>
        <v>0</v>
      </c>
      <c r="E48" s="27">
        <f>HPS!$F$30</f>
        <v>70057500</v>
      </c>
      <c r="F48" s="27">
        <f>'Aspek Penilaian KAP DEF'!E94</f>
        <v>0</v>
      </c>
      <c r="G48" s="27">
        <f>'Aspek Penilaian KAP DEF'!N94</f>
        <v>0</v>
      </c>
      <c r="H48" s="27">
        <f>HPS!$F$31</f>
        <v>17514375</v>
      </c>
      <c r="I48" s="28">
        <f>'Aspek Penilaian KAP DEF'!E95</f>
        <v>0</v>
      </c>
      <c r="J48" s="28">
        <f>'Aspek Penilaian KAP DEF'!N95</f>
        <v>0</v>
      </c>
      <c r="K48" s="28">
        <f>HPS!$F$33</f>
        <v>8757187.5</v>
      </c>
      <c r="L48" s="31">
        <f t="shared" si="0"/>
        <v>0</v>
      </c>
      <c r="M48" s="31">
        <f t="shared" si="0"/>
        <v>0</v>
      </c>
      <c r="N48" s="28">
        <f>ROUNDUP(E48+H48+K48,-3)</f>
        <v>96330000</v>
      </c>
      <c r="O48" s="33" t="str">
        <f>IF(L48=0," ",IF(L48&lt;N48,"Ya","Tidak"))</f>
        <v xml:space="preserve"> </v>
      </c>
      <c r="P48" s="33" t="str">
        <f>IF(M48=0," ",IF(M48&lt;N48,"Ya","Tidak"))</f>
        <v xml:space="preserve"> </v>
      </c>
      <c r="Q48" s="499"/>
      <c r="R48" s="500"/>
      <c r="S48" s="501"/>
    </row>
    <row r="49" spans="1:27" s="35" customFormat="1" x14ac:dyDescent="0.25">
      <c r="A49" s="6">
        <v>3</v>
      </c>
      <c r="B49" s="16" t="str">
        <f>IF('Aspek Penilaian KAP GHI'!$C$2=0,"",('Aspek Penilaian KAP GHI'!$A$2&amp;" "&amp;'Aspek Penilaian KAP GHI'!$C$2))</f>
        <v/>
      </c>
      <c r="C49" s="27">
        <f>'Aspek Penilaian KAP GHI'!E93</f>
        <v>0</v>
      </c>
      <c r="D49" s="27">
        <f>'Aspek Penilaian KAP GHI'!N93</f>
        <v>0</v>
      </c>
      <c r="E49" s="27">
        <f>HPS!$F$30</f>
        <v>70057500</v>
      </c>
      <c r="F49" s="27">
        <f>'Aspek Penilaian KAP GHI'!E94</f>
        <v>0</v>
      </c>
      <c r="G49" s="27">
        <f>'Aspek Penilaian KAP GHI'!N94</f>
        <v>0</v>
      </c>
      <c r="H49" s="27">
        <f>HPS!$F$31</f>
        <v>17514375</v>
      </c>
      <c r="I49" s="28">
        <f>'Aspek Penilaian KAP GHI'!E95</f>
        <v>0</v>
      </c>
      <c r="J49" s="28">
        <f>'Aspek Penilaian KAP GHI'!N95</f>
        <v>0</v>
      </c>
      <c r="K49" s="28">
        <f>HPS!$F$33</f>
        <v>8757187.5</v>
      </c>
      <c r="L49" s="31">
        <f t="shared" si="0"/>
        <v>0</v>
      </c>
      <c r="M49" s="31">
        <f t="shared" si="0"/>
        <v>0</v>
      </c>
      <c r="N49" s="28">
        <f>ROUNDUP(E49+H49+K49,-3)</f>
        <v>96330000</v>
      </c>
      <c r="O49" s="33" t="str">
        <f>IF(L49=0," ",IF(L49&lt;N49,"Ya","Tidak"))</f>
        <v xml:space="preserve"> </v>
      </c>
      <c r="P49" s="33" t="str">
        <f>IF(M49=0," ",IF(M49&lt;N49,"Ya","Tidak"))</f>
        <v xml:space="preserve"> </v>
      </c>
      <c r="Q49" s="487"/>
      <c r="R49" s="487"/>
      <c r="S49" s="487"/>
    </row>
    <row r="50" spans="1:27" s="35" customFormat="1" x14ac:dyDescent="0.25">
      <c r="A50" s="6">
        <v>4</v>
      </c>
      <c r="B50" s="16" t="str">
        <f>IF('Aspek Penilaian KAP JKL'!$C$2=0,"",('Aspek Penilaian KAP JKL'!$A$2&amp;" "&amp;'Aspek Penilaian KAP JKL'!$C$2))</f>
        <v/>
      </c>
      <c r="C50" s="27">
        <f>'Aspek Penilaian KAP JKL'!E93</f>
        <v>0</v>
      </c>
      <c r="D50" s="27">
        <f>'Aspek Penilaian KAP JKL'!N93</f>
        <v>0</v>
      </c>
      <c r="E50" s="27">
        <f>HPS!$F$30</f>
        <v>70057500</v>
      </c>
      <c r="F50" s="27">
        <f>'Aspek Penilaian KAP JKL'!E94</f>
        <v>0</v>
      </c>
      <c r="G50" s="27">
        <f>'Aspek Penilaian KAP JKL'!N94</f>
        <v>0</v>
      </c>
      <c r="H50" s="27">
        <f>HPS!$F$31</f>
        <v>17514375</v>
      </c>
      <c r="I50" s="28">
        <f>'Aspek Penilaian KAP JKL'!E95</f>
        <v>0</v>
      </c>
      <c r="J50" s="28">
        <f>'Aspek Penilaian KAP JKL'!N95</f>
        <v>0</v>
      </c>
      <c r="K50" s="28">
        <f>HPS!$F$33</f>
        <v>8757187.5</v>
      </c>
      <c r="L50" s="31">
        <f t="shared" si="0"/>
        <v>0</v>
      </c>
      <c r="M50" s="31">
        <f t="shared" si="0"/>
        <v>0</v>
      </c>
      <c r="N50" s="28">
        <f>ROUNDUP(E50+H50+K50,-3)</f>
        <v>96330000</v>
      </c>
      <c r="O50" s="33" t="str">
        <f>IF(L50=0," ",IF(L50&lt;N50,"Ya","Tidak"))</f>
        <v xml:space="preserve"> </v>
      </c>
      <c r="P50" s="33" t="str">
        <f>IF(M50=0," ",IF(M50&lt;N50,"Ya","Tidak"))</f>
        <v xml:space="preserve"> </v>
      </c>
      <c r="Q50" s="487"/>
      <c r="R50" s="487"/>
      <c r="S50" s="487"/>
    </row>
    <row r="51" spans="1:27" s="35" customFormat="1" x14ac:dyDescent="0.25">
      <c r="A51" s="17">
        <v>5</v>
      </c>
      <c r="B51" s="16" t="str">
        <f>IF('Aspek Penilaian KAP MNO'!$C$2=0,"",('Aspek Penilaian KAP MNO'!$A$2&amp;" "&amp;'Aspek Penilaian KAP MNO'!$C$2))</f>
        <v/>
      </c>
      <c r="C51" s="27">
        <f>'Aspek Penilaian KAP MNO'!E93</f>
        <v>0</v>
      </c>
      <c r="D51" s="27">
        <f>'Aspek Penilaian KAP MNO'!N93</f>
        <v>0</v>
      </c>
      <c r="E51" s="27">
        <f>HPS!$F$30</f>
        <v>70057500</v>
      </c>
      <c r="F51" s="27">
        <f>'Aspek Penilaian KAP MNO'!E94</f>
        <v>0</v>
      </c>
      <c r="G51" s="27">
        <f>'Aspek Penilaian KAP MNO'!N94</f>
        <v>0</v>
      </c>
      <c r="H51" s="27">
        <f>HPS!$F$31</f>
        <v>17514375</v>
      </c>
      <c r="I51" s="28">
        <f>'Aspek Penilaian KAP MNO'!E95</f>
        <v>0</v>
      </c>
      <c r="J51" s="28">
        <f>'Aspek Penilaian KAP MNO'!N95</f>
        <v>0</v>
      </c>
      <c r="K51" s="28">
        <f>HPS!$F$33</f>
        <v>8757187.5</v>
      </c>
      <c r="L51" s="31">
        <f t="shared" si="0"/>
        <v>0</v>
      </c>
      <c r="M51" s="31">
        <f t="shared" si="0"/>
        <v>0</v>
      </c>
      <c r="N51" s="28">
        <f>ROUNDUP(E51+H51+K51,-3)</f>
        <v>96330000</v>
      </c>
      <c r="O51" s="33" t="str">
        <f>IF(L51=0," ",IF(L51&lt;N51,"Ya","Tidak"))</f>
        <v xml:space="preserve"> </v>
      </c>
      <c r="P51" s="33" t="str">
        <f>IF(M51=0," ",IF(M51&lt;N51,"Ya","Tidak"))</f>
        <v xml:space="preserve"> </v>
      </c>
      <c r="Q51" s="487"/>
      <c r="R51" s="487"/>
      <c r="S51" s="487"/>
    </row>
    <row r="52" spans="1:27" s="35" customFormat="1" x14ac:dyDescent="0.25">
      <c r="A52" s="126"/>
      <c r="B52" s="19"/>
      <c r="C52" s="430"/>
      <c r="D52" s="430"/>
      <c r="E52" s="430"/>
      <c r="F52" s="430"/>
      <c r="G52" s="431"/>
      <c r="H52" s="431"/>
      <c r="I52" s="432"/>
      <c r="J52" s="431"/>
      <c r="K52" s="433"/>
      <c r="L52" s="434"/>
      <c r="M52" s="434"/>
      <c r="N52" s="434"/>
    </row>
    <row r="53" spans="1:27" s="35" customFormat="1" ht="12" x14ac:dyDescent="0.3">
      <c r="A53" s="2" t="s">
        <v>267</v>
      </c>
      <c r="B53" s="3"/>
      <c r="C53" s="4"/>
      <c r="D53" s="4"/>
      <c r="E53" s="4"/>
      <c r="F53" s="1"/>
      <c r="G53" s="1"/>
      <c r="H53" s="1"/>
      <c r="I53" s="1"/>
      <c r="J53" s="1"/>
      <c r="K53" s="1"/>
      <c r="L53" s="1"/>
      <c r="M53" s="1"/>
      <c r="N53" s="307"/>
      <c r="O53" s="3"/>
      <c r="P53" s="3"/>
      <c r="Q53" s="3"/>
    </row>
    <row r="54" spans="1:27" s="35" customFormat="1" ht="15.75" customHeight="1" x14ac:dyDescent="0.25">
      <c r="A54" s="491" t="s">
        <v>1</v>
      </c>
      <c r="B54" s="491" t="s">
        <v>2</v>
      </c>
      <c r="C54" s="427" t="s">
        <v>48</v>
      </c>
      <c r="D54" s="427" t="s">
        <v>49</v>
      </c>
      <c r="E54" s="427" t="s">
        <v>50</v>
      </c>
      <c r="F54" s="464" t="s">
        <v>38</v>
      </c>
      <c r="G54" s="493" t="s">
        <v>329</v>
      </c>
      <c r="H54" s="493"/>
      <c r="I54" s="493"/>
      <c r="J54" s="489" t="s">
        <v>233</v>
      </c>
      <c r="K54" s="488" t="s">
        <v>50</v>
      </c>
      <c r="L54" s="488"/>
      <c r="M54" s="488" t="s">
        <v>234</v>
      </c>
      <c r="N54" s="488"/>
      <c r="O54" s="489" t="s">
        <v>237</v>
      </c>
      <c r="P54" s="489" t="s">
        <v>235</v>
      </c>
      <c r="Q54" s="489" t="s">
        <v>236</v>
      </c>
    </row>
    <row r="55" spans="1:27" s="35" customFormat="1" ht="12.75" customHeight="1" x14ac:dyDescent="0.25">
      <c r="A55" s="492"/>
      <c r="B55" s="492"/>
      <c r="C55" s="65">
        <v>0.3</v>
      </c>
      <c r="D55" s="65">
        <v>0.35</v>
      </c>
      <c r="E55" s="65">
        <v>0.35</v>
      </c>
      <c r="F55" s="465"/>
      <c r="G55" s="493"/>
      <c r="H55" s="493"/>
      <c r="I55" s="493"/>
      <c r="J55" s="490"/>
      <c r="K55" s="428" t="s">
        <v>264</v>
      </c>
      <c r="L55" s="428" t="s">
        <v>265</v>
      </c>
      <c r="M55" s="428" t="s">
        <v>264</v>
      </c>
      <c r="N55" s="428" t="s">
        <v>265</v>
      </c>
      <c r="O55" s="490"/>
      <c r="P55" s="490"/>
      <c r="Q55" s="490"/>
    </row>
    <row r="56" spans="1:27" s="35" customFormat="1" ht="27" customHeight="1" x14ac:dyDescent="0.25">
      <c r="A56" s="6">
        <v>1</v>
      </c>
      <c r="B56" s="16" t="str">
        <f>IF('Aspek Penilaian KAP Yaniswar'!$C$2=0,"",('Aspek Penilaian KAP Yaniswar'!$A$2&amp;" "&amp;'Aspek Penilaian KAP Yaniswar'!$C$2))</f>
        <v>KAP KAP Yaniswar dan Rekan</v>
      </c>
      <c r="C56" s="40">
        <f>K9</f>
        <v>94.444444444444443</v>
      </c>
      <c r="D56" s="40">
        <f>F19+F28+F37</f>
        <v>46</v>
      </c>
      <c r="E56" s="40">
        <f>IF(Q56="",0,Q56)</f>
        <v>100</v>
      </c>
      <c r="F56" s="40">
        <f>C56*C$55+D56*D$55+E56*E$55</f>
        <v>79.433333333333337</v>
      </c>
      <c r="G56" s="493"/>
      <c r="H56" s="493"/>
      <c r="I56" s="493"/>
      <c r="J56" s="16" t="str">
        <f>IF('Aspek Penilaian KAP Yaniswar'!$C$2=0,"",('Aspek Penilaian KAP Yaniswar'!$A$2&amp;" "&amp;'Aspek Penilaian KAP Yaniswar'!$C$2))</f>
        <v>KAP KAP Yaniswar dan Rekan</v>
      </c>
      <c r="K56" s="424">
        <f>IF(O47="Ya",L47," ")</f>
        <v>79970000</v>
      </c>
      <c r="L56" s="339" t="str">
        <f>IF(O47="Tidak",L47," ")</f>
        <v xml:space="preserve"> </v>
      </c>
      <c r="M56" s="419">
        <f>IF(ISNUMBER(K56),RANK(K56,$K$56:$K$60,1),"")</f>
        <v>1</v>
      </c>
      <c r="N56" s="419" t="str">
        <f>IF(ISNUMBER(L56),RANK(L56,$L$56:$L$60,1),"")</f>
        <v/>
      </c>
      <c r="O56" s="347">
        <f>IF(OR(ISNUMBER(K56),ISNUMBER(L56)),'Aspek Penilaian KAP Yaniswar'!$G$96,0)</f>
        <v>50</v>
      </c>
      <c r="P56" s="344">
        <f>IF(ISNUMBER(M56),(RANK(M56,$M$56:$M$60,0)/MAX($M$56:$M$60))*50,IF(ISNUMBER(N56),(RANK(N56,$N$56:$N$60,0)/MAX($N$56:$N$60))*49,0))</f>
        <v>50</v>
      </c>
      <c r="Q56" s="345">
        <f>IF(ISNUMBER(O56+P56),O56+P56,"")</f>
        <v>100</v>
      </c>
    </row>
    <row r="57" spans="1:27" s="35" customFormat="1" ht="27" customHeight="1" x14ac:dyDescent="0.25">
      <c r="A57" s="6">
        <v>2</v>
      </c>
      <c r="B57" s="16" t="str">
        <f>IF('Aspek Penilaian KAP DEF'!$C$2=0,"",('Aspek Penilaian KAP DEF'!$A$2&amp;" "&amp;'Aspek Penilaian KAP DEF'!$C$2))</f>
        <v/>
      </c>
      <c r="C57" s="40">
        <f t="shared" ref="C57:C59" si="1">K10</f>
        <v>0</v>
      </c>
      <c r="D57" s="40">
        <f>F20+F29+F38</f>
        <v>0</v>
      </c>
      <c r="E57" s="40">
        <f>IF(Q57="",0,Q57)</f>
        <v>0</v>
      </c>
      <c r="F57" s="40">
        <f>C57*C$55+D57*D$55+E57*E$55</f>
        <v>0</v>
      </c>
      <c r="G57" s="493"/>
      <c r="H57" s="493"/>
      <c r="I57" s="493"/>
      <c r="J57" s="16" t="str">
        <f>IF('Aspek Penilaian KAP DEF'!$C$2=0,"",('Aspek Penilaian KAP DEF'!$A$2&amp;" "&amp;'Aspek Penilaian KAP DEF'!$C$2))</f>
        <v/>
      </c>
      <c r="K57" s="424" t="str">
        <f t="shared" ref="K57:K60" si="2">IF(O48="Ya",L48," ")</f>
        <v xml:space="preserve"> </v>
      </c>
      <c r="L57" s="339" t="str">
        <f t="shared" ref="L57:L59" si="3">IF(O48="Tidak",L48," ")</f>
        <v xml:space="preserve"> </v>
      </c>
      <c r="M57" s="419" t="str">
        <f t="shared" ref="M57:M59" si="4">IF(ISNUMBER(K57),RANK(K57,$K$56:$K$60,1),"")</f>
        <v/>
      </c>
      <c r="N57" s="419" t="str">
        <f t="shared" ref="N57:N59" si="5">IF(ISNUMBER(L57),RANK(L57,$L$56:$L$60,1),"")</f>
        <v/>
      </c>
      <c r="O57" s="347">
        <f>IF(OR(ISNUMBER(K57),ISNUMBER(L57)),'Aspek Penilaian KAP DEF'!$G$96,0)</f>
        <v>0</v>
      </c>
      <c r="P57" s="344">
        <f t="shared" ref="P57:P59" si="6">IF(ISNUMBER(M57),(RANK(M57,$M$56:$M$60,0)/MAX($M$56:$M$60))*50,IF(ISNUMBER(N57),(RANK(N57,$N$56:$N$60,0)/MAX($N$56:$N$60))*49,0))</f>
        <v>0</v>
      </c>
      <c r="Q57" s="345">
        <f>IF(ISNUMBER(O57+P57),O57+P57,"")</f>
        <v>0</v>
      </c>
    </row>
    <row r="58" spans="1:27" s="35" customFormat="1" ht="27" customHeight="1" x14ac:dyDescent="0.25">
      <c r="A58" s="6">
        <v>3</v>
      </c>
      <c r="B58" s="16" t="str">
        <f>IF('Aspek Penilaian KAP GHI'!$C$2=0,"",('Aspek Penilaian KAP GHI'!$A$2&amp;" "&amp;'Aspek Penilaian KAP GHI'!$C$2))</f>
        <v/>
      </c>
      <c r="C58" s="40">
        <f t="shared" si="1"/>
        <v>0</v>
      </c>
      <c r="D58" s="40">
        <f>F21+F30+F39</f>
        <v>0</v>
      </c>
      <c r="E58" s="40">
        <f>IF(Q58="",0,Q58)</f>
        <v>0</v>
      </c>
      <c r="F58" s="40">
        <f>C58*C$55+D58*D$55+E58*E$55</f>
        <v>0</v>
      </c>
      <c r="G58" s="493"/>
      <c r="H58" s="493"/>
      <c r="I58" s="493"/>
      <c r="J58" s="16" t="str">
        <f>IF('Aspek Penilaian KAP GHI'!$C$2=0,"",('Aspek Penilaian KAP GHI'!$A$2&amp;" "&amp;'Aspek Penilaian KAP GHI'!$C$2))</f>
        <v/>
      </c>
      <c r="K58" s="424" t="str">
        <f t="shared" si="2"/>
        <v xml:space="preserve"> </v>
      </c>
      <c r="L58" s="339" t="str">
        <f t="shared" si="3"/>
        <v xml:space="preserve"> </v>
      </c>
      <c r="M58" s="419" t="str">
        <f>IF(ISNUMBER(K58),RANK(K58,$K$56:$K$60,1),"")</f>
        <v/>
      </c>
      <c r="N58" s="419" t="str">
        <f t="shared" si="5"/>
        <v/>
      </c>
      <c r="O58" s="347">
        <f>IF(OR(ISNUMBER(K58),ISNUMBER(L58)),'Aspek Penilaian KAP GHI'!$G$96,0)</f>
        <v>0</v>
      </c>
      <c r="P58" s="344">
        <f t="shared" si="6"/>
        <v>0</v>
      </c>
      <c r="Q58" s="345">
        <f t="shared" ref="Q58:Q59" si="7">IF(ISNUMBER(O58+P58),O58+P58,"")</f>
        <v>0</v>
      </c>
    </row>
    <row r="59" spans="1:27" s="35" customFormat="1" ht="27" customHeight="1" x14ac:dyDescent="0.25">
      <c r="A59" s="6">
        <v>4</v>
      </c>
      <c r="B59" s="16" t="str">
        <f>IF('Aspek Penilaian KAP JKL'!$C$2=0,"",('Aspek Penilaian KAP JKL'!$A$2&amp;" "&amp;'Aspek Penilaian KAP JKL'!$C$2))</f>
        <v/>
      </c>
      <c r="C59" s="40">
        <f t="shared" si="1"/>
        <v>0</v>
      </c>
      <c r="D59" s="40">
        <f>F22+F31+F40</f>
        <v>0</v>
      </c>
      <c r="E59" s="40">
        <f>IF(Q59="",0,Q59)</f>
        <v>0</v>
      </c>
      <c r="F59" s="40">
        <f>C59*C$55+D59*D$55+E59*E$55</f>
        <v>0</v>
      </c>
      <c r="G59" s="493"/>
      <c r="H59" s="493"/>
      <c r="I59" s="493"/>
      <c r="J59" s="16" t="str">
        <f>IF('Aspek Penilaian KAP JKL'!$C$2=0,"",('Aspek Penilaian KAP JKL'!$A$2&amp;" "&amp;'Aspek Penilaian KAP JKL'!$C$2))</f>
        <v/>
      </c>
      <c r="K59" s="424" t="str">
        <f t="shared" si="2"/>
        <v xml:space="preserve"> </v>
      </c>
      <c r="L59" s="339" t="str">
        <f t="shared" si="3"/>
        <v xml:space="preserve"> </v>
      </c>
      <c r="M59" s="419" t="str">
        <f t="shared" si="4"/>
        <v/>
      </c>
      <c r="N59" s="419" t="str">
        <f t="shared" si="5"/>
        <v/>
      </c>
      <c r="O59" s="347">
        <f>IF(OR(ISNUMBER(K59),ISNUMBER(L59)),'Aspek Penilaian KAP JKL'!$G$96,0)</f>
        <v>0</v>
      </c>
      <c r="P59" s="344">
        <f t="shared" si="6"/>
        <v>0</v>
      </c>
      <c r="Q59" s="345">
        <f t="shared" si="7"/>
        <v>0</v>
      </c>
    </row>
    <row r="60" spans="1:27" s="35" customFormat="1" ht="27" customHeight="1" x14ac:dyDescent="0.25">
      <c r="A60" s="6">
        <v>5</v>
      </c>
      <c r="B60" s="16" t="str">
        <f>IF('Aspek Penilaian KAP MNO'!$C$2=0,"",('Aspek Penilaian KAP MNO'!$A$2&amp;" "&amp;'Aspek Penilaian KAP MNO'!$C$2))</f>
        <v/>
      </c>
      <c r="C60" s="40">
        <f>K13</f>
        <v>0</v>
      </c>
      <c r="D60" s="40">
        <f>F23+F32+F41</f>
        <v>0</v>
      </c>
      <c r="E60" s="40">
        <f>IF(Q60="",0,Q60)</f>
        <v>0</v>
      </c>
      <c r="F60" s="40">
        <f>C60*C$55+D60*D$55+E60*E$55</f>
        <v>0</v>
      </c>
      <c r="G60" s="493"/>
      <c r="H60" s="493"/>
      <c r="I60" s="493"/>
      <c r="J60" s="16" t="str">
        <f>IF('Aspek Penilaian KAP MNO'!$C$2=0,"",('Aspek Penilaian KAP MNO'!$A$2&amp;" "&amp;'Aspek Penilaian KAP MNO'!$C$2))</f>
        <v/>
      </c>
      <c r="K60" s="424" t="str">
        <f t="shared" si="2"/>
        <v xml:space="preserve"> </v>
      </c>
      <c r="L60" s="339" t="str">
        <f>IF(O51="Tidak",L51," ")</f>
        <v xml:space="preserve"> </v>
      </c>
      <c r="M60" s="419" t="str">
        <f>IF(ISNUMBER(K60),RANK(K60,$K$56:$K$60,1),"")</f>
        <v/>
      </c>
      <c r="N60" s="419" t="str">
        <f>IF(ISNUMBER(L60),RANK(L60,$L$56:$L$60,1),"")</f>
        <v/>
      </c>
      <c r="O60" s="347">
        <f>IF(OR(ISNUMBER(K60),ISNUMBER(L60)),'Aspek Penilaian KAP MNO'!$G$96,0)</f>
        <v>0</v>
      </c>
      <c r="P60" s="344">
        <f>IF(ISNUMBER(M60),(RANK(M60,$M$56:$M$60,0)/MAX($M$56:$M$60))*50,IF(ISNUMBER(N60),(RANK(N60,$N$56:$N$60,0)/MAX($N$56:$N$60))*49,0))</f>
        <v>0</v>
      </c>
      <c r="Q60" s="345">
        <f>IF(ISNUMBER(O60+P60),O60+P60,"")</f>
        <v>0</v>
      </c>
    </row>
    <row r="62" spans="1:27" ht="12" x14ac:dyDescent="0.3">
      <c r="A62" s="2" t="s">
        <v>266</v>
      </c>
      <c r="N62" s="307"/>
    </row>
    <row r="63" spans="1:27" ht="15.75" customHeight="1" x14ac:dyDescent="0.25">
      <c r="A63" s="491" t="s">
        <v>1</v>
      </c>
      <c r="B63" s="491" t="s">
        <v>2</v>
      </c>
      <c r="C63" s="23" t="s">
        <v>48</v>
      </c>
      <c r="D63" s="23" t="s">
        <v>49</v>
      </c>
      <c r="E63" s="23" t="s">
        <v>50</v>
      </c>
      <c r="F63" s="464" t="s">
        <v>38</v>
      </c>
      <c r="G63" s="515" t="s">
        <v>328</v>
      </c>
      <c r="H63" s="515"/>
      <c r="I63" s="515"/>
      <c r="J63" s="489" t="s">
        <v>233</v>
      </c>
      <c r="K63" s="488" t="s">
        <v>50</v>
      </c>
      <c r="L63" s="488"/>
      <c r="M63" s="488" t="s">
        <v>234</v>
      </c>
      <c r="N63" s="488"/>
      <c r="O63" s="489" t="s">
        <v>237</v>
      </c>
      <c r="P63" s="489" t="s">
        <v>235</v>
      </c>
      <c r="Q63" s="489" t="s">
        <v>236</v>
      </c>
      <c r="X63" s="333"/>
    </row>
    <row r="64" spans="1:27" ht="12.75" customHeight="1" x14ac:dyDescent="0.3">
      <c r="A64" s="492"/>
      <c r="B64" s="492"/>
      <c r="C64" s="65">
        <v>0.3</v>
      </c>
      <c r="D64" s="65">
        <v>0.35</v>
      </c>
      <c r="E64" s="65">
        <v>0.35</v>
      </c>
      <c r="F64" s="465"/>
      <c r="G64" s="515"/>
      <c r="H64" s="515"/>
      <c r="I64" s="515"/>
      <c r="J64" s="490"/>
      <c r="K64" s="418" t="s">
        <v>264</v>
      </c>
      <c r="L64" s="418" t="s">
        <v>265</v>
      </c>
      <c r="M64" s="418" t="s">
        <v>264</v>
      </c>
      <c r="N64" s="418" t="s">
        <v>265</v>
      </c>
      <c r="O64" s="490"/>
      <c r="P64" s="490"/>
      <c r="Q64" s="490"/>
      <c r="AA64" s="13"/>
    </row>
    <row r="65" spans="1:27" ht="27" customHeight="1" x14ac:dyDescent="0.3">
      <c r="A65" s="6">
        <v>1</v>
      </c>
      <c r="B65" s="16" t="str">
        <f>IF('Aspek Penilaian KAP Yaniswar'!$C$2=0,"",('Aspek Penilaian KAP Yaniswar'!$A$2&amp;" "&amp;'Aspek Penilaian KAP Yaniswar'!$C$2))</f>
        <v>KAP KAP Yaniswar dan Rekan</v>
      </c>
      <c r="C65" s="40">
        <f>L9</f>
        <v>94.444444444444443</v>
      </c>
      <c r="D65" s="40">
        <f>G19+G28+G37</f>
        <v>31.360000000000003</v>
      </c>
      <c r="E65" s="40">
        <f>IF(Q65="",0,Q65)</f>
        <v>100</v>
      </c>
      <c r="F65" s="40">
        <f>C65*C$64+D65*D$64+E65*E$64</f>
        <v>74.309333333333342</v>
      </c>
      <c r="G65" s="515"/>
      <c r="H65" s="515"/>
      <c r="I65" s="515"/>
      <c r="J65" s="16" t="str">
        <f>IF('Aspek Penilaian KAP Yaniswar'!$C$2=0,"",('Aspek Penilaian KAP Yaniswar'!$A$2&amp;" "&amp;'Aspek Penilaian KAP Yaniswar'!$C$2))</f>
        <v>KAP KAP Yaniswar dan Rekan</v>
      </c>
      <c r="K65" s="424">
        <f>IF(P47="Ya",M47," ")</f>
        <v>79970000</v>
      </c>
      <c r="L65" s="339" t="str">
        <f>IF(P47="Tidak",M47," ")</f>
        <v xml:space="preserve"> </v>
      </c>
      <c r="M65" s="346">
        <f>IF(ISNUMBER(K65),RANK(K65,$K$65:$K$69,1),"")</f>
        <v>1</v>
      </c>
      <c r="N65" s="419" t="str">
        <f>IF(ISNUMBER(L65),RANK(L65,$L$65:$L$69,1),"")</f>
        <v/>
      </c>
      <c r="O65" s="347">
        <f>IF(OR(ISNUMBER(K65),ISNUMBER(L65)),'Aspek Penilaian KAP Yaniswar'!$P$96,0)</f>
        <v>50</v>
      </c>
      <c r="P65" s="344">
        <f>IF(ISNUMBER(M65),(RANK(M65,$M$65:$M$69,0)/MAX($M$65:$M$69))*50,IF(ISNUMBER(N65),(RANK(N65,$N$65:$N$69,0)/MAX($N$65:$N$69))*49,0))</f>
        <v>50</v>
      </c>
      <c r="Q65" s="345">
        <f>IF(ISNUMBER(O65+P65),O65+P65,"")</f>
        <v>100</v>
      </c>
      <c r="X65" s="333"/>
      <c r="Y65" s="334"/>
      <c r="Z65" s="334"/>
      <c r="AA65" s="335"/>
    </row>
    <row r="66" spans="1:27" ht="27" customHeight="1" x14ac:dyDescent="0.3">
      <c r="A66" s="6">
        <v>2</v>
      </c>
      <c r="B66" s="16" t="str">
        <f>IF('Aspek Penilaian KAP DEF'!$C$2=0,"",('Aspek Penilaian KAP DEF'!$A$2&amp;" "&amp;'Aspek Penilaian KAP DEF'!$C$2))</f>
        <v/>
      </c>
      <c r="C66" s="40">
        <f>L10</f>
        <v>0</v>
      </c>
      <c r="D66" s="40">
        <f>G20+G29+G38</f>
        <v>0</v>
      </c>
      <c r="E66" s="40">
        <f>IF(Q66="",0,Q66)</f>
        <v>0</v>
      </c>
      <c r="F66" s="40">
        <f>C66*C$64+D66*D$64+E66*E$64</f>
        <v>0</v>
      </c>
      <c r="G66" s="515"/>
      <c r="H66" s="515"/>
      <c r="I66" s="515"/>
      <c r="J66" s="16" t="str">
        <f>IF('Aspek Penilaian KAP DEF'!$C$2=0,"",('Aspek Penilaian KAP DEF'!$A$2&amp;" "&amp;'Aspek Penilaian KAP DEF'!$C$2))</f>
        <v/>
      </c>
      <c r="K66" s="424" t="str">
        <f>IF(P48="Ya",M48," ")</f>
        <v xml:space="preserve"> </v>
      </c>
      <c r="L66" s="339" t="str">
        <f>IF(P48="Tidak",M48," ")</f>
        <v xml:space="preserve"> </v>
      </c>
      <c r="M66" s="419" t="str">
        <f t="shared" ref="M66:M68" si="8">IF(ISNUMBER(K66),RANK(K66,$K$65:$K$69,1),"")</f>
        <v/>
      </c>
      <c r="N66" s="419" t="str">
        <f t="shared" ref="N66:N69" si="9">IF(ISNUMBER(L66),RANK(L66,$L$65:$L$69,1),"")</f>
        <v/>
      </c>
      <c r="O66" s="347">
        <f>IF(OR(ISNUMBER(K66),ISNUMBER(L66)),'Aspek Penilaian KAP DEF'!$P$96,0)</f>
        <v>0</v>
      </c>
      <c r="P66" s="344">
        <f t="shared" ref="P66:P69" si="10">IF(ISNUMBER(M66),(RANK(M66,$M$65:$M$69,0)/MAX($M$65:$M$69))*50,IF(ISNUMBER(N66),(RANK(N66,$N$65:$N$69,0)/MAX($N$65:$N$69))*49,0))</f>
        <v>0</v>
      </c>
      <c r="Q66" s="345">
        <f>IF(ISNUMBER(O66+P66),O66+P66,"")</f>
        <v>0</v>
      </c>
      <c r="X66" s="333"/>
      <c r="Y66" s="334"/>
      <c r="Z66" s="334"/>
      <c r="AA66" s="335"/>
    </row>
    <row r="67" spans="1:27" ht="27" customHeight="1" x14ac:dyDescent="0.3">
      <c r="A67" s="6">
        <v>3</v>
      </c>
      <c r="B67" s="16" t="str">
        <f>IF('Aspek Penilaian KAP GHI'!$C$2=0,"",('Aspek Penilaian KAP GHI'!$A$2&amp;" "&amp;'Aspek Penilaian KAP GHI'!$C$2))</f>
        <v/>
      </c>
      <c r="C67" s="40">
        <f>L11</f>
        <v>0</v>
      </c>
      <c r="D67" s="40">
        <f>G21+G30+G39</f>
        <v>0</v>
      </c>
      <c r="E67" s="40">
        <f>IF(Q67="",0,Q67)</f>
        <v>0</v>
      </c>
      <c r="F67" s="40">
        <f>C67*C$64+D67*D$64+E67*E$64</f>
        <v>0</v>
      </c>
      <c r="G67" s="515"/>
      <c r="H67" s="515"/>
      <c r="I67" s="515"/>
      <c r="J67" s="16" t="str">
        <f>IF('Aspek Penilaian KAP GHI'!$C$2=0,"",('Aspek Penilaian KAP GHI'!$A$2&amp;" "&amp;'Aspek Penilaian KAP GHI'!$C$2))</f>
        <v/>
      </c>
      <c r="K67" s="424" t="str">
        <f>IF(P49="Ya",M49," ")</f>
        <v xml:space="preserve"> </v>
      </c>
      <c r="L67" s="339" t="str">
        <f>IF(P49="Tidak",M49," ")</f>
        <v xml:space="preserve"> </v>
      </c>
      <c r="M67" s="419" t="str">
        <f>IF(ISNUMBER(K67),RANK(K67,$K$65:$K$69,1),"")</f>
        <v/>
      </c>
      <c r="N67" s="419" t="str">
        <f t="shared" si="9"/>
        <v/>
      </c>
      <c r="O67" s="347">
        <f>IF(OR(ISNUMBER(K67),ISNUMBER(L67)),'Aspek Penilaian KAP GHI'!$P$96,0)</f>
        <v>0</v>
      </c>
      <c r="P67" s="344">
        <f t="shared" si="10"/>
        <v>0</v>
      </c>
      <c r="Q67" s="345">
        <f t="shared" ref="Q67:Q69" si="11">IF(ISNUMBER(O67+P67),O67+P67,"")</f>
        <v>0</v>
      </c>
      <c r="X67" s="333"/>
      <c r="Y67" s="334"/>
      <c r="Z67" s="334"/>
      <c r="AA67" s="335"/>
    </row>
    <row r="68" spans="1:27" ht="27" customHeight="1" x14ac:dyDescent="0.3">
      <c r="A68" s="6">
        <v>4</v>
      </c>
      <c r="B68" s="16" t="str">
        <f>IF('Aspek Penilaian KAP JKL'!$C$2=0,"",('Aspek Penilaian KAP JKL'!$A$2&amp;" "&amp;'Aspek Penilaian KAP JKL'!$C$2))</f>
        <v/>
      </c>
      <c r="C68" s="40">
        <f>L12</f>
        <v>0</v>
      </c>
      <c r="D68" s="40">
        <f>G22+G31+G40</f>
        <v>0</v>
      </c>
      <c r="E68" s="40">
        <f>IF(Q68="",0,Q68)</f>
        <v>0</v>
      </c>
      <c r="F68" s="40">
        <f>C68*C$64+D68*D$64+E68*E$64</f>
        <v>0</v>
      </c>
      <c r="G68" s="515"/>
      <c r="H68" s="515"/>
      <c r="I68" s="515"/>
      <c r="J68" s="16" t="str">
        <f>IF('Aspek Penilaian KAP JKL'!$C$2=0,"",('Aspek Penilaian KAP JKL'!$A$2&amp;" "&amp;'Aspek Penilaian KAP JKL'!$C$2))</f>
        <v/>
      </c>
      <c r="K68" s="424" t="str">
        <f>IF(P50="Ya",M50," ")</f>
        <v xml:space="preserve"> </v>
      </c>
      <c r="L68" s="339" t="str">
        <f>IF(P50="Tidak",M50," ")</f>
        <v xml:space="preserve"> </v>
      </c>
      <c r="M68" s="419" t="str">
        <f t="shared" si="8"/>
        <v/>
      </c>
      <c r="N68" s="419" t="str">
        <f t="shared" si="9"/>
        <v/>
      </c>
      <c r="O68" s="347">
        <f>IF(OR(ISNUMBER(K68),ISNUMBER(L68)),'Aspek Penilaian KAP JKL'!$P$96,0)</f>
        <v>0</v>
      </c>
      <c r="P68" s="344">
        <f t="shared" si="10"/>
        <v>0</v>
      </c>
      <c r="Q68" s="345">
        <f t="shared" si="11"/>
        <v>0</v>
      </c>
      <c r="X68" s="333"/>
      <c r="Y68" s="334"/>
      <c r="Z68" s="334"/>
      <c r="AA68" s="335"/>
    </row>
    <row r="69" spans="1:27" ht="27" customHeight="1" x14ac:dyDescent="0.3">
      <c r="A69" s="6">
        <v>5</v>
      </c>
      <c r="B69" s="16" t="str">
        <f>IF('Aspek Penilaian KAP MNO'!$C$2=0,"",('Aspek Penilaian KAP MNO'!$A$2&amp;" "&amp;'Aspek Penilaian KAP MNO'!$C$2))</f>
        <v/>
      </c>
      <c r="C69" s="40">
        <f>L13</f>
        <v>0</v>
      </c>
      <c r="D69" s="40">
        <f>G23+G32+G41</f>
        <v>0</v>
      </c>
      <c r="E69" s="40">
        <f>IF(Q69="",0,Q69)</f>
        <v>0</v>
      </c>
      <c r="F69" s="40">
        <f>C69*C$64+D69*D$64+E69*E$64</f>
        <v>0</v>
      </c>
      <c r="G69" s="515"/>
      <c r="H69" s="515"/>
      <c r="I69" s="515"/>
      <c r="J69" s="16" t="str">
        <f>IF('Aspek Penilaian KAP MNO'!$C$2=0,"",('Aspek Penilaian KAP MNO'!$A$2&amp;" "&amp;'Aspek Penilaian KAP MNO'!$C$2))</f>
        <v/>
      </c>
      <c r="K69" s="424" t="str">
        <f>IF(P51="Ya",M51," ")</f>
        <v xml:space="preserve"> </v>
      </c>
      <c r="L69" s="339" t="str">
        <f>IF(P51="Tidak",M51," ")</f>
        <v xml:space="preserve"> </v>
      </c>
      <c r="M69" s="419" t="str">
        <f>IF(ISNUMBER(K69),RANK(K69,$K$65:$K$69,1),"")</f>
        <v/>
      </c>
      <c r="N69" s="419" t="str">
        <f t="shared" si="9"/>
        <v/>
      </c>
      <c r="O69" s="347">
        <f>IF(OR(ISNUMBER(K69),ISNUMBER(L69)),'Aspek Penilaian KAP MNO'!$P$96,0)</f>
        <v>0</v>
      </c>
      <c r="P69" s="344">
        <f t="shared" si="10"/>
        <v>0</v>
      </c>
      <c r="Q69" s="345">
        <f t="shared" si="11"/>
        <v>0</v>
      </c>
      <c r="X69" s="333"/>
      <c r="Y69" s="334"/>
      <c r="Z69" s="334"/>
      <c r="AA69" s="335"/>
    </row>
    <row r="70" spans="1:27" x14ac:dyDescent="0.25">
      <c r="N70" s="126"/>
    </row>
    <row r="71" spans="1:27" ht="12" x14ac:dyDescent="0.25">
      <c r="A71" s="41" t="s">
        <v>60</v>
      </c>
      <c r="B71" s="42"/>
      <c r="C71" s="43"/>
      <c r="D71" s="11"/>
      <c r="E71" s="44"/>
      <c r="I71" s="516"/>
      <c r="J71" s="516"/>
    </row>
    <row r="72" spans="1:27" ht="12.6" customHeight="1" x14ac:dyDescent="0.25">
      <c r="A72" s="466" t="s">
        <v>1</v>
      </c>
      <c r="B72" s="468" t="s">
        <v>61</v>
      </c>
      <c r="C72" s="469"/>
      <c r="D72" s="45" t="s">
        <v>62</v>
      </c>
      <c r="E72" s="45" t="s">
        <v>62</v>
      </c>
      <c r="F72" s="45" t="s">
        <v>63</v>
      </c>
      <c r="H72" s="520" t="s">
        <v>97</v>
      </c>
      <c r="I72" s="521"/>
      <c r="J72" s="521"/>
      <c r="K72" s="522"/>
      <c r="L72" s="526" t="s">
        <v>98</v>
      </c>
      <c r="M72" s="526"/>
      <c r="N72" s="526"/>
      <c r="O72" s="526"/>
    </row>
    <row r="73" spans="1:27" ht="12" x14ac:dyDescent="0.25">
      <c r="A73" s="467"/>
      <c r="B73" s="470"/>
      <c r="C73" s="471"/>
      <c r="D73" s="45" t="s">
        <v>64</v>
      </c>
      <c r="E73" s="45" t="s">
        <v>65</v>
      </c>
      <c r="F73" s="45" t="s">
        <v>66</v>
      </c>
      <c r="H73" s="485" t="s">
        <v>330</v>
      </c>
      <c r="I73" s="485"/>
      <c r="J73" s="485"/>
      <c r="K73" s="485"/>
      <c r="L73" s="485"/>
      <c r="M73" s="485"/>
      <c r="N73" s="485"/>
      <c r="O73" s="485"/>
    </row>
    <row r="74" spans="1:27" s="1" customFormat="1" ht="12" x14ac:dyDescent="0.25">
      <c r="A74" s="64"/>
      <c r="B74" s="472" t="s">
        <v>67</v>
      </c>
      <c r="C74" s="473"/>
      <c r="D74" s="474"/>
      <c r="E74" s="475"/>
      <c r="F74" s="476"/>
      <c r="H74" s="485"/>
      <c r="I74" s="485"/>
      <c r="J74" s="485"/>
      <c r="K74" s="485"/>
      <c r="L74" s="485"/>
      <c r="M74" s="485"/>
      <c r="N74" s="485"/>
      <c r="O74" s="485"/>
    </row>
    <row r="75" spans="1:27" s="1" customFormat="1" x14ac:dyDescent="0.25">
      <c r="A75" s="46">
        <v>1</v>
      </c>
      <c r="B75" s="47" t="s">
        <v>68</v>
      </c>
      <c r="C75" s="48"/>
      <c r="D75" s="300" t="s">
        <v>45</v>
      </c>
      <c r="E75" s="211">
        <f t="shared" ref="E75:E85" si="12">IF(D75="Ya",4.2,0)</f>
        <v>4.2</v>
      </c>
      <c r="F75" s="298">
        <v>0</v>
      </c>
      <c r="H75" s="485"/>
      <c r="I75" s="485"/>
      <c r="J75" s="485"/>
      <c r="K75" s="485"/>
      <c r="L75" s="485"/>
      <c r="M75" s="485"/>
      <c r="N75" s="485"/>
      <c r="O75" s="485"/>
    </row>
    <row r="76" spans="1:27" s="1" customFormat="1" x14ac:dyDescent="0.25">
      <c r="A76" s="46">
        <v>2</v>
      </c>
      <c r="B76" s="47" t="s">
        <v>273</v>
      </c>
      <c r="C76" s="61"/>
      <c r="D76" s="301" t="s">
        <v>45</v>
      </c>
      <c r="E76" s="212">
        <f t="shared" si="12"/>
        <v>4.2</v>
      </c>
      <c r="F76" s="299">
        <v>0</v>
      </c>
      <c r="H76" s="517" t="s">
        <v>325</v>
      </c>
      <c r="I76" s="518"/>
      <c r="J76" s="518"/>
      <c r="K76" s="519"/>
      <c r="L76" s="486" t="s">
        <v>96</v>
      </c>
      <c r="M76" s="486"/>
      <c r="N76" s="486"/>
      <c r="O76" s="486"/>
    </row>
    <row r="77" spans="1:27" s="1" customFormat="1" x14ac:dyDescent="0.25">
      <c r="A77" s="46">
        <v>3</v>
      </c>
      <c r="B77" s="47" t="s">
        <v>274</v>
      </c>
      <c r="C77" s="61"/>
      <c r="D77" s="301" t="s">
        <v>45</v>
      </c>
      <c r="E77" s="212">
        <f t="shared" si="12"/>
        <v>4.2</v>
      </c>
      <c r="F77" s="299">
        <v>0</v>
      </c>
    </row>
    <row r="78" spans="1:27" s="1" customFormat="1" x14ac:dyDescent="0.25">
      <c r="A78" s="46">
        <v>4</v>
      </c>
      <c r="B78" s="47" t="s">
        <v>71</v>
      </c>
      <c r="C78" s="61"/>
      <c r="D78" s="301" t="s">
        <v>72</v>
      </c>
      <c r="E78" s="212">
        <f t="shared" si="12"/>
        <v>0</v>
      </c>
      <c r="F78" s="299">
        <v>0</v>
      </c>
    </row>
    <row r="79" spans="1:27" s="1" customFormat="1" x14ac:dyDescent="0.25">
      <c r="A79" s="46">
        <v>5</v>
      </c>
      <c r="B79" s="47" t="s">
        <v>73</v>
      </c>
      <c r="C79" s="61"/>
      <c r="D79" s="301" t="s">
        <v>45</v>
      </c>
      <c r="E79" s="212">
        <f t="shared" si="12"/>
        <v>4.2</v>
      </c>
      <c r="F79" s="299">
        <v>0</v>
      </c>
    </row>
    <row r="80" spans="1:27" s="1" customFormat="1" x14ac:dyDescent="0.25">
      <c r="A80" s="46">
        <v>6</v>
      </c>
      <c r="B80" s="47" t="s">
        <v>275</v>
      </c>
      <c r="C80" s="61"/>
      <c r="D80" s="301" t="s">
        <v>45</v>
      </c>
      <c r="E80" s="212">
        <f t="shared" si="12"/>
        <v>4.2</v>
      </c>
      <c r="F80" s="299">
        <v>0</v>
      </c>
    </row>
    <row r="81" spans="1:6" s="1" customFormat="1" x14ac:dyDescent="0.25">
      <c r="A81" s="46">
        <v>7</v>
      </c>
      <c r="B81" s="47" t="s">
        <v>276</v>
      </c>
      <c r="C81" s="61"/>
      <c r="D81" s="301" t="s">
        <v>72</v>
      </c>
      <c r="E81" s="212">
        <f t="shared" si="12"/>
        <v>0</v>
      </c>
      <c r="F81" s="299">
        <v>0</v>
      </c>
    </row>
    <row r="82" spans="1:6" s="1" customFormat="1" x14ac:dyDescent="0.25">
      <c r="A82" s="46">
        <v>8</v>
      </c>
      <c r="B82" s="47" t="s">
        <v>277</v>
      </c>
      <c r="C82" s="61"/>
      <c r="D82" s="301" t="s">
        <v>45</v>
      </c>
      <c r="E82" s="212">
        <f t="shared" si="12"/>
        <v>4.2</v>
      </c>
      <c r="F82" s="299">
        <v>0</v>
      </c>
    </row>
    <row r="83" spans="1:6" s="1" customFormat="1" x14ac:dyDescent="0.25">
      <c r="A83" s="46">
        <v>9</v>
      </c>
      <c r="B83" s="47" t="s">
        <v>278</v>
      </c>
      <c r="C83" s="61"/>
      <c r="D83" s="301" t="s">
        <v>72</v>
      </c>
      <c r="E83" s="212">
        <f t="shared" si="12"/>
        <v>0</v>
      </c>
      <c r="F83" s="299">
        <v>0</v>
      </c>
    </row>
    <row r="84" spans="1:6" s="1" customFormat="1" x14ac:dyDescent="0.25">
      <c r="A84" s="46">
        <v>10</v>
      </c>
      <c r="B84" s="47" t="s">
        <v>279</v>
      </c>
      <c r="C84" s="61"/>
      <c r="D84" s="301" t="s">
        <v>72</v>
      </c>
      <c r="E84" s="212">
        <f t="shared" si="12"/>
        <v>0</v>
      </c>
      <c r="F84" s="299">
        <v>0</v>
      </c>
    </row>
    <row r="85" spans="1:6" s="1" customFormat="1" x14ac:dyDescent="0.25">
      <c r="A85" s="46">
        <v>11</v>
      </c>
      <c r="B85" s="47" t="s">
        <v>280</v>
      </c>
      <c r="C85" s="61"/>
      <c r="D85" s="301" t="s">
        <v>45</v>
      </c>
      <c r="E85" s="212">
        <f t="shared" si="12"/>
        <v>4.2</v>
      </c>
      <c r="F85" s="299">
        <v>0</v>
      </c>
    </row>
    <row r="86" spans="1:6" s="1" customFormat="1" ht="12" x14ac:dyDescent="0.25">
      <c r="A86" s="64"/>
      <c r="B86" s="472" t="s">
        <v>81</v>
      </c>
      <c r="C86" s="473"/>
      <c r="D86" s="512"/>
      <c r="E86" s="513"/>
      <c r="F86" s="514"/>
    </row>
    <row r="87" spans="1:6" s="1" customFormat="1" x14ac:dyDescent="0.25">
      <c r="A87" s="46">
        <v>12</v>
      </c>
      <c r="B87" s="47" t="s">
        <v>281</v>
      </c>
      <c r="C87" s="61"/>
      <c r="D87" s="300" t="s">
        <v>45</v>
      </c>
      <c r="E87" s="211">
        <f t="shared" ref="E87:E99" si="13">IF(D87="Ya",4.2,0)</f>
        <v>4.2</v>
      </c>
      <c r="F87" s="298">
        <v>0</v>
      </c>
    </row>
    <row r="88" spans="1:6" s="1" customFormat="1" x14ac:dyDescent="0.25">
      <c r="A88" s="46">
        <v>13</v>
      </c>
      <c r="B88" s="47" t="s">
        <v>256</v>
      </c>
      <c r="C88" s="61"/>
      <c r="D88" s="301" t="s">
        <v>45</v>
      </c>
      <c r="E88" s="212">
        <f t="shared" si="13"/>
        <v>4.2</v>
      </c>
      <c r="F88" s="299">
        <v>0</v>
      </c>
    </row>
    <row r="89" spans="1:6" s="1" customFormat="1" x14ac:dyDescent="0.25">
      <c r="A89" s="46">
        <v>14</v>
      </c>
      <c r="B89" s="47" t="s">
        <v>70</v>
      </c>
      <c r="C89" s="61"/>
      <c r="D89" s="301" t="s">
        <v>45</v>
      </c>
      <c r="E89" s="212">
        <f t="shared" ref="E89" si="14">IF(D89="Ya",4.2,0)</f>
        <v>4.2</v>
      </c>
      <c r="F89" s="299">
        <v>0</v>
      </c>
    </row>
    <row r="90" spans="1:6" s="1" customFormat="1" x14ac:dyDescent="0.25">
      <c r="A90" s="46">
        <v>15</v>
      </c>
      <c r="B90" s="47" t="s">
        <v>282</v>
      </c>
      <c r="C90" s="61"/>
      <c r="D90" s="301" t="s">
        <v>72</v>
      </c>
      <c r="E90" s="212">
        <f t="shared" si="13"/>
        <v>0</v>
      </c>
      <c r="F90" s="299">
        <v>0</v>
      </c>
    </row>
    <row r="91" spans="1:6" s="1" customFormat="1" x14ac:dyDescent="0.25">
      <c r="A91" s="46">
        <v>16</v>
      </c>
      <c r="B91" s="47" t="s">
        <v>287</v>
      </c>
      <c r="C91" s="61"/>
      <c r="D91" s="301" t="s">
        <v>45</v>
      </c>
      <c r="E91" s="212">
        <f t="shared" si="13"/>
        <v>4.2</v>
      </c>
      <c r="F91" s="299">
        <v>0</v>
      </c>
    </row>
    <row r="92" spans="1:6" s="1" customFormat="1" x14ac:dyDescent="0.25">
      <c r="A92" s="46">
        <v>17</v>
      </c>
      <c r="B92" s="47" t="s">
        <v>257</v>
      </c>
      <c r="C92" s="61"/>
      <c r="D92" s="301" t="s">
        <v>45</v>
      </c>
      <c r="E92" s="212">
        <f t="shared" si="13"/>
        <v>4.2</v>
      </c>
      <c r="F92" s="299">
        <v>0</v>
      </c>
    </row>
    <row r="93" spans="1:6" s="1" customFormat="1" x14ac:dyDescent="0.25">
      <c r="A93" s="46">
        <v>18</v>
      </c>
      <c r="B93" s="47" t="s">
        <v>288</v>
      </c>
      <c r="C93" s="61"/>
      <c r="D93" s="301" t="s">
        <v>72</v>
      </c>
      <c r="E93" s="212">
        <f t="shared" si="13"/>
        <v>0</v>
      </c>
      <c r="F93" s="299">
        <v>0</v>
      </c>
    </row>
    <row r="94" spans="1:6" s="1" customFormat="1" x14ac:dyDescent="0.25">
      <c r="A94" s="46">
        <v>19</v>
      </c>
      <c r="B94" s="443" t="s">
        <v>289</v>
      </c>
      <c r="C94" s="444"/>
      <c r="D94" s="301" t="s">
        <v>45</v>
      </c>
      <c r="E94" s="212">
        <f t="shared" si="13"/>
        <v>4.2</v>
      </c>
      <c r="F94" s="299">
        <v>0</v>
      </c>
    </row>
    <row r="95" spans="1:6" s="1" customFormat="1" x14ac:dyDescent="0.25">
      <c r="A95" s="46">
        <v>20</v>
      </c>
      <c r="B95" s="47" t="s">
        <v>283</v>
      </c>
      <c r="C95" s="61"/>
      <c r="D95" s="301" t="s">
        <v>45</v>
      </c>
      <c r="E95" s="212">
        <f t="shared" si="13"/>
        <v>4.2</v>
      </c>
      <c r="F95" s="299">
        <v>0</v>
      </c>
    </row>
    <row r="96" spans="1:6" s="1" customFormat="1" x14ac:dyDescent="0.25">
      <c r="A96" s="46">
        <v>21</v>
      </c>
      <c r="B96" s="47" t="s">
        <v>258</v>
      </c>
      <c r="C96" s="61"/>
      <c r="D96" s="301" t="s">
        <v>45</v>
      </c>
      <c r="E96" s="212">
        <f t="shared" si="13"/>
        <v>4.2</v>
      </c>
      <c r="F96" s="299">
        <v>0</v>
      </c>
    </row>
    <row r="97" spans="1:6" s="1" customFormat="1" x14ac:dyDescent="0.25">
      <c r="A97" s="46">
        <v>22</v>
      </c>
      <c r="B97" s="47" t="s">
        <v>284</v>
      </c>
      <c r="C97" s="61"/>
      <c r="D97" s="301" t="s">
        <v>45</v>
      </c>
      <c r="E97" s="212">
        <f t="shared" si="13"/>
        <v>4.2</v>
      </c>
      <c r="F97" s="299">
        <v>0</v>
      </c>
    </row>
    <row r="98" spans="1:6" s="1" customFormat="1" x14ac:dyDescent="0.25">
      <c r="A98" s="46">
        <v>23</v>
      </c>
      <c r="B98" s="443" t="s">
        <v>285</v>
      </c>
      <c r="C98" s="444"/>
      <c r="D98" s="301" t="s">
        <v>45</v>
      </c>
      <c r="E98" s="212">
        <f t="shared" si="13"/>
        <v>4.2</v>
      </c>
      <c r="F98" s="299">
        <v>0</v>
      </c>
    </row>
    <row r="99" spans="1:6" s="1" customFormat="1" x14ac:dyDescent="0.25">
      <c r="A99" s="445">
        <v>24</v>
      </c>
      <c r="B99" s="123" t="s">
        <v>286</v>
      </c>
      <c r="C99" s="63"/>
      <c r="D99" s="302" t="s">
        <v>72</v>
      </c>
      <c r="E99" s="297">
        <f t="shared" si="13"/>
        <v>0</v>
      </c>
      <c r="F99" s="303">
        <v>0</v>
      </c>
    </row>
  </sheetData>
  <sheetProtection selectLockedCells="1"/>
  <mergeCells count="105">
    <mergeCell ref="B17:B18"/>
    <mergeCell ref="C17:C18"/>
    <mergeCell ref="L45:M45"/>
    <mergeCell ref="N45:N46"/>
    <mergeCell ref="O44:S44"/>
    <mergeCell ref="O45:P45"/>
    <mergeCell ref="Q45:S46"/>
    <mergeCell ref="F45:G45"/>
    <mergeCell ref="H45:H46"/>
    <mergeCell ref="I44:K44"/>
    <mergeCell ref="I45:J45"/>
    <mergeCell ref="K45:K46"/>
    <mergeCell ref="D17:E17"/>
    <mergeCell ref="F17:G17"/>
    <mergeCell ref="S6:S7"/>
    <mergeCell ref="A72:A73"/>
    <mergeCell ref="B72:C73"/>
    <mergeCell ref="B74:C74"/>
    <mergeCell ref="D74:F74"/>
    <mergeCell ref="A63:A64"/>
    <mergeCell ref="B63:B64"/>
    <mergeCell ref="F63:F64"/>
    <mergeCell ref="H37:M37"/>
    <mergeCell ref="H41:M41"/>
    <mergeCell ref="H28:M28"/>
    <mergeCell ref="H32:M32"/>
    <mergeCell ref="H40:M40"/>
    <mergeCell ref="K54:L54"/>
    <mergeCell ref="M54:N54"/>
    <mergeCell ref="C45:D45"/>
    <mergeCell ref="E45:E46"/>
    <mergeCell ref="H39:M39"/>
    <mergeCell ref="H26:M27"/>
    <mergeCell ref="K6:L7"/>
    <mergeCell ref="M6:R8"/>
    <mergeCell ref="B6:B8"/>
    <mergeCell ref="A6:A8"/>
    <mergeCell ref="C44:E44"/>
    <mergeCell ref="B86:C86"/>
    <mergeCell ref="D86:F86"/>
    <mergeCell ref="G63:I69"/>
    <mergeCell ref="J63:J64"/>
    <mergeCell ref="I71:J71"/>
    <mergeCell ref="H76:K76"/>
    <mergeCell ref="H72:K72"/>
    <mergeCell ref="H73:K75"/>
    <mergeCell ref="M12:R12"/>
    <mergeCell ref="Q47:S47"/>
    <mergeCell ref="Q48:S48"/>
    <mergeCell ref="Q49:S49"/>
    <mergeCell ref="O63:O64"/>
    <mergeCell ref="B26:B27"/>
    <mergeCell ref="C26:C27"/>
    <mergeCell ref="H21:M21"/>
    <mergeCell ref="H35:M36"/>
    <mergeCell ref="H30:M30"/>
    <mergeCell ref="Q63:Q64"/>
    <mergeCell ref="D35:E35"/>
    <mergeCell ref="F35:G35"/>
    <mergeCell ref="D26:E26"/>
    <mergeCell ref="F26:G26"/>
    <mergeCell ref="L72:O72"/>
    <mergeCell ref="A1:M1"/>
    <mergeCell ref="A2:M2"/>
    <mergeCell ref="A3:M3"/>
    <mergeCell ref="H38:M38"/>
    <mergeCell ref="H29:M29"/>
    <mergeCell ref="M9:R9"/>
    <mergeCell ref="M10:R10"/>
    <mergeCell ref="H20:M20"/>
    <mergeCell ref="H22:M22"/>
    <mergeCell ref="H17:M18"/>
    <mergeCell ref="M13:R13"/>
    <mergeCell ref="M11:R11"/>
    <mergeCell ref="H19:M19"/>
    <mergeCell ref="H23:M23"/>
    <mergeCell ref="C6:D7"/>
    <mergeCell ref="E6:F7"/>
    <mergeCell ref="G6:H7"/>
    <mergeCell ref="I6:J7"/>
    <mergeCell ref="A35:A36"/>
    <mergeCell ref="B35:B36"/>
    <mergeCell ref="C35:C36"/>
    <mergeCell ref="H31:M31"/>
    <mergeCell ref="A17:A18"/>
    <mergeCell ref="A26:A27"/>
    <mergeCell ref="A54:A55"/>
    <mergeCell ref="B54:B55"/>
    <mergeCell ref="F54:F55"/>
    <mergeCell ref="G54:I60"/>
    <mergeCell ref="J54:J55"/>
    <mergeCell ref="F44:H44"/>
    <mergeCell ref="L44:N44"/>
    <mergeCell ref="A44:A46"/>
    <mergeCell ref="B44:B46"/>
    <mergeCell ref="L73:O75"/>
    <mergeCell ref="L76:O76"/>
    <mergeCell ref="Q50:S50"/>
    <mergeCell ref="Q51:S51"/>
    <mergeCell ref="M63:N63"/>
    <mergeCell ref="K63:L63"/>
    <mergeCell ref="O54:O55"/>
    <mergeCell ref="P54:P55"/>
    <mergeCell ref="Q54:Q55"/>
    <mergeCell ref="P63:P64"/>
  </mergeCells>
  <dataValidations count="2">
    <dataValidation type="list" allowBlank="1" showInputMessage="1" showErrorMessage="1" sqref="D75:D85 D87:D99" xr:uid="{00000000-0002-0000-0200-000000000000}">
      <formula1>"Ya,Tidak"</formula1>
    </dataValidation>
    <dataValidation type="list" allowBlank="1" showInputMessage="1" showErrorMessage="1" sqref="F75:F85 F87:F99" xr:uid="{00000000-0002-0000-0200-000001000000}">
      <formula1>"0,1,4,2,8,4,2"</formula1>
    </dataValidation>
  </dataValidations>
  <pageMargins left="0" right="0" top="0" bottom="0" header="0.31496062992125984" footer="0.31496062992125984"/>
  <pageSetup paperSize="9" scale="78" fitToHeight="0" orientation="landscape"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Z150"/>
  <sheetViews>
    <sheetView zoomScale="54" zoomScaleNormal="60" workbookViewId="0">
      <selection activeCell="C29" sqref="C29"/>
    </sheetView>
  </sheetViews>
  <sheetFormatPr defaultColWidth="9.21875" defaultRowHeight="19.5" customHeight="1" x14ac:dyDescent="0.3"/>
  <cols>
    <col min="1" max="1" width="7" style="84" customWidth="1"/>
    <col min="2" max="2" width="5.5546875" style="92" customWidth="1"/>
    <col min="3" max="3" width="87.5546875" style="81" customWidth="1"/>
    <col min="4" max="4" width="24.5546875" style="85" customWidth="1"/>
    <col min="5" max="5" width="21.5546875" style="83" bestFit="1" customWidth="1"/>
    <col min="6" max="6" width="18.77734375" style="83" customWidth="1"/>
    <col min="7" max="8" width="16.21875" style="84" customWidth="1"/>
    <col min="9" max="9" width="13.5546875" style="85" customWidth="1"/>
    <col min="10" max="10" width="4.77734375" style="85" bestFit="1" customWidth="1"/>
    <col min="11" max="11" width="5.5546875" style="91" customWidth="1"/>
    <col min="12" max="12" width="87.44140625" style="91" customWidth="1"/>
    <col min="13" max="13" width="26" style="85" customWidth="1"/>
    <col min="14" max="14" width="21.5546875" style="85" bestFit="1" customWidth="1"/>
    <col min="15" max="15" width="22.5546875" style="85" bestFit="1" customWidth="1"/>
    <col min="16" max="16" width="18.21875" style="85" customWidth="1"/>
    <col min="17" max="17" width="15.21875" style="85" customWidth="1"/>
    <col min="18" max="18" width="9.21875" style="107"/>
    <col min="19" max="19" width="5.5546875" style="85" bestFit="1" customWidth="1"/>
    <col min="20" max="20" width="9.21875" style="85"/>
    <col min="21" max="21" width="97.77734375" style="85" customWidth="1"/>
    <col min="22" max="22" width="32.21875" style="85" customWidth="1"/>
    <col min="23" max="23" width="16.21875" style="85" bestFit="1" customWidth="1"/>
    <col min="24" max="24" width="9.5546875" style="85" customWidth="1"/>
    <col min="25" max="16384" width="9.21875" style="85"/>
  </cols>
  <sheetData>
    <row r="1" spans="1:24" ht="19.5" customHeight="1" x14ac:dyDescent="0.3">
      <c r="A1" s="217" t="s">
        <v>188</v>
      </c>
      <c r="B1" s="105"/>
      <c r="C1" s="106"/>
      <c r="D1" s="82"/>
      <c r="H1" s="82"/>
    </row>
    <row r="2" spans="1:24" ht="19.5" customHeight="1" x14ac:dyDescent="0.3">
      <c r="A2" s="217" t="s">
        <v>2</v>
      </c>
      <c r="B2" s="105" t="s">
        <v>187</v>
      </c>
      <c r="C2" s="253" t="s">
        <v>327</v>
      </c>
      <c r="D2" s="82"/>
      <c r="H2" s="82"/>
    </row>
    <row r="3" spans="1:24" s="107" customFormat="1" ht="19.5" customHeight="1" x14ac:dyDescent="0.3">
      <c r="A3" s="254" t="s">
        <v>331</v>
      </c>
      <c r="B3" s="218"/>
      <c r="C3" s="219"/>
      <c r="D3" s="101"/>
      <c r="E3" s="108"/>
      <c r="F3" s="108"/>
      <c r="G3" s="94"/>
      <c r="H3" s="101"/>
      <c r="K3" s="220"/>
      <c r="L3" s="220"/>
      <c r="R3" s="154"/>
      <c r="S3" s="154"/>
      <c r="T3" s="154"/>
      <c r="U3" s="154"/>
      <c r="V3" s="154"/>
      <c r="W3" s="154"/>
      <c r="X3" s="154"/>
    </row>
    <row r="4" spans="1:24" s="107" customFormat="1" ht="19.5" customHeight="1" thickBot="1" x14ac:dyDescent="0.35">
      <c r="A4" s="221"/>
      <c r="B4" s="105"/>
      <c r="C4" s="106"/>
      <c r="D4" s="101"/>
      <c r="E4" s="108"/>
      <c r="F4" s="108"/>
      <c r="G4" s="94"/>
      <c r="H4" s="101"/>
      <c r="K4" s="220"/>
      <c r="L4" s="220"/>
      <c r="R4" s="154"/>
      <c r="S4" s="154"/>
      <c r="T4" s="154"/>
      <c r="U4" s="154"/>
      <c r="V4" s="154"/>
      <c r="W4" s="154"/>
      <c r="X4" s="154"/>
    </row>
    <row r="5" spans="1:24" s="107" customFormat="1" ht="19.5" customHeight="1" x14ac:dyDescent="0.3">
      <c r="A5" s="537" t="s">
        <v>185</v>
      </c>
      <c r="B5" s="538"/>
      <c r="C5" s="538"/>
      <c r="D5" s="538"/>
      <c r="E5" s="538"/>
      <c r="F5" s="538"/>
      <c r="G5" s="538"/>
      <c r="H5" s="539"/>
      <c r="I5" s="85"/>
      <c r="J5" s="537" t="s">
        <v>192</v>
      </c>
      <c r="K5" s="538"/>
      <c r="L5" s="538"/>
      <c r="M5" s="538"/>
      <c r="N5" s="538"/>
      <c r="O5" s="538"/>
      <c r="P5" s="538"/>
      <c r="Q5" s="539"/>
      <c r="R5" s="310"/>
      <c r="S5" s="310"/>
      <c r="T5" s="310"/>
      <c r="U5" s="310"/>
      <c r="V5" s="310"/>
      <c r="W5" s="310"/>
      <c r="X5" s="310"/>
    </row>
    <row r="6" spans="1:24" s="107" customFormat="1" ht="19.5" customHeight="1" thickBot="1" x14ac:dyDescent="0.35">
      <c r="A6" s="540"/>
      <c r="B6" s="541"/>
      <c r="C6" s="541"/>
      <c r="D6" s="541"/>
      <c r="E6" s="541"/>
      <c r="F6" s="541"/>
      <c r="G6" s="541"/>
      <c r="H6" s="542"/>
      <c r="I6" s="85"/>
      <c r="J6" s="540"/>
      <c r="K6" s="541"/>
      <c r="L6" s="541"/>
      <c r="M6" s="541"/>
      <c r="N6" s="541"/>
      <c r="O6" s="541"/>
      <c r="P6" s="541"/>
      <c r="Q6" s="542"/>
      <c r="R6" s="310"/>
      <c r="S6" s="310"/>
      <c r="T6" s="310"/>
      <c r="U6" s="310"/>
      <c r="V6" s="310"/>
      <c r="W6" s="310"/>
      <c r="X6" s="310"/>
    </row>
    <row r="7" spans="1:24" s="329" customFormat="1" ht="19.5" customHeight="1" x14ac:dyDescent="0.25">
      <c r="A7" s="326" t="s">
        <v>20</v>
      </c>
      <c r="B7" s="327" t="s">
        <v>101</v>
      </c>
      <c r="C7" s="330" t="s">
        <v>225</v>
      </c>
      <c r="D7" s="327"/>
      <c r="E7" s="327"/>
      <c r="F7" s="328"/>
      <c r="G7" s="282"/>
      <c r="H7" s="295"/>
      <c r="J7" s="326" t="s">
        <v>20</v>
      </c>
      <c r="K7" s="327" t="s">
        <v>101</v>
      </c>
      <c r="L7" s="330" t="s">
        <v>225</v>
      </c>
      <c r="M7" s="327"/>
      <c r="N7" s="327"/>
      <c r="O7" s="328"/>
      <c r="P7" s="282"/>
      <c r="Q7" s="295"/>
      <c r="R7" s="195"/>
      <c r="S7" s="282"/>
      <c r="T7" s="282"/>
      <c r="U7" s="282"/>
      <c r="V7" s="282"/>
      <c r="W7" s="282"/>
      <c r="X7" s="282"/>
    </row>
    <row r="8" spans="1:24" ht="19.5" customHeight="1" x14ac:dyDescent="0.3">
      <c r="A8" s="131" t="s">
        <v>1</v>
      </c>
      <c r="B8" s="534" t="s">
        <v>99</v>
      </c>
      <c r="C8" s="534"/>
      <c r="D8" s="86" t="s">
        <v>25</v>
      </c>
      <c r="E8" s="87" t="s">
        <v>100</v>
      </c>
      <c r="F8" s="66" t="s">
        <v>23</v>
      </c>
      <c r="G8" s="201"/>
      <c r="H8" s="130"/>
      <c r="J8" s="131" t="s">
        <v>1</v>
      </c>
      <c r="K8" s="534" t="s">
        <v>99</v>
      </c>
      <c r="L8" s="534"/>
      <c r="M8" s="86" t="s">
        <v>25</v>
      </c>
      <c r="N8" s="87" t="s">
        <v>100</v>
      </c>
      <c r="O8" s="66" t="s">
        <v>23</v>
      </c>
      <c r="P8" s="201"/>
      <c r="Q8" s="130"/>
      <c r="R8" s="156"/>
      <c r="S8" s="132"/>
      <c r="T8" s="132"/>
      <c r="U8" s="132"/>
      <c r="V8" s="132"/>
      <c r="W8" s="132"/>
      <c r="X8" s="132"/>
    </row>
    <row r="9" spans="1:24" ht="19.5" customHeight="1" x14ac:dyDescent="0.3">
      <c r="A9" s="141" t="s">
        <v>101</v>
      </c>
      <c r="B9" s="543" t="s">
        <v>3</v>
      </c>
      <c r="C9" s="543"/>
      <c r="D9" s="255"/>
      <c r="E9" s="256" t="s">
        <v>45</v>
      </c>
      <c r="F9" s="67">
        <f>IF(E9="Ya",100,0)</f>
        <v>100</v>
      </c>
      <c r="G9" s="208"/>
      <c r="H9" s="130"/>
      <c r="J9" s="141" t="s">
        <v>101</v>
      </c>
      <c r="K9" s="543" t="s">
        <v>3</v>
      </c>
      <c r="L9" s="543"/>
      <c r="M9" s="268"/>
      <c r="N9" s="269" t="s">
        <v>45</v>
      </c>
      <c r="O9" s="67">
        <f>IF(N9="Ya",100,0)</f>
        <v>100</v>
      </c>
      <c r="P9" s="208"/>
      <c r="Q9" s="130"/>
      <c r="R9" s="156"/>
      <c r="S9" s="132"/>
      <c r="T9" s="132"/>
      <c r="U9" s="132"/>
      <c r="V9" s="132"/>
      <c r="W9" s="132"/>
      <c r="X9" s="132"/>
    </row>
    <row r="10" spans="1:24" ht="19.5" customHeight="1" x14ac:dyDescent="0.3">
      <c r="A10" s="141" t="s">
        <v>102</v>
      </c>
      <c r="B10" s="543" t="s">
        <v>4</v>
      </c>
      <c r="C10" s="543"/>
      <c r="D10" s="222"/>
      <c r="E10" s="256" t="s">
        <v>45</v>
      </c>
      <c r="F10" s="67">
        <f t="shared" ref="F10:F27" si="0">IF(E10="Ya",100,0)</f>
        <v>100</v>
      </c>
      <c r="G10" s="208"/>
      <c r="H10" s="130"/>
      <c r="J10" s="141" t="s">
        <v>102</v>
      </c>
      <c r="K10" s="543" t="s">
        <v>4</v>
      </c>
      <c r="L10" s="543"/>
      <c r="M10" s="222"/>
      <c r="N10" s="269" t="s">
        <v>45</v>
      </c>
      <c r="O10" s="67">
        <f t="shared" ref="O10:O27" si="1">IF(N10="Ya",100,0)</f>
        <v>100</v>
      </c>
      <c r="P10" s="208"/>
      <c r="Q10" s="130"/>
      <c r="R10" s="156"/>
      <c r="S10" s="132"/>
      <c r="T10" s="132"/>
      <c r="U10" s="132"/>
      <c r="V10" s="132"/>
      <c r="W10" s="132"/>
      <c r="X10" s="132"/>
    </row>
    <row r="11" spans="1:24" ht="19.5" customHeight="1" x14ac:dyDescent="0.3">
      <c r="A11" s="141" t="s">
        <v>103</v>
      </c>
      <c r="B11" s="543" t="s">
        <v>206</v>
      </c>
      <c r="C11" s="543"/>
      <c r="D11" s="222"/>
      <c r="E11" s="256" t="s">
        <v>45</v>
      </c>
      <c r="F11" s="67">
        <f t="shared" si="0"/>
        <v>100</v>
      </c>
      <c r="G11" s="208"/>
      <c r="H11" s="130"/>
      <c r="J11" s="141" t="s">
        <v>103</v>
      </c>
      <c r="K11" s="543" t="s">
        <v>206</v>
      </c>
      <c r="L11" s="543"/>
      <c r="M11" s="222"/>
      <c r="N11" s="269" t="s">
        <v>45</v>
      </c>
      <c r="O11" s="67">
        <f t="shared" si="1"/>
        <v>100</v>
      </c>
      <c r="P11" s="208"/>
      <c r="Q11" s="130"/>
      <c r="R11" s="156"/>
    </row>
    <row r="12" spans="1:24" ht="19.5" customHeight="1" x14ac:dyDescent="0.3">
      <c r="A12" s="550" t="s">
        <v>104</v>
      </c>
      <c r="B12" s="543" t="s">
        <v>105</v>
      </c>
      <c r="C12" s="543"/>
      <c r="D12" s="223"/>
      <c r="E12" s="223"/>
      <c r="F12" s="67"/>
      <c r="G12" s="208"/>
      <c r="H12" s="130"/>
      <c r="J12" s="550" t="s">
        <v>104</v>
      </c>
      <c r="K12" s="543" t="s">
        <v>105</v>
      </c>
      <c r="L12" s="543"/>
      <c r="M12" s="223"/>
      <c r="N12" s="223"/>
      <c r="O12" s="67"/>
      <c r="P12" s="208"/>
      <c r="Q12" s="130"/>
      <c r="R12" s="156"/>
    </row>
    <row r="13" spans="1:24" ht="34.049999999999997" customHeight="1" x14ac:dyDescent="0.3">
      <c r="A13" s="551"/>
      <c r="B13" s="89" t="s">
        <v>106</v>
      </c>
      <c r="C13" s="257" t="s">
        <v>324</v>
      </c>
      <c r="D13" s="222"/>
      <c r="E13" s="256" t="s">
        <v>45</v>
      </c>
      <c r="F13" s="67">
        <f t="shared" si="0"/>
        <v>100</v>
      </c>
      <c r="G13" s="208"/>
      <c r="H13" s="130"/>
      <c r="J13" s="551"/>
      <c r="K13" s="89" t="s">
        <v>106</v>
      </c>
      <c r="L13" s="270" t="s">
        <v>324</v>
      </c>
      <c r="M13" s="222"/>
      <c r="N13" s="269" t="s">
        <v>45</v>
      </c>
      <c r="O13" s="67">
        <f t="shared" si="1"/>
        <v>100</v>
      </c>
      <c r="P13" s="208"/>
      <c r="Q13" s="130"/>
      <c r="R13" s="156"/>
    </row>
    <row r="14" spans="1:24" ht="34.049999999999997" customHeight="1" x14ac:dyDescent="0.3">
      <c r="A14" s="551"/>
      <c r="B14" s="89" t="s">
        <v>107</v>
      </c>
      <c r="C14" s="90" t="s">
        <v>108</v>
      </c>
      <c r="D14" s="222"/>
      <c r="E14" s="256" t="s">
        <v>45</v>
      </c>
      <c r="F14" s="67">
        <f t="shared" si="0"/>
        <v>100</v>
      </c>
      <c r="G14" s="208"/>
      <c r="H14" s="130"/>
      <c r="J14" s="551"/>
      <c r="K14" s="89" t="s">
        <v>107</v>
      </c>
      <c r="L14" s="90" t="s">
        <v>108</v>
      </c>
      <c r="M14" s="222"/>
      <c r="N14" s="269" t="s">
        <v>45</v>
      </c>
      <c r="O14" s="67">
        <f t="shared" si="1"/>
        <v>100</v>
      </c>
      <c r="P14" s="208"/>
      <c r="Q14" s="130"/>
      <c r="R14" s="156"/>
    </row>
    <row r="15" spans="1:24" ht="19.5" customHeight="1" x14ac:dyDescent="0.3">
      <c r="A15" s="551"/>
      <c r="B15" s="89" t="s">
        <v>109</v>
      </c>
      <c r="C15" s="90" t="s">
        <v>110</v>
      </c>
      <c r="D15" s="222"/>
      <c r="E15" s="256" t="s">
        <v>45</v>
      </c>
      <c r="F15" s="67">
        <f t="shared" si="0"/>
        <v>100</v>
      </c>
      <c r="G15" s="208"/>
      <c r="H15" s="130"/>
      <c r="J15" s="551"/>
      <c r="K15" s="89" t="s">
        <v>109</v>
      </c>
      <c r="L15" s="90" t="s">
        <v>110</v>
      </c>
      <c r="M15" s="222"/>
      <c r="N15" s="269" t="s">
        <v>45</v>
      </c>
      <c r="O15" s="67">
        <f t="shared" si="1"/>
        <v>100</v>
      </c>
      <c r="P15" s="208"/>
      <c r="Q15" s="130"/>
      <c r="R15" s="156"/>
    </row>
    <row r="16" spans="1:24" ht="34.049999999999997" customHeight="1" x14ac:dyDescent="0.3">
      <c r="A16" s="551"/>
      <c r="B16" s="89" t="s">
        <v>111</v>
      </c>
      <c r="C16" s="90" t="s">
        <v>112</v>
      </c>
      <c r="D16" s="222"/>
      <c r="E16" s="256" t="s">
        <v>45</v>
      </c>
      <c r="F16" s="67">
        <f t="shared" si="0"/>
        <v>100</v>
      </c>
      <c r="G16" s="208"/>
      <c r="H16" s="130"/>
      <c r="J16" s="551"/>
      <c r="K16" s="89" t="s">
        <v>111</v>
      </c>
      <c r="L16" s="90" t="s">
        <v>112</v>
      </c>
      <c r="M16" s="222"/>
      <c r="N16" s="269" t="s">
        <v>45</v>
      </c>
      <c r="O16" s="67">
        <f t="shared" si="1"/>
        <v>100</v>
      </c>
      <c r="P16" s="208"/>
      <c r="Q16" s="130"/>
      <c r="R16" s="156"/>
    </row>
    <row r="17" spans="1:26" ht="34.049999999999997" customHeight="1" x14ac:dyDescent="0.3">
      <c r="A17" s="551"/>
      <c r="B17" s="89" t="s">
        <v>113</v>
      </c>
      <c r="C17" s="90" t="s">
        <v>157</v>
      </c>
      <c r="D17" s="222"/>
      <c r="E17" s="256" t="s">
        <v>45</v>
      </c>
      <c r="F17" s="67">
        <f t="shared" si="0"/>
        <v>100</v>
      </c>
      <c r="G17" s="208"/>
      <c r="H17" s="130"/>
      <c r="J17" s="551"/>
      <c r="K17" s="89" t="s">
        <v>113</v>
      </c>
      <c r="L17" s="90" t="s">
        <v>157</v>
      </c>
      <c r="M17" s="222"/>
      <c r="N17" s="269" t="s">
        <v>45</v>
      </c>
      <c r="O17" s="67">
        <f t="shared" si="1"/>
        <v>100</v>
      </c>
      <c r="P17" s="208"/>
      <c r="Q17" s="130"/>
      <c r="R17" s="156"/>
    </row>
    <row r="18" spans="1:26" ht="50.1" customHeight="1" x14ac:dyDescent="0.3">
      <c r="A18" s="551"/>
      <c r="B18" s="89" t="s">
        <v>114</v>
      </c>
      <c r="C18" s="90" t="s">
        <v>158</v>
      </c>
      <c r="D18" s="224"/>
      <c r="E18" s="256" t="s">
        <v>45</v>
      </c>
      <c r="F18" s="67">
        <f t="shared" si="0"/>
        <v>100</v>
      </c>
      <c r="G18" s="208"/>
      <c r="H18" s="130"/>
      <c r="J18" s="551"/>
      <c r="K18" s="89" t="s">
        <v>114</v>
      </c>
      <c r="L18" s="90" t="s">
        <v>158</v>
      </c>
      <c r="M18" s="224"/>
      <c r="N18" s="269" t="s">
        <v>45</v>
      </c>
      <c r="O18" s="67">
        <f t="shared" si="1"/>
        <v>100</v>
      </c>
      <c r="P18" s="208"/>
      <c r="Q18" s="130"/>
      <c r="R18" s="156"/>
    </row>
    <row r="19" spans="1:26" ht="19.5" customHeight="1" x14ac:dyDescent="0.3">
      <c r="A19" s="552"/>
      <c r="B19" s="89" t="s">
        <v>115</v>
      </c>
      <c r="C19" s="90" t="s">
        <v>116</v>
      </c>
      <c r="D19" s="224"/>
      <c r="E19" s="256" t="s">
        <v>45</v>
      </c>
      <c r="F19" s="67">
        <f t="shared" si="0"/>
        <v>100</v>
      </c>
      <c r="G19" s="208"/>
      <c r="H19" s="130"/>
      <c r="J19" s="552"/>
      <c r="K19" s="89" t="s">
        <v>115</v>
      </c>
      <c r="L19" s="90" t="s">
        <v>116</v>
      </c>
      <c r="M19" s="224"/>
      <c r="N19" s="269" t="s">
        <v>45</v>
      </c>
      <c r="O19" s="67">
        <f t="shared" si="1"/>
        <v>100</v>
      </c>
      <c r="P19" s="208"/>
      <c r="Q19" s="130"/>
      <c r="R19" s="156"/>
    </row>
    <row r="20" spans="1:26" ht="19.5" customHeight="1" x14ac:dyDescent="0.3">
      <c r="A20" s="141" t="s">
        <v>117</v>
      </c>
      <c r="B20" s="543" t="s">
        <v>118</v>
      </c>
      <c r="C20" s="543"/>
      <c r="D20" s="258"/>
      <c r="E20" s="256" t="s">
        <v>45</v>
      </c>
      <c r="F20" s="67">
        <f t="shared" si="0"/>
        <v>100</v>
      </c>
      <c r="G20" s="208"/>
      <c r="H20" s="130"/>
      <c r="J20" s="141" t="s">
        <v>117</v>
      </c>
      <c r="K20" s="543" t="s">
        <v>118</v>
      </c>
      <c r="L20" s="543"/>
      <c r="M20" s="271" t="s">
        <v>332</v>
      </c>
      <c r="N20" s="269" t="s">
        <v>45</v>
      </c>
      <c r="O20" s="67">
        <f t="shared" si="1"/>
        <v>100</v>
      </c>
      <c r="P20" s="208"/>
      <c r="Q20" s="130"/>
      <c r="R20" s="156"/>
    </row>
    <row r="21" spans="1:26" ht="19.5" customHeight="1" x14ac:dyDescent="0.3">
      <c r="A21" s="141" t="s">
        <v>119</v>
      </c>
      <c r="B21" s="543" t="s">
        <v>159</v>
      </c>
      <c r="C21" s="543"/>
      <c r="D21" s="258"/>
      <c r="E21" s="256" t="s">
        <v>45</v>
      </c>
      <c r="F21" s="67">
        <f t="shared" si="0"/>
        <v>100</v>
      </c>
      <c r="G21" s="208"/>
      <c r="H21" s="130"/>
      <c r="J21" s="141" t="s">
        <v>119</v>
      </c>
      <c r="K21" s="543" t="s">
        <v>159</v>
      </c>
      <c r="L21" s="543"/>
      <c r="M21" s="271" t="s">
        <v>333</v>
      </c>
      <c r="N21" s="269" t="s">
        <v>45</v>
      </c>
      <c r="O21" s="67">
        <f t="shared" si="1"/>
        <v>100</v>
      </c>
      <c r="P21" s="208"/>
      <c r="Q21" s="130"/>
      <c r="R21" s="156"/>
    </row>
    <row r="22" spans="1:26" ht="19.5" customHeight="1" x14ac:dyDescent="0.3">
      <c r="A22" s="141" t="s">
        <v>120</v>
      </c>
      <c r="B22" s="543" t="s">
        <v>121</v>
      </c>
      <c r="C22" s="543"/>
      <c r="D22" s="420"/>
      <c r="E22" s="256" t="s">
        <v>45</v>
      </c>
      <c r="F22" s="67">
        <f t="shared" si="0"/>
        <v>100</v>
      </c>
      <c r="G22" s="208"/>
      <c r="H22" s="130"/>
      <c r="J22" s="141" t="s">
        <v>120</v>
      </c>
      <c r="K22" s="543" t="s">
        <v>121</v>
      </c>
      <c r="L22" s="543"/>
      <c r="M22" s="271" t="s">
        <v>334</v>
      </c>
      <c r="N22" s="269" t="s">
        <v>45</v>
      </c>
      <c r="O22" s="67">
        <f t="shared" si="1"/>
        <v>100</v>
      </c>
      <c r="P22" s="208"/>
      <c r="Q22" s="130"/>
      <c r="R22" s="156"/>
    </row>
    <row r="23" spans="1:26" ht="19.5" customHeight="1" x14ac:dyDescent="0.3">
      <c r="A23" s="141" t="s">
        <v>122</v>
      </c>
      <c r="B23" s="543" t="s">
        <v>123</v>
      </c>
      <c r="C23" s="543"/>
      <c r="D23" s="258"/>
      <c r="E23" s="256" t="s">
        <v>45</v>
      </c>
      <c r="F23" s="67">
        <f t="shared" si="0"/>
        <v>100</v>
      </c>
      <c r="G23" s="208"/>
      <c r="H23" s="130"/>
      <c r="J23" s="141" t="s">
        <v>122</v>
      </c>
      <c r="K23" s="543" t="s">
        <v>123</v>
      </c>
      <c r="L23" s="543"/>
      <c r="M23" s="271"/>
      <c r="N23" s="269" t="s">
        <v>45</v>
      </c>
      <c r="O23" s="67">
        <f t="shared" si="1"/>
        <v>100</v>
      </c>
      <c r="P23" s="208"/>
      <c r="Q23" s="130"/>
      <c r="R23" s="156"/>
    </row>
    <row r="24" spans="1:26" ht="19.5" customHeight="1" x14ac:dyDescent="0.3">
      <c r="A24" s="141" t="s">
        <v>124</v>
      </c>
      <c r="B24" s="543" t="s">
        <v>125</v>
      </c>
      <c r="C24" s="543"/>
      <c r="D24" s="258"/>
      <c r="E24" s="256" t="s">
        <v>45</v>
      </c>
      <c r="F24" s="67">
        <f t="shared" si="0"/>
        <v>100</v>
      </c>
      <c r="G24" s="208"/>
      <c r="H24" s="130"/>
      <c r="J24" s="141" t="s">
        <v>124</v>
      </c>
      <c r="K24" s="543" t="s">
        <v>125</v>
      </c>
      <c r="L24" s="543"/>
      <c r="M24" s="271"/>
      <c r="N24" s="269" t="s">
        <v>45</v>
      </c>
      <c r="O24" s="67">
        <f t="shared" si="1"/>
        <v>100</v>
      </c>
      <c r="P24" s="208"/>
      <c r="Q24" s="130"/>
      <c r="R24" s="156"/>
      <c r="U24" s="132"/>
    </row>
    <row r="25" spans="1:26" ht="34.5" customHeight="1" x14ac:dyDescent="0.3">
      <c r="A25" s="141" t="s">
        <v>126</v>
      </c>
      <c r="B25" s="543" t="s">
        <v>127</v>
      </c>
      <c r="C25" s="543"/>
      <c r="D25" s="258"/>
      <c r="E25" s="256" t="s">
        <v>45</v>
      </c>
      <c r="F25" s="67">
        <f t="shared" si="0"/>
        <v>100</v>
      </c>
      <c r="G25" s="208"/>
      <c r="H25" s="130"/>
      <c r="J25" s="141" t="s">
        <v>126</v>
      </c>
      <c r="K25" s="543" t="s">
        <v>127</v>
      </c>
      <c r="L25" s="543"/>
      <c r="M25" s="271"/>
      <c r="N25" s="269" t="s">
        <v>45</v>
      </c>
      <c r="O25" s="67">
        <f t="shared" si="1"/>
        <v>100</v>
      </c>
      <c r="P25" s="208"/>
      <c r="Q25" s="130"/>
      <c r="R25" s="156"/>
    </row>
    <row r="26" spans="1:26" ht="15.6" x14ac:dyDescent="0.3">
      <c r="A26" s="141" t="s">
        <v>128</v>
      </c>
      <c r="B26" s="555" t="s">
        <v>320</v>
      </c>
      <c r="C26" s="556"/>
      <c r="D26" s="224"/>
      <c r="E26" s="256" t="s">
        <v>45</v>
      </c>
      <c r="F26" s="67">
        <f t="shared" si="0"/>
        <v>100</v>
      </c>
      <c r="G26" s="208"/>
      <c r="H26" s="130"/>
      <c r="J26" s="141" t="s">
        <v>128</v>
      </c>
      <c r="K26" s="586" t="s">
        <v>320</v>
      </c>
      <c r="L26" s="587"/>
      <c r="M26" s="224"/>
      <c r="N26" s="269" t="s">
        <v>45</v>
      </c>
      <c r="O26" s="67">
        <f t="shared" si="1"/>
        <v>100</v>
      </c>
      <c r="P26" s="208"/>
      <c r="Q26" s="130"/>
      <c r="R26" s="156"/>
    </row>
    <row r="27" spans="1:26" ht="19.5" customHeight="1" x14ac:dyDescent="0.3">
      <c r="A27" s="323" t="s">
        <v>230</v>
      </c>
      <c r="B27" s="532" t="s">
        <v>232</v>
      </c>
      <c r="C27" s="533"/>
      <c r="D27" s="224"/>
      <c r="E27" s="256"/>
      <c r="F27" s="67">
        <f t="shared" si="0"/>
        <v>0</v>
      </c>
      <c r="G27" s="208"/>
      <c r="H27" s="130"/>
      <c r="J27" s="141" t="s">
        <v>230</v>
      </c>
      <c r="K27" s="532" t="s">
        <v>231</v>
      </c>
      <c r="L27" s="533"/>
      <c r="M27" s="224"/>
      <c r="N27" s="269" t="s">
        <v>45</v>
      </c>
      <c r="O27" s="67">
        <f t="shared" si="1"/>
        <v>100</v>
      </c>
      <c r="P27" s="208"/>
      <c r="Q27" s="130"/>
      <c r="R27" s="156"/>
    </row>
    <row r="28" spans="1:26" ht="19.5" customHeight="1" x14ac:dyDescent="0.3">
      <c r="A28" s="557" t="s">
        <v>129</v>
      </c>
      <c r="B28" s="557"/>
      <c r="C28" s="557"/>
      <c r="D28" s="315"/>
      <c r="E28" s="316" t="s">
        <v>223</v>
      </c>
      <c r="F28" s="93">
        <f>AVERAGE(F9:F27)</f>
        <v>94.444444444444443</v>
      </c>
      <c r="G28" s="187"/>
      <c r="H28" s="130"/>
      <c r="J28" s="573" t="s">
        <v>207</v>
      </c>
      <c r="K28" s="574"/>
      <c r="L28" s="574"/>
      <c r="M28" s="315"/>
      <c r="N28" s="316" t="s">
        <v>223</v>
      </c>
      <c r="O28" s="291">
        <f>AVERAGE(O9:O27)</f>
        <v>100</v>
      </c>
      <c r="P28" s="187"/>
      <c r="Q28" s="130"/>
      <c r="R28" s="156"/>
    </row>
    <row r="29" spans="1:26" ht="19.5" customHeight="1" x14ac:dyDescent="0.3">
      <c r="A29" s="309"/>
      <c r="B29" s="309"/>
      <c r="C29" s="309"/>
      <c r="D29" s="132"/>
      <c r="E29" s="133"/>
      <c r="F29" s="187"/>
      <c r="G29" s="187"/>
      <c r="H29" s="130"/>
      <c r="J29" s="308"/>
      <c r="K29" s="309"/>
      <c r="L29" s="309"/>
      <c r="M29" s="132"/>
      <c r="N29" s="282"/>
      <c r="O29" s="296"/>
      <c r="P29" s="187"/>
      <c r="Q29" s="130"/>
      <c r="R29" s="156"/>
    </row>
    <row r="30" spans="1:26" s="329" customFormat="1" ht="19.5" customHeight="1" x14ac:dyDescent="0.25">
      <c r="A30" s="293" t="s">
        <v>20</v>
      </c>
      <c r="B30" s="329" t="s">
        <v>102</v>
      </c>
      <c r="C30" s="331" t="s">
        <v>193</v>
      </c>
      <c r="D30" s="282"/>
      <c r="E30" s="282"/>
      <c r="F30" s="282"/>
      <c r="G30" s="296"/>
      <c r="H30" s="145"/>
      <c r="J30" s="293" t="s">
        <v>20</v>
      </c>
      <c r="K30" s="282" t="s">
        <v>102</v>
      </c>
      <c r="L30" s="331" t="s">
        <v>193</v>
      </c>
      <c r="M30" s="282"/>
      <c r="N30" s="282"/>
      <c r="O30" s="282"/>
      <c r="P30" s="296"/>
      <c r="Q30" s="145"/>
      <c r="R30" s="195"/>
    </row>
    <row r="31" spans="1:26" ht="19.5" customHeight="1" x14ac:dyDescent="0.3">
      <c r="A31" s="131" t="s">
        <v>1</v>
      </c>
      <c r="B31" s="534" t="s">
        <v>99</v>
      </c>
      <c r="C31" s="534"/>
      <c r="D31" s="86" t="s">
        <v>25</v>
      </c>
      <c r="E31" s="87" t="s">
        <v>100</v>
      </c>
      <c r="F31" s="66" t="s">
        <v>23</v>
      </c>
      <c r="G31" s="187"/>
      <c r="H31" s="130"/>
      <c r="J31" s="131" t="s">
        <v>1</v>
      </c>
      <c r="K31" s="534" t="s">
        <v>99</v>
      </c>
      <c r="L31" s="534"/>
      <c r="M31" s="86" t="s">
        <v>25</v>
      </c>
      <c r="N31" s="87" t="s">
        <v>100</v>
      </c>
      <c r="O31" s="66" t="s">
        <v>23</v>
      </c>
      <c r="P31" s="187"/>
      <c r="Q31" s="130"/>
      <c r="R31" s="156"/>
      <c r="U31" s="132"/>
      <c r="V31" s="132"/>
      <c r="W31" s="132"/>
      <c r="X31" s="132"/>
      <c r="Y31" s="132"/>
      <c r="Z31" s="132"/>
    </row>
    <row r="32" spans="1:26" ht="19.5" customHeight="1" x14ac:dyDescent="0.3">
      <c r="A32" s="141" t="s">
        <v>101</v>
      </c>
      <c r="B32" s="531" t="s">
        <v>208</v>
      </c>
      <c r="C32" s="531"/>
      <c r="D32" s="321"/>
      <c r="E32" s="256" t="s">
        <v>45</v>
      </c>
      <c r="F32" s="67">
        <f>IF(E32="Ya",100,0)</f>
        <v>100</v>
      </c>
      <c r="G32" s="187"/>
      <c r="H32" s="130"/>
      <c r="J32" s="141" t="s">
        <v>101</v>
      </c>
      <c r="K32" s="531" t="s">
        <v>208</v>
      </c>
      <c r="L32" s="531"/>
      <c r="M32" s="286"/>
      <c r="N32" s="269" t="s">
        <v>45</v>
      </c>
      <c r="O32" s="67">
        <f>IF(N32="Ya",100,0)</f>
        <v>100</v>
      </c>
      <c r="P32" s="187"/>
      <c r="Q32" s="130"/>
      <c r="R32" s="156"/>
      <c r="U32" s="132"/>
      <c r="V32" s="132"/>
      <c r="W32" s="132"/>
      <c r="X32" s="132"/>
      <c r="Y32" s="132"/>
      <c r="Z32" s="132"/>
    </row>
    <row r="33" spans="1:26" ht="19.5" customHeight="1" x14ac:dyDescent="0.3">
      <c r="A33" s="141" t="s">
        <v>102</v>
      </c>
      <c r="B33" s="535" t="s">
        <v>209</v>
      </c>
      <c r="C33" s="535"/>
      <c r="D33" s="321"/>
      <c r="E33" s="256" t="s">
        <v>45</v>
      </c>
      <c r="F33" s="67">
        <f t="shared" ref="F33:F39" si="2">IF(E33="Ya",100,0)</f>
        <v>100</v>
      </c>
      <c r="G33" s="187"/>
      <c r="H33" s="130"/>
      <c r="J33" s="141" t="s">
        <v>102</v>
      </c>
      <c r="K33" s="535" t="s">
        <v>209</v>
      </c>
      <c r="L33" s="535"/>
      <c r="M33" s="286"/>
      <c r="N33" s="269" t="s">
        <v>45</v>
      </c>
      <c r="O33" s="67">
        <f t="shared" ref="O33:O39" si="3">IF(N33="Ya",100,0)</f>
        <v>100</v>
      </c>
      <c r="P33" s="187"/>
      <c r="Q33" s="130"/>
      <c r="R33" s="156"/>
      <c r="U33" s="132"/>
      <c r="V33" s="132"/>
      <c r="W33" s="132"/>
      <c r="X33" s="132"/>
      <c r="Y33" s="132"/>
      <c r="Z33" s="132"/>
    </row>
    <row r="34" spans="1:26" ht="19.5" customHeight="1" x14ac:dyDescent="0.3">
      <c r="A34" s="141" t="s">
        <v>103</v>
      </c>
      <c r="B34" s="531" t="s">
        <v>210</v>
      </c>
      <c r="C34" s="531"/>
      <c r="D34" s="321"/>
      <c r="E34" s="256" t="s">
        <v>45</v>
      </c>
      <c r="F34" s="67">
        <f t="shared" si="2"/>
        <v>100</v>
      </c>
      <c r="G34" s="187"/>
      <c r="H34" s="130"/>
      <c r="J34" s="141" t="s">
        <v>103</v>
      </c>
      <c r="K34" s="531" t="s">
        <v>210</v>
      </c>
      <c r="L34" s="531"/>
      <c r="M34" s="286"/>
      <c r="N34" s="269" t="s">
        <v>72</v>
      </c>
      <c r="O34" s="67">
        <f t="shared" si="3"/>
        <v>0</v>
      </c>
      <c r="P34" s="187"/>
      <c r="Q34" s="130"/>
      <c r="R34" s="156"/>
      <c r="U34" s="132"/>
      <c r="V34" s="132"/>
      <c r="W34" s="132"/>
      <c r="X34" s="132"/>
      <c r="Y34" s="132"/>
      <c r="Z34" s="132"/>
    </row>
    <row r="35" spans="1:26" ht="19.5" customHeight="1" x14ac:dyDescent="0.3">
      <c r="A35" s="141" t="s">
        <v>104</v>
      </c>
      <c r="B35" s="535" t="s">
        <v>211</v>
      </c>
      <c r="C35" s="535"/>
      <c r="D35" s="321"/>
      <c r="E35" s="256" t="s">
        <v>45</v>
      </c>
      <c r="F35" s="67">
        <f t="shared" si="2"/>
        <v>100</v>
      </c>
      <c r="G35" s="187"/>
      <c r="H35" s="130"/>
      <c r="J35" s="141" t="s">
        <v>104</v>
      </c>
      <c r="K35" s="535" t="s">
        <v>211</v>
      </c>
      <c r="L35" s="535"/>
      <c r="M35" s="286"/>
      <c r="N35" s="269" t="s">
        <v>45</v>
      </c>
      <c r="O35" s="67">
        <f t="shared" si="3"/>
        <v>100</v>
      </c>
      <c r="P35" s="187"/>
      <c r="Q35" s="130"/>
      <c r="R35" s="151"/>
      <c r="S35" s="132"/>
      <c r="T35" s="132"/>
      <c r="U35" s="132"/>
      <c r="V35" s="132"/>
      <c r="W35" s="132"/>
      <c r="X35" s="132"/>
      <c r="Y35" s="132"/>
      <c r="Z35" s="132"/>
    </row>
    <row r="36" spans="1:26" ht="19.5" customHeight="1" x14ac:dyDescent="0.3">
      <c r="A36" s="141" t="s">
        <v>117</v>
      </c>
      <c r="B36" s="535" t="s">
        <v>212</v>
      </c>
      <c r="C36" s="535"/>
      <c r="D36" s="321"/>
      <c r="E36" s="256" t="s">
        <v>45</v>
      </c>
      <c r="F36" s="67">
        <f t="shared" si="2"/>
        <v>100</v>
      </c>
      <c r="G36" s="187"/>
      <c r="H36" s="130"/>
      <c r="J36" s="141" t="s">
        <v>117</v>
      </c>
      <c r="K36" s="535" t="s">
        <v>212</v>
      </c>
      <c r="L36" s="535"/>
      <c r="M36" s="286"/>
      <c r="N36" s="269" t="s">
        <v>45</v>
      </c>
      <c r="O36" s="67">
        <f t="shared" si="3"/>
        <v>100</v>
      </c>
      <c r="P36" s="187"/>
      <c r="Q36" s="130"/>
      <c r="R36" s="156"/>
      <c r="S36" s="132"/>
      <c r="U36" s="132"/>
      <c r="V36" s="132"/>
      <c r="W36" s="132"/>
      <c r="X36" s="132"/>
      <c r="Y36" s="132"/>
      <c r="Z36" s="132"/>
    </row>
    <row r="37" spans="1:26" s="192" customFormat="1" ht="19.5" customHeight="1" x14ac:dyDescent="0.3">
      <c r="A37" s="141" t="s">
        <v>119</v>
      </c>
      <c r="B37" s="535" t="s">
        <v>213</v>
      </c>
      <c r="C37" s="535"/>
      <c r="D37" s="321"/>
      <c r="E37" s="256" t="s">
        <v>45</v>
      </c>
      <c r="F37" s="67">
        <f t="shared" si="2"/>
        <v>100</v>
      </c>
      <c r="G37" s="187"/>
      <c r="H37" s="130"/>
      <c r="J37" s="141" t="s">
        <v>119</v>
      </c>
      <c r="K37" s="535" t="s">
        <v>213</v>
      </c>
      <c r="L37" s="535"/>
      <c r="M37" s="286"/>
      <c r="N37" s="269" t="s">
        <v>45</v>
      </c>
      <c r="O37" s="67">
        <f t="shared" si="3"/>
        <v>100</v>
      </c>
      <c r="P37" s="187"/>
      <c r="Q37" s="130"/>
      <c r="R37" s="199"/>
      <c r="U37" s="288"/>
      <c r="V37" s="288"/>
      <c r="W37" s="288"/>
      <c r="X37" s="288"/>
      <c r="Y37" s="288"/>
      <c r="Z37" s="288"/>
    </row>
    <row r="38" spans="1:26" ht="19.5" customHeight="1" x14ac:dyDescent="0.3">
      <c r="A38" s="141" t="s">
        <v>120</v>
      </c>
      <c r="B38" s="535" t="s">
        <v>214</v>
      </c>
      <c r="C38" s="535"/>
      <c r="D38" s="321"/>
      <c r="E38" s="256" t="s">
        <v>45</v>
      </c>
      <c r="F38" s="67">
        <f t="shared" si="2"/>
        <v>100</v>
      </c>
      <c r="G38" s="187"/>
      <c r="H38" s="130"/>
      <c r="J38" s="141" t="s">
        <v>120</v>
      </c>
      <c r="K38" s="535" t="s">
        <v>214</v>
      </c>
      <c r="L38" s="535"/>
      <c r="M38" s="286"/>
      <c r="N38" s="269" t="s">
        <v>45</v>
      </c>
      <c r="O38" s="67">
        <f t="shared" si="3"/>
        <v>100</v>
      </c>
      <c r="P38" s="187"/>
      <c r="Q38" s="130"/>
      <c r="R38" s="195"/>
      <c r="U38" s="132"/>
      <c r="V38" s="132"/>
      <c r="W38" s="132"/>
      <c r="X38" s="132"/>
      <c r="Y38" s="132"/>
      <c r="Z38" s="132"/>
    </row>
    <row r="39" spans="1:26" ht="19.5" customHeight="1" x14ac:dyDescent="0.3">
      <c r="A39" s="141" t="s">
        <v>122</v>
      </c>
      <c r="B39" s="535" t="s">
        <v>215</v>
      </c>
      <c r="C39" s="535"/>
      <c r="D39" s="321"/>
      <c r="E39" s="256" t="s">
        <v>45</v>
      </c>
      <c r="F39" s="67">
        <f t="shared" si="2"/>
        <v>100</v>
      </c>
      <c r="G39" s="187"/>
      <c r="H39" s="130"/>
      <c r="J39" s="141" t="s">
        <v>122</v>
      </c>
      <c r="K39" s="535" t="s">
        <v>215</v>
      </c>
      <c r="L39" s="535"/>
      <c r="M39" s="286"/>
      <c r="N39" s="269" t="s">
        <v>45</v>
      </c>
      <c r="O39" s="67">
        <f t="shared" si="3"/>
        <v>100</v>
      </c>
      <c r="P39" s="187"/>
      <c r="Q39" s="130"/>
      <c r="R39" s="117"/>
    </row>
    <row r="40" spans="1:26" ht="19.5" customHeight="1" x14ac:dyDescent="0.3">
      <c r="A40" s="134"/>
      <c r="B40" s="132"/>
      <c r="C40" s="132"/>
      <c r="D40" s="132"/>
      <c r="E40" s="282" t="s">
        <v>220</v>
      </c>
      <c r="F40" s="282">
        <f>AVERAGE(F32:F39)</f>
        <v>100</v>
      </c>
      <c r="G40" s="187"/>
      <c r="H40" s="130"/>
      <c r="J40" s="134"/>
      <c r="K40" s="132"/>
      <c r="L40" s="132"/>
      <c r="M40" s="132"/>
      <c r="N40" s="282" t="s">
        <v>220</v>
      </c>
      <c r="O40" s="282">
        <f>AVERAGE(O32:O39)</f>
        <v>87.5</v>
      </c>
      <c r="P40" s="187"/>
      <c r="Q40" s="130"/>
      <c r="R40" s="117"/>
    </row>
    <row r="41" spans="1:26" ht="19.5" customHeight="1" x14ac:dyDescent="0.3">
      <c r="A41" s="134"/>
      <c r="B41" s="132"/>
      <c r="C41" s="132"/>
      <c r="D41" s="132"/>
      <c r="E41" s="282"/>
      <c r="F41" s="282"/>
      <c r="G41" s="187"/>
      <c r="H41" s="130"/>
      <c r="J41" s="134"/>
      <c r="K41" s="132"/>
      <c r="L41" s="132"/>
      <c r="M41" s="132"/>
      <c r="N41" s="282"/>
      <c r="O41" s="282"/>
      <c r="P41" s="187"/>
      <c r="Q41" s="130"/>
      <c r="R41" s="117"/>
    </row>
    <row r="42" spans="1:26" s="84" customFormat="1" ht="19.5" customHeight="1" x14ac:dyDescent="0.3">
      <c r="A42" s="293" t="s">
        <v>20</v>
      </c>
      <c r="B42" s="282" t="s">
        <v>103</v>
      </c>
      <c r="C42" s="331" t="s">
        <v>198</v>
      </c>
      <c r="D42" s="190"/>
      <c r="E42" s="190"/>
      <c r="F42" s="190"/>
      <c r="G42" s="187"/>
      <c r="H42" s="130"/>
      <c r="J42" s="293" t="s">
        <v>20</v>
      </c>
      <c r="K42" s="282" t="s">
        <v>103</v>
      </c>
      <c r="L42" s="331" t="s">
        <v>198</v>
      </c>
      <c r="M42" s="190"/>
      <c r="N42" s="190"/>
      <c r="O42" s="190"/>
      <c r="P42" s="187"/>
      <c r="Q42" s="130"/>
      <c r="R42" s="117"/>
    </row>
    <row r="43" spans="1:26" ht="19.5" customHeight="1" x14ac:dyDescent="0.3">
      <c r="A43" s="131" t="s">
        <v>1</v>
      </c>
      <c r="B43" s="534" t="s">
        <v>99</v>
      </c>
      <c r="C43" s="534"/>
      <c r="D43" s="86" t="s">
        <v>25</v>
      </c>
      <c r="E43" s="87" t="s">
        <v>100</v>
      </c>
      <c r="F43" s="66" t="s">
        <v>23</v>
      </c>
      <c r="G43" s="187"/>
      <c r="H43" s="130"/>
      <c r="I43" s="107"/>
      <c r="J43" s="131" t="s">
        <v>1</v>
      </c>
      <c r="K43" s="534" t="s">
        <v>99</v>
      </c>
      <c r="L43" s="534"/>
      <c r="M43" s="86" t="s">
        <v>25</v>
      </c>
      <c r="N43" s="87" t="s">
        <v>100</v>
      </c>
      <c r="O43" s="66" t="s">
        <v>23</v>
      </c>
      <c r="P43" s="187"/>
      <c r="Q43" s="130"/>
      <c r="R43" s="195"/>
    </row>
    <row r="44" spans="1:26" ht="19.5" customHeight="1" x14ac:dyDescent="0.3">
      <c r="A44" s="141" t="s">
        <v>101</v>
      </c>
      <c r="B44" s="531" t="s">
        <v>194</v>
      </c>
      <c r="C44" s="531"/>
      <c r="D44" s="321" t="s">
        <v>301</v>
      </c>
      <c r="E44" s="256" t="s">
        <v>45</v>
      </c>
      <c r="F44" s="67">
        <f>IF(E44="Ya",100,0)</f>
        <v>100</v>
      </c>
      <c r="G44" s="187"/>
      <c r="H44" s="130"/>
      <c r="I44" s="107"/>
      <c r="J44" s="141" t="s">
        <v>101</v>
      </c>
      <c r="K44" s="531" t="s">
        <v>194</v>
      </c>
      <c r="L44" s="531"/>
      <c r="M44" s="286" t="s">
        <v>301</v>
      </c>
      <c r="N44" s="269" t="s">
        <v>45</v>
      </c>
      <c r="O44" s="67">
        <f>IF(N44="Ya",100,0)</f>
        <v>100</v>
      </c>
      <c r="P44" s="187"/>
      <c r="Q44" s="130"/>
      <c r="R44" s="117"/>
    </row>
    <row r="45" spans="1:26" s="192" customFormat="1" ht="19.5" customHeight="1" x14ac:dyDescent="0.3">
      <c r="A45" s="141" t="s">
        <v>102</v>
      </c>
      <c r="B45" s="535" t="s">
        <v>195</v>
      </c>
      <c r="C45" s="535"/>
      <c r="D45" s="321"/>
      <c r="E45" s="336" t="str">
        <f>IF(E96=0,"Tidak",IF(E96&lt;=D96,"Ya","Tidak"))</f>
        <v>Ya</v>
      </c>
      <c r="F45" s="67">
        <f t="shared" ref="F45:F46" si="4">IF(E45="Ya",100,0)</f>
        <v>100</v>
      </c>
      <c r="G45" s="337"/>
      <c r="H45" s="130"/>
      <c r="J45" s="141" t="s">
        <v>102</v>
      </c>
      <c r="K45" s="535" t="s">
        <v>195</v>
      </c>
      <c r="L45" s="535"/>
      <c r="M45" s="286"/>
      <c r="N45" s="336" t="str">
        <f>IF(N96=0,"Tidak",IF(N96&lt;=M96,"Ya","Tidak"))</f>
        <v>Ya</v>
      </c>
      <c r="O45" s="67">
        <f t="shared" ref="O45:O46" si="5">IF(N45="Ya",100,0)</f>
        <v>100</v>
      </c>
      <c r="P45" s="187"/>
      <c r="Q45" s="130"/>
      <c r="R45" s="195"/>
    </row>
    <row r="46" spans="1:26" ht="28.5" customHeight="1" x14ac:dyDescent="0.3">
      <c r="A46" s="141" t="s">
        <v>103</v>
      </c>
      <c r="B46" s="535" t="s">
        <v>196</v>
      </c>
      <c r="C46" s="535"/>
      <c r="D46" s="321"/>
      <c r="E46" s="336" t="str">
        <f>IF(E96=0,"Tidak",IF(E94&lt;=25%*E93,"Ya","Tidak"))</f>
        <v>Tidak</v>
      </c>
      <c r="F46" s="67">
        <f t="shared" si="4"/>
        <v>0</v>
      </c>
      <c r="G46" s="337"/>
      <c r="H46" s="130"/>
      <c r="J46" s="141" t="s">
        <v>103</v>
      </c>
      <c r="K46" s="535" t="s">
        <v>196</v>
      </c>
      <c r="L46" s="535"/>
      <c r="M46" s="286"/>
      <c r="N46" s="336" t="str">
        <f>IF(N96=0,"Tidak",IF(N94&lt;=25%*N93,"Ya","Tidak"))</f>
        <v>Tidak</v>
      </c>
      <c r="O46" s="67">
        <f t="shared" si="5"/>
        <v>0</v>
      </c>
      <c r="P46" s="338"/>
      <c r="Q46" s="130"/>
      <c r="R46" s="195"/>
    </row>
    <row r="47" spans="1:26" ht="19.5" customHeight="1" x14ac:dyDescent="0.3">
      <c r="A47" s="134"/>
      <c r="B47" s="132"/>
      <c r="C47" s="132"/>
      <c r="D47" s="132"/>
      <c r="E47" s="282" t="s">
        <v>221</v>
      </c>
      <c r="F47" s="282">
        <f>AVERAGE(F44:F46)</f>
        <v>66.666666666666671</v>
      </c>
      <c r="G47" s="338"/>
      <c r="H47" s="130"/>
      <c r="J47" s="134"/>
      <c r="K47" s="132"/>
      <c r="L47" s="132"/>
      <c r="M47" s="132"/>
      <c r="N47" s="282" t="s">
        <v>221</v>
      </c>
      <c r="O47" s="282">
        <f>AVERAGE(O44:O46)</f>
        <v>66.666666666666671</v>
      </c>
      <c r="P47" s="187"/>
      <c r="Q47" s="130"/>
      <c r="R47" s="117"/>
    </row>
    <row r="48" spans="1:26" ht="19.5" customHeight="1" x14ac:dyDescent="0.3">
      <c r="A48" s="134"/>
      <c r="B48" s="132"/>
      <c r="C48" s="132"/>
      <c r="D48" s="132"/>
      <c r="E48" s="282"/>
      <c r="F48" s="282"/>
      <c r="G48" s="187"/>
      <c r="H48" s="130"/>
      <c r="J48" s="134"/>
      <c r="K48" s="132"/>
      <c r="L48" s="132"/>
      <c r="M48" s="132"/>
      <c r="N48" s="282"/>
      <c r="O48" s="282"/>
      <c r="P48" s="187"/>
      <c r="Q48" s="130"/>
      <c r="R48" s="117"/>
    </row>
    <row r="49" spans="1:18" s="82" customFormat="1" ht="19.5" customHeight="1" x14ac:dyDescent="0.25">
      <c r="A49" s="293" t="s">
        <v>20</v>
      </c>
      <c r="B49" s="282" t="s">
        <v>104</v>
      </c>
      <c r="C49" s="331" t="s">
        <v>197</v>
      </c>
      <c r="D49" s="282"/>
      <c r="E49" s="282"/>
      <c r="F49" s="332"/>
      <c r="G49" s="296"/>
      <c r="H49" s="145"/>
      <c r="J49" s="293" t="s">
        <v>20</v>
      </c>
      <c r="K49" s="282" t="s">
        <v>104</v>
      </c>
      <c r="L49" s="331" t="s">
        <v>197</v>
      </c>
      <c r="M49" s="282"/>
      <c r="N49" s="282"/>
      <c r="O49" s="332"/>
      <c r="P49" s="296"/>
      <c r="Q49" s="145"/>
      <c r="R49" s="117"/>
    </row>
    <row r="50" spans="1:18" ht="19.5" customHeight="1" x14ac:dyDescent="0.3">
      <c r="A50" s="146" t="s">
        <v>1</v>
      </c>
      <c r="B50" s="536" t="s">
        <v>99</v>
      </c>
      <c r="C50" s="536"/>
      <c r="D50" s="95" t="s">
        <v>25</v>
      </c>
      <c r="E50" s="95" t="s">
        <v>100</v>
      </c>
      <c r="F50" s="314" t="s">
        <v>23</v>
      </c>
      <c r="G50" s="187"/>
      <c r="H50" s="130"/>
      <c r="J50" s="146" t="s">
        <v>1</v>
      </c>
      <c r="K50" s="536" t="s">
        <v>99</v>
      </c>
      <c r="L50" s="536"/>
      <c r="M50" s="95" t="s">
        <v>25</v>
      </c>
      <c r="N50" s="95" t="s">
        <v>100</v>
      </c>
      <c r="O50" s="314" t="s">
        <v>23</v>
      </c>
      <c r="P50" s="187"/>
      <c r="Q50" s="130"/>
      <c r="R50" s="117"/>
    </row>
    <row r="51" spans="1:18" ht="38.1" customHeight="1" x14ac:dyDescent="0.3">
      <c r="A51" s="141" t="s">
        <v>101</v>
      </c>
      <c r="B51" s="531" t="s">
        <v>199</v>
      </c>
      <c r="C51" s="531"/>
      <c r="D51" s="322" t="s">
        <v>216</v>
      </c>
      <c r="E51" s="256" t="s">
        <v>45</v>
      </c>
      <c r="F51" s="67">
        <f>IF(E51="Ya",100,0)</f>
        <v>100</v>
      </c>
      <c r="G51" s="187"/>
      <c r="H51" s="130"/>
      <c r="J51" s="141" t="s">
        <v>101</v>
      </c>
      <c r="K51" s="531" t="s">
        <v>199</v>
      </c>
      <c r="L51" s="531"/>
      <c r="M51" s="446" t="s">
        <v>321</v>
      </c>
      <c r="N51" s="269" t="s">
        <v>45</v>
      </c>
      <c r="O51" s="67">
        <f>IF(N51="Ya",100,0)</f>
        <v>100</v>
      </c>
      <c r="P51" s="187"/>
      <c r="Q51" s="130"/>
      <c r="R51" s="117"/>
    </row>
    <row r="52" spans="1:18" ht="39" customHeight="1" x14ac:dyDescent="0.3">
      <c r="A52" s="141" t="s">
        <v>102</v>
      </c>
      <c r="B52" s="531" t="s">
        <v>200</v>
      </c>
      <c r="C52" s="531"/>
      <c r="D52" s="322"/>
      <c r="E52" s="256" t="s">
        <v>45</v>
      </c>
      <c r="F52" s="67">
        <f t="shared" ref="F52:F57" si="6">IF(E52="Ya",100,0)</f>
        <v>100</v>
      </c>
      <c r="G52" s="187"/>
      <c r="H52" s="130"/>
      <c r="I52" s="107"/>
      <c r="J52" s="141" t="s">
        <v>102</v>
      </c>
      <c r="K52" s="531" t="s">
        <v>200</v>
      </c>
      <c r="L52" s="531"/>
      <c r="M52" s="320"/>
      <c r="N52" s="269" t="s">
        <v>45</v>
      </c>
      <c r="O52" s="67">
        <f t="shared" ref="O52:O57" si="7">IF(N52="Ya",100,0)</f>
        <v>100</v>
      </c>
      <c r="P52" s="187"/>
      <c r="Q52" s="130"/>
      <c r="R52" s="195"/>
    </row>
    <row r="53" spans="1:18" ht="36.6" customHeight="1" x14ac:dyDescent="0.3">
      <c r="A53" s="141" t="s">
        <v>103</v>
      </c>
      <c r="B53" s="531" t="s">
        <v>201</v>
      </c>
      <c r="C53" s="531"/>
      <c r="D53" s="322"/>
      <c r="E53" s="256" t="s">
        <v>45</v>
      </c>
      <c r="F53" s="67">
        <f t="shared" si="6"/>
        <v>100</v>
      </c>
      <c r="G53" s="187"/>
      <c r="H53" s="130"/>
      <c r="J53" s="141" t="s">
        <v>103</v>
      </c>
      <c r="K53" s="531" t="s">
        <v>201</v>
      </c>
      <c r="L53" s="531"/>
      <c r="M53" s="320"/>
      <c r="N53" s="269" t="s">
        <v>45</v>
      </c>
      <c r="O53" s="67">
        <f t="shared" si="7"/>
        <v>100</v>
      </c>
      <c r="P53" s="187"/>
      <c r="Q53" s="130"/>
      <c r="R53" s="156"/>
    </row>
    <row r="54" spans="1:18" s="192" customFormat="1" ht="48" customHeight="1" x14ac:dyDescent="0.3">
      <c r="A54" s="141" t="s">
        <v>104</v>
      </c>
      <c r="B54" s="531" t="s">
        <v>202</v>
      </c>
      <c r="C54" s="531"/>
      <c r="D54" s="322"/>
      <c r="E54" s="256" t="s">
        <v>45</v>
      </c>
      <c r="F54" s="67">
        <f t="shared" si="6"/>
        <v>100</v>
      </c>
      <c r="G54" s="187"/>
      <c r="H54" s="130"/>
      <c r="J54" s="141" t="s">
        <v>104</v>
      </c>
      <c r="K54" s="531" t="s">
        <v>202</v>
      </c>
      <c r="L54" s="531"/>
      <c r="M54" s="320" t="s">
        <v>322</v>
      </c>
      <c r="N54" s="269" t="s">
        <v>45</v>
      </c>
      <c r="O54" s="67">
        <f t="shared" si="7"/>
        <v>100</v>
      </c>
      <c r="P54" s="187"/>
      <c r="Q54" s="130"/>
      <c r="R54" s="199"/>
    </row>
    <row r="55" spans="1:18" ht="39.6" customHeight="1" x14ac:dyDescent="0.3">
      <c r="A55" s="141" t="s">
        <v>117</v>
      </c>
      <c r="B55" s="531" t="s">
        <v>203</v>
      </c>
      <c r="C55" s="531"/>
      <c r="D55" s="322" t="s">
        <v>217</v>
      </c>
      <c r="E55" s="256" t="s">
        <v>45</v>
      </c>
      <c r="F55" s="67">
        <f t="shared" si="6"/>
        <v>100</v>
      </c>
      <c r="G55" s="187"/>
      <c r="H55" s="130"/>
      <c r="J55" s="141" t="s">
        <v>117</v>
      </c>
      <c r="K55" s="531" t="s">
        <v>203</v>
      </c>
      <c r="L55" s="531"/>
      <c r="M55" s="446" t="s">
        <v>323</v>
      </c>
      <c r="N55" s="269" t="s">
        <v>45</v>
      </c>
      <c r="O55" s="67">
        <f t="shared" si="7"/>
        <v>100</v>
      </c>
      <c r="P55" s="187"/>
      <c r="Q55" s="130"/>
      <c r="R55" s="156"/>
    </row>
    <row r="56" spans="1:18" ht="37.5" customHeight="1" x14ac:dyDescent="0.3">
      <c r="A56" s="141" t="s">
        <v>119</v>
      </c>
      <c r="B56" s="531" t="s">
        <v>204</v>
      </c>
      <c r="C56" s="531"/>
      <c r="D56" s="322" t="s">
        <v>218</v>
      </c>
      <c r="E56" s="256" t="s">
        <v>45</v>
      </c>
      <c r="F56" s="67">
        <f t="shared" si="6"/>
        <v>100</v>
      </c>
      <c r="G56" s="187"/>
      <c r="H56" s="130"/>
      <c r="J56" s="141" t="s">
        <v>119</v>
      </c>
      <c r="K56" s="531" t="s">
        <v>204</v>
      </c>
      <c r="L56" s="531"/>
      <c r="M56" s="320" t="s">
        <v>218</v>
      </c>
      <c r="N56" s="269" t="s">
        <v>45</v>
      </c>
      <c r="O56" s="67">
        <f t="shared" si="7"/>
        <v>100</v>
      </c>
      <c r="P56" s="187"/>
      <c r="Q56" s="130"/>
      <c r="R56" s="156"/>
    </row>
    <row r="57" spans="1:18" ht="39" customHeight="1" x14ac:dyDescent="0.3">
      <c r="A57" s="141" t="s">
        <v>120</v>
      </c>
      <c r="B57" s="531" t="s">
        <v>205</v>
      </c>
      <c r="C57" s="531"/>
      <c r="D57" s="322" t="s">
        <v>219</v>
      </c>
      <c r="E57" s="256" t="s">
        <v>45</v>
      </c>
      <c r="F57" s="67">
        <f t="shared" si="6"/>
        <v>100</v>
      </c>
      <c r="G57" s="187"/>
      <c r="H57" s="130"/>
      <c r="J57" s="141" t="s">
        <v>120</v>
      </c>
      <c r="K57" s="531" t="s">
        <v>205</v>
      </c>
      <c r="L57" s="531"/>
      <c r="M57" s="320" t="s">
        <v>219</v>
      </c>
      <c r="N57" s="269" t="s">
        <v>45</v>
      </c>
      <c r="O57" s="67">
        <f t="shared" si="7"/>
        <v>100</v>
      </c>
      <c r="P57" s="187"/>
      <c r="Q57" s="130"/>
      <c r="R57" s="156"/>
    </row>
    <row r="58" spans="1:18" ht="19.5" customHeight="1" x14ac:dyDescent="0.3">
      <c r="A58" s="134"/>
      <c r="B58" s="132"/>
      <c r="C58" s="132"/>
      <c r="D58" s="132"/>
      <c r="E58" s="190" t="s">
        <v>222</v>
      </c>
      <c r="F58" s="187">
        <f>AVERAGE(F51:F57)</f>
        <v>100</v>
      </c>
      <c r="G58" s="187"/>
      <c r="H58" s="130"/>
      <c r="J58" s="134"/>
      <c r="K58" s="132"/>
      <c r="L58" s="132"/>
      <c r="M58" s="132"/>
      <c r="N58" s="190" t="s">
        <v>222</v>
      </c>
      <c r="O58" s="187">
        <f>AVERAGE(O51:O57)</f>
        <v>100</v>
      </c>
      <c r="P58" s="187"/>
      <c r="Q58" s="130"/>
      <c r="R58" s="156"/>
    </row>
    <row r="59" spans="1:18" ht="19.5" customHeight="1" x14ac:dyDescent="0.3">
      <c r="A59" s="134"/>
      <c r="B59" s="135"/>
      <c r="C59" s="135"/>
      <c r="D59" s="132"/>
      <c r="E59" s="189" t="s">
        <v>224</v>
      </c>
      <c r="F59" s="296">
        <f>(SUM(F9:F27)+SUM(F32:F39)+SUM(F44:F46)+SUM(F51:F57))/36</f>
        <v>94.444444444444443</v>
      </c>
      <c r="G59" s="187"/>
      <c r="H59" s="130"/>
      <c r="J59" s="134"/>
      <c r="K59" s="135"/>
      <c r="L59" s="135"/>
      <c r="M59" s="132"/>
      <c r="N59" s="189" t="s">
        <v>224</v>
      </c>
      <c r="O59" s="296">
        <f>(SUM(O9:O27)+SUM(O32:O39)+SUM(O44:O46)+SUM(O51:O57))/36</f>
        <v>94.444444444444443</v>
      </c>
      <c r="P59" s="187"/>
      <c r="Q59" s="130"/>
      <c r="R59" s="156"/>
    </row>
    <row r="60" spans="1:18" ht="19.5" customHeight="1" x14ac:dyDescent="0.3">
      <c r="A60" s="134"/>
      <c r="B60" s="135"/>
      <c r="C60" s="135"/>
      <c r="D60" s="132"/>
      <c r="E60" s="133"/>
      <c r="F60" s="133"/>
      <c r="G60" s="129"/>
      <c r="H60" s="130"/>
      <c r="J60" s="134"/>
      <c r="K60" s="135"/>
      <c r="L60" s="135"/>
      <c r="M60" s="132"/>
      <c r="N60" s="189"/>
      <c r="O60" s="296"/>
      <c r="P60" s="187"/>
      <c r="Q60" s="130"/>
      <c r="R60" s="156"/>
    </row>
    <row r="61" spans="1:18" s="203" customFormat="1" ht="19.5" customHeight="1" x14ac:dyDescent="0.3">
      <c r="A61" s="293" t="s">
        <v>28</v>
      </c>
      <c r="B61" s="294" t="s">
        <v>101</v>
      </c>
      <c r="C61" s="558" t="s">
        <v>130</v>
      </c>
      <c r="D61" s="558"/>
      <c r="E61" s="282"/>
      <c r="F61" s="189"/>
      <c r="G61" s="190"/>
      <c r="H61" s="191"/>
      <c r="I61" s="225"/>
      <c r="J61" s="293" t="s">
        <v>28</v>
      </c>
      <c r="K61" s="294" t="s">
        <v>101</v>
      </c>
      <c r="L61" s="558" t="s">
        <v>130</v>
      </c>
      <c r="M61" s="558"/>
      <c r="N61" s="282"/>
      <c r="O61" s="282"/>
      <c r="P61" s="187"/>
      <c r="Q61" s="130"/>
      <c r="R61" s="283"/>
    </row>
    <row r="62" spans="1:18" s="227" customFormat="1" ht="19.5" customHeight="1" x14ac:dyDescent="0.3">
      <c r="A62" s="146" t="s">
        <v>1</v>
      </c>
      <c r="B62" s="536" t="s">
        <v>99</v>
      </c>
      <c r="C62" s="536"/>
      <c r="D62" s="95" t="s">
        <v>95</v>
      </c>
      <c r="E62" s="95" t="s">
        <v>23</v>
      </c>
      <c r="F62" s="95" t="s">
        <v>24</v>
      </c>
      <c r="G62" s="195"/>
      <c r="H62" s="130"/>
      <c r="I62" s="226"/>
      <c r="J62" s="146" t="s">
        <v>1</v>
      </c>
      <c r="K62" s="536" t="s">
        <v>99</v>
      </c>
      <c r="L62" s="536"/>
      <c r="M62" s="95" t="s">
        <v>95</v>
      </c>
      <c r="N62" s="95" t="s">
        <v>23</v>
      </c>
      <c r="O62" s="95" t="s">
        <v>24</v>
      </c>
      <c r="P62" s="187"/>
      <c r="Q62" s="130"/>
      <c r="R62" s="284"/>
    </row>
    <row r="63" spans="1:18" s="228" customFormat="1" ht="19.5" customHeight="1" x14ac:dyDescent="0.3">
      <c r="A63" s="141" t="s">
        <v>101</v>
      </c>
      <c r="B63" s="553" t="s">
        <v>22</v>
      </c>
      <c r="C63" s="554"/>
      <c r="D63" s="96">
        <v>0.3</v>
      </c>
      <c r="E63" s="88">
        <f>H74</f>
        <v>0</v>
      </c>
      <c r="F63" s="289">
        <f>E63*D63</f>
        <v>0</v>
      </c>
      <c r="G63" s="285"/>
      <c r="H63" s="130"/>
      <c r="I63" s="68"/>
      <c r="J63" s="141" t="s">
        <v>101</v>
      </c>
      <c r="K63" s="553" t="s">
        <v>22</v>
      </c>
      <c r="L63" s="554"/>
      <c r="M63" s="96">
        <v>0.3</v>
      </c>
      <c r="N63" s="88">
        <f>Q74</f>
        <v>24</v>
      </c>
      <c r="O63" s="289">
        <f>N63*M63</f>
        <v>7.1999999999999993</v>
      </c>
      <c r="P63" s="187"/>
      <c r="Q63" s="130"/>
      <c r="R63" s="284"/>
    </row>
    <row r="64" spans="1:18" s="228" customFormat="1" ht="19.5" customHeight="1" x14ac:dyDescent="0.3">
      <c r="A64" s="141" t="s">
        <v>102</v>
      </c>
      <c r="B64" s="553" t="s">
        <v>131</v>
      </c>
      <c r="C64" s="554"/>
      <c r="D64" s="96">
        <v>0.3</v>
      </c>
      <c r="E64" s="88">
        <f>H82</f>
        <v>100</v>
      </c>
      <c r="F64" s="289">
        <f t="shared" ref="F64:F65" si="8">E64*D64</f>
        <v>30</v>
      </c>
      <c r="G64" s="285"/>
      <c r="H64" s="130"/>
      <c r="I64" s="68"/>
      <c r="J64" s="141" t="s">
        <v>102</v>
      </c>
      <c r="K64" s="553" t="s">
        <v>131</v>
      </c>
      <c r="L64" s="554"/>
      <c r="M64" s="96">
        <v>0.3</v>
      </c>
      <c r="N64" s="88">
        <f>Q82</f>
        <v>16</v>
      </c>
      <c r="O64" s="289">
        <f t="shared" ref="O64:O65" si="9">N64*M64</f>
        <v>4.8</v>
      </c>
      <c r="P64" s="187"/>
      <c r="Q64" s="130"/>
      <c r="R64" s="284"/>
    </row>
    <row r="65" spans="1:18" s="228" customFormat="1" ht="19.5" customHeight="1" x14ac:dyDescent="0.3">
      <c r="A65" s="141" t="s">
        <v>103</v>
      </c>
      <c r="B65" s="553" t="s">
        <v>132</v>
      </c>
      <c r="C65" s="554"/>
      <c r="D65" s="96">
        <v>0.4</v>
      </c>
      <c r="E65" s="289">
        <f>F89</f>
        <v>40</v>
      </c>
      <c r="F65" s="289">
        <f t="shared" si="8"/>
        <v>16</v>
      </c>
      <c r="G65" s="285"/>
      <c r="H65" s="130"/>
      <c r="I65" s="68"/>
      <c r="J65" s="141" t="s">
        <v>103</v>
      </c>
      <c r="K65" s="553" t="s">
        <v>132</v>
      </c>
      <c r="L65" s="554"/>
      <c r="M65" s="96">
        <v>0.4</v>
      </c>
      <c r="N65" s="289">
        <f>O89</f>
        <v>48.400000000000006</v>
      </c>
      <c r="O65" s="289">
        <f t="shared" si="9"/>
        <v>19.360000000000003</v>
      </c>
      <c r="P65" s="187"/>
      <c r="Q65" s="130"/>
      <c r="R65" s="284"/>
    </row>
    <row r="66" spans="1:18" s="228" customFormat="1" ht="19.5" customHeight="1" x14ac:dyDescent="0.3">
      <c r="A66" s="141"/>
      <c r="B66" s="559" t="s">
        <v>94</v>
      </c>
      <c r="C66" s="559"/>
      <c r="D66" s="290"/>
      <c r="E66" s="291"/>
      <c r="F66" s="291">
        <f>F65+F64+F63</f>
        <v>46</v>
      </c>
      <c r="G66" s="292"/>
      <c r="H66" s="138"/>
      <c r="I66" s="68"/>
      <c r="J66" s="141"/>
      <c r="K66" s="559" t="s">
        <v>94</v>
      </c>
      <c r="L66" s="559"/>
      <c r="M66" s="290"/>
      <c r="N66" s="291"/>
      <c r="O66" s="291">
        <f>O65+O64+O63</f>
        <v>31.360000000000003</v>
      </c>
      <c r="P66" s="187"/>
      <c r="Q66" s="130"/>
      <c r="R66" s="284"/>
    </row>
    <row r="67" spans="1:18" s="228" customFormat="1" ht="19.5" customHeight="1" x14ac:dyDescent="0.3">
      <c r="A67" s="136"/>
      <c r="B67" s="137"/>
      <c r="C67" s="139"/>
      <c r="D67" s="132"/>
      <c r="E67" s="133"/>
      <c r="F67" s="133"/>
      <c r="G67" s="129"/>
      <c r="H67" s="130"/>
      <c r="I67" s="68"/>
      <c r="J67" s="136"/>
      <c r="K67" s="137"/>
      <c r="L67" s="139"/>
      <c r="M67" s="132"/>
      <c r="N67" s="133"/>
      <c r="O67" s="133"/>
      <c r="P67" s="129"/>
      <c r="Q67" s="130"/>
      <c r="R67" s="284"/>
    </row>
    <row r="68" spans="1:18" s="228" customFormat="1" ht="19.5" customHeight="1" x14ac:dyDescent="0.3">
      <c r="A68" s="128" t="s">
        <v>28</v>
      </c>
      <c r="B68" s="188" t="s">
        <v>133</v>
      </c>
      <c r="C68" s="560" t="s">
        <v>134</v>
      </c>
      <c r="D68" s="560"/>
      <c r="E68" s="560"/>
      <c r="F68" s="204"/>
      <c r="G68" s="190"/>
      <c r="H68" s="191"/>
      <c r="I68" s="68"/>
      <c r="J68" s="128" t="s">
        <v>28</v>
      </c>
      <c r="K68" s="188" t="s">
        <v>133</v>
      </c>
      <c r="L68" s="560" t="s">
        <v>134</v>
      </c>
      <c r="M68" s="560"/>
      <c r="N68" s="560"/>
      <c r="O68" s="204"/>
      <c r="P68" s="190"/>
      <c r="Q68" s="191"/>
      <c r="R68" s="284"/>
    </row>
    <row r="69" spans="1:18" s="227" customFormat="1" ht="19.5" customHeight="1" x14ac:dyDescent="0.3">
      <c r="A69" s="131" t="s">
        <v>1</v>
      </c>
      <c r="B69" s="536" t="s">
        <v>99</v>
      </c>
      <c r="C69" s="536"/>
      <c r="D69" s="95" t="s">
        <v>135</v>
      </c>
      <c r="E69" s="95" t="s">
        <v>95</v>
      </c>
      <c r="F69" s="95" t="s">
        <v>186</v>
      </c>
      <c r="G69" s="95" t="s">
        <v>23</v>
      </c>
      <c r="H69" s="140" t="s">
        <v>24</v>
      </c>
      <c r="I69" s="226"/>
      <c r="J69" s="131" t="s">
        <v>1</v>
      </c>
      <c r="K69" s="536" t="s">
        <v>99</v>
      </c>
      <c r="L69" s="536"/>
      <c r="M69" s="95" t="s">
        <v>135</v>
      </c>
      <c r="N69" s="95" t="s">
        <v>95</v>
      </c>
      <c r="O69" s="95" t="s">
        <v>186</v>
      </c>
      <c r="P69" s="95" t="s">
        <v>23</v>
      </c>
      <c r="Q69" s="140" t="s">
        <v>24</v>
      </c>
      <c r="R69" s="284"/>
    </row>
    <row r="70" spans="1:18" s="228" customFormat="1" ht="19.5" customHeight="1" x14ac:dyDescent="0.3">
      <c r="A70" s="141" t="s">
        <v>101</v>
      </c>
      <c r="B70" s="561" t="s">
        <v>136</v>
      </c>
      <c r="C70" s="561"/>
      <c r="D70" s="259"/>
      <c r="E70" s="96">
        <v>0.4</v>
      </c>
      <c r="F70" s="260"/>
      <c r="G70" s="102">
        <f>IF(F70=0,0,IF(F70=1,20,IF(F70=2,40,IF(F70=3,60,IF(F70=4,80,100)))))</f>
        <v>0</v>
      </c>
      <c r="H70" s="142">
        <f>G70*E70</f>
        <v>0</v>
      </c>
      <c r="I70" s="68"/>
      <c r="J70" s="141" t="s">
        <v>101</v>
      </c>
      <c r="K70" s="561" t="s">
        <v>136</v>
      </c>
      <c r="L70" s="561"/>
      <c r="M70" s="272"/>
      <c r="N70" s="96">
        <v>0.4</v>
      </c>
      <c r="O70" s="273">
        <v>1</v>
      </c>
      <c r="P70" s="102">
        <f t="shared" ref="P70:P73" si="10">IF(O70=0,0,IF(O70=1,20,IF(O70=2,40,IF(O70=3,60,IF(O70=4,80,100)))))</f>
        <v>20</v>
      </c>
      <c r="Q70" s="142">
        <f>P70*N70</f>
        <v>8</v>
      </c>
      <c r="R70" s="284"/>
    </row>
    <row r="71" spans="1:18" s="228" customFormat="1" ht="19.5" customHeight="1" x14ac:dyDescent="0.3">
      <c r="A71" s="141" t="s">
        <v>102</v>
      </c>
      <c r="B71" s="561" t="s">
        <v>137</v>
      </c>
      <c r="C71" s="561"/>
      <c r="D71" s="259"/>
      <c r="E71" s="96">
        <v>0.3</v>
      </c>
      <c r="F71" s="260"/>
      <c r="G71" s="102">
        <f t="shared" ref="G71:G73" si="11">IF(F71=0,0,IF(F71=1,20,IF(F71=2,40,IF(F71=3,60,IF(F71=4,80,100)))))</f>
        <v>0</v>
      </c>
      <c r="H71" s="142">
        <f>G71*E71</f>
        <v>0</v>
      </c>
      <c r="I71" s="68"/>
      <c r="J71" s="141" t="s">
        <v>102</v>
      </c>
      <c r="K71" s="561" t="s">
        <v>137</v>
      </c>
      <c r="L71" s="561"/>
      <c r="M71" s="272"/>
      <c r="N71" s="96">
        <v>0.3</v>
      </c>
      <c r="O71" s="273"/>
      <c r="P71" s="102">
        <f t="shared" si="10"/>
        <v>0</v>
      </c>
      <c r="Q71" s="142">
        <f>P71*N71</f>
        <v>0</v>
      </c>
      <c r="R71" s="284"/>
    </row>
    <row r="72" spans="1:18" s="228" customFormat="1" ht="19.5" customHeight="1" x14ac:dyDescent="0.3">
      <c r="A72" s="141" t="s">
        <v>103</v>
      </c>
      <c r="B72" s="561" t="s">
        <v>138</v>
      </c>
      <c r="C72" s="561"/>
      <c r="D72" s="259"/>
      <c r="E72" s="96">
        <v>0.2</v>
      </c>
      <c r="F72" s="260"/>
      <c r="G72" s="102">
        <f t="shared" si="11"/>
        <v>0</v>
      </c>
      <c r="H72" s="142">
        <f>G72*E72</f>
        <v>0</v>
      </c>
      <c r="I72" s="68"/>
      <c r="J72" s="141" t="s">
        <v>103</v>
      </c>
      <c r="K72" s="561" t="s">
        <v>138</v>
      </c>
      <c r="L72" s="561"/>
      <c r="M72" s="272"/>
      <c r="N72" s="96">
        <v>0.2</v>
      </c>
      <c r="O72" s="273">
        <v>4</v>
      </c>
      <c r="P72" s="102">
        <f t="shared" si="10"/>
        <v>80</v>
      </c>
      <c r="Q72" s="142">
        <f>P72*N72</f>
        <v>16</v>
      </c>
      <c r="R72" s="284"/>
    </row>
    <row r="73" spans="1:18" s="228" customFormat="1" ht="19.5" customHeight="1" x14ac:dyDescent="0.3">
      <c r="A73" s="141" t="s">
        <v>104</v>
      </c>
      <c r="B73" s="561" t="s">
        <v>139</v>
      </c>
      <c r="C73" s="561"/>
      <c r="D73" s="259"/>
      <c r="E73" s="96">
        <v>0.1</v>
      </c>
      <c r="F73" s="260"/>
      <c r="G73" s="102">
        <f t="shared" si="11"/>
        <v>0</v>
      </c>
      <c r="H73" s="142">
        <f>G73*E73</f>
        <v>0</v>
      </c>
      <c r="I73" s="68"/>
      <c r="J73" s="141" t="s">
        <v>104</v>
      </c>
      <c r="K73" s="561" t="s">
        <v>139</v>
      </c>
      <c r="L73" s="561"/>
      <c r="M73" s="272"/>
      <c r="N73" s="96">
        <v>0.1</v>
      </c>
      <c r="O73" s="273"/>
      <c r="P73" s="102">
        <f t="shared" si="10"/>
        <v>0</v>
      </c>
      <c r="Q73" s="142">
        <f>P73*N73</f>
        <v>0</v>
      </c>
      <c r="R73" s="284"/>
    </row>
    <row r="74" spans="1:18" ht="19.5" customHeight="1" x14ac:dyDescent="0.3">
      <c r="A74" s="141"/>
      <c r="B74" s="559" t="s">
        <v>94</v>
      </c>
      <c r="C74" s="559"/>
      <c r="D74" s="97"/>
      <c r="E74" s="88"/>
      <c r="F74" s="88"/>
      <c r="G74" s="88"/>
      <c r="H74" s="143">
        <f>SUM(H70:H73)</f>
        <v>0</v>
      </c>
      <c r="J74" s="141"/>
      <c r="K74" s="559" t="s">
        <v>94</v>
      </c>
      <c r="L74" s="559"/>
      <c r="M74" s="287"/>
      <c r="N74" s="88"/>
      <c r="O74" s="88"/>
      <c r="P74" s="88"/>
      <c r="Q74" s="143">
        <f>SUM(Q70:Q73)</f>
        <v>24</v>
      </c>
      <c r="R74" s="156"/>
    </row>
    <row r="75" spans="1:18" ht="19.5" customHeight="1" x14ac:dyDescent="0.3">
      <c r="A75" s="144"/>
      <c r="B75" s="99"/>
      <c r="C75" s="99"/>
      <c r="D75" s="100"/>
      <c r="E75" s="98"/>
      <c r="F75" s="98"/>
      <c r="G75" s="98"/>
      <c r="H75" s="145"/>
      <c r="J75" s="144"/>
      <c r="K75" s="99"/>
      <c r="L75" s="99"/>
      <c r="M75" s="100"/>
      <c r="N75" s="98"/>
      <c r="O75" s="98"/>
      <c r="P75" s="98"/>
      <c r="Q75" s="145"/>
      <c r="R75" s="117"/>
    </row>
    <row r="76" spans="1:18" s="342" customFormat="1" ht="37.5" customHeight="1" x14ac:dyDescent="0.25">
      <c r="A76" s="340" t="s">
        <v>28</v>
      </c>
      <c r="B76" s="194" t="s">
        <v>140</v>
      </c>
      <c r="C76" s="562" t="s">
        <v>141</v>
      </c>
      <c r="D76" s="562"/>
      <c r="E76" s="562"/>
      <c r="F76" s="205"/>
      <c r="G76" s="194"/>
      <c r="H76" s="341"/>
      <c r="J76" s="340" t="s">
        <v>28</v>
      </c>
      <c r="K76" s="194" t="s">
        <v>140</v>
      </c>
      <c r="L76" s="562" t="s">
        <v>141</v>
      </c>
      <c r="M76" s="562"/>
      <c r="N76" s="562"/>
      <c r="O76" s="205"/>
      <c r="P76" s="194"/>
      <c r="Q76" s="341"/>
      <c r="R76" s="343"/>
    </row>
    <row r="77" spans="1:18" s="82" customFormat="1" ht="19.5" customHeight="1" x14ac:dyDescent="0.25">
      <c r="A77" s="146" t="s">
        <v>1</v>
      </c>
      <c r="B77" s="536" t="s">
        <v>99</v>
      </c>
      <c r="C77" s="536"/>
      <c r="D77" s="95" t="s">
        <v>135</v>
      </c>
      <c r="E77" s="95" t="s">
        <v>95</v>
      </c>
      <c r="F77" s="95" t="s">
        <v>186</v>
      </c>
      <c r="G77" s="95" t="s">
        <v>23</v>
      </c>
      <c r="H77" s="140" t="s">
        <v>24</v>
      </c>
      <c r="J77" s="146" t="s">
        <v>1</v>
      </c>
      <c r="K77" s="536" t="s">
        <v>99</v>
      </c>
      <c r="L77" s="536"/>
      <c r="M77" s="95" t="s">
        <v>135</v>
      </c>
      <c r="N77" s="95" t="s">
        <v>95</v>
      </c>
      <c r="O77" s="95" t="s">
        <v>186</v>
      </c>
      <c r="P77" s="95" t="s">
        <v>23</v>
      </c>
      <c r="Q77" s="140" t="s">
        <v>24</v>
      </c>
      <c r="R77" s="117"/>
    </row>
    <row r="78" spans="1:18" ht="19.5" customHeight="1" x14ac:dyDescent="0.3">
      <c r="A78" s="147" t="s">
        <v>101</v>
      </c>
      <c r="B78" s="580" t="s">
        <v>136</v>
      </c>
      <c r="C78" s="580"/>
      <c r="D78" s="259"/>
      <c r="E78" s="96">
        <v>0.4</v>
      </c>
      <c r="F78" s="260">
        <v>5</v>
      </c>
      <c r="G78" s="102">
        <f t="shared" ref="G78:G81" si="12">IF(F78=0,0,IF(F78=1,20,IF(F78=2,40,IF(F78=3,60,IF(F78=4,80,100)))))</f>
        <v>100</v>
      </c>
      <c r="H78" s="148">
        <f>G78*E78</f>
        <v>40</v>
      </c>
      <c r="J78" s="147" t="s">
        <v>101</v>
      </c>
      <c r="K78" s="580" t="s">
        <v>136</v>
      </c>
      <c r="L78" s="580"/>
      <c r="M78" s="272"/>
      <c r="N78" s="103">
        <v>0.4</v>
      </c>
      <c r="O78" s="273"/>
      <c r="P78" s="102">
        <f>IF(O78=0,0,IF(O78=1,20,IF(O78=2,40,IF(O78=3,60,IF(O78=4,80,100)))))</f>
        <v>0</v>
      </c>
      <c r="Q78" s="148">
        <f>P78*N78</f>
        <v>0</v>
      </c>
      <c r="R78" s="117"/>
    </row>
    <row r="79" spans="1:18" ht="19.5" customHeight="1" x14ac:dyDescent="0.3">
      <c r="A79" s="147" t="s">
        <v>102</v>
      </c>
      <c r="B79" s="580" t="s">
        <v>137</v>
      </c>
      <c r="C79" s="580"/>
      <c r="D79" s="259"/>
      <c r="E79" s="96">
        <v>0.3</v>
      </c>
      <c r="F79" s="260">
        <v>5</v>
      </c>
      <c r="G79" s="102">
        <f t="shared" si="12"/>
        <v>100</v>
      </c>
      <c r="H79" s="148">
        <f>G79*E79</f>
        <v>30</v>
      </c>
      <c r="J79" s="147" t="s">
        <v>102</v>
      </c>
      <c r="K79" s="580" t="s">
        <v>137</v>
      </c>
      <c r="L79" s="580"/>
      <c r="M79" s="272"/>
      <c r="N79" s="103">
        <v>0.3</v>
      </c>
      <c r="O79" s="273"/>
      <c r="P79" s="102">
        <f t="shared" ref="P79:P81" si="13">IF(O79=0,0,IF(O79=1,20,IF(O79=2,40,IF(O79=3,60,IF(O79=4,80,100)))))</f>
        <v>0</v>
      </c>
      <c r="Q79" s="148">
        <f>P79*N79</f>
        <v>0</v>
      </c>
      <c r="R79" s="117"/>
    </row>
    <row r="80" spans="1:18" ht="19.5" customHeight="1" x14ac:dyDescent="0.3">
      <c r="A80" s="149" t="s">
        <v>103</v>
      </c>
      <c r="B80" s="580" t="s">
        <v>138</v>
      </c>
      <c r="C80" s="580"/>
      <c r="D80" s="259"/>
      <c r="E80" s="96">
        <v>0.2</v>
      </c>
      <c r="F80" s="260">
        <v>5</v>
      </c>
      <c r="G80" s="102">
        <f t="shared" si="12"/>
        <v>100</v>
      </c>
      <c r="H80" s="148">
        <f>G80*E80</f>
        <v>20</v>
      </c>
      <c r="J80" s="149" t="s">
        <v>103</v>
      </c>
      <c r="K80" s="580" t="s">
        <v>138</v>
      </c>
      <c r="L80" s="580"/>
      <c r="M80" s="272"/>
      <c r="N80" s="103">
        <v>0.2</v>
      </c>
      <c r="O80" s="273">
        <v>4</v>
      </c>
      <c r="P80" s="102">
        <f t="shared" si="13"/>
        <v>80</v>
      </c>
      <c r="Q80" s="148">
        <f>P80*N80</f>
        <v>16</v>
      </c>
      <c r="R80" s="117"/>
    </row>
    <row r="81" spans="1:18" ht="19.5" customHeight="1" x14ac:dyDescent="0.3">
      <c r="A81" s="149" t="s">
        <v>104</v>
      </c>
      <c r="B81" s="580" t="s">
        <v>139</v>
      </c>
      <c r="C81" s="580"/>
      <c r="D81" s="259"/>
      <c r="E81" s="96">
        <v>0.1</v>
      </c>
      <c r="F81" s="260">
        <v>5</v>
      </c>
      <c r="G81" s="102">
        <f t="shared" si="12"/>
        <v>100</v>
      </c>
      <c r="H81" s="148">
        <f>G81*E81</f>
        <v>10</v>
      </c>
      <c r="J81" s="149" t="s">
        <v>104</v>
      </c>
      <c r="K81" s="580" t="s">
        <v>139</v>
      </c>
      <c r="L81" s="580"/>
      <c r="M81" s="272"/>
      <c r="N81" s="103">
        <v>0.1</v>
      </c>
      <c r="O81" s="273"/>
      <c r="P81" s="102">
        <f t="shared" si="13"/>
        <v>0</v>
      </c>
      <c r="Q81" s="148">
        <f>P81*N81</f>
        <v>0</v>
      </c>
      <c r="R81" s="117"/>
    </row>
    <row r="82" spans="1:18" ht="19.5" customHeight="1" x14ac:dyDescent="0.3">
      <c r="A82" s="149"/>
      <c r="B82" s="581" t="s">
        <v>94</v>
      </c>
      <c r="C82" s="581"/>
      <c r="D82" s="104"/>
      <c r="E82" s="102"/>
      <c r="F82" s="102"/>
      <c r="G82" s="102"/>
      <c r="H82" s="150">
        <f>SUM(H78:H81)</f>
        <v>100</v>
      </c>
      <c r="J82" s="149"/>
      <c r="K82" s="581" t="s">
        <v>94</v>
      </c>
      <c r="L82" s="581"/>
      <c r="M82" s="104"/>
      <c r="N82" s="102"/>
      <c r="O82" s="102"/>
      <c r="P82" s="102"/>
      <c r="Q82" s="150">
        <f>SUM(Q78:Q81)</f>
        <v>16</v>
      </c>
      <c r="R82" s="117"/>
    </row>
    <row r="83" spans="1:18" ht="19.5" customHeight="1" x14ac:dyDescent="0.3">
      <c r="A83" s="151"/>
      <c r="B83" s="152"/>
      <c r="C83" s="153"/>
      <c r="D83" s="154"/>
      <c r="E83" s="155"/>
      <c r="F83" s="155"/>
      <c r="G83" s="156"/>
      <c r="H83" s="138"/>
      <c r="J83" s="151"/>
      <c r="K83" s="152"/>
      <c r="L83" s="153"/>
      <c r="M83" s="154"/>
      <c r="N83" s="155"/>
      <c r="O83" s="155"/>
      <c r="P83" s="156"/>
      <c r="Q83" s="138"/>
      <c r="R83" s="117"/>
    </row>
    <row r="84" spans="1:18" ht="19.5" customHeight="1" x14ac:dyDescent="0.3">
      <c r="A84" s="197" t="s">
        <v>28</v>
      </c>
      <c r="B84" s="317" t="s">
        <v>142</v>
      </c>
      <c r="C84" s="582" t="s">
        <v>143</v>
      </c>
      <c r="D84" s="582"/>
      <c r="E84" s="582"/>
      <c r="F84" s="206"/>
      <c r="G84" s="199"/>
      <c r="H84" s="200"/>
      <c r="J84" s="197" t="s">
        <v>28</v>
      </c>
      <c r="K84" s="198" t="s">
        <v>142</v>
      </c>
      <c r="L84" s="585" t="s">
        <v>143</v>
      </c>
      <c r="M84" s="585"/>
      <c r="N84" s="585"/>
      <c r="O84" s="206"/>
      <c r="P84" s="199"/>
      <c r="Q84" s="200"/>
      <c r="R84" s="117"/>
    </row>
    <row r="85" spans="1:18" ht="19.5" customHeight="1" x14ac:dyDescent="0.3">
      <c r="A85" s="146" t="s">
        <v>1</v>
      </c>
      <c r="B85" s="536" t="s">
        <v>99</v>
      </c>
      <c r="C85" s="536"/>
      <c r="D85" s="95" t="s">
        <v>95</v>
      </c>
      <c r="E85" s="95" t="s">
        <v>23</v>
      </c>
      <c r="F85" s="95" t="s">
        <v>24</v>
      </c>
      <c r="G85" s="85"/>
      <c r="H85" s="138"/>
      <c r="J85" s="131" t="s">
        <v>1</v>
      </c>
      <c r="K85" s="534" t="s">
        <v>99</v>
      </c>
      <c r="L85" s="534"/>
      <c r="M85" s="86" t="s">
        <v>95</v>
      </c>
      <c r="N85" s="87" t="s">
        <v>23</v>
      </c>
      <c r="O85" s="86" t="s">
        <v>24</v>
      </c>
      <c r="P85" s="132"/>
      <c r="Q85" s="138"/>
      <c r="R85" s="117"/>
    </row>
    <row r="86" spans="1:18" ht="19.5" customHeight="1" x14ac:dyDescent="0.3">
      <c r="A86" s="147" t="s">
        <v>101</v>
      </c>
      <c r="B86" s="580" t="s">
        <v>144</v>
      </c>
      <c r="C86" s="580"/>
      <c r="D86" s="103">
        <v>0.2</v>
      </c>
      <c r="E86" s="256">
        <v>100</v>
      </c>
      <c r="F86" s="318">
        <f>E86*D86</f>
        <v>20</v>
      </c>
      <c r="G86" s="85"/>
      <c r="H86" s="138"/>
      <c r="J86" s="149" t="s">
        <v>101</v>
      </c>
      <c r="K86" s="583" t="s">
        <v>144</v>
      </c>
      <c r="L86" s="583"/>
      <c r="M86" s="109">
        <v>0.2</v>
      </c>
      <c r="N86" s="269">
        <v>100</v>
      </c>
      <c r="O86" s="110">
        <f>N86*M86</f>
        <v>20</v>
      </c>
      <c r="P86" s="132"/>
      <c r="Q86" s="138"/>
      <c r="R86" s="117"/>
    </row>
    <row r="87" spans="1:18" ht="19.5" customHeight="1" x14ac:dyDescent="0.3">
      <c r="A87" s="147" t="s">
        <v>102</v>
      </c>
      <c r="B87" s="580" t="s">
        <v>145</v>
      </c>
      <c r="C87" s="580"/>
      <c r="D87" s="103">
        <v>0.4</v>
      </c>
      <c r="E87" s="318">
        <f>E134</f>
        <v>50</v>
      </c>
      <c r="F87" s="318">
        <f>E87*D87</f>
        <v>20</v>
      </c>
      <c r="G87" s="85"/>
      <c r="H87" s="138"/>
      <c r="J87" s="149" t="s">
        <v>102</v>
      </c>
      <c r="K87" s="583" t="s">
        <v>145</v>
      </c>
      <c r="L87" s="583"/>
      <c r="M87" s="109">
        <v>0.4</v>
      </c>
      <c r="N87" s="110">
        <f>N134</f>
        <v>71</v>
      </c>
      <c r="O87" s="110">
        <f>N87*M87</f>
        <v>28.400000000000002</v>
      </c>
      <c r="P87" s="132"/>
      <c r="Q87" s="138"/>
      <c r="R87" s="117"/>
    </row>
    <row r="88" spans="1:18" ht="19.5" customHeight="1" x14ac:dyDescent="0.3">
      <c r="A88" s="147" t="s">
        <v>103</v>
      </c>
      <c r="B88" s="580" t="s">
        <v>146</v>
      </c>
      <c r="C88" s="580"/>
      <c r="D88" s="103">
        <v>0.4</v>
      </c>
      <c r="E88" s="318">
        <f>F134</f>
        <v>0</v>
      </c>
      <c r="F88" s="318">
        <f>E88*D88</f>
        <v>0</v>
      </c>
      <c r="G88" s="85"/>
      <c r="H88" s="138"/>
      <c r="J88" s="149" t="s">
        <v>103</v>
      </c>
      <c r="K88" s="583" t="s">
        <v>146</v>
      </c>
      <c r="L88" s="583"/>
      <c r="M88" s="109">
        <v>0.4</v>
      </c>
      <c r="N88" s="110">
        <f>O134</f>
        <v>0</v>
      </c>
      <c r="O88" s="110">
        <f>N88*M88</f>
        <v>0</v>
      </c>
      <c r="P88" s="132"/>
      <c r="Q88" s="138"/>
      <c r="R88" s="117"/>
    </row>
    <row r="89" spans="1:18" ht="19.5" customHeight="1" x14ac:dyDescent="0.3">
      <c r="A89" s="147"/>
      <c r="B89" s="581" t="s">
        <v>94</v>
      </c>
      <c r="C89" s="581"/>
      <c r="D89" s="104"/>
      <c r="E89" s="318"/>
      <c r="F89" s="319">
        <f>SUM(F86:F88)</f>
        <v>40</v>
      </c>
      <c r="G89" s="85"/>
      <c r="H89" s="138"/>
      <c r="J89" s="149"/>
      <c r="K89" s="584" t="s">
        <v>94</v>
      </c>
      <c r="L89" s="584"/>
      <c r="M89" s="111"/>
      <c r="N89" s="110"/>
      <c r="O89" s="112">
        <f>SUM(O86:O88)</f>
        <v>48.400000000000006</v>
      </c>
      <c r="P89" s="132"/>
      <c r="Q89" s="138"/>
      <c r="R89" s="117"/>
    </row>
    <row r="90" spans="1:18" ht="19.5" customHeight="1" x14ac:dyDescent="0.3">
      <c r="A90" s="151"/>
      <c r="B90" s="152"/>
      <c r="C90" s="153"/>
      <c r="D90" s="154"/>
      <c r="E90" s="155"/>
      <c r="F90" s="155"/>
      <c r="G90" s="156"/>
      <c r="H90" s="138"/>
      <c r="J90" s="151"/>
      <c r="K90" s="152"/>
      <c r="L90" s="153"/>
      <c r="M90" s="154"/>
      <c r="N90" s="155"/>
      <c r="O90" s="155"/>
      <c r="P90" s="156"/>
      <c r="Q90" s="138"/>
      <c r="R90" s="117"/>
    </row>
    <row r="91" spans="1:18" ht="19.5" customHeight="1" x14ac:dyDescent="0.3">
      <c r="A91" s="167" t="s">
        <v>30</v>
      </c>
      <c r="B91" s="325" t="s">
        <v>147</v>
      </c>
      <c r="C91" s="85"/>
      <c r="D91" s="324"/>
      <c r="E91" s="324"/>
      <c r="F91" s="207"/>
      <c r="G91" s="201"/>
      <c r="H91" s="202"/>
      <c r="J91" s="167" t="s">
        <v>30</v>
      </c>
      <c r="K91" s="325" t="s">
        <v>147</v>
      </c>
      <c r="L91" s="324"/>
      <c r="M91" s="324"/>
      <c r="N91" s="324"/>
      <c r="O91" s="207"/>
      <c r="P91" s="201"/>
      <c r="Q91" s="202"/>
      <c r="R91" s="117"/>
    </row>
    <row r="92" spans="1:18" ht="19.5" customHeight="1" x14ac:dyDescent="0.3">
      <c r="A92" s="161" t="s">
        <v>1</v>
      </c>
      <c r="B92" s="572" t="s">
        <v>99</v>
      </c>
      <c r="C92" s="572"/>
      <c r="D92" s="69" t="s">
        <v>40</v>
      </c>
      <c r="E92" s="70" t="s">
        <v>39</v>
      </c>
      <c r="F92" s="69" t="s">
        <v>148</v>
      </c>
      <c r="G92" s="283"/>
      <c r="H92" s="160"/>
      <c r="J92" s="161" t="s">
        <v>1</v>
      </c>
      <c r="K92" s="572" t="s">
        <v>99</v>
      </c>
      <c r="L92" s="572"/>
      <c r="M92" s="69" t="s">
        <v>40</v>
      </c>
      <c r="N92" s="70" t="s">
        <v>39</v>
      </c>
      <c r="O92" s="69" t="s">
        <v>148</v>
      </c>
      <c r="P92" s="283"/>
      <c r="Q92" s="160"/>
      <c r="R92" s="117"/>
    </row>
    <row r="93" spans="1:18" ht="19.5" customHeight="1" x14ac:dyDescent="0.3">
      <c r="A93" s="162" t="s">
        <v>101</v>
      </c>
      <c r="B93" s="569" t="s">
        <v>35</v>
      </c>
      <c r="C93" s="569"/>
      <c r="D93" s="71">
        <f>HPS!F30</f>
        <v>70057500</v>
      </c>
      <c r="E93" s="421">
        <v>49800000</v>
      </c>
      <c r="F93" s="72">
        <f>D93-E93</f>
        <v>20257500</v>
      </c>
      <c r="G93" s="429"/>
      <c r="H93" s="160"/>
      <c r="J93" s="162" t="s">
        <v>101</v>
      </c>
      <c r="K93" s="569" t="s">
        <v>35</v>
      </c>
      <c r="L93" s="569"/>
      <c r="M93" s="71">
        <f>HPS!F30</f>
        <v>70057500</v>
      </c>
      <c r="N93" s="274">
        <v>49800000</v>
      </c>
      <c r="O93" s="72">
        <f>M93-N93</f>
        <v>20257500</v>
      </c>
      <c r="P93" s="429"/>
      <c r="Q93" s="160"/>
      <c r="R93" s="117"/>
    </row>
    <row r="94" spans="1:18" ht="19.5" customHeight="1" x14ac:dyDescent="0.3">
      <c r="A94" s="162" t="s">
        <v>102</v>
      </c>
      <c r="B94" s="569" t="s">
        <v>36</v>
      </c>
      <c r="C94" s="569"/>
      <c r="D94" s="71">
        <f>HPS!F31</f>
        <v>17514375</v>
      </c>
      <c r="E94" s="422">
        <v>22900000</v>
      </c>
      <c r="F94" s="72">
        <f>D94-E94</f>
        <v>-5385625</v>
      </c>
      <c r="G94" s="429"/>
      <c r="H94" s="160"/>
      <c r="J94" s="162" t="s">
        <v>102</v>
      </c>
      <c r="K94" s="569" t="s">
        <v>36</v>
      </c>
      <c r="L94" s="569"/>
      <c r="M94" s="71">
        <f>HPS!F31</f>
        <v>17514375</v>
      </c>
      <c r="N94" s="275">
        <v>22900000</v>
      </c>
      <c r="O94" s="72">
        <f>M94-N94</f>
        <v>-5385625</v>
      </c>
      <c r="P94" s="429"/>
      <c r="Q94" s="160"/>
      <c r="R94" s="117"/>
    </row>
    <row r="95" spans="1:18" ht="19.5" customHeight="1" x14ac:dyDescent="0.3">
      <c r="A95" s="162" t="s">
        <v>103</v>
      </c>
      <c r="B95" s="569" t="s">
        <v>37</v>
      </c>
      <c r="C95" s="569"/>
      <c r="D95" s="71">
        <f>HPS!F33</f>
        <v>8757187.5</v>
      </c>
      <c r="E95" s="422">
        <v>7270000</v>
      </c>
      <c r="F95" s="72">
        <f>D95-E95</f>
        <v>1487187.5</v>
      </c>
      <c r="G95" s="429"/>
      <c r="H95" s="160"/>
      <c r="J95" s="162" t="s">
        <v>103</v>
      </c>
      <c r="K95" s="569" t="s">
        <v>37</v>
      </c>
      <c r="L95" s="569"/>
      <c r="M95" s="71">
        <f>HPS!F33</f>
        <v>8757187.5</v>
      </c>
      <c r="N95" s="275">
        <v>7270000</v>
      </c>
      <c r="O95" s="72">
        <f>M95-N95</f>
        <v>1487187.5</v>
      </c>
      <c r="P95" s="429"/>
      <c r="Q95" s="160"/>
      <c r="R95" s="117"/>
    </row>
    <row r="96" spans="1:18" ht="19.5" customHeight="1" x14ac:dyDescent="0.3">
      <c r="A96" s="163" t="s">
        <v>104</v>
      </c>
      <c r="B96" s="570" t="s">
        <v>38</v>
      </c>
      <c r="C96" s="570"/>
      <c r="D96" s="120">
        <f>SUM(D93:D95)</f>
        <v>96329062.5</v>
      </c>
      <c r="E96" s="120">
        <f>SUM(E93:E95)</f>
        <v>79970000</v>
      </c>
      <c r="F96" s="120">
        <f>SUM(F93:F95)</f>
        <v>16359062.5</v>
      </c>
      <c r="G96" s="120">
        <f>IF(E96&lt;=D96,50,0)</f>
        <v>50</v>
      </c>
      <c r="H96" s="160"/>
      <c r="J96" s="163" t="s">
        <v>104</v>
      </c>
      <c r="K96" s="570" t="s">
        <v>38</v>
      </c>
      <c r="L96" s="570"/>
      <c r="M96" s="120">
        <f>SUM(M93:M95)</f>
        <v>96329062.5</v>
      </c>
      <c r="N96" s="120">
        <f>SUM(N93:N95)</f>
        <v>79970000</v>
      </c>
      <c r="O96" s="120">
        <f>SUM(O93:O95)</f>
        <v>16359062.5</v>
      </c>
      <c r="P96" s="120">
        <f>IF(N96&lt;=M96,50,0)</f>
        <v>50</v>
      </c>
      <c r="Q96" s="160"/>
      <c r="R96" s="117"/>
    </row>
    <row r="97" spans="1:18" ht="19.5" customHeight="1" x14ac:dyDescent="0.3">
      <c r="A97" s="157"/>
      <c r="B97" s="158"/>
      <c r="C97" s="164"/>
      <c r="D97" s="165"/>
      <c r="E97" s="166"/>
      <c r="F97" s="166"/>
      <c r="G97" s="159"/>
      <c r="H97" s="160"/>
      <c r="J97" s="157"/>
      <c r="K97" s="158"/>
      <c r="L97" s="164"/>
      <c r="M97" s="165"/>
      <c r="N97" s="166"/>
      <c r="O97" s="166"/>
      <c r="P97" s="159"/>
      <c r="Q97" s="160"/>
      <c r="R97" s="117"/>
    </row>
    <row r="98" spans="1:18" ht="19.5" customHeight="1" x14ac:dyDescent="0.3">
      <c r="A98" s="167" t="s">
        <v>33</v>
      </c>
      <c r="B98" s="571" t="s">
        <v>149</v>
      </c>
      <c r="C98" s="571"/>
      <c r="D98" s="571"/>
      <c r="E98" s="571"/>
      <c r="F98" s="207"/>
      <c r="G98" s="159"/>
      <c r="H98" s="160"/>
      <c r="J98" s="167" t="s">
        <v>33</v>
      </c>
      <c r="K98" s="571" t="s">
        <v>149</v>
      </c>
      <c r="L98" s="571"/>
      <c r="M98" s="571"/>
      <c r="N98" s="571"/>
      <c r="O98" s="207"/>
      <c r="P98" s="159"/>
      <c r="Q98" s="160"/>
      <c r="R98" s="117"/>
    </row>
    <row r="99" spans="1:18" ht="19.5" customHeight="1" x14ac:dyDescent="0.3">
      <c r="A99" s="161" t="s">
        <v>1</v>
      </c>
      <c r="B99" s="572" t="s">
        <v>99</v>
      </c>
      <c r="C99" s="572"/>
      <c r="D99" s="69" t="s">
        <v>95</v>
      </c>
      <c r="E99" s="70" t="s">
        <v>23</v>
      </c>
      <c r="F99" s="69" t="s">
        <v>24</v>
      </c>
      <c r="G99" s="227"/>
      <c r="H99" s="168"/>
      <c r="J99" s="161" t="s">
        <v>1</v>
      </c>
      <c r="K99" s="572" t="s">
        <v>99</v>
      </c>
      <c r="L99" s="572"/>
      <c r="M99" s="69" t="s">
        <v>95</v>
      </c>
      <c r="N99" s="70" t="s">
        <v>23</v>
      </c>
      <c r="O99" s="69" t="s">
        <v>24</v>
      </c>
      <c r="P99" s="311"/>
      <c r="Q99" s="168"/>
      <c r="R99" s="117"/>
    </row>
    <row r="100" spans="1:18" ht="19.5" customHeight="1" x14ac:dyDescent="0.3">
      <c r="A100" s="162" t="s">
        <v>101</v>
      </c>
      <c r="B100" s="569" t="s">
        <v>48</v>
      </c>
      <c r="C100" s="569"/>
      <c r="D100" s="74">
        <v>0.3</v>
      </c>
      <c r="E100" s="75">
        <f>F59</f>
        <v>94.444444444444443</v>
      </c>
      <c r="F100" s="76">
        <f>E100*D100</f>
        <v>28.333333333333332</v>
      </c>
      <c r="G100" s="228"/>
      <c r="H100" s="160"/>
      <c r="J100" s="162" t="s">
        <v>101</v>
      </c>
      <c r="K100" s="569" t="s">
        <v>48</v>
      </c>
      <c r="L100" s="569"/>
      <c r="M100" s="74">
        <v>0.3</v>
      </c>
      <c r="N100" s="75">
        <f>O59</f>
        <v>94.444444444444443</v>
      </c>
      <c r="O100" s="76">
        <f>N100*M100</f>
        <v>28.333333333333332</v>
      </c>
      <c r="P100" s="312"/>
      <c r="Q100" s="160"/>
      <c r="R100" s="117"/>
    </row>
    <row r="101" spans="1:18" ht="19.5" customHeight="1" x14ac:dyDescent="0.3">
      <c r="A101" s="162" t="s">
        <v>102</v>
      </c>
      <c r="B101" s="569" t="s">
        <v>49</v>
      </c>
      <c r="C101" s="569"/>
      <c r="D101" s="74">
        <v>0.35</v>
      </c>
      <c r="E101" s="75">
        <f>F66</f>
        <v>46</v>
      </c>
      <c r="F101" s="76">
        <f>E101*D101</f>
        <v>16.099999999999998</v>
      </c>
      <c r="G101" s="228"/>
      <c r="H101" s="160"/>
      <c r="J101" s="162" t="s">
        <v>102</v>
      </c>
      <c r="K101" s="569" t="s">
        <v>49</v>
      </c>
      <c r="L101" s="569"/>
      <c r="M101" s="74">
        <v>0.35</v>
      </c>
      <c r="N101" s="75">
        <f>O66</f>
        <v>31.360000000000003</v>
      </c>
      <c r="O101" s="76">
        <f>N101*M101</f>
        <v>10.976000000000001</v>
      </c>
      <c r="P101" s="312"/>
      <c r="Q101" s="160"/>
      <c r="R101" s="117"/>
    </row>
    <row r="102" spans="1:18" ht="19.5" customHeight="1" x14ac:dyDescent="0.3">
      <c r="A102" s="162" t="s">
        <v>103</v>
      </c>
      <c r="B102" s="569" t="s">
        <v>50</v>
      </c>
      <c r="C102" s="569"/>
      <c r="D102" s="74">
        <v>0.35</v>
      </c>
      <c r="E102" s="77">
        <f>'Rekap Penilaian KAP'!E56</f>
        <v>100</v>
      </c>
      <c r="F102" s="76">
        <f>E102*D102</f>
        <v>35</v>
      </c>
      <c r="G102" s="228"/>
      <c r="H102" s="160"/>
      <c r="J102" s="162" t="s">
        <v>103</v>
      </c>
      <c r="K102" s="569" t="s">
        <v>50</v>
      </c>
      <c r="L102" s="569"/>
      <c r="M102" s="74">
        <v>0.35</v>
      </c>
      <c r="N102" s="77">
        <f>'Rekap Penilaian KAP'!E65</f>
        <v>100</v>
      </c>
      <c r="O102" s="76">
        <f>N102*M102</f>
        <v>35</v>
      </c>
      <c r="P102" s="312"/>
      <c r="Q102" s="160"/>
      <c r="R102" s="117"/>
    </row>
    <row r="103" spans="1:18" ht="19.5" customHeight="1" x14ac:dyDescent="0.3">
      <c r="A103" s="162"/>
      <c r="B103" s="579" t="s">
        <v>150</v>
      </c>
      <c r="C103" s="579"/>
      <c r="D103" s="78"/>
      <c r="E103" s="79"/>
      <c r="F103" s="80">
        <f>SUM(F100:F102)</f>
        <v>79.433333333333337</v>
      </c>
      <c r="G103" s="228"/>
      <c r="H103" s="160"/>
      <c r="J103" s="162"/>
      <c r="K103" s="579" t="s">
        <v>150</v>
      </c>
      <c r="L103" s="579"/>
      <c r="M103" s="78"/>
      <c r="N103" s="79"/>
      <c r="O103" s="80">
        <f>SUM(O100:O102)</f>
        <v>74.309333333333342</v>
      </c>
      <c r="P103" s="312"/>
      <c r="Q103" s="160"/>
      <c r="R103" s="117"/>
    </row>
    <row r="104" spans="1:18" s="116" customFormat="1" ht="19.5" customHeight="1" x14ac:dyDescent="0.3">
      <c r="A104" s="136"/>
      <c r="B104" s="137"/>
      <c r="C104" s="139"/>
      <c r="D104" s="132"/>
      <c r="E104" s="133"/>
      <c r="F104" s="133"/>
      <c r="G104" s="129"/>
      <c r="H104" s="130"/>
      <c r="J104" s="136"/>
      <c r="K104" s="137"/>
      <c r="L104" s="139"/>
      <c r="M104" s="132"/>
      <c r="N104" s="133"/>
      <c r="O104" s="133"/>
      <c r="P104" s="129"/>
      <c r="Q104" s="130"/>
      <c r="R104" s="285"/>
    </row>
    <row r="105" spans="1:18" ht="19.5" customHeight="1" x14ac:dyDescent="0.3">
      <c r="A105" s="169" t="s">
        <v>60</v>
      </c>
      <c r="B105" s="137"/>
      <c r="C105" s="139"/>
      <c r="D105" s="98"/>
      <c r="E105" s="133"/>
      <c r="F105" s="133"/>
      <c r="G105" s="129"/>
      <c r="H105" s="145"/>
      <c r="J105" s="169" t="s">
        <v>60</v>
      </c>
      <c r="K105" s="137"/>
      <c r="L105" s="139"/>
      <c r="M105" s="98"/>
      <c r="N105" s="133"/>
      <c r="O105" s="133"/>
      <c r="P105" s="129"/>
      <c r="Q105" s="145"/>
      <c r="R105" s="156"/>
    </row>
    <row r="106" spans="1:18" ht="19.5" customHeight="1" x14ac:dyDescent="0.3">
      <c r="A106" s="563" t="s">
        <v>1</v>
      </c>
      <c r="B106" s="565" t="s">
        <v>61</v>
      </c>
      <c r="C106" s="566"/>
      <c r="D106" s="95" t="s">
        <v>62</v>
      </c>
      <c r="E106" s="95" t="s">
        <v>62</v>
      </c>
      <c r="F106" s="95" t="s">
        <v>63</v>
      </c>
      <c r="G106" s="82"/>
      <c r="H106" s="145"/>
      <c r="I106" s="232"/>
      <c r="J106" s="563" t="s">
        <v>1</v>
      </c>
      <c r="K106" s="565" t="s">
        <v>61</v>
      </c>
      <c r="L106" s="566"/>
      <c r="M106" s="95" t="s">
        <v>62</v>
      </c>
      <c r="N106" s="95" t="s">
        <v>62</v>
      </c>
      <c r="O106" s="95" t="s">
        <v>63</v>
      </c>
      <c r="P106" s="98"/>
      <c r="Q106" s="145"/>
      <c r="R106" s="117"/>
    </row>
    <row r="107" spans="1:18" ht="19.5" customHeight="1" x14ac:dyDescent="0.3">
      <c r="A107" s="564"/>
      <c r="B107" s="567"/>
      <c r="C107" s="568"/>
      <c r="D107" s="95" t="s">
        <v>64</v>
      </c>
      <c r="E107" s="95" t="s">
        <v>65</v>
      </c>
      <c r="F107" s="95" t="s">
        <v>66</v>
      </c>
      <c r="G107" s="82"/>
      <c r="H107" s="145"/>
      <c r="J107" s="564"/>
      <c r="K107" s="567"/>
      <c r="L107" s="568"/>
      <c r="M107" s="95" t="s">
        <v>64</v>
      </c>
      <c r="N107" s="95" t="s">
        <v>65</v>
      </c>
      <c r="O107" s="95" t="s">
        <v>66</v>
      </c>
      <c r="P107" s="98"/>
      <c r="Q107" s="145"/>
      <c r="R107" s="117"/>
    </row>
    <row r="108" spans="1:18" ht="19.5" customHeight="1" x14ac:dyDescent="0.3">
      <c r="A108" s="170"/>
      <c r="B108" s="575" t="s">
        <v>67</v>
      </c>
      <c r="C108" s="576"/>
      <c r="D108" s="544"/>
      <c r="E108" s="545"/>
      <c r="F108" s="546"/>
      <c r="G108" s="209"/>
      <c r="H108" s="145"/>
      <c r="J108" s="170"/>
      <c r="K108" s="575" t="s">
        <v>67</v>
      </c>
      <c r="L108" s="576"/>
      <c r="M108" s="544"/>
      <c r="N108" s="545"/>
      <c r="O108" s="546"/>
      <c r="P108" s="209"/>
      <c r="Q108" s="145"/>
      <c r="R108" s="117"/>
    </row>
    <row r="109" spans="1:18" ht="19.5" customHeight="1" x14ac:dyDescent="0.3">
      <c r="A109" s="171">
        <v>1</v>
      </c>
      <c r="B109" s="113" t="s">
        <v>68</v>
      </c>
      <c r="C109" s="114"/>
      <c r="D109" s="263" t="s">
        <v>45</v>
      </c>
      <c r="E109" s="229">
        <f t="shared" ref="E109:E119" si="14">IF(D109="Ya",4.2,0)</f>
        <v>4.2</v>
      </c>
      <c r="F109" s="266">
        <v>0</v>
      </c>
      <c r="G109" s="85"/>
      <c r="H109" s="145"/>
      <c r="J109" s="171">
        <v>1</v>
      </c>
      <c r="K109" s="113" t="s">
        <v>68</v>
      </c>
      <c r="L109" s="114"/>
      <c r="M109" s="276" t="s">
        <v>45</v>
      </c>
      <c r="N109" s="229">
        <f t="shared" ref="N109:N119" si="15">IF(M109="Ya",4.2,0)</f>
        <v>4.2</v>
      </c>
      <c r="O109" s="279">
        <v>0</v>
      </c>
      <c r="P109" s="132"/>
      <c r="Q109" s="145"/>
      <c r="R109" s="117"/>
    </row>
    <row r="110" spans="1:18" ht="19.5" customHeight="1" x14ac:dyDescent="0.3">
      <c r="A110" s="171">
        <v>2</v>
      </c>
      <c r="B110" s="113" t="s">
        <v>273</v>
      </c>
      <c r="C110" s="442"/>
      <c r="D110" s="441" t="s">
        <v>72</v>
      </c>
      <c r="E110" s="230">
        <f t="shared" si="14"/>
        <v>0</v>
      </c>
      <c r="F110" s="267">
        <v>0</v>
      </c>
      <c r="G110" s="85"/>
      <c r="H110" s="145"/>
      <c r="J110" s="171">
        <v>2</v>
      </c>
      <c r="K110" s="113" t="s">
        <v>273</v>
      </c>
      <c r="L110" s="442"/>
      <c r="M110" s="277" t="s">
        <v>45</v>
      </c>
      <c r="N110" s="230">
        <f t="shared" si="15"/>
        <v>4.2</v>
      </c>
      <c r="O110" s="280">
        <v>0</v>
      </c>
      <c r="P110" s="132"/>
      <c r="Q110" s="145"/>
      <c r="R110" s="117"/>
    </row>
    <row r="111" spans="1:18" ht="19.5" customHeight="1" x14ac:dyDescent="0.3">
      <c r="A111" s="171">
        <v>3</v>
      </c>
      <c r="B111" s="113" t="s">
        <v>274</v>
      </c>
      <c r="C111" s="442"/>
      <c r="D111" s="441" t="s">
        <v>45</v>
      </c>
      <c r="E111" s="230">
        <f t="shared" si="14"/>
        <v>4.2</v>
      </c>
      <c r="F111" s="267">
        <v>0</v>
      </c>
      <c r="G111" s="85"/>
      <c r="H111" s="145"/>
      <c r="J111" s="171">
        <v>3</v>
      </c>
      <c r="K111" s="113" t="s">
        <v>274</v>
      </c>
      <c r="L111" s="442"/>
      <c r="M111" s="277" t="s">
        <v>45</v>
      </c>
      <c r="N111" s="230">
        <f t="shared" si="15"/>
        <v>4.2</v>
      </c>
      <c r="O111" s="280">
        <v>0</v>
      </c>
      <c r="P111" s="132"/>
      <c r="Q111" s="145"/>
      <c r="R111" s="156"/>
    </row>
    <row r="112" spans="1:18" ht="19.5" customHeight="1" x14ac:dyDescent="0.3">
      <c r="A112" s="171">
        <v>4</v>
      </c>
      <c r="B112" s="113" t="s">
        <v>71</v>
      </c>
      <c r="C112" s="114"/>
      <c r="D112" s="264" t="s">
        <v>72</v>
      </c>
      <c r="E112" s="230">
        <f t="shared" si="14"/>
        <v>0</v>
      </c>
      <c r="F112" s="267">
        <v>0</v>
      </c>
      <c r="G112" s="85"/>
      <c r="H112" s="145"/>
      <c r="J112" s="171">
        <v>4</v>
      </c>
      <c r="K112" s="113" t="s">
        <v>71</v>
      </c>
      <c r="L112" s="114"/>
      <c r="M112" s="277" t="s">
        <v>72</v>
      </c>
      <c r="N112" s="230">
        <f t="shared" si="15"/>
        <v>0</v>
      </c>
      <c r="O112" s="280">
        <v>0</v>
      </c>
      <c r="P112" s="132"/>
      <c r="Q112" s="145"/>
    </row>
    <row r="113" spans="1:17" ht="19.5" customHeight="1" x14ac:dyDescent="0.3">
      <c r="A113" s="171">
        <v>5</v>
      </c>
      <c r="B113" s="113" t="s">
        <v>73</v>
      </c>
      <c r="C113" s="114"/>
      <c r="D113" s="264" t="s">
        <v>45</v>
      </c>
      <c r="E113" s="230">
        <f t="shared" si="14"/>
        <v>4.2</v>
      </c>
      <c r="F113" s="267">
        <v>0</v>
      </c>
      <c r="G113" s="85"/>
      <c r="H113" s="145"/>
      <c r="J113" s="171">
        <v>5</v>
      </c>
      <c r="K113" s="113" t="s">
        <v>73</v>
      </c>
      <c r="L113" s="114"/>
      <c r="M113" s="277" t="s">
        <v>45</v>
      </c>
      <c r="N113" s="230">
        <f t="shared" si="15"/>
        <v>4.2</v>
      </c>
      <c r="O113" s="280">
        <v>0</v>
      </c>
      <c r="P113" s="132"/>
      <c r="Q113" s="145"/>
    </row>
    <row r="114" spans="1:17" ht="19.5" customHeight="1" x14ac:dyDescent="0.3">
      <c r="A114" s="171">
        <v>6</v>
      </c>
      <c r="B114" s="113" t="s">
        <v>275</v>
      </c>
      <c r="C114" s="114"/>
      <c r="D114" s="264" t="s">
        <v>72</v>
      </c>
      <c r="E114" s="230">
        <f t="shared" si="14"/>
        <v>0</v>
      </c>
      <c r="F114" s="267">
        <v>0</v>
      </c>
      <c r="G114" s="85"/>
      <c r="H114" s="145"/>
      <c r="J114" s="171">
        <v>6</v>
      </c>
      <c r="K114" s="113" t="s">
        <v>275</v>
      </c>
      <c r="L114" s="114"/>
      <c r="M114" s="277" t="s">
        <v>45</v>
      </c>
      <c r="N114" s="230">
        <f t="shared" si="15"/>
        <v>4.2</v>
      </c>
      <c r="O114" s="280">
        <v>0</v>
      </c>
      <c r="P114" s="132"/>
      <c r="Q114" s="145"/>
    </row>
    <row r="115" spans="1:17" ht="19.5" customHeight="1" x14ac:dyDescent="0.3">
      <c r="A115" s="171">
        <v>7</v>
      </c>
      <c r="B115" s="113" t="s">
        <v>276</v>
      </c>
      <c r="C115" s="114"/>
      <c r="D115" s="264" t="s">
        <v>72</v>
      </c>
      <c r="E115" s="230">
        <f t="shared" si="14"/>
        <v>0</v>
      </c>
      <c r="F115" s="267">
        <v>0</v>
      </c>
      <c r="G115" s="85"/>
      <c r="H115" s="145"/>
      <c r="J115" s="171">
        <v>7</v>
      </c>
      <c r="K115" s="113" t="s">
        <v>276</v>
      </c>
      <c r="L115" s="114"/>
      <c r="M115" s="277" t="s">
        <v>72</v>
      </c>
      <c r="N115" s="230">
        <f t="shared" si="15"/>
        <v>0</v>
      </c>
      <c r="O115" s="280">
        <v>0</v>
      </c>
      <c r="P115" s="132"/>
      <c r="Q115" s="145"/>
    </row>
    <row r="116" spans="1:17" ht="19.5" customHeight="1" x14ac:dyDescent="0.3">
      <c r="A116" s="171">
        <v>8</v>
      </c>
      <c r="B116" s="113" t="s">
        <v>277</v>
      </c>
      <c r="C116" s="114"/>
      <c r="D116" s="264" t="s">
        <v>45</v>
      </c>
      <c r="E116" s="230">
        <f t="shared" si="14"/>
        <v>4.2</v>
      </c>
      <c r="F116" s="267">
        <v>0</v>
      </c>
      <c r="G116" s="85"/>
      <c r="H116" s="145"/>
      <c r="J116" s="171">
        <v>8</v>
      </c>
      <c r="K116" s="113" t="s">
        <v>277</v>
      </c>
      <c r="L116" s="114"/>
      <c r="M116" s="277" t="s">
        <v>45</v>
      </c>
      <c r="N116" s="230">
        <f t="shared" si="15"/>
        <v>4.2</v>
      </c>
      <c r="O116" s="280">
        <v>0</v>
      </c>
      <c r="P116" s="132"/>
      <c r="Q116" s="145"/>
    </row>
    <row r="117" spans="1:17" ht="19.5" customHeight="1" x14ac:dyDescent="0.3">
      <c r="A117" s="171">
        <v>9</v>
      </c>
      <c r="B117" s="113" t="s">
        <v>278</v>
      </c>
      <c r="C117" s="114"/>
      <c r="D117" s="264" t="s">
        <v>45</v>
      </c>
      <c r="E117" s="230">
        <f t="shared" si="14"/>
        <v>4.2</v>
      </c>
      <c r="F117" s="267">
        <v>0</v>
      </c>
      <c r="G117" s="85"/>
      <c r="H117" s="145"/>
      <c r="J117" s="171">
        <v>9</v>
      </c>
      <c r="K117" s="113" t="s">
        <v>278</v>
      </c>
      <c r="L117" s="114"/>
      <c r="M117" s="277" t="s">
        <v>72</v>
      </c>
      <c r="N117" s="230">
        <f t="shared" si="15"/>
        <v>0</v>
      </c>
      <c r="O117" s="280">
        <v>0</v>
      </c>
      <c r="P117" s="132"/>
      <c r="Q117" s="145"/>
    </row>
    <row r="118" spans="1:17" ht="19.5" customHeight="1" x14ac:dyDescent="0.3">
      <c r="A118" s="171">
        <v>10</v>
      </c>
      <c r="B118" s="113" t="s">
        <v>279</v>
      </c>
      <c r="C118" s="114"/>
      <c r="D118" s="264" t="s">
        <v>72</v>
      </c>
      <c r="E118" s="230">
        <f t="shared" ref="E118" si="16">IF(D118="Ya",4.2,0)</f>
        <v>0</v>
      </c>
      <c r="F118" s="267">
        <v>0</v>
      </c>
      <c r="G118" s="85"/>
      <c r="H118" s="145"/>
      <c r="J118" s="171">
        <v>10</v>
      </c>
      <c r="K118" s="113" t="s">
        <v>279</v>
      </c>
      <c r="L118" s="114"/>
      <c r="M118" s="277" t="s">
        <v>72</v>
      </c>
      <c r="N118" s="230">
        <f t="shared" ref="N118" si="17">IF(M118="Ya",4.2,0)</f>
        <v>0</v>
      </c>
      <c r="O118" s="280">
        <v>0</v>
      </c>
      <c r="P118" s="132"/>
      <c r="Q118" s="145"/>
    </row>
    <row r="119" spans="1:17" ht="19.5" customHeight="1" x14ac:dyDescent="0.3">
      <c r="A119" s="171">
        <v>11</v>
      </c>
      <c r="B119" s="113" t="s">
        <v>280</v>
      </c>
      <c r="C119" s="114"/>
      <c r="D119" s="265" t="s">
        <v>45</v>
      </c>
      <c r="E119" s="230">
        <f t="shared" si="14"/>
        <v>4.2</v>
      </c>
      <c r="F119" s="267">
        <v>0</v>
      </c>
      <c r="G119" s="85"/>
      <c r="H119" s="145"/>
      <c r="J119" s="171">
        <v>11</v>
      </c>
      <c r="K119" s="113" t="s">
        <v>280</v>
      </c>
      <c r="L119" s="114"/>
      <c r="M119" s="278" t="s">
        <v>45</v>
      </c>
      <c r="N119" s="230">
        <f t="shared" si="15"/>
        <v>4.2</v>
      </c>
      <c r="O119" s="280">
        <v>0</v>
      </c>
      <c r="P119" s="132"/>
      <c r="Q119" s="145"/>
    </row>
    <row r="120" spans="1:17" ht="19.5" customHeight="1" x14ac:dyDescent="0.3">
      <c r="A120" s="170"/>
      <c r="B120" s="577" t="s">
        <v>81</v>
      </c>
      <c r="C120" s="578"/>
      <c r="D120" s="547"/>
      <c r="E120" s="548"/>
      <c r="F120" s="549"/>
      <c r="G120" s="231"/>
      <c r="H120" s="145"/>
      <c r="J120" s="170"/>
      <c r="K120" s="577" t="s">
        <v>81</v>
      </c>
      <c r="L120" s="578"/>
      <c r="M120" s="547"/>
      <c r="N120" s="548"/>
      <c r="O120" s="549"/>
      <c r="P120" s="231"/>
      <c r="Q120" s="145"/>
    </row>
    <row r="121" spans="1:17" ht="19.5" customHeight="1" x14ac:dyDescent="0.3">
      <c r="A121" s="171">
        <v>12</v>
      </c>
      <c r="B121" s="113" t="s">
        <v>281</v>
      </c>
      <c r="C121" s="113"/>
      <c r="D121" s="263" t="s">
        <v>45</v>
      </c>
      <c r="E121" s="229">
        <f t="shared" ref="E121:E133" si="18">IF(D121="Ya",4.2,0)</f>
        <v>4.2</v>
      </c>
      <c r="F121" s="266">
        <v>0</v>
      </c>
      <c r="G121" s="85"/>
      <c r="H121" s="145"/>
      <c r="J121" s="171">
        <v>12</v>
      </c>
      <c r="K121" s="113" t="s">
        <v>281</v>
      </c>
      <c r="L121" s="113"/>
      <c r="M121" s="276" t="s">
        <v>45</v>
      </c>
      <c r="N121" s="229">
        <f t="shared" ref="N121:N133" si="19">IF(M121="Ya",4.2,0)</f>
        <v>4.2</v>
      </c>
      <c r="O121" s="279">
        <v>0</v>
      </c>
      <c r="P121" s="132"/>
      <c r="Q121" s="145"/>
    </row>
    <row r="122" spans="1:17" ht="19.5" customHeight="1" x14ac:dyDescent="0.3">
      <c r="A122" s="171">
        <v>13</v>
      </c>
      <c r="B122" s="113" t="s">
        <v>256</v>
      </c>
      <c r="C122" s="113"/>
      <c r="D122" s="264" t="s">
        <v>72</v>
      </c>
      <c r="E122" s="230">
        <f t="shared" si="18"/>
        <v>0</v>
      </c>
      <c r="F122" s="267">
        <v>0</v>
      </c>
      <c r="G122" s="85"/>
      <c r="H122" s="145"/>
      <c r="J122" s="171">
        <v>13</v>
      </c>
      <c r="K122" s="113" t="s">
        <v>256</v>
      </c>
      <c r="L122" s="113"/>
      <c r="M122" s="277" t="s">
        <v>45</v>
      </c>
      <c r="N122" s="230">
        <f t="shared" si="19"/>
        <v>4.2</v>
      </c>
      <c r="O122" s="280">
        <v>0</v>
      </c>
      <c r="P122" s="132"/>
      <c r="Q122" s="145"/>
    </row>
    <row r="123" spans="1:17" ht="19.5" customHeight="1" x14ac:dyDescent="0.3">
      <c r="A123" s="171">
        <v>14</v>
      </c>
      <c r="B123" s="113" t="s">
        <v>70</v>
      </c>
      <c r="C123" s="113"/>
      <c r="D123" s="264" t="s">
        <v>45</v>
      </c>
      <c r="E123" s="230">
        <f t="shared" si="18"/>
        <v>4.2</v>
      </c>
      <c r="F123" s="267">
        <v>0</v>
      </c>
      <c r="G123" s="85"/>
      <c r="H123" s="145"/>
      <c r="J123" s="171">
        <v>14</v>
      </c>
      <c r="K123" s="113" t="s">
        <v>70</v>
      </c>
      <c r="L123" s="113"/>
      <c r="M123" s="277" t="s">
        <v>45</v>
      </c>
      <c r="N123" s="230">
        <f t="shared" si="19"/>
        <v>4.2</v>
      </c>
      <c r="O123" s="280">
        <v>0</v>
      </c>
      <c r="P123" s="132"/>
      <c r="Q123" s="145"/>
    </row>
    <row r="124" spans="1:17" ht="19.5" customHeight="1" x14ac:dyDescent="0.3">
      <c r="A124" s="171">
        <v>15</v>
      </c>
      <c r="B124" s="113" t="s">
        <v>282</v>
      </c>
      <c r="C124" s="113"/>
      <c r="D124" s="264" t="s">
        <v>72</v>
      </c>
      <c r="E124" s="230">
        <f t="shared" ref="E124:E130" si="20">IF(D124="Ya",4.2,0)</f>
        <v>0</v>
      </c>
      <c r="F124" s="267">
        <v>0</v>
      </c>
      <c r="G124" s="85"/>
      <c r="H124" s="145"/>
      <c r="J124" s="171">
        <v>15</v>
      </c>
      <c r="K124" s="113" t="s">
        <v>282</v>
      </c>
      <c r="L124" s="113"/>
      <c r="M124" s="277" t="s">
        <v>72</v>
      </c>
      <c r="N124" s="230">
        <f t="shared" si="19"/>
        <v>0</v>
      </c>
      <c r="O124" s="280">
        <v>0</v>
      </c>
      <c r="P124" s="132"/>
      <c r="Q124" s="145"/>
    </row>
    <row r="125" spans="1:17" ht="19.5" customHeight="1" x14ac:dyDescent="0.3">
      <c r="A125" s="171">
        <v>16</v>
      </c>
      <c r="B125" s="113" t="s">
        <v>287</v>
      </c>
      <c r="C125" s="113"/>
      <c r="D125" s="264" t="s">
        <v>72</v>
      </c>
      <c r="E125" s="230">
        <f t="shared" si="20"/>
        <v>0</v>
      </c>
      <c r="F125" s="267">
        <v>0</v>
      </c>
      <c r="G125" s="85"/>
      <c r="H125" s="145"/>
      <c r="J125" s="171">
        <v>16</v>
      </c>
      <c r="K125" s="113" t="s">
        <v>287</v>
      </c>
      <c r="L125" s="113"/>
      <c r="M125" s="277" t="s">
        <v>45</v>
      </c>
      <c r="N125" s="230">
        <f t="shared" si="19"/>
        <v>4.2</v>
      </c>
      <c r="O125" s="280">
        <v>0</v>
      </c>
      <c r="P125" s="132"/>
      <c r="Q125" s="145"/>
    </row>
    <row r="126" spans="1:17" ht="19.5" customHeight="1" x14ac:dyDescent="0.3">
      <c r="A126" s="171">
        <v>17</v>
      </c>
      <c r="B126" s="113" t="s">
        <v>257</v>
      </c>
      <c r="C126" s="113"/>
      <c r="D126" s="264" t="s">
        <v>72</v>
      </c>
      <c r="E126" s="230">
        <f t="shared" si="20"/>
        <v>0</v>
      </c>
      <c r="F126" s="267">
        <v>0</v>
      </c>
      <c r="G126" s="85"/>
      <c r="H126" s="145"/>
      <c r="J126" s="171">
        <v>17</v>
      </c>
      <c r="K126" s="113" t="s">
        <v>257</v>
      </c>
      <c r="L126" s="113"/>
      <c r="M126" s="277" t="s">
        <v>45</v>
      </c>
      <c r="N126" s="230">
        <f t="shared" si="19"/>
        <v>4.2</v>
      </c>
      <c r="O126" s="280">
        <v>0</v>
      </c>
      <c r="P126" s="132"/>
      <c r="Q126" s="145"/>
    </row>
    <row r="127" spans="1:17" ht="19.5" customHeight="1" x14ac:dyDescent="0.3">
      <c r="A127" s="171">
        <v>18</v>
      </c>
      <c r="B127" s="113" t="s">
        <v>288</v>
      </c>
      <c r="C127" s="113"/>
      <c r="D127" s="264" t="s">
        <v>72</v>
      </c>
      <c r="E127" s="230">
        <f t="shared" si="20"/>
        <v>0</v>
      </c>
      <c r="F127" s="267">
        <v>0</v>
      </c>
      <c r="G127" s="85"/>
      <c r="H127" s="145"/>
      <c r="J127" s="171">
        <v>18</v>
      </c>
      <c r="K127" s="113" t="s">
        <v>288</v>
      </c>
      <c r="L127" s="113"/>
      <c r="M127" s="277" t="s">
        <v>72</v>
      </c>
      <c r="N127" s="230">
        <f t="shared" si="19"/>
        <v>0</v>
      </c>
      <c r="O127" s="280">
        <v>0</v>
      </c>
      <c r="P127" s="132"/>
      <c r="Q127" s="145"/>
    </row>
    <row r="128" spans="1:17" ht="19.5" customHeight="1" x14ac:dyDescent="0.3">
      <c r="A128" s="171">
        <v>19</v>
      </c>
      <c r="B128" s="113" t="s">
        <v>289</v>
      </c>
      <c r="C128" s="113"/>
      <c r="D128" s="264" t="s">
        <v>45</v>
      </c>
      <c r="E128" s="230">
        <f t="shared" si="20"/>
        <v>4.2</v>
      </c>
      <c r="F128" s="267">
        <v>0</v>
      </c>
      <c r="G128" s="85"/>
      <c r="H128" s="145"/>
      <c r="J128" s="171">
        <v>19</v>
      </c>
      <c r="K128" s="113" t="s">
        <v>289</v>
      </c>
      <c r="L128" s="113"/>
      <c r="M128" s="277" t="s">
        <v>45</v>
      </c>
      <c r="N128" s="230">
        <f t="shared" si="19"/>
        <v>4.2</v>
      </c>
      <c r="O128" s="280">
        <v>0</v>
      </c>
      <c r="P128" s="132"/>
      <c r="Q128" s="145"/>
    </row>
    <row r="129" spans="1:17" ht="19.5" customHeight="1" x14ac:dyDescent="0.3">
      <c r="A129" s="171">
        <v>20</v>
      </c>
      <c r="B129" s="113" t="s">
        <v>283</v>
      </c>
      <c r="C129" s="113"/>
      <c r="D129" s="264" t="s">
        <v>45</v>
      </c>
      <c r="E129" s="230">
        <f t="shared" si="20"/>
        <v>4.2</v>
      </c>
      <c r="F129" s="267">
        <v>0</v>
      </c>
      <c r="G129" s="85"/>
      <c r="H129" s="145"/>
      <c r="J129" s="171">
        <v>20</v>
      </c>
      <c r="K129" s="113" t="s">
        <v>283</v>
      </c>
      <c r="L129" s="113"/>
      <c r="M129" s="277" t="s">
        <v>45</v>
      </c>
      <c r="N129" s="230">
        <f t="shared" si="19"/>
        <v>4.2</v>
      </c>
      <c r="O129" s="280">
        <v>0</v>
      </c>
      <c r="P129" s="132"/>
      <c r="Q129" s="145"/>
    </row>
    <row r="130" spans="1:17" ht="19.5" customHeight="1" x14ac:dyDescent="0.3">
      <c r="A130" s="171">
        <v>21</v>
      </c>
      <c r="B130" s="113" t="s">
        <v>258</v>
      </c>
      <c r="C130" s="113"/>
      <c r="D130" s="264" t="s">
        <v>72</v>
      </c>
      <c r="E130" s="230">
        <f t="shared" si="20"/>
        <v>0</v>
      </c>
      <c r="F130" s="267">
        <v>0</v>
      </c>
      <c r="G130" s="85"/>
      <c r="H130" s="145"/>
      <c r="J130" s="171">
        <v>21</v>
      </c>
      <c r="K130" s="113" t="s">
        <v>258</v>
      </c>
      <c r="L130" s="113"/>
      <c r="M130" s="277" t="s">
        <v>45</v>
      </c>
      <c r="N130" s="230">
        <f t="shared" ref="N130" si="21">IF(M130="Ya",4.2,0)</f>
        <v>4.2</v>
      </c>
      <c r="O130" s="280">
        <v>0</v>
      </c>
      <c r="P130" s="132"/>
      <c r="Q130" s="145"/>
    </row>
    <row r="131" spans="1:17" ht="19.5" customHeight="1" x14ac:dyDescent="0.3">
      <c r="A131" s="171">
        <v>22</v>
      </c>
      <c r="B131" s="113" t="s">
        <v>284</v>
      </c>
      <c r="C131" s="113"/>
      <c r="D131" s="264" t="s">
        <v>45</v>
      </c>
      <c r="E131" s="230">
        <f t="shared" si="18"/>
        <v>4.2</v>
      </c>
      <c r="F131" s="267">
        <v>0</v>
      </c>
      <c r="G131" s="85"/>
      <c r="H131" s="145"/>
      <c r="J131" s="171">
        <v>22</v>
      </c>
      <c r="K131" s="113" t="s">
        <v>284</v>
      </c>
      <c r="L131" s="113"/>
      <c r="M131" s="277" t="s">
        <v>45</v>
      </c>
      <c r="N131" s="230">
        <f t="shared" si="19"/>
        <v>4.2</v>
      </c>
      <c r="O131" s="280">
        <v>0</v>
      </c>
      <c r="P131" s="132"/>
      <c r="Q131" s="145"/>
    </row>
    <row r="132" spans="1:17" ht="19.5" customHeight="1" x14ac:dyDescent="0.3">
      <c r="A132" s="171">
        <v>23</v>
      </c>
      <c r="B132" s="113" t="s">
        <v>285</v>
      </c>
      <c r="C132" s="113"/>
      <c r="D132" s="264" t="s">
        <v>45</v>
      </c>
      <c r="E132" s="230">
        <f t="shared" si="18"/>
        <v>4.2</v>
      </c>
      <c r="F132" s="267">
        <v>0</v>
      </c>
      <c r="G132" s="85"/>
      <c r="H132" s="145"/>
      <c r="J132" s="171">
        <v>23</v>
      </c>
      <c r="K132" s="113" t="s">
        <v>285</v>
      </c>
      <c r="L132" s="113"/>
      <c r="M132" s="277" t="s">
        <v>45</v>
      </c>
      <c r="N132" s="230">
        <f t="shared" si="19"/>
        <v>4.2</v>
      </c>
      <c r="O132" s="280">
        <v>0</v>
      </c>
      <c r="P132" s="132"/>
      <c r="Q132" s="145"/>
    </row>
    <row r="133" spans="1:17" ht="19.5" customHeight="1" x14ac:dyDescent="0.3">
      <c r="A133" s="171">
        <v>24</v>
      </c>
      <c r="B133" s="113" t="s">
        <v>286</v>
      </c>
      <c r="C133" s="113"/>
      <c r="D133" s="265" t="s">
        <v>72</v>
      </c>
      <c r="E133" s="230">
        <f t="shared" si="18"/>
        <v>0</v>
      </c>
      <c r="F133" s="267">
        <v>0</v>
      </c>
      <c r="G133" s="85"/>
      <c r="H133" s="145"/>
      <c r="J133" s="171">
        <v>24</v>
      </c>
      <c r="K133" s="113" t="s">
        <v>286</v>
      </c>
      <c r="L133" s="113"/>
      <c r="M133" s="278" t="s">
        <v>72</v>
      </c>
      <c r="N133" s="230">
        <f t="shared" si="19"/>
        <v>0</v>
      </c>
      <c r="O133" s="280">
        <v>0</v>
      </c>
      <c r="P133" s="132"/>
      <c r="Q133" s="145"/>
    </row>
    <row r="134" spans="1:17" ht="19.5" customHeight="1" x14ac:dyDescent="0.3">
      <c r="A134" s="172"/>
      <c r="B134" s="125"/>
      <c r="C134" s="121" t="s">
        <v>94</v>
      </c>
      <c r="D134" s="210"/>
      <c r="E134" s="122">
        <f>ROUNDDOWN(SUM(E109:E133),0)</f>
        <v>50</v>
      </c>
      <c r="F134" s="122">
        <f>ROUNDDOWN(SUM(F109:F133),0)</f>
        <v>0</v>
      </c>
      <c r="G134" s="116"/>
      <c r="H134" s="173"/>
      <c r="J134" s="172"/>
      <c r="K134" s="281"/>
      <c r="L134" s="121" t="s">
        <v>94</v>
      </c>
      <c r="M134" s="210"/>
      <c r="N134" s="122">
        <f>ROUNDDOWN(SUM(N109:N133),0)</f>
        <v>71</v>
      </c>
      <c r="O134" s="122">
        <f>ROUNDDOWN(SUM(O109:O133),0)</f>
        <v>0</v>
      </c>
      <c r="P134" s="100"/>
      <c r="Q134" s="173"/>
    </row>
    <row r="135" spans="1:17" ht="19.5" customHeight="1" x14ac:dyDescent="0.3">
      <c r="A135" s="174"/>
      <c r="B135" s="175"/>
      <c r="C135" s="175"/>
      <c r="D135" s="100"/>
      <c r="E135" s="133"/>
      <c r="F135" s="133"/>
      <c r="G135" s="129"/>
      <c r="H135" s="130"/>
      <c r="J135" s="174"/>
      <c r="K135" s="175"/>
      <c r="L135" s="175"/>
      <c r="M135" s="100"/>
      <c r="N135" s="133"/>
      <c r="O135" s="133"/>
      <c r="P135" s="129"/>
      <c r="Q135" s="130"/>
    </row>
    <row r="136" spans="1:17" ht="19.5" customHeight="1" x14ac:dyDescent="0.3">
      <c r="A136" s="144"/>
      <c r="B136" s="137"/>
      <c r="C136" s="139"/>
      <c r="D136" s="117" t="s">
        <v>151</v>
      </c>
      <c r="E136" s="176">
        <v>4.2</v>
      </c>
      <c r="F136" s="177" t="s">
        <v>152</v>
      </c>
      <c r="G136" s="85"/>
      <c r="H136" s="145"/>
      <c r="J136" s="144"/>
      <c r="K136" s="137"/>
      <c r="L136" s="139"/>
      <c r="M136" s="117" t="s">
        <v>151</v>
      </c>
      <c r="N136" s="176">
        <v>4.2</v>
      </c>
      <c r="O136" s="177" t="s">
        <v>152</v>
      </c>
      <c r="P136" s="132"/>
      <c r="Q136" s="145"/>
    </row>
    <row r="137" spans="1:17" ht="19.5" customHeight="1" x14ac:dyDescent="0.3">
      <c r="A137" s="144"/>
      <c r="B137" s="137"/>
      <c r="C137" s="139"/>
      <c r="D137" s="98"/>
      <c r="E137" s="176">
        <f>E138*2</f>
        <v>2.78</v>
      </c>
      <c r="F137" s="177" t="s">
        <v>153</v>
      </c>
      <c r="G137" s="85"/>
      <c r="H137" s="145"/>
      <c r="J137" s="144"/>
      <c r="K137" s="137"/>
      <c r="L137" s="139"/>
      <c r="M137" s="98"/>
      <c r="N137" s="176">
        <f>N138*2</f>
        <v>2.78</v>
      </c>
      <c r="O137" s="177" t="s">
        <v>153</v>
      </c>
      <c r="P137" s="132"/>
      <c r="Q137" s="145"/>
    </row>
    <row r="138" spans="1:17" ht="19.5" customHeight="1" x14ac:dyDescent="0.3">
      <c r="A138" s="144"/>
      <c r="B138" s="137"/>
      <c r="C138" s="139"/>
      <c r="D138" s="98"/>
      <c r="E138" s="176">
        <v>1.39</v>
      </c>
      <c r="F138" s="177" t="s">
        <v>154</v>
      </c>
      <c r="G138" s="85"/>
      <c r="H138" s="145"/>
      <c r="J138" s="144"/>
      <c r="K138" s="137"/>
      <c r="L138" s="139"/>
      <c r="M138" s="98"/>
      <c r="N138" s="176">
        <v>1.39</v>
      </c>
      <c r="O138" s="177" t="s">
        <v>154</v>
      </c>
      <c r="P138" s="132"/>
      <c r="Q138" s="145"/>
    </row>
    <row r="139" spans="1:17" ht="19.5" customHeight="1" x14ac:dyDescent="0.3">
      <c r="A139" s="144"/>
      <c r="B139" s="137"/>
      <c r="C139" s="139"/>
      <c r="D139" s="98"/>
      <c r="E139" s="178">
        <v>0</v>
      </c>
      <c r="F139" s="177" t="s">
        <v>155</v>
      </c>
      <c r="G139" s="85"/>
      <c r="H139" s="145"/>
      <c r="J139" s="144"/>
      <c r="K139" s="137"/>
      <c r="L139" s="139"/>
      <c r="M139" s="98"/>
      <c r="N139" s="178">
        <v>0</v>
      </c>
      <c r="O139" s="177" t="s">
        <v>155</v>
      </c>
      <c r="P139" s="132"/>
      <c r="Q139" s="145"/>
    </row>
    <row r="140" spans="1:17" ht="19.5" customHeight="1" x14ac:dyDescent="0.3">
      <c r="A140" s="144"/>
      <c r="B140" s="137"/>
      <c r="C140" s="179" t="s">
        <v>156</v>
      </c>
      <c r="D140" s="129"/>
      <c r="E140" s="180"/>
      <c r="F140" s="180"/>
      <c r="G140" s="129"/>
      <c r="H140" s="145"/>
      <c r="J140" s="144"/>
      <c r="K140" s="137"/>
      <c r="L140" s="179" t="s">
        <v>156</v>
      </c>
      <c r="M140" s="129"/>
      <c r="N140" s="180"/>
      <c r="O140" s="180"/>
      <c r="P140" s="129"/>
      <c r="Q140" s="145"/>
    </row>
    <row r="141" spans="1:17" ht="19.5" customHeight="1" thickBot="1" x14ac:dyDescent="0.35">
      <c r="A141" s="181"/>
      <c r="B141" s="182"/>
      <c r="C141" s="182"/>
      <c r="D141" s="183"/>
      <c r="E141" s="184"/>
      <c r="F141" s="184"/>
      <c r="G141" s="185"/>
      <c r="H141" s="186"/>
      <c r="J141" s="181"/>
      <c r="K141" s="182"/>
      <c r="L141" s="182"/>
      <c r="M141" s="183"/>
      <c r="N141" s="184"/>
      <c r="O141" s="184"/>
      <c r="P141" s="185"/>
      <c r="Q141" s="186"/>
    </row>
    <row r="142" spans="1:17" ht="19.5" customHeight="1" x14ac:dyDescent="0.3">
      <c r="A142" s="118"/>
      <c r="B142" s="115"/>
      <c r="C142" s="115"/>
    </row>
    <row r="143" spans="1:17" ht="19.5" customHeight="1" x14ac:dyDescent="0.3">
      <c r="A143" s="118"/>
      <c r="B143" s="115"/>
      <c r="C143" s="115"/>
    </row>
    <row r="144" spans="1:17" ht="19.5" customHeight="1" x14ac:dyDescent="0.3">
      <c r="A144" s="118"/>
      <c r="B144" s="115"/>
      <c r="C144" s="115"/>
    </row>
    <row r="145" spans="1:3" ht="19.5" customHeight="1" x14ac:dyDescent="0.3">
      <c r="A145" s="118"/>
      <c r="B145" s="115"/>
      <c r="C145" s="115"/>
    </row>
    <row r="146" spans="1:3" ht="19.5" customHeight="1" x14ac:dyDescent="0.3">
      <c r="A146" s="118"/>
      <c r="B146" s="115"/>
      <c r="C146" s="115"/>
    </row>
    <row r="147" spans="1:3" ht="19.5" customHeight="1" x14ac:dyDescent="0.3">
      <c r="A147" s="118"/>
      <c r="B147" s="115"/>
      <c r="C147" s="115"/>
    </row>
    <row r="148" spans="1:3" ht="19.5" customHeight="1" x14ac:dyDescent="0.3">
      <c r="A148" s="118"/>
      <c r="B148" s="115"/>
      <c r="C148" s="115"/>
    </row>
    <row r="149" spans="1:3" ht="19.5" customHeight="1" x14ac:dyDescent="0.3">
      <c r="A149" s="118"/>
      <c r="B149" s="115"/>
      <c r="C149" s="115"/>
    </row>
    <row r="150" spans="1:3" ht="19.5" customHeight="1" x14ac:dyDescent="0.3">
      <c r="A150" s="118"/>
      <c r="B150" s="115"/>
      <c r="C150" s="115"/>
    </row>
  </sheetData>
  <sheetProtection selectLockedCells="1"/>
  <mergeCells count="160">
    <mergeCell ref="K56:L56"/>
    <mergeCell ref="K12:L12"/>
    <mergeCell ref="K20:L20"/>
    <mergeCell ref="K21:L21"/>
    <mergeCell ref="K22:L22"/>
    <mergeCell ref="K23:L23"/>
    <mergeCell ref="K24:L24"/>
    <mergeCell ref="K25:L25"/>
    <mergeCell ref="K26:L26"/>
    <mergeCell ref="K31:L31"/>
    <mergeCell ref="K32:L32"/>
    <mergeCell ref="K33:L33"/>
    <mergeCell ref="K34:L34"/>
    <mergeCell ref="K35:L35"/>
    <mergeCell ref="K36:L36"/>
    <mergeCell ref="K37:L37"/>
    <mergeCell ref="K38:L38"/>
    <mergeCell ref="J106:J107"/>
    <mergeCell ref="K106:L107"/>
    <mergeCell ref="K108:L108"/>
    <mergeCell ref="M108:O108"/>
    <mergeCell ref="K79:L79"/>
    <mergeCell ref="K80:L80"/>
    <mergeCell ref="K81:L81"/>
    <mergeCell ref="K70:L70"/>
    <mergeCell ref="K71:L71"/>
    <mergeCell ref="K72:L72"/>
    <mergeCell ref="K73:L73"/>
    <mergeCell ref="K74:L74"/>
    <mergeCell ref="K102:L102"/>
    <mergeCell ref="K103:L103"/>
    <mergeCell ref="K87:L87"/>
    <mergeCell ref="K77:L77"/>
    <mergeCell ref="K78:L78"/>
    <mergeCell ref="K69:L69"/>
    <mergeCell ref="K62:L62"/>
    <mergeCell ref="K64:L64"/>
    <mergeCell ref="K65:L65"/>
    <mergeCell ref="K66:L66"/>
    <mergeCell ref="J12:J19"/>
    <mergeCell ref="K100:L100"/>
    <mergeCell ref="K101:L101"/>
    <mergeCell ref="L76:N76"/>
    <mergeCell ref="K94:L94"/>
    <mergeCell ref="K95:L95"/>
    <mergeCell ref="K96:L96"/>
    <mergeCell ref="K98:N98"/>
    <mergeCell ref="K99:L99"/>
    <mergeCell ref="K88:L88"/>
    <mergeCell ref="K89:L89"/>
    <mergeCell ref="K92:L92"/>
    <mergeCell ref="K93:L93"/>
    <mergeCell ref="K82:L82"/>
    <mergeCell ref="L84:N84"/>
    <mergeCell ref="K85:L85"/>
    <mergeCell ref="K86:L86"/>
    <mergeCell ref="K39:L39"/>
    <mergeCell ref="K43:L43"/>
    <mergeCell ref="L68:N68"/>
    <mergeCell ref="L61:M61"/>
    <mergeCell ref="J28:L28"/>
    <mergeCell ref="B108:C108"/>
    <mergeCell ref="B120:C120"/>
    <mergeCell ref="B100:C100"/>
    <mergeCell ref="B101:C101"/>
    <mergeCell ref="B102:C102"/>
    <mergeCell ref="B103:C103"/>
    <mergeCell ref="B79:C79"/>
    <mergeCell ref="B80:C80"/>
    <mergeCell ref="B81:C81"/>
    <mergeCell ref="B82:C82"/>
    <mergeCell ref="C84:E84"/>
    <mergeCell ref="B85:C85"/>
    <mergeCell ref="B86:C86"/>
    <mergeCell ref="B87:C87"/>
    <mergeCell ref="B88:C88"/>
    <mergeCell ref="B89:C89"/>
    <mergeCell ref="B78:C78"/>
    <mergeCell ref="B65:C65"/>
    <mergeCell ref="K120:L120"/>
    <mergeCell ref="M120:O120"/>
    <mergeCell ref="K63:L63"/>
    <mergeCell ref="B69:C69"/>
    <mergeCell ref="B70:C70"/>
    <mergeCell ref="B71:C71"/>
    <mergeCell ref="B72:C72"/>
    <mergeCell ref="B73:C73"/>
    <mergeCell ref="B74:C74"/>
    <mergeCell ref="C76:E76"/>
    <mergeCell ref="A106:A107"/>
    <mergeCell ref="B106:C107"/>
    <mergeCell ref="B93:C93"/>
    <mergeCell ref="B94:C94"/>
    <mergeCell ref="B95:C95"/>
    <mergeCell ref="B96:C96"/>
    <mergeCell ref="B98:E98"/>
    <mergeCell ref="B99:C99"/>
    <mergeCell ref="B92:C92"/>
    <mergeCell ref="D108:F108"/>
    <mergeCell ref="D120:F120"/>
    <mergeCell ref="A12:A19"/>
    <mergeCell ref="B12:C12"/>
    <mergeCell ref="B8:C8"/>
    <mergeCell ref="B9:C9"/>
    <mergeCell ref="B10:C10"/>
    <mergeCell ref="B11:C11"/>
    <mergeCell ref="B77:C77"/>
    <mergeCell ref="B64:C64"/>
    <mergeCell ref="B20:C20"/>
    <mergeCell ref="B21:C21"/>
    <mergeCell ref="B22:C22"/>
    <mergeCell ref="B23:C23"/>
    <mergeCell ref="B24:C24"/>
    <mergeCell ref="B25:C25"/>
    <mergeCell ref="B26:C26"/>
    <mergeCell ref="A28:C28"/>
    <mergeCell ref="C61:D61"/>
    <mergeCell ref="B62:C62"/>
    <mergeCell ref="B63:C63"/>
    <mergeCell ref="B39:C39"/>
    <mergeCell ref="B66:C66"/>
    <mergeCell ref="C68:E68"/>
    <mergeCell ref="J5:Q6"/>
    <mergeCell ref="B31:C31"/>
    <mergeCell ref="B32:C32"/>
    <mergeCell ref="B33:C33"/>
    <mergeCell ref="B34:C34"/>
    <mergeCell ref="B35:C35"/>
    <mergeCell ref="B36:C36"/>
    <mergeCell ref="B37:C37"/>
    <mergeCell ref="B38:C38"/>
    <mergeCell ref="A5:H6"/>
    <mergeCell ref="K11:L11"/>
    <mergeCell ref="K8:L8"/>
    <mergeCell ref="K9:L9"/>
    <mergeCell ref="K10:L10"/>
    <mergeCell ref="B55:C55"/>
    <mergeCell ref="B56:C56"/>
    <mergeCell ref="B57:C57"/>
    <mergeCell ref="B27:C27"/>
    <mergeCell ref="K27:L27"/>
    <mergeCell ref="B43:C43"/>
    <mergeCell ref="B44:C44"/>
    <mergeCell ref="B45:C45"/>
    <mergeCell ref="B46:C46"/>
    <mergeCell ref="B50:C50"/>
    <mergeCell ref="B51:C51"/>
    <mergeCell ref="B52:C52"/>
    <mergeCell ref="B53:C53"/>
    <mergeCell ref="B54:C54"/>
    <mergeCell ref="K44:L44"/>
    <mergeCell ref="K45:L45"/>
    <mergeCell ref="K46:L46"/>
    <mergeCell ref="K50:L50"/>
    <mergeCell ref="K57:L57"/>
    <mergeCell ref="K51:L51"/>
    <mergeCell ref="K52:L52"/>
    <mergeCell ref="K53:L53"/>
    <mergeCell ref="K54:L54"/>
    <mergeCell ref="K55:L55"/>
  </mergeCells>
  <dataValidations count="5">
    <dataValidation type="list" allowBlank="1" showInputMessage="1" showErrorMessage="1" sqref="N44 E9:E11 N9:N11 N13:N27 D121:D133 E51:E57 M109:M119 N51:N57 N32:N39 E44 E32:E39 E13:E27 D109:D119 M121:M133" xr:uid="{00000000-0002-0000-0300-000000000000}">
      <formula1>"Ya,Tidak"</formula1>
    </dataValidation>
    <dataValidation type="list" allowBlank="1" showInputMessage="1" showErrorMessage="1" sqref="O70:O73 F70:F73 F78:F81 O78:O81" xr:uid="{00000000-0002-0000-0300-000001000000}">
      <formula1>"0,1,2,3,4,5"</formula1>
    </dataValidation>
    <dataValidation type="list" allowBlank="1" showInputMessage="1" showErrorMessage="1" sqref="O109:O119 F121:F133 F109:F119 O121:O133" xr:uid="{00000000-0002-0000-0300-000002000000}">
      <formula1>"0,1,4,2,8,4,2"</formula1>
    </dataValidation>
    <dataValidation type="list" allowBlank="1" showDropDown="1" showInputMessage="1" showErrorMessage="1" sqref="E45:E46 N45:N46" xr:uid="{00000000-0002-0000-0300-000003000000}">
      <formula1>"Ya,Tidak"</formula1>
    </dataValidation>
    <dataValidation type="list" allowBlank="1" showInputMessage="1" showErrorMessage="1" sqref="E86 N86" xr:uid="{00000000-0002-0000-0300-000004000000}">
      <formula1>"0,100"</formula1>
    </dataValidation>
  </dataValidations>
  <pageMargins left="0.7" right="0.7" top="0.75" bottom="0.75" header="0.3" footer="0.3"/>
  <pageSetup paperSize="9" orientation="portrait" r:id="rId1"/>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Z150"/>
  <sheetViews>
    <sheetView zoomScale="50" zoomScaleNormal="69" workbookViewId="0">
      <selection activeCell="C2" sqref="C2"/>
    </sheetView>
  </sheetViews>
  <sheetFormatPr defaultColWidth="9.21875" defaultRowHeight="19.5" customHeight="1" x14ac:dyDescent="0.3"/>
  <cols>
    <col min="1" max="1" width="7" style="84" customWidth="1"/>
    <col min="2" max="2" width="5.5546875" style="92" customWidth="1"/>
    <col min="3" max="3" width="87.5546875" style="81" customWidth="1"/>
    <col min="4" max="4" width="24.5546875" style="85" customWidth="1"/>
    <col min="5" max="5" width="21.5546875" style="83" bestFit="1" customWidth="1"/>
    <col min="6" max="6" width="18.77734375" style="83" customWidth="1"/>
    <col min="7" max="8" width="16.21875" style="84" customWidth="1"/>
    <col min="9" max="9" width="13.5546875" style="85" customWidth="1"/>
    <col min="10" max="10" width="4.77734375" style="85" bestFit="1" customWidth="1"/>
    <col min="11" max="11" width="5.5546875" style="91" customWidth="1"/>
    <col min="12" max="12" width="87.44140625" style="91" customWidth="1"/>
    <col min="13" max="13" width="26" style="85" customWidth="1"/>
    <col min="14" max="14" width="21.5546875" style="85" bestFit="1" customWidth="1"/>
    <col min="15" max="15" width="22.5546875" style="85" bestFit="1" customWidth="1"/>
    <col min="16" max="16" width="18.21875" style="85" customWidth="1"/>
    <col min="17" max="17" width="15.21875" style="85" customWidth="1"/>
    <col min="18" max="18" width="9.21875" style="107"/>
    <col min="19" max="19" width="5.5546875" style="85" bestFit="1" customWidth="1"/>
    <col min="20" max="20" width="9.21875" style="85"/>
    <col min="21" max="21" width="97.77734375" style="85" customWidth="1"/>
    <col min="22" max="22" width="32.21875" style="85" customWidth="1"/>
    <col min="23" max="23" width="16.21875" style="85" bestFit="1" customWidth="1"/>
    <col min="24" max="24" width="9.5546875" style="85" customWidth="1"/>
    <col min="25" max="16384" width="9.21875" style="85"/>
  </cols>
  <sheetData>
    <row r="1" spans="1:24" ht="19.5" customHeight="1" x14ac:dyDescent="0.3">
      <c r="A1" s="217" t="s">
        <v>188</v>
      </c>
      <c r="B1" s="105"/>
      <c r="C1" s="106"/>
      <c r="D1" s="82"/>
      <c r="H1" s="82"/>
    </row>
    <row r="2" spans="1:24" ht="19.5" customHeight="1" x14ac:dyDescent="0.3">
      <c r="A2" s="217" t="s">
        <v>2</v>
      </c>
      <c r="B2" s="105" t="s">
        <v>187</v>
      </c>
      <c r="C2" s="253"/>
      <c r="D2" s="82"/>
      <c r="H2" s="82"/>
    </row>
    <row r="3" spans="1:24" s="107" customFormat="1" ht="19.5" customHeight="1" x14ac:dyDescent="0.3">
      <c r="A3" s="254" t="s">
        <v>191</v>
      </c>
      <c r="B3" s="218"/>
      <c r="C3" s="219"/>
      <c r="D3" s="101"/>
      <c r="E3" s="108"/>
      <c r="F3" s="108"/>
      <c r="G3" s="94"/>
      <c r="H3" s="101"/>
      <c r="K3" s="220"/>
      <c r="L3" s="220"/>
      <c r="R3" s="154"/>
      <c r="S3" s="154"/>
      <c r="T3" s="154"/>
      <c r="U3" s="154"/>
      <c r="V3" s="154"/>
      <c r="W3" s="154"/>
      <c r="X3" s="154"/>
    </row>
    <row r="4" spans="1:24" s="107" customFormat="1" ht="19.5" customHeight="1" thickBot="1" x14ac:dyDescent="0.35">
      <c r="A4" s="221"/>
      <c r="B4" s="105"/>
      <c r="C4" s="106"/>
      <c r="D4" s="101"/>
      <c r="E4" s="108"/>
      <c r="F4" s="108"/>
      <c r="G4" s="94"/>
      <c r="H4" s="101"/>
      <c r="K4" s="220"/>
      <c r="L4" s="220"/>
      <c r="R4" s="154"/>
      <c r="S4" s="154"/>
      <c r="T4" s="154"/>
      <c r="U4" s="154"/>
      <c r="V4" s="154"/>
      <c r="W4" s="154"/>
      <c r="X4" s="154"/>
    </row>
    <row r="5" spans="1:24" s="107" customFormat="1" ht="19.5" customHeight="1" x14ac:dyDescent="0.3">
      <c r="A5" s="537" t="s">
        <v>185</v>
      </c>
      <c r="B5" s="538"/>
      <c r="C5" s="538"/>
      <c r="D5" s="538"/>
      <c r="E5" s="538"/>
      <c r="F5" s="538"/>
      <c r="G5" s="538"/>
      <c r="H5" s="539"/>
      <c r="I5" s="85"/>
      <c r="J5" s="537" t="s">
        <v>192</v>
      </c>
      <c r="K5" s="538"/>
      <c r="L5" s="538"/>
      <c r="M5" s="538"/>
      <c r="N5" s="538"/>
      <c r="O5" s="538"/>
      <c r="P5" s="538"/>
      <c r="Q5" s="539"/>
      <c r="R5" s="310"/>
      <c r="S5" s="310"/>
      <c r="T5" s="310"/>
      <c r="U5" s="310"/>
      <c r="V5" s="310"/>
      <c r="W5" s="310"/>
      <c r="X5" s="310"/>
    </row>
    <row r="6" spans="1:24" s="107" customFormat="1" ht="19.5" customHeight="1" thickBot="1" x14ac:dyDescent="0.35">
      <c r="A6" s="540"/>
      <c r="B6" s="541"/>
      <c r="C6" s="541"/>
      <c r="D6" s="541"/>
      <c r="E6" s="541"/>
      <c r="F6" s="541"/>
      <c r="G6" s="541"/>
      <c r="H6" s="542"/>
      <c r="I6" s="85"/>
      <c r="J6" s="540"/>
      <c r="K6" s="541"/>
      <c r="L6" s="541"/>
      <c r="M6" s="541"/>
      <c r="N6" s="541"/>
      <c r="O6" s="541"/>
      <c r="P6" s="541"/>
      <c r="Q6" s="542"/>
      <c r="R6" s="310"/>
      <c r="S6" s="310"/>
      <c r="T6" s="310"/>
      <c r="U6" s="310"/>
      <c r="V6" s="310"/>
      <c r="W6" s="310"/>
      <c r="X6" s="310"/>
    </row>
    <row r="7" spans="1:24" s="329" customFormat="1" ht="19.5" customHeight="1" x14ac:dyDescent="0.25">
      <c r="A7" s="326" t="s">
        <v>20</v>
      </c>
      <c r="B7" s="327" t="s">
        <v>101</v>
      </c>
      <c r="C7" s="330" t="s">
        <v>225</v>
      </c>
      <c r="D7" s="327"/>
      <c r="E7" s="327"/>
      <c r="F7" s="328"/>
      <c r="G7" s="282"/>
      <c r="H7" s="295"/>
      <c r="J7" s="326" t="s">
        <v>20</v>
      </c>
      <c r="K7" s="327" t="s">
        <v>101</v>
      </c>
      <c r="L7" s="330" t="s">
        <v>225</v>
      </c>
      <c r="M7" s="327"/>
      <c r="N7" s="327"/>
      <c r="O7" s="328"/>
      <c r="P7" s="282"/>
      <c r="Q7" s="295"/>
      <c r="R7" s="195"/>
      <c r="S7" s="282"/>
      <c r="T7" s="282"/>
      <c r="U7" s="282"/>
      <c r="V7" s="282"/>
      <c r="W7" s="282"/>
      <c r="X7" s="282"/>
    </row>
    <row r="8" spans="1:24" ht="19.5" customHeight="1" x14ac:dyDescent="0.3">
      <c r="A8" s="131" t="s">
        <v>1</v>
      </c>
      <c r="B8" s="534" t="s">
        <v>99</v>
      </c>
      <c r="C8" s="534"/>
      <c r="D8" s="86" t="s">
        <v>25</v>
      </c>
      <c r="E8" s="87" t="s">
        <v>100</v>
      </c>
      <c r="F8" s="66" t="s">
        <v>23</v>
      </c>
      <c r="G8" s="201"/>
      <c r="H8" s="130"/>
      <c r="J8" s="131" t="s">
        <v>1</v>
      </c>
      <c r="K8" s="534" t="s">
        <v>99</v>
      </c>
      <c r="L8" s="534"/>
      <c r="M8" s="86" t="s">
        <v>25</v>
      </c>
      <c r="N8" s="87" t="s">
        <v>100</v>
      </c>
      <c r="O8" s="66" t="s">
        <v>23</v>
      </c>
      <c r="P8" s="201"/>
      <c r="Q8" s="130"/>
      <c r="R8" s="156"/>
      <c r="S8" s="132"/>
      <c r="T8" s="132"/>
      <c r="U8" s="132"/>
      <c r="V8" s="132"/>
      <c r="W8" s="132"/>
      <c r="X8" s="132"/>
    </row>
    <row r="9" spans="1:24" ht="19.5" customHeight="1" x14ac:dyDescent="0.3">
      <c r="A9" s="141" t="s">
        <v>101</v>
      </c>
      <c r="B9" s="543" t="s">
        <v>3</v>
      </c>
      <c r="C9" s="543"/>
      <c r="D9" s="255"/>
      <c r="E9" s="256" t="s">
        <v>72</v>
      </c>
      <c r="F9" s="67">
        <f>IF(E9="Ya",100,0)</f>
        <v>0</v>
      </c>
      <c r="G9" s="208"/>
      <c r="H9" s="130"/>
      <c r="J9" s="141" t="s">
        <v>101</v>
      </c>
      <c r="K9" s="543" t="s">
        <v>3</v>
      </c>
      <c r="L9" s="543"/>
      <c r="M9" s="268"/>
      <c r="N9" s="269" t="s">
        <v>72</v>
      </c>
      <c r="O9" s="67">
        <f>IF(N9="Ya",100,0)</f>
        <v>0</v>
      </c>
      <c r="P9" s="208"/>
      <c r="Q9" s="130"/>
      <c r="R9" s="156"/>
      <c r="S9" s="132"/>
      <c r="T9" s="132"/>
      <c r="U9" s="132"/>
      <c r="V9" s="132"/>
      <c r="W9" s="132"/>
      <c r="X9" s="132"/>
    </row>
    <row r="10" spans="1:24" ht="19.5" customHeight="1" x14ac:dyDescent="0.3">
      <c r="A10" s="141" t="s">
        <v>102</v>
      </c>
      <c r="B10" s="543" t="s">
        <v>4</v>
      </c>
      <c r="C10" s="543"/>
      <c r="D10" s="222"/>
      <c r="E10" s="256" t="s">
        <v>72</v>
      </c>
      <c r="F10" s="67">
        <f t="shared" ref="F10:F27" si="0">IF(E10="Ya",100,0)</f>
        <v>0</v>
      </c>
      <c r="G10" s="208"/>
      <c r="H10" s="130"/>
      <c r="J10" s="141" t="s">
        <v>102</v>
      </c>
      <c r="K10" s="543" t="s">
        <v>4</v>
      </c>
      <c r="L10" s="543"/>
      <c r="M10" s="222"/>
      <c r="N10" s="269" t="s">
        <v>72</v>
      </c>
      <c r="O10" s="67">
        <f t="shared" ref="O10:O27" si="1">IF(N10="Ya",100,0)</f>
        <v>0</v>
      </c>
      <c r="P10" s="208"/>
      <c r="Q10" s="130"/>
      <c r="R10" s="156"/>
      <c r="S10" s="132"/>
      <c r="T10" s="132"/>
      <c r="U10" s="132"/>
      <c r="V10" s="132"/>
      <c r="W10" s="132"/>
      <c r="X10" s="132"/>
    </row>
    <row r="11" spans="1:24" ht="19.5" customHeight="1" x14ac:dyDescent="0.3">
      <c r="A11" s="141" t="s">
        <v>103</v>
      </c>
      <c r="B11" s="543" t="s">
        <v>206</v>
      </c>
      <c r="C11" s="543"/>
      <c r="D11" s="222"/>
      <c r="E11" s="256" t="s">
        <v>72</v>
      </c>
      <c r="F11" s="67">
        <f t="shared" si="0"/>
        <v>0</v>
      </c>
      <c r="G11" s="208"/>
      <c r="H11" s="130"/>
      <c r="J11" s="141" t="s">
        <v>103</v>
      </c>
      <c r="K11" s="543" t="s">
        <v>206</v>
      </c>
      <c r="L11" s="543"/>
      <c r="M11" s="222"/>
      <c r="N11" s="269" t="s">
        <v>72</v>
      </c>
      <c r="O11" s="67">
        <f t="shared" si="1"/>
        <v>0</v>
      </c>
      <c r="P11" s="208"/>
      <c r="Q11" s="130"/>
      <c r="R11" s="156"/>
    </row>
    <row r="12" spans="1:24" ht="19.5" customHeight="1" x14ac:dyDescent="0.3">
      <c r="A12" s="550" t="s">
        <v>104</v>
      </c>
      <c r="B12" s="543" t="s">
        <v>105</v>
      </c>
      <c r="C12" s="543"/>
      <c r="D12" s="223"/>
      <c r="E12" s="223"/>
      <c r="F12" s="67"/>
      <c r="G12" s="208"/>
      <c r="H12" s="130"/>
      <c r="J12" s="550" t="s">
        <v>104</v>
      </c>
      <c r="K12" s="543" t="s">
        <v>105</v>
      </c>
      <c r="L12" s="543"/>
      <c r="M12" s="223"/>
      <c r="N12" s="223"/>
      <c r="O12" s="67"/>
      <c r="P12" s="208"/>
      <c r="Q12" s="130"/>
      <c r="R12" s="156"/>
    </row>
    <row r="13" spans="1:24" ht="34.049999999999997" customHeight="1" x14ac:dyDescent="0.3">
      <c r="A13" s="551"/>
      <c r="B13" s="89" t="s">
        <v>106</v>
      </c>
      <c r="C13" s="257" t="s">
        <v>270</v>
      </c>
      <c r="D13" s="222"/>
      <c r="E13" s="256" t="s">
        <v>72</v>
      </c>
      <c r="F13" s="67">
        <f t="shared" si="0"/>
        <v>0</v>
      </c>
      <c r="G13" s="208"/>
      <c r="H13" s="130"/>
      <c r="J13" s="551"/>
      <c r="K13" s="89" t="s">
        <v>106</v>
      </c>
      <c r="L13" s="270" t="s">
        <v>270</v>
      </c>
      <c r="M13" s="222"/>
      <c r="N13" s="269" t="s">
        <v>72</v>
      </c>
      <c r="O13" s="67">
        <f t="shared" si="1"/>
        <v>0</v>
      </c>
      <c r="P13" s="208"/>
      <c r="Q13" s="130"/>
      <c r="R13" s="156"/>
    </row>
    <row r="14" spans="1:24" ht="34.049999999999997" customHeight="1" x14ac:dyDescent="0.3">
      <c r="A14" s="551"/>
      <c r="B14" s="89" t="s">
        <v>107</v>
      </c>
      <c r="C14" s="90" t="s">
        <v>108</v>
      </c>
      <c r="D14" s="222"/>
      <c r="E14" s="256" t="s">
        <v>72</v>
      </c>
      <c r="F14" s="67">
        <f t="shared" si="0"/>
        <v>0</v>
      </c>
      <c r="G14" s="208"/>
      <c r="H14" s="130"/>
      <c r="J14" s="551"/>
      <c r="K14" s="89" t="s">
        <v>107</v>
      </c>
      <c r="L14" s="90" t="s">
        <v>108</v>
      </c>
      <c r="M14" s="222"/>
      <c r="N14" s="269" t="s">
        <v>72</v>
      </c>
      <c r="O14" s="67">
        <f t="shared" si="1"/>
        <v>0</v>
      </c>
      <c r="P14" s="208"/>
      <c r="Q14" s="130"/>
      <c r="R14" s="156"/>
    </row>
    <row r="15" spans="1:24" ht="19.5" customHeight="1" x14ac:dyDescent="0.3">
      <c r="A15" s="551"/>
      <c r="B15" s="89" t="s">
        <v>109</v>
      </c>
      <c r="C15" s="90" t="s">
        <v>110</v>
      </c>
      <c r="D15" s="222"/>
      <c r="E15" s="256" t="s">
        <v>72</v>
      </c>
      <c r="F15" s="67">
        <f t="shared" si="0"/>
        <v>0</v>
      </c>
      <c r="G15" s="208"/>
      <c r="H15" s="130"/>
      <c r="J15" s="551"/>
      <c r="K15" s="89" t="s">
        <v>109</v>
      </c>
      <c r="L15" s="90" t="s">
        <v>110</v>
      </c>
      <c r="M15" s="222"/>
      <c r="N15" s="269" t="s">
        <v>72</v>
      </c>
      <c r="O15" s="67">
        <f t="shared" si="1"/>
        <v>0</v>
      </c>
      <c r="P15" s="208"/>
      <c r="Q15" s="130"/>
      <c r="R15" s="156"/>
    </row>
    <row r="16" spans="1:24" ht="34.049999999999997" customHeight="1" x14ac:dyDescent="0.3">
      <c r="A16" s="551"/>
      <c r="B16" s="89" t="s">
        <v>111</v>
      </c>
      <c r="C16" s="90" t="s">
        <v>112</v>
      </c>
      <c r="D16" s="222"/>
      <c r="E16" s="256" t="s">
        <v>72</v>
      </c>
      <c r="F16" s="67">
        <f t="shared" si="0"/>
        <v>0</v>
      </c>
      <c r="G16" s="208"/>
      <c r="H16" s="130"/>
      <c r="J16" s="551"/>
      <c r="K16" s="89" t="s">
        <v>111</v>
      </c>
      <c r="L16" s="90" t="s">
        <v>112</v>
      </c>
      <c r="M16" s="222"/>
      <c r="N16" s="269" t="s">
        <v>72</v>
      </c>
      <c r="O16" s="67">
        <f t="shared" si="1"/>
        <v>0</v>
      </c>
      <c r="P16" s="208"/>
      <c r="Q16" s="130"/>
      <c r="R16" s="156"/>
    </row>
    <row r="17" spans="1:26" ht="34.049999999999997" customHeight="1" x14ac:dyDescent="0.3">
      <c r="A17" s="551"/>
      <c r="B17" s="89" t="s">
        <v>113</v>
      </c>
      <c r="C17" s="90" t="s">
        <v>157</v>
      </c>
      <c r="D17" s="222"/>
      <c r="E17" s="256" t="s">
        <v>72</v>
      </c>
      <c r="F17" s="67">
        <f t="shared" si="0"/>
        <v>0</v>
      </c>
      <c r="G17" s="208"/>
      <c r="H17" s="130"/>
      <c r="J17" s="551"/>
      <c r="K17" s="89" t="s">
        <v>113</v>
      </c>
      <c r="L17" s="90" t="s">
        <v>157</v>
      </c>
      <c r="M17" s="222"/>
      <c r="N17" s="269" t="s">
        <v>72</v>
      </c>
      <c r="O17" s="67">
        <f t="shared" si="1"/>
        <v>0</v>
      </c>
      <c r="P17" s="208"/>
      <c r="Q17" s="130"/>
      <c r="R17" s="156"/>
    </row>
    <row r="18" spans="1:26" ht="50.1" customHeight="1" x14ac:dyDescent="0.3">
      <c r="A18" s="551"/>
      <c r="B18" s="89" t="s">
        <v>114</v>
      </c>
      <c r="C18" s="90" t="s">
        <v>158</v>
      </c>
      <c r="D18" s="224"/>
      <c r="E18" s="256" t="s">
        <v>72</v>
      </c>
      <c r="F18" s="67">
        <f t="shared" si="0"/>
        <v>0</v>
      </c>
      <c r="G18" s="208"/>
      <c r="H18" s="130"/>
      <c r="J18" s="551"/>
      <c r="K18" s="89" t="s">
        <v>114</v>
      </c>
      <c r="L18" s="90" t="s">
        <v>158</v>
      </c>
      <c r="M18" s="224"/>
      <c r="N18" s="269" t="s">
        <v>72</v>
      </c>
      <c r="O18" s="67">
        <f t="shared" si="1"/>
        <v>0</v>
      </c>
      <c r="P18" s="208"/>
      <c r="Q18" s="130"/>
      <c r="R18" s="156"/>
    </row>
    <row r="19" spans="1:26" ht="19.5" customHeight="1" x14ac:dyDescent="0.3">
      <c r="A19" s="552"/>
      <c r="B19" s="89" t="s">
        <v>115</v>
      </c>
      <c r="C19" s="90" t="s">
        <v>116</v>
      </c>
      <c r="D19" s="224"/>
      <c r="E19" s="256" t="s">
        <v>72</v>
      </c>
      <c r="F19" s="67">
        <f t="shared" si="0"/>
        <v>0</v>
      </c>
      <c r="G19" s="208"/>
      <c r="H19" s="130"/>
      <c r="J19" s="552"/>
      <c r="K19" s="89" t="s">
        <v>115</v>
      </c>
      <c r="L19" s="90" t="s">
        <v>116</v>
      </c>
      <c r="M19" s="224"/>
      <c r="N19" s="269" t="s">
        <v>72</v>
      </c>
      <c r="O19" s="67">
        <f t="shared" si="1"/>
        <v>0</v>
      </c>
      <c r="P19" s="208"/>
      <c r="Q19" s="130"/>
      <c r="R19" s="156"/>
    </row>
    <row r="20" spans="1:26" ht="19.5" customHeight="1" x14ac:dyDescent="0.3">
      <c r="A20" s="141" t="s">
        <v>117</v>
      </c>
      <c r="B20" s="543" t="s">
        <v>118</v>
      </c>
      <c r="C20" s="543"/>
      <c r="D20" s="258"/>
      <c r="E20" s="256" t="s">
        <v>72</v>
      </c>
      <c r="F20" s="67">
        <f t="shared" si="0"/>
        <v>0</v>
      </c>
      <c r="G20" s="208"/>
      <c r="H20" s="130"/>
      <c r="J20" s="141" t="s">
        <v>117</v>
      </c>
      <c r="K20" s="543" t="s">
        <v>118</v>
      </c>
      <c r="L20" s="543"/>
      <c r="M20" s="271"/>
      <c r="N20" s="269" t="s">
        <v>72</v>
      </c>
      <c r="O20" s="67">
        <f t="shared" si="1"/>
        <v>0</v>
      </c>
      <c r="P20" s="208"/>
      <c r="Q20" s="130"/>
      <c r="R20" s="156"/>
    </row>
    <row r="21" spans="1:26" ht="19.5" customHeight="1" x14ac:dyDescent="0.3">
      <c r="A21" s="141" t="s">
        <v>119</v>
      </c>
      <c r="B21" s="543" t="s">
        <v>159</v>
      </c>
      <c r="C21" s="543"/>
      <c r="D21" s="258"/>
      <c r="E21" s="256" t="s">
        <v>72</v>
      </c>
      <c r="F21" s="67">
        <f t="shared" si="0"/>
        <v>0</v>
      </c>
      <c r="G21" s="208"/>
      <c r="H21" s="130"/>
      <c r="J21" s="141" t="s">
        <v>119</v>
      </c>
      <c r="K21" s="543" t="s">
        <v>159</v>
      </c>
      <c r="L21" s="543"/>
      <c r="M21" s="271"/>
      <c r="N21" s="269" t="s">
        <v>72</v>
      </c>
      <c r="O21" s="67">
        <f t="shared" si="1"/>
        <v>0</v>
      </c>
      <c r="P21" s="208"/>
      <c r="Q21" s="130"/>
      <c r="R21" s="156"/>
    </row>
    <row r="22" spans="1:26" ht="19.5" customHeight="1" x14ac:dyDescent="0.3">
      <c r="A22" s="141" t="s">
        <v>120</v>
      </c>
      <c r="B22" s="543" t="s">
        <v>121</v>
      </c>
      <c r="C22" s="543"/>
      <c r="D22" s="258"/>
      <c r="E22" s="256" t="s">
        <v>72</v>
      </c>
      <c r="F22" s="67">
        <f t="shared" si="0"/>
        <v>0</v>
      </c>
      <c r="G22" s="208"/>
      <c r="H22" s="130"/>
      <c r="J22" s="141" t="s">
        <v>120</v>
      </c>
      <c r="K22" s="543" t="s">
        <v>121</v>
      </c>
      <c r="L22" s="543"/>
      <c r="M22" s="271"/>
      <c r="N22" s="269" t="s">
        <v>72</v>
      </c>
      <c r="O22" s="67">
        <f t="shared" si="1"/>
        <v>0</v>
      </c>
      <c r="P22" s="208"/>
      <c r="Q22" s="130"/>
      <c r="R22" s="156"/>
    </row>
    <row r="23" spans="1:26" ht="19.5" customHeight="1" x14ac:dyDescent="0.3">
      <c r="A23" s="141" t="s">
        <v>122</v>
      </c>
      <c r="B23" s="543" t="s">
        <v>123</v>
      </c>
      <c r="C23" s="543"/>
      <c r="D23" s="258"/>
      <c r="E23" s="256" t="s">
        <v>72</v>
      </c>
      <c r="F23" s="67">
        <f t="shared" si="0"/>
        <v>0</v>
      </c>
      <c r="G23" s="208"/>
      <c r="H23" s="130"/>
      <c r="J23" s="141" t="s">
        <v>122</v>
      </c>
      <c r="K23" s="543" t="s">
        <v>123</v>
      </c>
      <c r="L23" s="543"/>
      <c r="M23" s="271"/>
      <c r="N23" s="269" t="s">
        <v>72</v>
      </c>
      <c r="O23" s="67">
        <f t="shared" si="1"/>
        <v>0</v>
      </c>
      <c r="P23" s="208"/>
      <c r="Q23" s="130"/>
      <c r="R23" s="156"/>
    </row>
    <row r="24" spans="1:26" ht="19.5" customHeight="1" x14ac:dyDescent="0.3">
      <c r="A24" s="141" t="s">
        <v>124</v>
      </c>
      <c r="B24" s="543" t="s">
        <v>125</v>
      </c>
      <c r="C24" s="543"/>
      <c r="D24" s="258"/>
      <c r="E24" s="256" t="s">
        <v>72</v>
      </c>
      <c r="F24" s="67">
        <f t="shared" si="0"/>
        <v>0</v>
      </c>
      <c r="G24" s="208"/>
      <c r="H24" s="130"/>
      <c r="J24" s="141" t="s">
        <v>124</v>
      </c>
      <c r="K24" s="543" t="s">
        <v>125</v>
      </c>
      <c r="L24" s="543"/>
      <c r="M24" s="271"/>
      <c r="N24" s="269" t="s">
        <v>72</v>
      </c>
      <c r="O24" s="67">
        <f t="shared" si="1"/>
        <v>0</v>
      </c>
      <c r="P24" s="208"/>
      <c r="Q24" s="130"/>
      <c r="R24" s="156"/>
      <c r="U24" s="132"/>
    </row>
    <row r="25" spans="1:26" ht="34.5" customHeight="1" x14ac:dyDescent="0.3">
      <c r="A25" s="141" t="s">
        <v>126</v>
      </c>
      <c r="B25" s="543" t="s">
        <v>127</v>
      </c>
      <c r="C25" s="543"/>
      <c r="D25" s="258"/>
      <c r="E25" s="256" t="s">
        <v>72</v>
      </c>
      <c r="F25" s="67">
        <f t="shared" si="0"/>
        <v>0</v>
      </c>
      <c r="G25" s="208"/>
      <c r="H25" s="130"/>
      <c r="J25" s="141" t="s">
        <v>126</v>
      </c>
      <c r="K25" s="543" t="s">
        <v>127</v>
      </c>
      <c r="L25" s="543"/>
      <c r="M25" s="271"/>
      <c r="N25" s="269" t="s">
        <v>72</v>
      </c>
      <c r="O25" s="67">
        <f t="shared" si="1"/>
        <v>0</v>
      </c>
      <c r="P25" s="208"/>
      <c r="Q25" s="130"/>
      <c r="R25" s="156"/>
    </row>
    <row r="26" spans="1:26" ht="15.6" x14ac:dyDescent="0.3">
      <c r="A26" s="141" t="s">
        <v>128</v>
      </c>
      <c r="B26" s="555" t="s">
        <v>269</v>
      </c>
      <c r="C26" s="556"/>
      <c r="D26" s="224"/>
      <c r="E26" s="256" t="s">
        <v>72</v>
      </c>
      <c r="F26" s="67">
        <f t="shared" si="0"/>
        <v>0</v>
      </c>
      <c r="G26" s="208"/>
      <c r="H26" s="130"/>
      <c r="J26" s="141" t="s">
        <v>128</v>
      </c>
      <c r="K26" s="586" t="s">
        <v>269</v>
      </c>
      <c r="L26" s="587"/>
      <c r="M26" s="224"/>
      <c r="N26" s="269" t="s">
        <v>72</v>
      </c>
      <c r="O26" s="67">
        <f t="shared" si="1"/>
        <v>0</v>
      </c>
      <c r="P26" s="208"/>
      <c r="Q26" s="130"/>
      <c r="R26" s="156"/>
    </row>
    <row r="27" spans="1:26" ht="19.5" customHeight="1" x14ac:dyDescent="0.3">
      <c r="A27" s="323" t="s">
        <v>230</v>
      </c>
      <c r="B27" s="532" t="s">
        <v>232</v>
      </c>
      <c r="C27" s="533"/>
      <c r="D27" s="224"/>
      <c r="E27" s="256" t="s">
        <v>72</v>
      </c>
      <c r="F27" s="67">
        <f t="shared" si="0"/>
        <v>0</v>
      </c>
      <c r="G27" s="208"/>
      <c r="H27" s="130"/>
      <c r="J27" s="141" t="s">
        <v>230</v>
      </c>
      <c r="K27" s="532" t="s">
        <v>231</v>
      </c>
      <c r="L27" s="533"/>
      <c r="M27" s="224"/>
      <c r="N27" s="269" t="s">
        <v>72</v>
      </c>
      <c r="O27" s="67">
        <f t="shared" si="1"/>
        <v>0</v>
      </c>
      <c r="P27" s="208"/>
      <c r="Q27" s="130"/>
      <c r="R27" s="156"/>
    </row>
    <row r="28" spans="1:26" ht="19.5" customHeight="1" x14ac:dyDescent="0.3">
      <c r="A28" s="557" t="s">
        <v>129</v>
      </c>
      <c r="B28" s="557"/>
      <c r="C28" s="557"/>
      <c r="D28" s="315"/>
      <c r="E28" s="316" t="s">
        <v>223</v>
      </c>
      <c r="F28" s="93">
        <f>AVERAGE(F9:F27)</f>
        <v>0</v>
      </c>
      <c r="G28" s="187"/>
      <c r="H28" s="130"/>
      <c r="J28" s="573" t="s">
        <v>207</v>
      </c>
      <c r="K28" s="574"/>
      <c r="L28" s="574"/>
      <c r="M28" s="315"/>
      <c r="N28" s="316" t="s">
        <v>223</v>
      </c>
      <c r="O28" s="291">
        <f>AVERAGE(O9:O27)</f>
        <v>0</v>
      </c>
      <c r="P28" s="187"/>
      <c r="Q28" s="130"/>
      <c r="R28" s="156"/>
    </row>
    <row r="29" spans="1:26" ht="19.5" customHeight="1" x14ac:dyDescent="0.3">
      <c r="A29" s="309"/>
      <c r="B29" s="309"/>
      <c r="C29" s="309"/>
      <c r="D29" s="132"/>
      <c r="E29" s="133"/>
      <c r="F29" s="187"/>
      <c r="G29" s="187"/>
      <c r="H29" s="130"/>
      <c r="J29" s="308"/>
      <c r="K29" s="309"/>
      <c r="L29" s="309"/>
      <c r="M29" s="132"/>
      <c r="N29" s="282"/>
      <c r="O29" s="296"/>
      <c r="P29" s="187"/>
      <c r="Q29" s="130"/>
      <c r="R29" s="156"/>
    </row>
    <row r="30" spans="1:26" s="329" customFormat="1" ht="19.5" customHeight="1" x14ac:dyDescent="0.25">
      <c r="A30" s="293" t="s">
        <v>20</v>
      </c>
      <c r="B30" s="329" t="s">
        <v>102</v>
      </c>
      <c r="C30" s="331" t="s">
        <v>193</v>
      </c>
      <c r="D30" s="282"/>
      <c r="E30" s="282"/>
      <c r="F30" s="282"/>
      <c r="G30" s="296"/>
      <c r="H30" s="145"/>
      <c r="J30" s="293" t="s">
        <v>20</v>
      </c>
      <c r="K30" s="282" t="s">
        <v>102</v>
      </c>
      <c r="L30" s="331" t="s">
        <v>193</v>
      </c>
      <c r="M30" s="282"/>
      <c r="N30" s="282"/>
      <c r="O30" s="282"/>
      <c r="P30" s="296"/>
      <c r="Q30" s="145"/>
      <c r="R30" s="195"/>
    </row>
    <row r="31" spans="1:26" ht="19.5" customHeight="1" x14ac:dyDescent="0.3">
      <c r="A31" s="131" t="s">
        <v>1</v>
      </c>
      <c r="B31" s="534" t="s">
        <v>99</v>
      </c>
      <c r="C31" s="534"/>
      <c r="D31" s="86" t="s">
        <v>25</v>
      </c>
      <c r="E31" s="87" t="s">
        <v>100</v>
      </c>
      <c r="F31" s="66" t="s">
        <v>23</v>
      </c>
      <c r="G31" s="187"/>
      <c r="H31" s="130"/>
      <c r="J31" s="131" t="s">
        <v>1</v>
      </c>
      <c r="K31" s="534" t="s">
        <v>99</v>
      </c>
      <c r="L31" s="534"/>
      <c r="M31" s="86" t="s">
        <v>25</v>
      </c>
      <c r="N31" s="87" t="s">
        <v>100</v>
      </c>
      <c r="O31" s="66" t="s">
        <v>23</v>
      </c>
      <c r="P31" s="187"/>
      <c r="Q31" s="130"/>
      <c r="R31" s="156"/>
      <c r="U31" s="132"/>
      <c r="V31" s="132"/>
      <c r="W31" s="132"/>
      <c r="X31" s="132"/>
      <c r="Y31" s="132"/>
      <c r="Z31" s="132"/>
    </row>
    <row r="32" spans="1:26" ht="19.5" customHeight="1" x14ac:dyDescent="0.3">
      <c r="A32" s="141" t="s">
        <v>101</v>
      </c>
      <c r="B32" s="531" t="s">
        <v>208</v>
      </c>
      <c r="C32" s="531"/>
      <c r="D32" s="321"/>
      <c r="E32" s="256" t="s">
        <v>72</v>
      </c>
      <c r="F32" s="67">
        <f>IF(E32="Ya",100,0)</f>
        <v>0</v>
      </c>
      <c r="G32" s="187"/>
      <c r="H32" s="130"/>
      <c r="J32" s="141" t="s">
        <v>101</v>
      </c>
      <c r="K32" s="531" t="s">
        <v>208</v>
      </c>
      <c r="L32" s="531"/>
      <c r="M32" s="286"/>
      <c r="N32" s="269" t="s">
        <v>72</v>
      </c>
      <c r="O32" s="67">
        <f>IF(N32="Ya",100,0)</f>
        <v>0</v>
      </c>
      <c r="P32" s="187"/>
      <c r="Q32" s="130"/>
      <c r="R32" s="156"/>
      <c r="U32" s="132"/>
      <c r="V32" s="132"/>
      <c r="W32" s="132"/>
      <c r="X32" s="132"/>
      <c r="Y32" s="132"/>
      <c r="Z32" s="132"/>
    </row>
    <row r="33" spans="1:26" ht="19.5" customHeight="1" x14ac:dyDescent="0.3">
      <c r="A33" s="141" t="s">
        <v>102</v>
      </c>
      <c r="B33" s="535" t="s">
        <v>209</v>
      </c>
      <c r="C33" s="535"/>
      <c r="D33" s="321"/>
      <c r="E33" s="256" t="s">
        <v>72</v>
      </c>
      <c r="F33" s="67">
        <f t="shared" ref="F33:F39" si="2">IF(E33="Ya",100,0)</f>
        <v>0</v>
      </c>
      <c r="G33" s="187"/>
      <c r="H33" s="130"/>
      <c r="J33" s="141" t="s">
        <v>102</v>
      </c>
      <c r="K33" s="535" t="s">
        <v>209</v>
      </c>
      <c r="L33" s="535"/>
      <c r="M33" s="286"/>
      <c r="N33" s="269" t="s">
        <v>72</v>
      </c>
      <c r="O33" s="67">
        <f t="shared" ref="O33:O39" si="3">IF(N33="Ya",100,0)</f>
        <v>0</v>
      </c>
      <c r="P33" s="187"/>
      <c r="Q33" s="130"/>
      <c r="R33" s="156"/>
      <c r="U33" s="132"/>
      <c r="V33" s="132"/>
      <c r="W33" s="132"/>
      <c r="X33" s="132"/>
      <c r="Y33" s="132"/>
      <c r="Z33" s="132"/>
    </row>
    <row r="34" spans="1:26" ht="19.5" customHeight="1" x14ac:dyDescent="0.3">
      <c r="A34" s="141" t="s">
        <v>103</v>
      </c>
      <c r="B34" s="531" t="s">
        <v>210</v>
      </c>
      <c r="C34" s="531"/>
      <c r="D34" s="321"/>
      <c r="E34" s="256" t="s">
        <v>72</v>
      </c>
      <c r="F34" s="67">
        <f t="shared" si="2"/>
        <v>0</v>
      </c>
      <c r="G34" s="187"/>
      <c r="H34" s="130"/>
      <c r="J34" s="141" t="s">
        <v>103</v>
      </c>
      <c r="K34" s="531" t="s">
        <v>210</v>
      </c>
      <c r="L34" s="531"/>
      <c r="M34" s="286"/>
      <c r="N34" s="269" t="s">
        <v>72</v>
      </c>
      <c r="O34" s="67">
        <f t="shared" si="3"/>
        <v>0</v>
      </c>
      <c r="P34" s="187"/>
      <c r="Q34" s="130"/>
      <c r="R34" s="156"/>
      <c r="U34" s="132"/>
      <c r="V34" s="132"/>
      <c r="W34" s="132"/>
      <c r="X34" s="132"/>
      <c r="Y34" s="132"/>
      <c r="Z34" s="132"/>
    </row>
    <row r="35" spans="1:26" ht="19.5" customHeight="1" x14ac:dyDescent="0.3">
      <c r="A35" s="141" t="s">
        <v>104</v>
      </c>
      <c r="B35" s="535" t="s">
        <v>211</v>
      </c>
      <c r="C35" s="535"/>
      <c r="D35" s="321"/>
      <c r="E35" s="256" t="s">
        <v>72</v>
      </c>
      <c r="F35" s="67">
        <f t="shared" si="2"/>
        <v>0</v>
      </c>
      <c r="G35" s="187"/>
      <c r="H35" s="130"/>
      <c r="J35" s="141" t="s">
        <v>104</v>
      </c>
      <c r="K35" s="535" t="s">
        <v>211</v>
      </c>
      <c r="L35" s="535"/>
      <c r="M35" s="286"/>
      <c r="N35" s="269" t="s">
        <v>72</v>
      </c>
      <c r="O35" s="67">
        <f t="shared" si="3"/>
        <v>0</v>
      </c>
      <c r="P35" s="187"/>
      <c r="Q35" s="130"/>
      <c r="R35" s="151"/>
      <c r="S35" s="132"/>
      <c r="T35" s="132"/>
      <c r="U35" s="132"/>
      <c r="V35" s="132"/>
      <c r="W35" s="132"/>
      <c r="X35" s="132"/>
      <c r="Y35" s="132"/>
      <c r="Z35" s="132"/>
    </row>
    <row r="36" spans="1:26" ht="19.5" customHeight="1" x14ac:dyDescent="0.3">
      <c r="A36" s="141" t="s">
        <v>117</v>
      </c>
      <c r="B36" s="535" t="s">
        <v>212</v>
      </c>
      <c r="C36" s="535"/>
      <c r="D36" s="321"/>
      <c r="E36" s="256" t="s">
        <v>72</v>
      </c>
      <c r="F36" s="67">
        <f t="shared" si="2"/>
        <v>0</v>
      </c>
      <c r="G36" s="187"/>
      <c r="H36" s="130"/>
      <c r="J36" s="141" t="s">
        <v>117</v>
      </c>
      <c r="K36" s="535" t="s">
        <v>212</v>
      </c>
      <c r="L36" s="535"/>
      <c r="M36" s="286"/>
      <c r="N36" s="269" t="s">
        <v>72</v>
      </c>
      <c r="O36" s="67">
        <f t="shared" si="3"/>
        <v>0</v>
      </c>
      <c r="P36" s="187"/>
      <c r="Q36" s="130"/>
      <c r="R36" s="156"/>
      <c r="S36" s="132"/>
      <c r="U36" s="132"/>
      <c r="V36" s="132"/>
      <c r="W36" s="132"/>
      <c r="X36" s="132"/>
      <c r="Y36" s="132"/>
      <c r="Z36" s="132"/>
    </row>
    <row r="37" spans="1:26" s="192" customFormat="1" ht="19.5" customHeight="1" x14ac:dyDescent="0.3">
      <c r="A37" s="141" t="s">
        <v>119</v>
      </c>
      <c r="B37" s="535" t="s">
        <v>213</v>
      </c>
      <c r="C37" s="535"/>
      <c r="D37" s="321"/>
      <c r="E37" s="256" t="s">
        <v>72</v>
      </c>
      <c r="F37" s="67">
        <f t="shared" si="2"/>
        <v>0</v>
      </c>
      <c r="G37" s="187"/>
      <c r="H37" s="130"/>
      <c r="J37" s="141" t="s">
        <v>119</v>
      </c>
      <c r="K37" s="535" t="s">
        <v>213</v>
      </c>
      <c r="L37" s="535"/>
      <c r="M37" s="286"/>
      <c r="N37" s="269" t="s">
        <v>72</v>
      </c>
      <c r="O37" s="67">
        <f t="shared" si="3"/>
        <v>0</v>
      </c>
      <c r="P37" s="187"/>
      <c r="Q37" s="130"/>
      <c r="R37" s="199"/>
      <c r="U37" s="288"/>
      <c r="V37" s="288"/>
      <c r="W37" s="288"/>
      <c r="X37" s="288"/>
      <c r="Y37" s="288"/>
      <c r="Z37" s="288"/>
    </row>
    <row r="38" spans="1:26" ht="19.5" customHeight="1" x14ac:dyDescent="0.3">
      <c r="A38" s="141" t="s">
        <v>120</v>
      </c>
      <c r="B38" s="535" t="s">
        <v>214</v>
      </c>
      <c r="C38" s="535"/>
      <c r="D38" s="321"/>
      <c r="E38" s="256" t="s">
        <v>72</v>
      </c>
      <c r="F38" s="67">
        <f t="shared" si="2"/>
        <v>0</v>
      </c>
      <c r="G38" s="187"/>
      <c r="H38" s="130"/>
      <c r="J38" s="141" t="s">
        <v>120</v>
      </c>
      <c r="K38" s="535" t="s">
        <v>214</v>
      </c>
      <c r="L38" s="535"/>
      <c r="M38" s="286"/>
      <c r="N38" s="269" t="s">
        <v>72</v>
      </c>
      <c r="O38" s="67">
        <f t="shared" si="3"/>
        <v>0</v>
      </c>
      <c r="P38" s="187"/>
      <c r="Q38" s="130"/>
      <c r="R38" s="195"/>
      <c r="U38" s="132"/>
      <c r="V38" s="132"/>
      <c r="W38" s="132"/>
      <c r="X38" s="132"/>
      <c r="Y38" s="132"/>
      <c r="Z38" s="132"/>
    </row>
    <row r="39" spans="1:26" ht="19.5" customHeight="1" x14ac:dyDescent="0.3">
      <c r="A39" s="141" t="s">
        <v>122</v>
      </c>
      <c r="B39" s="535" t="s">
        <v>215</v>
      </c>
      <c r="C39" s="535"/>
      <c r="D39" s="321"/>
      <c r="E39" s="256" t="s">
        <v>72</v>
      </c>
      <c r="F39" s="67">
        <f t="shared" si="2"/>
        <v>0</v>
      </c>
      <c r="G39" s="187"/>
      <c r="H39" s="130"/>
      <c r="J39" s="141" t="s">
        <v>122</v>
      </c>
      <c r="K39" s="535" t="s">
        <v>215</v>
      </c>
      <c r="L39" s="535"/>
      <c r="M39" s="286"/>
      <c r="N39" s="269" t="s">
        <v>72</v>
      </c>
      <c r="O39" s="67">
        <f t="shared" si="3"/>
        <v>0</v>
      </c>
      <c r="P39" s="187"/>
      <c r="Q39" s="130"/>
      <c r="R39" s="117"/>
    </row>
    <row r="40" spans="1:26" ht="19.5" customHeight="1" x14ac:dyDescent="0.3">
      <c r="A40" s="134"/>
      <c r="B40" s="132"/>
      <c r="C40" s="132"/>
      <c r="D40" s="132"/>
      <c r="E40" s="282" t="s">
        <v>220</v>
      </c>
      <c r="F40" s="282">
        <f>AVERAGE(F32:F39)</f>
        <v>0</v>
      </c>
      <c r="G40" s="187"/>
      <c r="H40" s="130"/>
      <c r="J40" s="134"/>
      <c r="K40" s="132"/>
      <c r="L40" s="132"/>
      <c r="M40" s="132"/>
      <c r="N40" s="282" t="s">
        <v>220</v>
      </c>
      <c r="O40" s="282">
        <f>AVERAGE(O32:O39)</f>
        <v>0</v>
      </c>
      <c r="P40" s="187"/>
      <c r="Q40" s="130"/>
      <c r="R40" s="117"/>
    </row>
    <row r="41" spans="1:26" ht="19.5" customHeight="1" x14ac:dyDescent="0.3">
      <c r="A41" s="134"/>
      <c r="B41" s="132"/>
      <c r="C41" s="132"/>
      <c r="D41" s="132"/>
      <c r="E41" s="282"/>
      <c r="F41" s="282"/>
      <c r="G41" s="187"/>
      <c r="H41" s="130"/>
      <c r="J41" s="134"/>
      <c r="K41" s="132"/>
      <c r="L41" s="132"/>
      <c r="M41" s="132"/>
      <c r="N41" s="282"/>
      <c r="O41" s="282"/>
      <c r="P41" s="187"/>
      <c r="Q41" s="130"/>
      <c r="R41" s="117"/>
    </row>
    <row r="42" spans="1:26" s="84" customFormat="1" ht="19.5" customHeight="1" x14ac:dyDescent="0.3">
      <c r="A42" s="293" t="s">
        <v>20</v>
      </c>
      <c r="B42" s="282" t="s">
        <v>103</v>
      </c>
      <c r="C42" s="331" t="s">
        <v>198</v>
      </c>
      <c r="D42" s="190"/>
      <c r="E42" s="190"/>
      <c r="F42" s="190"/>
      <c r="G42" s="187"/>
      <c r="H42" s="130"/>
      <c r="J42" s="293" t="s">
        <v>20</v>
      </c>
      <c r="K42" s="282" t="s">
        <v>103</v>
      </c>
      <c r="L42" s="331" t="s">
        <v>198</v>
      </c>
      <c r="M42" s="190"/>
      <c r="N42" s="190"/>
      <c r="O42" s="190"/>
      <c r="P42" s="187"/>
      <c r="Q42" s="130"/>
      <c r="R42" s="117"/>
    </row>
    <row r="43" spans="1:26" ht="19.5" customHeight="1" x14ac:dyDescent="0.3">
      <c r="A43" s="131" t="s">
        <v>1</v>
      </c>
      <c r="B43" s="534" t="s">
        <v>99</v>
      </c>
      <c r="C43" s="534"/>
      <c r="D43" s="86" t="s">
        <v>25</v>
      </c>
      <c r="E43" s="87" t="s">
        <v>100</v>
      </c>
      <c r="F43" s="66" t="s">
        <v>23</v>
      </c>
      <c r="G43" s="187"/>
      <c r="H43" s="130"/>
      <c r="I43" s="107"/>
      <c r="J43" s="131" t="s">
        <v>1</v>
      </c>
      <c r="K43" s="534" t="s">
        <v>99</v>
      </c>
      <c r="L43" s="534"/>
      <c r="M43" s="86" t="s">
        <v>25</v>
      </c>
      <c r="N43" s="87" t="s">
        <v>100</v>
      </c>
      <c r="O43" s="66" t="s">
        <v>23</v>
      </c>
      <c r="P43" s="187"/>
      <c r="Q43" s="130"/>
      <c r="R43" s="195"/>
    </row>
    <row r="44" spans="1:26" ht="19.5" customHeight="1" x14ac:dyDescent="0.3">
      <c r="A44" s="141" t="s">
        <v>101</v>
      </c>
      <c r="B44" s="531" t="s">
        <v>194</v>
      </c>
      <c r="C44" s="531"/>
      <c r="D44" s="321" t="s">
        <v>301</v>
      </c>
      <c r="E44" s="256" t="s">
        <v>72</v>
      </c>
      <c r="F44" s="67">
        <f>IF(E44="Ya",100,0)</f>
        <v>0</v>
      </c>
      <c r="G44" s="187"/>
      <c r="H44" s="130"/>
      <c r="I44" s="107"/>
      <c r="J44" s="141" t="s">
        <v>101</v>
      </c>
      <c r="K44" s="531" t="s">
        <v>194</v>
      </c>
      <c r="L44" s="531"/>
      <c r="M44" s="286" t="s">
        <v>301</v>
      </c>
      <c r="N44" s="269" t="s">
        <v>72</v>
      </c>
      <c r="O44" s="67">
        <f>IF(N44="Ya",100,0)</f>
        <v>0</v>
      </c>
      <c r="P44" s="187"/>
      <c r="Q44" s="130"/>
      <c r="R44" s="117"/>
    </row>
    <row r="45" spans="1:26" s="192" customFormat="1" ht="19.5" customHeight="1" x14ac:dyDescent="0.3">
      <c r="A45" s="141" t="s">
        <v>102</v>
      </c>
      <c r="B45" s="535" t="s">
        <v>195</v>
      </c>
      <c r="C45" s="535"/>
      <c r="D45" s="321"/>
      <c r="E45" s="336" t="str">
        <f>IF(E96=0,"Tidak",IF(E96&lt;=D96,"Ya","Tidak"))</f>
        <v>Tidak</v>
      </c>
      <c r="F45" s="67">
        <f t="shared" ref="F45:F46" si="4">IF(E45="Ya",100,0)</f>
        <v>0</v>
      </c>
      <c r="G45" s="187"/>
      <c r="H45" s="130"/>
      <c r="J45" s="141" t="s">
        <v>102</v>
      </c>
      <c r="K45" s="535" t="s">
        <v>195</v>
      </c>
      <c r="L45" s="535"/>
      <c r="M45" s="286"/>
      <c r="N45" s="336" t="str">
        <f>IF(N96=0,"Tidak",IF(N96&lt;=M96,"Ya","Tidak"))</f>
        <v>Tidak</v>
      </c>
      <c r="O45" s="67">
        <f t="shared" ref="O45:O46" si="5">IF(N45="Ya",100,0)</f>
        <v>0</v>
      </c>
      <c r="P45" s="187"/>
      <c r="Q45" s="130"/>
      <c r="R45" s="195"/>
    </row>
    <row r="46" spans="1:26" ht="19.5" customHeight="1" x14ac:dyDescent="0.3">
      <c r="A46" s="141" t="s">
        <v>103</v>
      </c>
      <c r="B46" s="535" t="s">
        <v>196</v>
      </c>
      <c r="C46" s="535"/>
      <c r="D46" s="321"/>
      <c r="E46" s="336" t="str">
        <f>IF(E96=0,"Tidak",IF(E94&lt;=25%*E93,"Ya","Tidak"))</f>
        <v>Tidak</v>
      </c>
      <c r="F46" s="67">
        <f t="shared" si="4"/>
        <v>0</v>
      </c>
      <c r="G46" s="187"/>
      <c r="H46" s="130"/>
      <c r="J46" s="141" t="s">
        <v>103</v>
      </c>
      <c r="K46" s="535" t="s">
        <v>196</v>
      </c>
      <c r="L46" s="535"/>
      <c r="M46" s="286"/>
      <c r="N46" s="336" t="str">
        <f>IF(N96=0,"Tidak",IF(N94&lt;=25%*N93,"Ya","Tidak"))</f>
        <v>Tidak</v>
      </c>
      <c r="O46" s="67">
        <f t="shared" si="5"/>
        <v>0</v>
      </c>
      <c r="P46" s="187"/>
      <c r="Q46" s="130"/>
      <c r="R46" s="195"/>
    </row>
    <row r="47" spans="1:26" ht="19.5" customHeight="1" x14ac:dyDescent="0.3">
      <c r="A47" s="134"/>
      <c r="B47" s="132"/>
      <c r="C47" s="132"/>
      <c r="D47" s="132"/>
      <c r="E47" s="282" t="s">
        <v>221</v>
      </c>
      <c r="F47" s="282">
        <f>AVERAGE(F44:F46)</f>
        <v>0</v>
      </c>
      <c r="G47" s="187"/>
      <c r="H47" s="130"/>
      <c r="J47" s="134"/>
      <c r="K47" s="132"/>
      <c r="L47" s="132"/>
      <c r="M47" s="132"/>
      <c r="N47" s="282" t="s">
        <v>221</v>
      </c>
      <c r="O47" s="425">
        <f>AVERAGE(O44:O46)</f>
        <v>0</v>
      </c>
      <c r="P47" s="187"/>
      <c r="Q47" s="130"/>
      <c r="R47" s="117"/>
    </row>
    <row r="48" spans="1:26" ht="19.5" customHeight="1" x14ac:dyDescent="0.3">
      <c r="A48" s="134"/>
      <c r="B48" s="132"/>
      <c r="C48" s="132"/>
      <c r="D48" s="132"/>
      <c r="E48" s="282"/>
      <c r="F48" s="282"/>
      <c r="G48" s="187"/>
      <c r="H48" s="130"/>
      <c r="J48" s="134"/>
      <c r="K48" s="132"/>
      <c r="L48" s="132"/>
      <c r="M48" s="132"/>
      <c r="N48" s="282"/>
      <c r="O48" s="282"/>
      <c r="P48" s="187"/>
      <c r="Q48" s="130"/>
      <c r="R48" s="117"/>
    </row>
    <row r="49" spans="1:18" s="82" customFormat="1" ht="19.5" customHeight="1" x14ac:dyDescent="0.25">
      <c r="A49" s="293" t="s">
        <v>20</v>
      </c>
      <c r="B49" s="282" t="s">
        <v>104</v>
      </c>
      <c r="C49" s="331" t="s">
        <v>197</v>
      </c>
      <c r="D49" s="282"/>
      <c r="E49" s="282"/>
      <c r="F49" s="332"/>
      <c r="G49" s="296"/>
      <c r="H49" s="145"/>
      <c r="J49" s="293" t="s">
        <v>20</v>
      </c>
      <c r="K49" s="282" t="s">
        <v>104</v>
      </c>
      <c r="L49" s="331" t="s">
        <v>197</v>
      </c>
      <c r="M49" s="282"/>
      <c r="N49" s="282"/>
      <c r="O49" s="332"/>
      <c r="P49" s="296"/>
      <c r="Q49" s="145"/>
      <c r="R49" s="117"/>
    </row>
    <row r="50" spans="1:18" ht="19.5" customHeight="1" x14ac:dyDescent="0.3">
      <c r="A50" s="146" t="s">
        <v>1</v>
      </c>
      <c r="B50" s="536" t="s">
        <v>99</v>
      </c>
      <c r="C50" s="536"/>
      <c r="D50" s="95" t="s">
        <v>25</v>
      </c>
      <c r="E50" s="95" t="s">
        <v>100</v>
      </c>
      <c r="F50" s="314" t="s">
        <v>23</v>
      </c>
      <c r="G50" s="187"/>
      <c r="H50" s="130"/>
      <c r="J50" s="146" t="s">
        <v>1</v>
      </c>
      <c r="K50" s="536" t="s">
        <v>99</v>
      </c>
      <c r="L50" s="536"/>
      <c r="M50" s="95" t="s">
        <v>25</v>
      </c>
      <c r="N50" s="95" t="s">
        <v>100</v>
      </c>
      <c r="O50" s="314" t="s">
        <v>23</v>
      </c>
      <c r="P50" s="187"/>
      <c r="Q50" s="130"/>
      <c r="R50" s="117"/>
    </row>
    <row r="51" spans="1:18" ht="38.1" customHeight="1" x14ac:dyDescent="0.3">
      <c r="A51" s="141" t="s">
        <v>101</v>
      </c>
      <c r="B51" s="531" t="s">
        <v>199</v>
      </c>
      <c r="C51" s="531"/>
      <c r="D51" s="322" t="s">
        <v>216</v>
      </c>
      <c r="E51" s="256" t="s">
        <v>72</v>
      </c>
      <c r="F51" s="67">
        <f>IF(E51="Ya",100,0)</f>
        <v>0</v>
      </c>
      <c r="G51" s="187"/>
      <c r="H51" s="130"/>
      <c r="J51" s="141" t="s">
        <v>101</v>
      </c>
      <c r="K51" s="531" t="s">
        <v>199</v>
      </c>
      <c r="L51" s="531"/>
      <c r="M51" s="320" t="s">
        <v>216</v>
      </c>
      <c r="N51" s="269" t="s">
        <v>72</v>
      </c>
      <c r="O51" s="67">
        <f>IF(N51="Ya",100,0)</f>
        <v>0</v>
      </c>
      <c r="P51" s="187"/>
      <c r="Q51" s="130"/>
      <c r="R51" s="117"/>
    </row>
    <row r="52" spans="1:18" ht="39" customHeight="1" x14ac:dyDescent="0.3">
      <c r="A52" s="141" t="s">
        <v>102</v>
      </c>
      <c r="B52" s="531" t="s">
        <v>200</v>
      </c>
      <c r="C52" s="531"/>
      <c r="D52" s="322"/>
      <c r="E52" s="256" t="s">
        <v>72</v>
      </c>
      <c r="F52" s="67">
        <f t="shared" ref="F52:F57" si="6">IF(E52="Ya",100,0)</f>
        <v>0</v>
      </c>
      <c r="G52" s="187"/>
      <c r="H52" s="130"/>
      <c r="I52" s="107"/>
      <c r="J52" s="141" t="s">
        <v>102</v>
      </c>
      <c r="K52" s="531" t="s">
        <v>200</v>
      </c>
      <c r="L52" s="531"/>
      <c r="M52" s="320"/>
      <c r="N52" s="269" t="s">
        <v>72</v>
      </c>
      <c r="O52" s="67">
        <f t="shared" ref="O52:O57" si="7">IF(N52="Ya",100,0)</f>
        <v>0</v>
      </c>
      <c r="P52" s="187"/>
      <c r="Q52" s="130"/>
      <c r="R52" s="195"/>
    </row>
    <row r="53" spans="1:18" ht="36.6" customHeight="1" x14ac:dyDescent="0.3">
      <c r="A53" s="141" t="s">
        <v>103</v>
      </c>
      <c r="B53" s="531" t="s">
        <v>201</v>
      </c>
      <c r="C53" s="531"/>
      <c r="D53" s="322"/>
      <c r="E53" s="256" t="s">
        <v>72</v>
      </c>
      <c r="F53" s="67">
        <f t="shared" si="6"/>
        <v>0</v>
      </c>
      <c r="G53" s="187"/>
      <c r="H53" s="130"/>
      <c r="J53" s="141" t="s">
        <v>103</v>
      </c>
      <c r="K53" s="531" t="s">
        <v>201</v>
      </c>
      <c r="L53" s="531"/>
      <c r="M53" s="320"/>
      <c r="N53" s="269" t="s">
        <v>72</v>
      </c>
      <c r="O53" s="67">
        <f t="shared" si="7"/>
        <v>0</v>
      </c>
      <c r="P53" s="187"/>
      <c r="Q53" s="130"/>
      <c r="R53" s="156"/>
    </row>
    <row r="54" spans="1:18" s="192" customFormat="1" ht="48" customHeight="1" x14ac:dyDescent="0.3">
      <c r="A54" s="141" t="s">
        <v>104</v>
      </c>
      <c r="B54" s="531" t="s">
        <v>202</v>
      </c>
      <c r="C54" s="531"/>
      <c r="D54" s="322"/>
      <c r="E54" s="256" t="s">
        <v>72</v>
      </c>
      <c r="F54" s="67">
        <f t="shared" si="6"/>
        <v>0</v>
      </c>
      <c r="G54" s="187"/>
      <c r="H54" s="130"/>
      <c r="J54" s="141" t="s">
        <v>104</v>
      </c>
      <c r="K54" s="531" t="s">
        <v>202</v>
      </c>
      <c r="L54" s="531"/>
      <c r="M54" s="320"/>
      <c r="N54" s="269" t="s">
        <v>72</v>
      </c>
      <c r="O54" s="67">
        <f t="shared" si="7"/>
        <v>0</v>
      </c>
      <c r="P54" s="187"/>
      <c r="Q54" s="130"/>
      <c r="R54" s="199"/>
    </row>
    <row r="55" spans="1:18" ht="39.6" customHeight="1" x14ac:dyDescent="0.3">
      <c r="A55" s="141" t="s">
        <v>117</v>
      </c>
      <c r="B55" s="531" t="s">
        <v>203</v>
      </c>
      <c r="C55" s="531"/>
      <c r="D55" s="322" t="s">
        <v>217</v>
      </c>
      <c r="E55" s="256" t="s">
        <v>72</v>
      </c>
      <c r="F55" s="67">
        <f t="shared" si="6"/>
        <v>0</v>
      </c>
      <c r="G55" s="187"/>
      <c r="H55" s="130"/>
      <c r="J55" s="141" t="s">
        <v>117</v>
      </c>
      <c r="K55" s="531" t="s">
        <v>203</v>
      </c>
      <c r="L55" s="531"/>
      <c r="M55" s="320" t="s">
        <v>217</v>
      </c>
      <c r="N55" s="269" t="s">
        <v>72</v>
      </c>
      <c r="O55" s="67">
        <f t="shared" si="7"/>
        <v>0</v>
      </c>
      <c r="P55" s="187"/>
      <c r="Q55" s="130"/>
      <c r="R55" s="156"/>
    </row>
    <row r="56" spans="1:18" ht="37.5" customHeight="1" x14ac:dyDescent="0.3">
      <c r="A56" s="141" t="s">
        <v>119</v>
      </c>
      <c r="B56" s="531" t="s">
        <v>204</v>
      </c>
      <c r="C56" s="531"/>
      <c r="D56" s="322" t="s">
        <v>218</v>
      </c>
      <c r="E56" s="256" t="s">
        <v>72</v>
      </c>
      <c r="F56" s="67">
        <f t="shared" si="6"/>
        <v>0</v>
      </c>
      <c r="G56" s="187"/>
      <c r="H56" s="130"/>
      <c r="J56" s="141" t="s">
        <v>119</v>
      </c>
      <c r="K56" s="531" t="s">
        <v>204</v>
      </c>
      <c r="L56" s="531"/>
      <c r="M56" s="320" t="s">
        <v>218</v>
      </c>
      <c r="N56" s="269" t="s">
        <v>72</v>
      </c>
      <c r="O56" s="67">
        <f t="shared" si="7"/>
        <v>0</v>
      </c>
      <c r="P56" s="187"/>
      <c r="Q56" s="130"/>
      <c r="R56" s="156"/>
    </row>
    <row r="57" spans="1:18" ht="39" customHeight="1" x14ac:dyDescent="0.3">
      <c r="A57" s="141" t="s">
        <v>120</v>
      </c>
      <c r="B57" s="531" t="s">
        <v>205</v>
      </c>
      <c r="C57" s="531"/>
      <c r="D57" s="322" t="s">
        <v>219</v>
      </c>
      <c r="E57" s="256" t="s">
        <v>72</v>
      </c>
      <c r="F57" s="67">
        <f t="shared" si="6"/>
        <v>0</v>
      </c>
      <c r="G57" s="187"/>
      <c r="H57" s="130"/>
      <c r="J57" s="141" t="s">
        <v>120</v>
      </c>
      <c r="K57" s="531" t="s">
        <v>205</v>
      </c>
      <c r="L57" s="531"/>
      <c r="M57" s="320" t="s">
        <v>219</v>
      </c>
      <c r="N57" s="269" t="s">
        <v>72</v>
      </c>
      <c r="O57" s="67">
        <f t="shared" si="7"/>
        <v>0</v>
      </c>
      <c r="P57" s="187"/>
      <c r="Q57" s="130"/>
      <c r="R57" s="156"/>
    </row>
    <row r="58" spans="1:18" ht="19.5" customHeight="1" x14ac:dyDescent="0.3">
      <c r="A58" s="134"/>
      <c r="B58" s="132"/>
      <c r="C58" s="132"/>
      <c r="D58" s="132"/>
      <c r="E58" s="190" t="s">
        <v>222</v>
      </c>
      <c r="F58" s="187">
        <f>AVERAGE(F51:F57)</f>
        <v>0</v>
      </c>
      <c r="G58" s="187"/>
      <c r="H58" s="130"/>
      <c r="J58" s="134"/>
      <c r="K58" s="132"/>
      <c r="L58" s="132"/>
      <c r="M58" s="132"/>
      <c r="N58" s="190" t="s">
        <v>222</v>
      </c>
      <c r="O58" s="187">
        <f>AVERAGE(O51:O57)</f>
        <v>0</v>
      </c>
      <c r="P58" s="187"/>
      <c r="Q58" s="130"/>
      <c r="R58" s="156"/>
    </row>
    <row r="59" spans="1:18" ht="19.5" customHeight="1" x14ac:dyDescent="0.3">
      <c r="A59" s="134"/>
      <c r="B59" s="135"/>
      <c r="C59" s="135"/>
      <c r="D59" s="132"/>
      <c r="E59" s="189" t="s">
        <v>224</v>
      </c>
      <c r="F59" s="296">
        <f>(SUM(F9:F27)+SUM(F32:F39)+SUM(F44:F46)+SUM(F51:F57))/36</f>
        <v>0</v>
      </c>
      <c r="G59" s="187"/>
      <c r="H59" s="130"/>
      <c r="J59" s="134"/>
      <c r="K59" s="135"/>
      <c r="L59" s="135"/>
      <c r="M59" s="132"/>
      <c r="N59" s="189" t="s">
        <v>224</v>
      </c>
      <c r="O59" s="296">
        <f>(SUM(O9:O27)+SUM(O32:O39)+SUM(O44:O46)+SUM(O51:O57))/36</f>
        <v>0</v>
      </c>
      <c r="P59" s="187"/>
      <c r="Q59" s="130"/>
      <c r="R59" s="156"/>
    </row>
    <row r="60" spans="1:18" ht="19.5" customHeight="1" x14ac:dyDescent="0.3">
      <c r="A60" s="134"/>
      <c r="B60" s="135"/>
      <c r="C60" s="135"/>
      <c r="D60" s="132"/>
      <c r="E60" s="133"/>
      <c r="F60" s="133"/>
      <c r="G60" s="129"/>
      <c r="H60" s="130"/>
      <c r="J60" s="134"/>
      <c r="K60" s="135"/>
      <c r="L60" s="135"/>
      <c r="M60" s="132"/>
      <c r="N60" s="189"/>
      <c r="O60" s="296"/>
      <c r="P60" s="187"/>
      <c r="Q60" s="130"/>
      <c r="R60" s="156"/>
    </row>
    <row r="61" spans="1:18" s="203" customFormat="1" ht="19.5" customHeight="1" x14ac:dyDescent="0.3">
      <c r="A61" s="293" t="s">
        <v>28</v>
      </c>
      <c r="B61" s="294" t="s">
        <v>101</v>
      </c>
      <c r="C61" s="558" t="s">
        <v>130</v>
      </c>
      <c r="D61" s="558"/>
      <c r="E61" s="282"/>
      <c r="F61" s="189"/>
      <c r="G61" s="190"/>
      <c r="H61" s="191"/>
      <c r="I61" s="225"/>
      <c r="J61" s="293" t="s">
        <v>28</v>
      </c>
      <c r="K61" s="294" t="s">
        <v>101</v>
      </c>
      <c r="L61" s="558" t="s">
        <v>130</v>
      </c>
      <c r="M61" s="558"/>
      <c r="N61" s="282"/>
      <c r="O61" s="282"/>
      <c r="P61" s="187"/>
      <c r="Q61" s="130"/>
      <c r="R61" s="283"/>
    </row>
    <row r="62" spans="1:18" s="227" customFormat="1" ht="19.5" customHeight="1" x14ac:dyDescent="0.3">
      <c r="A62" s="146" t="s">
        <v>1</v>
      </c>
      <c r="B62" s="536" t="s">
        <v>99</v>
      </c>
      <c r="C62" s="536"/>
      <c r="D62" s="95" t="s">
        <v>95</v>
      </c>
      <c r="E62" s="95" t="s">
        <v>23</v>
      </c>
      <c r="F62" s="95" t="s">
        <v>24</v>
      </c>
      <c r="G62" s="195"/>
      <c r="H62" s="130"/>
      <c r="I62" s="226"/>
      <c r="J62" s="146" t="s">
        <v>1</v>
      </c>
      <c r="K62" s="536" t="s">
        <v>99</v>
      </c>
      <c r="L62" s="536"/>
      <c r="M62" s="95" t="s">
        <v>95</v>
      </c>
      <c r="N62" s="95" t="s">
        <v>23</v>
      </c>
      <c r="O62" s="95" t="s">
        <v>24</v>
      </c>
      <c r="P62" s="187"/>
      <c r="Q62" s="130"/>
      <c r="R62" s="284"/>
    </row>
    <row r="63" spans="1:18" s="228" customFormat="1" ht="19.5" customHeight="1" x14ac:dyDescent="0.3">
      <c r="A63" s="141" t="s">
        <v>101</v>
      </c>
      <c r="B63" s="553" t="s">
        <v>22</v>
      </c>
      <c r="C63" s="554"/>
      <c r="D63" s="96">
        <v>0.3</v>
      </c>
      <c r="E63" s="88">
        <f>H74</f>
        <v>0</v>
      </c>
      <c r="F63" s="289">
        <f>E63*D63</f>
        <v>0</v>
      </c>
      <c r="G63" s="285"/>
      <c r="H63" s="130"/>
      <c r="I63" s="68"/>
      <c r="J63" s="141" t="s">
        <v>101</v>
      </c>
      <c r="K63" s="553" t="s">
        <v>22</v>
      </c>
      <c r="L63" s="554"/>
      <c r="M63" s="96">
        <v>0.3</v>
      </c>
      <c r="N63" s="88">
        <f>Q74</f>
        <v>0</v>
      </c>
      <c r="O63" s="289">
        <f>N63*M63</f>
        <v>0</v>
      </c>
      <c r="P63" s="187"/>
      <c r="Q63" s="130"/>
      <c r="R63" s="284"/>
    </row>
    <row r="64" spans="1:18" s="228" customFormat="1" ht="19.5" customHeight="1" x14ac:dyDescent="0.3">
      <c r="A64" s="141" t="s">
        <v>102</v>
      </c>
      <c r="B64" s="553" t="s">
        <v>131</v>
      </c>
      <c r="C64" s="554"/>
      <c r="D64" s="96">
        <v>0.3</v>
      </c>
      <c r="E64" s="88">
        <f>H82</f>
        <v>0</v>
      </c>
      <c r="F64" s="289">
        <f t="shared" ref="F64:F65" si="8">E64*D64</f>
        <v>0</v>
      </c>
      <c r="G64" s="285"/>
      <c r="H64" s="130"/>
      <c r="I64" s="68"/>
      <c r="J64" s="141" t="s">
        <v>102</v>
      </c>
      <c r="K64" s="553" t="s">
        <v>131</v>
      </c>
      <c r="L64" s="554"/>
      <c r="M64" s="96">
        <v>0.3</v>
      </c>
      <c r="N64" s="88">
        <f>Q82</f>
        <v>0</v>
      </c>
      <c r="O64" s="289">
        <f t="shared" ref="O64:O65" si="9">N64*M64</f>
        <v>0</v>
      </c>
      <c r="P64" s="187"/>
      <c r="Q64" s="130"/>
      <c r="R64" s="284"/>
    </row>
    <row r="65" spans="1:18" s="228" customFormat="1" ht="19.5" customHeight="1" x14ac:dyDescent="0.3">
      <c r="A65" s="141" t="s">
        <v>103</v>
      </c>
      <c r="B65" s="553" t="s">
        <v>132</v>
      </c>
      <c r="C65" s="554"/>
      <c r="D65" s="96">
        <v>0.4</v>
      </c>
      <c r="E65" s="289">
        <f>F89</f>
        <v>0</v>
      </c>
      <c r="F65" s="289">
        <f t="shared" si="8"/>
        <v>0</v>
      </c>
      <c r="G65" s="285"/>
      <c r="H65" s="130"/>
      <c r="I65" s="68"/>
      <c r="J65" s="141" t="s">
        <v>103</v>
      </c>
      <c r="K65" s="553" t="s">
        <v>132</v>
      </c>
      <c r="L65" s="554"/>
      <c r="M65" s="96">
        <v>0.4</v>
      </c>
      <c r="N65" s="289">
        <f>O89</f>
        <v>0</v>
      </c>
      <c r="O65" s="289">
        <f t="shared" si="9"/>
        <v>0</v>
      </c>
      <c r="P65" s="187"/>
      <c r="Q65" s="130"/>
      <c r="R65" s="284"/>
    </row>
    <row r="66" spans="1:18" s="228" customFormat="1" ht="19.5" customHeight="1" x14ac:dyDescent="0.3">
      <c r="A66" s="141"/>
      <c r="B66" s="559" t="s">
        <v>94</v>
      </c>
      <c r="C66" s="559"/>
      <c r="D66" s="290"/>
      <c r="E66" s="291"/>
      <c r="F66" s="291">
        <f>F65+F64+F63</f>
        <v>0</v>
      </c>
      <c r="G66" s="292"/>
      <c r="H66" s="138"/>
      <c r="I66" s="68"/>
      <c r="J66" s="141"/>
      <c r="K66" s="559" t="s">
        <v>94</v>
      </c>
      <c r="L66" s="559"/>
      <c r="M66" s="290"/>
      <c r="N66" s="291"/>
      <c r="O66" s="291">
        <f>O65+O64+O63</f>
        <v>0</v>
      </c>
      <c r="P66" s="187"/>
      <c r="Q66" s="130"/>
      <c r="R66" s="284"/>
    </row>
    <row r="67" spans="1:18" s="228" customFormat="1" ht="19.5" customHeight="1" x14ac:dyDescent="0.3">
      <c r="A67" s="136"/>
      <c r="B67" s="137"/>
      <c r="C67" s="139"/>
      <c r="D67" s="132"/>
      <c r="E67" s="133"/>
      <c r="F67" s="133"/>
      <c r="G67" s="129"/>
      <c r="H67" s="130"/>
      <c r="I67" s="68"/>
      <c r="J67" s="136"/>
      <c r="K67" s="137"/>
      <c r="L67" s="139"/>
      <c r="M67" s="132"/>
      <c r="N67" s="133"/>
      <c r="O67" s="133"/>
      <c r="P67" s="129"/>
      <c r="Q67" s="130"/>
      <c r="R67" s="284"/>
    </row>
    <row r="68" spans="1:18" s="228" customFormat="1" ht="19.5" customHeight="1" x14ac:dyDescent="0.3">
      <c r="A68" s="128" t="s">
        <v>28</v>
      </c>
      <c r="B68" s="188" t="s">
        <v>133</v>
      </c>
      <c r="C68" s="560" t="s">
        <v>134</v>
      </c>
      <c r="D68" s="560"/>
      <c r="E68" s="560"/>
      <c r="F68" s="204"/>
      <c r="G68" s="190"/>
      <c r="H68" s="191"/>
      <c r="I68" s="68"/>
      <c r="J68" s="128" t="s">
        <v>28</v>
      </c>
      <c r="K68" s="188" t="s">
        <v>133</v>
      </c>
      <c r="L68" s="560" t="s">
        <v>134</v>
      </c>
      <c r="M68" s="560"/>
      <c r="N68" s="560"/>
      <c r="O68" s="204"/>
      <c r="P68" s="190"/>
      <c r="Q68" s="191"/>
      <c r="R68" s="284"/>
    </row>
    <row r="69" spans="1:18" s="227" customFormat="1" ht="19.5" customHeight="1" x14ac:dyDescent="0.3">
      <c r="A69" s="131" t="s">
        <v>1</v>
      </c>
      <c r="B69" s="536" t="s">
        <v>99</v>
      </c>
      <c r="C69" s="536"/>
      <c r="D69" s="95" t="s">
        <v>135</v>
      </c>
      <c r="E69" s="95" t="s">
        <v>95</v>
      </c>
      <c r="F69" s="95" t="s">
        <v>186</v>
      </c>
      <c r="G69" s="95" t="s">
        <v>23</v>
      </c>
      <c r="H69" s="140" t="s">
        <v>24</v>
      </c>
      <c r="I69" s="226"/>
      <c r="J69" s="131" t="s">
        <v>1</v>
      </c>
      <c r="K69" s="536" t="s">
        <v>99</v>
      </c>
      <c r="L69" s="536"/>
      <c r="M69" s="95" t="s">
        <v>135</v>
      </c>
      <c r="N69" s="95" t="s">
        <v>95</v>
      </c>
      <c r="O69" s="95" t="s">
        <v>186</v>
      </c>
      <c r="P69" s="95" t="s">
        <v>23</v>
      </c>
      <c r="Q69" s="140" t="s">
        <v>24</v>
      </c>
      <c r="R69" s="284"/>
    </row>
    <row r="70" spans="1:18" s="228" customFormat="1" ht="19.5" customHeight="1" x14ac:dyDescent="0.3">
      <c r="A70" s="141" t="s">
        <v>101</v>
      </c>
      <c r="B70" s="561" t="s">
        <v>136</v>
      </c>
      <c r="C70" s="561"/>
      <c r="D70" s="259"/>
      <c r="E70" s="96">
        <v>0.4</v>
      </c>
      <c r="F70" s="260"/>
      <c r="G70" s="102">
        <f t="shared" ref="G70:G73" si="10">IF(F70=0,0,IF(F70=1,20,IF(F70=2,40,IF(F70=3,60,IF(F70=4,80,100)))))</f>
        <v>0</v>
      </c>
      <c r="H70" s="142">
        <f>G70*E70</f>
        <v>0</v>
      </c>
      <c r="I70" s="68"/>
      <c r="J70" s="141" t="s">
        <v>101</v>
      </c>
      <c r="K70" s="561" t="s">
        <v>136</v>
      </c>
      <c r="L70" s="561"/>
      <c r="M70" s="272"/>
      <c r="N70" s="96">
        <v>0.4</v>
      </c>
      <c r="O70" s="273"/>
      <c r="P70" s="102">
        <f t="shared" ref="P70:P73" si="11">IF(O70=0,0,IF(O70=1,20,IF(O70=2,40,IF(O70=3,60,IF(O70=4,80,100)))))</f>
        <v>0</v>
      </c>
      <c r="Q70" s="142">
        <f>P70*N70</f>
        <v>0</v>
      </c>
      <c r="R70" s="284"/>
    </row>
    <row r="71" spans="1:18" s="228" customFormat="1" ht="19.5" customHeight="1" x14ac:dyDescent="0.3">
      <c r="A71" s="141" t="s">
        <v>102</v>
      </c>
      <c r="B71" s="561" t="s">
        <v>137</v>
      </c>
      <c r="C71" s="561"/>
      <c r="D71" s="259"/>
      <c r="E71" s="96">
        <v>0.3</v>
      </c>
      <c r="F71" s="260"/>
      <c r="G71" s="102">
        <f t="shared" si="10"/>
        <v>0</v>
      </c>
      <c r="H71" s="142">
        <f>G71*E71</f>
        <v>0</v>
      </c>
      <c r="I71" s="68"/>
      <c r="J71" s="141" t="s">
        <v>102</v>
      </c>
      <c r="K71" s="561" t="s">
        <v>137</v>
      </c>
      <c r="L71" s="561"/>
      <c r="M71" s="272"/>
      <c r="N71" s="96">
        <v>0.3</v>
      </c>
      <c r="O71" s="273"/>
      <c r="P71" s="102">
        <f t="shared" si="11"/>
        <v>0</v>
      </c>
      <c r="Q71" s="142">
        <f>P71*N71</f>
        <v>0</v>
      </c>
      <c r="R71" s="284"/>
    </row>
    <row r="72" spans="1:18" s="228" customFormat="1" ht="19.5" customHeight="1" x14ac:dyDescent="0.3">
      <c r="A72" s="141" t="s">
        <v>103</v>
      </c>
      <c r="B72" s="561" t="s">
        <v>138</v>
      </c>
      <c r="C72" s="561"/>
      <c r="D72" s="259"/>
      <c r="E72" s="96">
        <v>0.2</v>
      </c>
      <c r="F72" s="260"/>
      <c r="G72" s="102">
        <f t="shared" si="10"/>
        <v>0</v>
      </c>
      <c r="H72" s="142">
        <f>G72*E72</f>
        <v>0</v>
      </c>
      <c r="I72" s="68"/>
      <c r="J72" s="141" t="s">
        <v>103</v>
      </c>
      <c r="K72" s="561" t="s">
        <v>138</v>
      </c>
      <c r="L72" s="561"/>
      <c r="M72" s="272"/>
      <c r="N72" s="96">
        <v>0.2</v>
      </c>
      <c r="O72" s="273"/>
      <c r="P72" s="102">
        <f t="shared" si="11"/>
        <v>0</v>
      </c>
      <c r="Q72" s="142">
        <f>P72*N72</f>
        <v>0</v>
      </c>
      <c r="R72" s="284"/>
    </row>
    <row r="73" spans="1:18" s="228" customFormat="1" ht="19.5" customHeight="1" x14ac:dyDescent="0.3">
      <c r="A73" s="141" t="s">
        <v>104</v>
      </c>
      <c r="B73" s="561" t="s">
        <v>139</v>
      </c>
      <c r="C73" s="561"/>
      <c r="D73" s="259"/>
      <c r="E73" s="96">
        <v>0.1</v>
      </c>
      <c r="F73" s="260"/>
      <c r="G73" s="102">
        <f t="shared" si="10"/>
        <v>0</v>
      </c>
      <c r="H73" s="142">
        <f>G73*E73</f>
        <v>0</v>
      </c>
      <c r="I73" s="68"/>
      <c r="J73" s="141" t="s">
        <v>104</v>
      </c>
      <c r="K73" s="561" t="s">
        <v>139</v>
      </c>
      <c r="L73" s="561"/>
      <c r="M73" s="272"/>
      <c r="N73" s="96">
        <v>0.1</v>
      </c>
      <c r="O73" s="273"/>
      <c r="P73" s="102">
        <f t="shared" si="11"/>
        <v>0</v>
      </c>
      <c r="Q73" s="142">
        <f>P73*N73</f>
        <v>0</v>
      </c>
      <c r="R73" s="284"/>
    </row>
    <row r="74" spans="1:18" ht="19.5" customHeight="1" x14ac:dyDescent="0.3">
      <c r="A74" s="141"/>
      <c r="B74" s="559" t="s">
        <v>94</v>
      </c>
      <c r="C74" s="559"/>
      <c r="D74" s="287"/>
      <c r="E74" s="88"/>
      <c r="F74" s="88"/>
      <c r="G74" s="88"/>
      <c r="H74" s="143">
        <f>SUM(H70:H73)</f>
        <v>0</v>
      </c>
      <c r="J74" s="141"/>
      <c r="K74" s="559" t="s">
        <v>94</v>
      </c>
      <c r="L74" s="559"/>
      <c r="M74" s="287"/>
      <c r="N74" s="88"/>
      <c r="O74" s="88"/>
      <c r="P74" s="88"/>
      <c r="Q74" s="143">
        <f>SUM(Q70:Q73)</f>
        <v>0</v>
      </c>
      <c r="R74" s="156"/>
    </row>
    <row r="75" spans="1:18" ht="19.5" customHeight="1" x14ac:dyDescent="0.3">
      <c r="A75" s="144"/>
      <c r="B75" s="99"/>
      <c r="C75" s="99"/>
      <c r="D75" s="100"/>
      <c r="E75" s="98"/>
      <c r="F75" s="98"/>
      <c r="G75" s="98"/>
      <c r="H75" s="145"/>
      <c r="J75" s="144"/>
      <c r="K75" s="99"/>
      <c r="L75" s="99"/>
      <c r="M75" s="100"/>
      <c r="N75" s="98"/>
      <c r="O75" s="98"/>
      <c r="P75" s="98"/>
      <c r="Q75" s="145"/>
      <c r="R75" s="117"/>
    </row>
    <row r="76" spans="1:18" s="82" customFormat="1" ht="19.5" customHeight="1" x14ac:dyDescent="0.25">
      <c r="A76" s="193" t="s">
        <v>28</v>
      </c>
      <c r="B76" s="194" t="s">
        <v>140</v>
      </c>
      <c r="C76" s="562" t="s">
        <v>141</v>
      </c>
      <c r="D76" s="562"/>
      <c r="E76" s="562"/>
      <c r="F76" s="205"/>
      <c r="G76" s="195"/>
      <c r="H76" s="196"/>
      <c r="J76" s="193" t="s">
        <v>28</v>
      </c>
      <c r="K76" s="194" t="s">
        <v>140</v>
      </c>
      <c r="L76" s="562" t="s">
        <v>141</v>
      </c>
      <c r="M76" s="562"/>
      <c r="N76" s="562"/>
      <c r="O76" s="205"/>
      <c r="P76" s="195"/>
      <c r="Q76" s="196"/>
      <c r="R76" s="117"/>
    </row>
    <row r="77" spans="1:18" s="82" customFormat="1" ht="19.5" customHeight="1" x14ac:dyDescent="0.25">
      <c r="A77" s="146" t="s">
        <v>1</v>
      </c>
      <c r="B77" s="536" t="s">
        <v>99</v>
      </c>
      <c r="C77" s="536"/>
      <c r="D77" s="95" t="s">
        <v>135</v>
      </c>
      <c r="E77" s="95" t="s">
        <v>95</v>
      </c>
      <c r="F77" s="95" t="s">
        <v>186</v>
      </c>
      <c r="G77" s="95" t="s">
        <v>23</v>
      </c>
      <c r="H77" s="140" t="s">
        <v>24</v>
      </c>
      <c r="J77" s="146" t="s">
        <v>1</v>
      </c>
      <c r="K77" s="536" t="s">
        <v>99</v>
      </c>
      <c r="L77" s="536"/>
      <c r="M77" s="95" t="s">
        <v>135</v>
      </c>
      <c r="N77" s="95" t="s">
        <v>95</v>
      </c>
      <c r="O77" s="95" t="s">
        <v>186</v>
      </c>
      <c r="P77" s="95" t="s">
        <v>23</v>
      </c>
      <c r="Q77" s="140" t="s">
        <v>24</v>
      </c>
      <c r="R77" s="117"/>
    </row>
    <row r="78" spans="1:18" ht="19.5" customHeight="1" x14ac:dyDescent="0.3">
      <c r="A78" s="147" t="s">
        <v>101</v>
      </c>
      <c r="B78" s="580" t="s">
        <v>136</v>
      </c>
      <c r="C78" s="580"/>
      <c r="D78" s="259"/>
      <c r="E78" s="96">
        <v>0.4</v>
      </c>
      <c r="F78" s="260"/>
      <c r="G78" s="102">
        <f t="shared" ref="G78:G81" si="12">IF(F78=0,0,IF(F78=1,20,IF(F78=2,40,IF(F78=3,60,IF(F78=4,80,100)))))</f>
        <v>0</v>
      </c>
      <c r="H78" s="148">
        <f>G78*E78</f>
        <v>0</v>
      </c>
      <c r="J78" s="147" t="s">
        <v>101</v>
      </c>
      <c r="K78" s="580" t="s">
        <v>136</v>
      </c>
      <c r="L78" s="580"/>
      <c r="M78" s="272"/>
      <c r="N78" s="103">
        <v>0.4</v>
      </c>
      <c r="O78" s="273"/>
      <c r="P78" s="102">
        <f t="shared" ref="P78:P81" si="13">IF(O78=0,0,IF(O78=1,20,IF(O78=2,40,IF(O78=3,60,IF(O78=4,80,100)))))</f>
        <v>0</v>
      </c>
      <c r="Q78" s="148">
        <f>P78*N78</f>
        <v>0</v>
      </c>
      <c r="R78" s="117"/>
    </row>
    <row r="79" spans="1:18" ht="19.5" customHeight="1" x14ac:dyDescent="0.3">
      <c r="A79" s="147" t="s">
        <v>102</v>
      </c>
      <c r="B79" s="580" t="s">
        <v>137</v>
      </c>
      <c r="C79" s="580"/>
      <c r="D79" s="259"/>
      <c r="E79" s="96">
        <v>0.3</v>
      </c>
      <c r="F79" s="260"/>
      <c r="G79" s="102">
        <f t="shared" si="12"/>
        <v>0</v>
      </c>
      <c r="H79" s="148">
        <f>G79*E79</f>
        <v>0</v>
      </c>
      <c r="J79" s="147" t="s">
        <v>102</v>
      </c>
      <c r="K79" s="580" t="s">
        <v>137</v>
      </c>
      <c r="L79" s="580"/>
      <c r="M79" s="272"/>
      <c r="N79" s="103">
        <v>0.3</v>
      </c>
      <c r="O79" s="273"/>
      <c r="P79" s="102">
        <f t="shared" si="13"/>
        <v>0</v>
      </c>
      <c r="Q79" s="148">
        <f>P79*N79</f>
        <v>0</v>
      </c>
      <c r="R79" s="117"/>
    </row>
    <row r="80" spans="1:18" ht="19.5" customHeight="1" x14ac:dyDescent="0.3">
      <c r="A80" s="149" t="s">
        <v>103</v>
      </c>
      <c r="B80" s="580" t="s">
        <v>138</v>
      </c>
      <c r="C80" s="580"/>
      <c r="D80" s="259"/>
      <c r="E80" s="96">
        <v>0.2</v>
      </c>
      <c r="F80" s="260"/>
      <c r="G80" s="102">
        <f t="shared" si="12"/>
        <v>0</v>
      </c>
      <c r="H80" s="148">
        <f>G80*E80</f>
        <v>0</v>
      </c>
      <c r="J80" s="149" t="s">
        <v>103</v>
      </c>
      <c r="K80" s="580" t="s">
        <v>138</v>
      </c>
      <c r="L80" s="580"/>
      <c r="M80" s="272"/>
      <c r="N80" s="103">
        <v>0.2</v>
      </c>
      <c r="O80" s="273"/>
      <c r="P80" s="102">
        <f t="shared" si="13"/>
        <v>0</v>
      </c>
      <c r="Q80" s="148">
        <f>P80*N80</f>
        <v>0</v>
      </c>
      <c r="R80" s="117"/>
    </row>
    <row r="81" spans="1:18" ht="19.5" customHeight="1" x14ac:dyDescent="0.3">
      <c r="A81" s="149" t="s">
        <v>104</v>
      </c>
      <c r="B81" s="580" t="s">
        <v>139</v>
      </c>
      <c r="C81" s="580"/>
      <c r="D81" s="259"/>
      <c r="E81" s="96">
        <v>0.1</v>
      </c>
      <c r="F81" s="260"/>
      <c r="G81" s="102">
        <f t="shared" si="12"/>
        <v>0</v>
      </c>
      <c r="H81" s="148">
        <f>G81*E81</f>
        <v>0</v>
      </c>
      <c r="J81" s="149" t="s">
        <v>104</v>
      </c>
      <c r="K81" s="580" t="s">
        <v>139</v>
      </c>
      <c r="L81" s="580"/>
      <c r="M81" s="272"/>
      <c r="N81" s="103">
        <v>0.1</v>
      </c>
      <c r="O81" s="273"/>
      <c r="P81" s="102">
        <f t="shared" si="13"/>
        <v>0</v>
      </c>
      <c r="Q81" s="148">
        <f>P81*N81</f>
        <v>0</v>
      </c>
      <c r="R81" s="117"/>
    </row>
    <row r="82" spans="1:18" ht="19.5" customHeight="1" x14ac:dyDescent="0.3">
      <c r="A82" s="149"/>
      <c r="B82" s="581" t="s">
        <v>94</v>
      </c>
      <c r="C82" s="581"/>
      <c r="D82" s="104"/>
      <c r="E82" s="102"/>
      <c r="F82" s="102"/>
      <c r="G82" s="102"/>
      <c r="H82" s="150">
        <f>SUM(H78:H81)</f>
        <v>0</v>
      </c>
      <c r="J82" s="149"/>
      <c r="K82" s="581" t="s">
        <v>94</v>
      </c>
      <c r="L82" s="581"/>
      <c r="M82" s="104"/>
      <c r="N82" s="102"/>
      <c r="O82" s="102"/>
      <c r="P82" s="102"/>
      <c r="Q82" s="150">
        <f>SUM(Q78:Q81)</f>
        <v>0</v>
      </c>
      <c r="R82" s="117"/>
    </row>
    <row r="83" spans="1:18" ht="19.5" customHeight="1" x14ac:dyDescent="0.3">
      <c r="A83" s="151"/>
      <c r="B83" s="152"/>
      <c r="C83" s="153"/>
      <c r="D83" s="154"/>
      <c r="E83" s="155"/>
      <c r="F83" s="155"/>
      <c r="G83" s="156"/>
      <c r="H83" s="138"/>
      <c r="J83" s="151"/>
      <c r="K83" s="152"/>
      <c r="L83" s="153"/>
      <c r="M83" s="154"/>
      <c r="N83" s="155"/>
      <c r="O83" s="155"/>
      <c r="P83" s="156"/>
      <c r="Q83" s="138"/>
      <c r="R83" s="117"/>
    </row>
    <row r="84" spans="1:18" ht="19.5" customHeight="1" x14ac:dyDescent="0.3">
      <c r="A84" s="197" t="s">
        <v>28</v>
      </c>
      <c r="B84" s="317" t="s">
        <v>142</v>
      </c>
      <c r="C84" s="582" t="s">
        <v>143</v>
      </c>
      <c r="D84" s="582"/>
      <c r="E84" s="582"/>
      <c r="F84" s="206"/>
      <c r="G84" s="199"/>
      <c r="H84" s="200"/>
      <c r="J84" s="197" t="s">
        <v>28</v>
      </c>
      <c r="K84" s="198" t="s">
        <v>142</v>
      </c>
      <c r="L84" s="585" t="s">
        <v>143</v>
      </c>
      <c r="M84" s="585"/>
      <c r="N84" s="585"/>
      <c r="O84" s="206"/>
      <c r="P84" s="199"/>
      <c r="Q84" s="200"/>
      <c r="R84" s="117"/>
    </row>
    <row r="85" spans="1:18" ht="19.5" customHeight="1" x14ac:dyDescent="0.3">
      <c r="A85" s="146" t="s">
        <v>1</v>
      </c>
      <c r="B85" s="536" t="s">
        <v>99</v>
      </c>
      <c r="C85" s="536"/>
      <c r="D85" s="95" t="s">
        <v>95</v>
      </c>
      <c r="E85" s="95" t="s">
        <v>23</v>
      </c>
      <c r="F85" s="95" t="s">
        <v>24</v>
      </c>
      <c r="G85" s="85"/>
      <c r="H85" s="138"/>
      <c r="J85" s="131" t="s">
        <v>1</v>
      </c>
      <c r="K85" s="534" t="s">
        <v>99</v>
      </c>
      <c r="L85" s="534"/>
      <c r="M85" s="86" t="s">
        <v>95</v>
      </c>
      <c r="N85" s="87" t="s">
        <v>23</v>
      </c>
      <c r="O85" s="86" t="s">
        <v>24</v>
      </c>
      <c r="P85" s="132"/>
      <c r="Q85" s="138"/>
      <c r="R85" s="117"/>
    </row>
    <row r="86" spans="1:18" ht="19.5" customHeight="1" x14ac:dyDescent="0.3">
      <c r="A86" s="147" t="s">
        <v>101</v>
      </c>
      <c r="B86" s="580" t="s">
        <v>144</v>
      </c>
      <c r="C86" s="580"/>
      <c r="D86" s="103">
        <v>0.2</v>
      </c>
      <c r="E86" s="256">
        <v>0</v>
      </c>
      <c r="F86" s="318">
        <f>E86*D86</f>
        <v>0</v>
      </c>
      <c r="G86" s="85"/>
      <c r="H86" s="138"/>
      <c r="J86" s="149" t="s">
        <v>101</v>
      </c>
      <c r="K86" s="583" t="s">
        <v>144</v>
      </c>
      <c r="L86" s="583"/>
      <c r="M86" s="109">
        <v>0.2</v>
      </c>
      <c r="N86" s="269">
        <v>0</v>
      </c>
      <c r="O86" s="110">
        <f>N86*M86</f>
        <v>0</v>
      </c>
      <c r="P86" s="132"/>
      <c r="Q86" s="138"/>
      <c r="R86" s="117"/>
    </row>
    <row r="87" spans="1:18" ht="19.5" customHeight="1" x14ac:dyDescent="0.3">
      <c r="A87" s="147" t="s">
        <v>102</v>
      </c>
      <c r="B87" s="580" t="s">
        <v>145</v>
      </c>
      <c r="C87" s="580"/>
      <c r="D87" s="103">
        <v>0.4</v>
      </c>
      <c r="E87" s="318">
        <f>E134</f>
        <v>0</v>
      </c>
      <c r="F87" s="318">
        <f>E87*D87</f>
        <v>0</v>
      </c>
      <c r="G87" s="85"/>
      <c r="H87" s="138"/>
      <c r="J87" s="149" t="s">
        <v>102</v>
      </c>
      <c r="K87" s="583" t="s">
        <v>145</v>
      </c>
      <c r="L87" s="583"/>
      <c r="M87" s="109">
        <v>0.4</v>
      </c>
      <c r="N87" s="110">
        <f>N134</f>
        <v>0</v>
      </c>
      <c r="O87" s="110">
        <f>N87*M87</f>
        <v>0</v>
      </c>
      <c r="P87" s="132"/>
      <c r="Q87" s="138"/>
      <c r="R87" s="117"/>
    </row>
    <row r="88" spans="1:18" ht="19.5" customHeight="1" x14ac:dyDescent="0.3">
      <c r="A88" s="147" t="s">
        <v>103</v>
      </c>
      <c r="B88" s="580" t="s">
        <v>146</v>
      </c>
      <c r="C88" s="580"/>
      <c r="D88" s="103">
        <v>0.4</v>
      </c>
      <c r="E88" s="318">
        <f>F134</f>
        <v>0</v>
      </c>
      <c r="F88" s="318">
        <f>E88*D88</f>
        <v>0</v>
      </c>
      <c r="G88" s="85"/>
      <c r="H88" s="138"/>
      <c r="J88" s="149" t="s">
        <v>103</v>
      </c>
      <c r="K88" s="583" t="s">
        <v>146</v>
      </c>
      <c r="L88" s="583"/>
      <c r="M88" s="109">
        <v>0.4</v>
      </c>
      <c r="N88" s="110">
        <f>O134</f>
        <v>0</v>
      </c>
      <c r="O88" s="110">
        <f>N88*M88</f>
        <v>0</v>
      </c>
      <c r="P88" s="132"/>
      <c r="Q88" s="138"/>
      <c r="R88" s="117"/>
    </row>
    <row r="89" spans="1:18" ht="19.5" customHeight="1" x14ac:dyDescent="0.3">
      <c r="A89" s="147"/>
      <c r="B89" s="581" t="s">
        <v>94</v>
      </c>
      <c r="C89" s="581"/>
      <c r="D89" s="104"/>
      <c r="E89" s="318"/>
      <c r="F89" s="319">
        <f>SUM(F86:F88)</f>
        <v>0</v>
      </c>
      <c r="G89" s="85"/>
      <c r="H89" s="138"/>
      <c r="J89" s="149"/>
      <c r="K89" s="584" t="s">
        <v>94</v>
      </c>
      <c r="L89" s="584"/>
      <c r="M89" s="111"/>
      <c r="N89" s="110"/>
      <c r="O89" s="112">
        <f>SUM(O86:O88)</f>
        <v>0</v>
      </c>
      <c r="P89" s="132"/>
      <c r="Q89" s="138"/>
      <c r="R89" s="117"/>
    </row>
    <row r="90" spans="1:18" ht="19.5" customHeight="1" x14ac:dyDescent="0.3">
      <c r="A90" s="151"/>
      <c r="B90" s="152"/>
      <c r="C90" s="153"/>
      <c r="D90" s="154"/>
      <c r="E90" s="155"/>
      <c r="F90" s="155"/>
      <c r="G90" s="156"/>
      <c r="H90" s="138"/>
      <c r="J90" s="151"/>
      <c r="K90" s="152"/>
      <c r="L90" s="153"/>
      <c r="M90" s="154"/>
      <c r="N90" s="155"/>
      <c r="O90" s="155"/>
      <c r="P90" s="156"/>
      <c r="Q90" s="138"/>
      <c r="R90" s="117"/>
    </row>
    <row r="91" spans="1:18" ht="19.5" customHeight="1" x14ac:dyDescent="0.3">
      <c r="A91" s="167" t="s">
        <v>30</v>
      </c>
      <c r="B91" s="325" t="s">
        <v>147</v>
      </c>
      <c r="C91" s="85"/>
      <c r="D91" s="324"/>
      <c r="E91" s="324"/>
      <c r="F91" s="207"/>
      <c r="G91" s="201"/>
      <c r="H91" s="202"/>
      <c r="J91" s="167" t="s">
        <v>30</v>
      </c>
      <c r="K91" s="325" t="s">
        <v>147</v>
      </c>
      <c r="L91" s="324"/>
      <c r="M91" s="324"/>
      <c r="N91" s="324"/>
      <c r="O91" s="207"/>
      <c r="P91" s="201"/>
      <c r="Q91" s="202"/>
      <c r="R91" s="117"/>
    </row>
    <row r="92" spans="1:18" ht="19.5" customHeight="1" x14ac:dyDescent="0.3">
      <c r="A92" s="161" t="s">
        <v>1</v>
      </c>
      <c r="B92" s="572" t="s">
        <v>99</v>
      </c>
      <c r="C92" s="572"/>
      <c r="D92" s="69" t="s">
        <v>40</v>
      </c>
      <c r="E92" s="70" t="s">
        <v>39</v>
      </c>
      <c r="F92" s="69" t="s">
        <v>148</v>
      </c>
      <c r="G92" s="283"/>
      <c r="H92" s="160"/>
      <c r="J92" s="161" t="s">
        <v>1</v>
      </c>
      <c r="K92" s="572" t="s">
        <v>99</v>
      </c>
      <c r="L92" s="572"/>
      <c r="M92" s="69" t="s">
        <v>40</v>
      </c>
      <c r="N92" s="70" t="s">
        <v>39</v>
      </c>
      <c r="O92" s="69" t="s">
        <v>148</v>
      </c>
      <c r="P92" s="283"/>
      <c r="Q92" s="160"/>
      <c r="R92" s="117"/>
    </row>
    <row r="93" spans="1:18" ht="19.5" customHeight="1" x14ac:dyDescent="0.3">
      <c r="A93" s="162" t="s">
        <v>101</v>
      </c>
      <c r="B93" s="569" t="s">
        <v>35</v>
      </c>
      <c r="C93" s="569"/>
      <c r="D93" s="71">
        <f>HPS!F30</f>
        <v>70057500</v>
      </c>
      <c r="E93" s="421">
        <v>0</v>
      </c>
      <c r="F93" s="72">
        <f>D93-E93</f>
        <v>70057500</v>
      </c>
      <c r="G93" s="429"/>
      <c r="H93" s="160"/>
      <c r="J93" s="162" t="s">
        <v>101</v>
      </c>
      <c r="K93" s="569" t="s">
        <v>35</v>
      </c>
      <c r="L93" s="569"/>
      <c r="M93" s="71">
        <f>HPS!F30</f>
        <v>70057500</v>
      </c>
      <c r="N93" s="274">
        <v>0</v>
      </c>
      <c r="O93" s="72">
        <f>M93-N93</f>
        <v>70057500</v>
      </c>
      <c r="P93" s="429"/>
      <c r="Q93" s="160"/>
      <c r="R93" s="117"/>
    </row>
    <row r="94" spans="1:18" ht="19.5" customHeight="1" x14ac:dyDescent="0.3">
      <c r="A94" s="162" t="s">
        <v>102</v>
      </c>
      <c r="B94" s="569" t="s">
        <v>36</v>
      </c>
      <c r="C94" s="569"/>
      <c r="D94" s="71">
        <f>HPS!F31</f>
        <v>17514375</v>
      </c>
      <c r="E94" s="422">
        <v>0</v>
      </c>
      <c r="F94" s="72">
        <f>D94-E94</f>
        <v>17514375</v>
      </c>
      <c r="G94" s="429"/>
      <c r="H94" s="160"/>
      <c r="J94" s="162" t="s">
        <v>102</v>
      </c>
      <c r="K94" s="569" t="s">
        <v>36</v>
      </c>
      <c r="L94" s="569"/>
      <c r="M94" s="71">
        <f>HPS!F31</f>
        <v>17514375</v>
      </c>
      <c r="N94" s="275">
        <v>0</v>
      </c>
      <c r="O94" s="72">
        <f>M94-N94</f>
        <v>17514375</v>
      </c>
      <c r="P94" s="429"/>
      <c r="Q94" s="160"/>
      <c r="R94" s="117"/>
    </row>
    <row r="95" spans="1:18" ht="19.5" customHeight="1" x14ac:dyDescent="0.3">
      <c r="A95" s="162" t="s">
        <v>103</v>
      </c>
      <c r="B95" s="569" t="s">
        <v>37</v>
      </c>
      <c r="C95" s="569"/>
      <c r="D95" s="73">
        <f>HPS!F33</f>
        <v>8757187.5</v>
      </c>
      <c r="E95" s="422">
        <v>0</v>
      </c>
      <c r="F95" s="72">
        <f>D95-E95</f>
        <v>8757187.5</v>
      </c>
      <c r="G95" s="429"/>
      <c r="H95" s="160"/>
      <c r="J95" s="162" t="s">
        <v>103</v>
      </c>
      <c r="K95" s="569" t="s">
        <v>37</v>
      </c>
      <c r="L95" s="569"/>
      <c r="M95" s="71">
        <f>HPS!F33</f>
        <v>8757187.5</v>
      </c>
      <c r="N95" s="275">
        <v>0</v>
      </c>
      <c r="O95" s="72">
        <f>M95-N95</f>
        <v>8757187.5</v>
      </c>
      <c r="P95" s="429"/>
      <c r="Q95" s="160"/>
      <c r="R95" s="117"/>
    </row>
    <row r="96" spans="1:18" ht="19.5" customHeight="1" x14ac:dyDescent="0.3">
      <c r="A96" s="163" t="s">
        <v>104</v>
      </c>
      <c r="B96" s="570" t="s">
        <v>38</v>
      </c>
      <c r="C96" s="570"/>
      <c r="D96" s="120">
        <f>SUM(D93:D95)</f>
        <v>96329062.5</v>
      </c>
      <c r="E96" s="120">
        <f>SUM(E93:E95)</f>
        <v>0</v>
      </c>
      <c r="F96" s="120">
        <f>SUM(F93:F95)</f>
        <v>96329062.5</v>
      </c>
      <c r="G96" s="120">
        <f>IF(E96&lt;=D96,50,0)</f>
        <v>50</v>
      </c>
      <c r="H96" s="160"/>
      <c r="J96" s="163" t="s">
        <v>104</v>
      </c>
      <c r="K96" s="570" t="s">
        <v>38</v>
      </c>
      <c r="L96" s="570"/>
      <c r="M96" s="120">
        <f>SUM(M93:M95)</f>
        <v>96329062.5</v>
      </c>
      <c r="N96" s="120">
        <f>SUM(N93:N95)</f>
        <v>0</v>
      </c>
      <c r="O96" s="120">
        <f>SUM(O93:O95)</f>
        <v>96329062.5</v>
      </c>
      <c r="P96" s="120">
        <f>IF(N96&lt;=M96,50,0)</f>
        <v>50</v>
      </c>
      <c r="Q96" s="160"/>
      <c r="R96" s="117"/>
    </row>
    <row r="97" spans="1:18" ht="19.5" customHeight="1" x14ac:dyDescent="0.3">
      <c r="A97" s="157"/>
      <c r="B97" s="158"/>
      <c r="C97" s="164"/>
      <c r="D97" s="165"/>
      <c r="E97" s="166"/>
      <c r="F97" s="166"/>
      <c r="G97" s="159"/>
      <c r="H97" s="160"/>
      <c r="J97" s="157"/>
      <c r="K97" s="158"/>
      <c r="L97" s="164"/>
      <c r="M97" s="165"/>
      <c r="N97" s="166"/>
      <c r="O97" s="166"/>
      <c r="P97" s="159"/>
      <c r="Q97" s="160"/>
      <c r="R97" s="117"/>
    </row>
    <row r="98" spans="1:18" ht="19.5" customHeight="1" x14ac:dyDescent="0.3">
      <c r="A98" s="167" t="s">
        <v>33</v>
      </c>
      <c r="B98" s="571" t="s">
        <v>149</v>
      </c>
      <c r="C98" s="571"/>
      <c r="D98" s="571"/>
      <c r="E98" s="571"/>
      <c r="F98" s="207"/>
      <c r="G98" s="159"/>
      <c r="H98" s="160"/>
      <c r="J98" s="167" t="s">
        <v>33</v>
      </c>
      <c r="K98" s="571" t="s">
        <v>149</v>
      </c>
      <c r="L98" s="571"/>
      <c r="M98" s="571"/>
      <c r="N98" s="571"/>
      <c r="O98" s="207"/>
      <c r="P98" s="159"/>
      <c r="Q98" s="160"/>
      <c r="R98" s="117"/>
    </row>
    <row r="99" spans="1:18" ht="19.5" customHeight="1" x14ac:dyDescent="0.3">
      <c r="A99" s="161" t="s">
        <v>1</v>
      </c>
      <c r="B99" s="572" t="s">
        <v>99</v>
      </c>
      <c r="C99" s="572"/>
      <c r="D99" s="69" t="s">
        <v>95</v>
      </c>
      <c r="E99" s="70" t="s">
        <v>23</v>
      </c>
      <c r="F99" s="69" t="s">
        <v>24</v>
      </c>
      <c r="G99" s="227"/>
      <c r="H99" s="168"/>
      <c r="J99" s="161" t="s">
        <v>1</v>
      </c>
      <c r="K99" s="572" t="s">
        <v>99</v>
      </c>
      <c r="L99" s="572"/>
      <c r="M99" s="69" t="s">
        <v>95</v>
      </c>
      <c r="N99" s="70" t="s">
        <v>23</v>
      </c>
      <c r="O99" s="69" t="s">
        <v>24</v>
      </c>
      <c r="P99" s="311"/>
      <c r="Q99" s="168"/>
      <c r="R99" s="117"/>
    </row>
    <row r="100" spans="1:18" ht="19.5" customHeight="1" x14ac:dyDescent="0.3">
      <c r="A100" s="162" t="s">
        <v>101</v>
      </c>
      <c r="B100" s="569" t="s">
        <v>48</v>
      </c>
      <c r="C100" s="569"/>
      <c r="D100" s="74">
        <v>0.3</v>
      </c>
      <c r="E100" s="75">
        <f>F59</f>
        <v>0</v>
      </c>
      <c r="F100" s="76">
        <f>E100*D100</f>
        <v>0</v>
      </c>
      <c r="G100" s="228"/>
      <c r="H100" s="160"/>
      <c r="J100" s="162" t="s">
        <v>101</v>
      </c>
      <c r="K100" s="569" t="s">
        <v>48</v>
      </c>
      <c r="L100" s="569"/>
      <c r="M100" s="74">
        <v>0.3</v>
      </c>
      <c r="N100" s="75">
        <f>O59</f>
        <v>0</v>
      </c>
      <c r="O100" s="76">
        <f>N100*M100</f>
        <v>0</v>
      </c>
      <c r="P100" s="312"/>
      <c r="Q100" s="160"/>
      <c r="R100" s="117"/>
    </row>
    <row r="101" spans="1:18" ht="19.5" customHeight="1" x14ac:dyDescent="0.3">
      <c r="A101" s="162" t="s">
        <v>102</v>
      </c>
      <c r="B101" s="569" t="s">
        <v>49</v>
      </c>
      <c r="C101" s="569"/>
      <c r="D101" s="74">
        <v>0.35</v>
      </c>
      <c r="E101" s="75">
        <f>F66</f>
        <v>0</v>
      </c>
      <c r="F101" s="76">
        <f>E101*D101</f>
        <v>0</v>
      </c>
      <c r="G101" s="228"/>
      <c r="H101" s="160"/>
      <c r="J101" s="162" t="s">
        <v>102</v>
      </c>
      <c r="K101" s="569" t="s">
        <v>49</v>
      </c>
      <c r="L101" s="569"/>
      <c r="M101" s="74">
        <v>0.35</v>
      </c>
      <c r="N101" s="75">
        <f>O66</f>
        <v>0</v>
      </c>
      <c r="O101" s="76">
        <f>N101*M101</f>
        <v>0</v>
      </c>
      <c r="P101" s="312"/>
      <c r="Q101" s="160"/>
      <c r="R101" s="117"/>
    </row>
    <row r="102" spans="1:18" ht="19.5" customHeight="1" x14ac:dyDescent="0.3">
      <c r="A102" s="162" t="s">
        <v>103</v>
      </c>
      <c r="B102" s="569" t="s">
        <v>50</v>
      </c>
      <c r="C102" s="569"/>
      <c r="D102" s="74">
        <v>0.35</v>
      </c>
      <c r="E102" s="77">
        <f>'Rekap Penilaian KAP'!E57</f>
        <v>0</v>
      </c>
      <c r="F102" s="76">
        <f>E102*D102</f>
        <v>0</v>
      </c>
      <c r="G102" s="228"/>
      <c r="H102" s="160"/>
      <c r="J102" s="162" t="s">
        <v>103</v>
      </c>
      <c r="K102" s="569" t="s">
        <v>50</v>
      </c>
      <c r="L102" s="569"/>
      <c r="M102" s="74">
        <v>0.35</v>
      </c>
      <c r="N102" s="77">
        <f>'Rekap Penilaian KAP'!E66</f>
        <v>0</v>
      </c>
      <c r="O102" s="76">
        <f>N102*M102</f>
        <v>0</v>
      </c>
      <c r="P102" s="312"/>
      <c r="Q102" s="160"/>
      <c r="R102" s="117"/>
    </row>
    <row r="103" spans="1:18" ht="19.5" customHeight="1" x14ac:dyDescent="0.3">
      <c r="A103" s="162"/>
      <c r="B103" s="579" t="s">
        <v>150</v>
      </c>
      <c r="C103" s="579"/>
      <c r="D103" s="78"/>
      <c r="E103" s="79"/>
      <c r="F103" s="80">
        <f>SUM(F100:F102)</f>
        <v>0</v>
      </c>
      <c r="G103" s="228"/>
      <c r="H103" s="160"/>
      <c r="J103" s="162"/>
      <c r="K103" s="579" t="s">
        <v>150</v>
      </c>
      <c r="L103" s="579"/>
      <c r="M103" s="78"/>
      <c r="N103" s="79"/>
      <c r="O103" s="80">
        <f>SUM(O100:O102)</f>
        <v>0</v>
      </c>
      <c r="P103" s="312"/>
      <c r="Q103" s="160"/>
      <c r="R103" s="117"/>
    </row>
    <row r="104" spans="1:18" s="116" customFormat="1" ht="19.5" customHeight="1" x14ac:dyDescent="0.3">
      <c r="A104" s="136"/>
      <c r="B104" s="137"/>
      <c r="C104" s="139"/>
      <c r="D104" s="132"/>
      <c r="E104" s="133"/>
      <c r="F104" s="133"/>
      <c r="G104" s="129"/>
      <c r="H104" s="130"/>
      <c r="J104" s="136"/>
      <c r="K104" s="137"/>
      <c r="L104" s="139"/>
      <c r="M104" s="132"/>
      <c r="N104" s="133"/>
      <c r="O104" s="133"/>
      <c r="P104" s="129"/>
      <c r="Q104" s="130"/>
      <c r="R104" s="285"/>
    </row>
    <row r="105" spans="1:18" ht="19.5" customHeight="1" x14ac:dyDescent="0.3">
      <c r="A105" s="169" t="s">
        <v>60</v>
      </c>
      <c r="B105" s="137"/>
      <c r="C105" s="139"/>
      <c r="D105" s="98"/>
      <c r="E105" s="133"/>
      <c r="F105" s="133"/>
      <c r="G105" s="129"/>
      <c r="H105" s="145"/>
      <c r="J105" s="169" t="s">
        <v>60</v>
      </c>
      <c r="K105" s="137"/>
      <c r="L105" s="139"/>
      <c r="M105" s="98"/>
      <c r="N105" s="133"/>
      <c r="O105" s="133"/>
      <c r="P105" s="129"/>
      <c r="Q105" s="145"/>
      <c r="R105" s="156"/>
    </row>
    <row r="106" spans="1:18" ht="19.5" customHeight="1" x14ac:dyDescent="0.3">
      <c r="A106" s="563" t="s">
        <v>1</v>
      </c>
      <c r="B106" s="565" t="s">
        <v>61</v>
      </c>
      <c r="C106" s="566"/>
      <c r="D106" s="95" t="s">
        <v>62</v>
      </c>
      <c r="E106" s="95" t="s">
        <v>62</v>
      </c>
      <c r="F106" s="95" t="s">
        <v>63</v>
      </c>
      <c r="G106" s="82"/>
      <c r="H106" s="145"/>
      <c r="I106" s="232"/>
      <c r="J106" s="563" t="s">
        <v>1</v>
      </c>
      <c r="K106" s="565" t="s">
        <v>61</v>
      </c>
      <c r="L106" s="566"/>
      <c r="M106" s="95" t="s">
        <v>62</v>
      </c>
      <c r="N106" s="95" t="s">
        <v>62</v>
      </c>
      <c r="O106" s="95" t="s">
        <v>63</v>
      </c>
      <c r="P106" s="98"/>
      <c r="Q106" s="145"/>
      <c r="R106" s="117"/>
    </row>
    <row r="107" spans="1:18" ht="19.5" customHeight="1" x14ac:dyDescent="0.3">
      <c r="A107" s="564"/>
      <c r="B107" s="567"/>
      <c r="C107" s="568"/>
      <c r="D107" s="95" t="s">
        <v>64</v>
      </c>
      <c r="E107" s="95" t="s">
        <v>65</v>
      </c>
      <c r="F107" s="95" t="s">
        <v>66</v>
      </c>
      <c r="G107" s="82"/>
      <c r="H107" s="145"/>
      <c r="J107" s="564"/>
      <c r="K107" s="567"/>
      <c r="L107" s="568"/>
      <c r="M107" s="95" t="s">
        <v>64</v>
      </c>
      <c r="N107" s="95" t="s">
        <v>65</v>
      </c>
      <c r="O107" s="95" t="s">
        <v>66</v>
      </c>
      <c r="P107" s="98"/>
      <c r="Q107" s="145"/>
      <c r="R107" s="117"/>
    </row>
    <row r="108" spans="1:18" ht="19.5" customHeight="1" x14ac:dyDescent="0.3">
      <c r="A108" s="170"/>
      <c r="B108" s="575" t="s">
        <v>67</v>
      </c>
      <c r="C108" s="576"/>
      <c r="D108" s="544"/>
      <c r="E108" s="545"/>
      <c r="F108" s="546"/>
      <c r="G108" s="209"/>
      <c r="H108" s="145"/>
      <c r="J108" s="170"/>
      <c r="K108" s="575" t="s">
        <v>67</v>
      </c>
      <c r="L108" s="576"/>
      <c r="M108" s="544"/>
      <c r="N108" s="545"/>
      <c r="O108" s="546"/>
      <c r="P108" s="209"/>
      <c r="Q108" s="145"/>
      <c r="R108" s="117"/>
    </row>
    <row r="109" spans="1:18" ht="19.5" customHeight="1" x14ac:dyDescent="0.3">
      <c r="A109" s="171">
        <v>1</v>
      </c>
      <c r="B109" s="113" t="s">
        <v>68</v>
      </c>
      <c r="C109" s="114"/>
      <c r="D109" s="263" t="s">
        <v>72</v>
      </c>
      <c r="E109" s="229">
        <f t="shared" ref="E109:E118" si="14">IF(D109="Ya",4.2,0)</f>
        <v>0</v>
      </c>
      <c r="F109" s="266">
        <v>0</v>
      </c>
      <c r="G109" s="85"/>
      <c r="H109" s="145"/>
      <c r="J109" s="171">
        <v>1</v>
      </c>
      <c r="K109" s="113" t="s">
        <v>68</v>
      </c>
      <c r="L109" s="114"/>
      <c r="M109" s="276" t="s">
        <v>72</v>
      </c>
      <c r="N109" s="229">
        <f t="shared" ref="N109:N118" si="15">IF(M109="Ya",4.2,0)</f>
        <v>0</v>
      </c>
      <c r="O109" s="279">
        <v>0</v>
      </c>
      <c r="P109" s="132"/>
      <c r="Q109" s="145"/>
      <c r="R109" s="117"/>
    </row>
    <row r="110" spans="1:18" ht="19.5" customHeight="1" x14ac:dyDescent="0.3">
      <c r="A110" s="171">
        <v>2</v>
      </c>
      <c r="B110" s="113" t="s">
        <v>273</v>
      </c>
      <c r="C110" s="442"/>
      <c r="D110" s="264" t="s">
        <v>72</v>
      </c>
      <c r="E110" s="230">
        <f t="shared" si="14"/>
        <v>0</v>
      </c>
      <c r="F110" s="267">
        <v>0</v>
      </c>
      <c r="G110" s="85"/>
      <c r="H110" s="145"/>
      <c r="J110" s="171">
        <v>2</v>
      </c>
      <c r="K110" s="113" t="s">
        <v>273</v>
      </c>
      <c r="L110" s="442"/>
      <c r="M110" s="277" t="s">
        <v>72</v>
      </c>
      <c r="N110" s="230">
        <f t="shared" si="15"/>
        <v>0</v>
      </c>
      <c r="O110" s="280">
        <v>0</v>
      </c>
      <c r="P110" s="132"/>
      <c r="Q110" s="145"/>
      <c r="R110" s="117"/>
    </row>
    <row r="111" spans="1:18" ht="19.5" customHeight="1" x14ac:dyDescent="0.3">
      <c r="A111" s="171">
        <v>3</v>
      </c>
      <c r="B111" s="113" t="s">
        <v>274</v>
      </c>
      <c r="C111" s="442"/>
      <c r="D111" s="264" t="s">
        <v>72</v>
      </c>
      <c r="E111" s="230">
        <f t="shared" si="14"/>
        <v>0</v>
      </c>
      <c r="F111" s="267">
        <v>0</v>
      </c>
      <c r="G111" s="85"/>
      <c r="H111" s="145"/>
      <c r="J111" s="171">
        <v>3</v>
      </c>
      <c r="K111" s="113" t="s">
        <v>274</v>
      </c>
      <c r="L111" s="442"/>
      <c r="M111" s="277" t="s">
        <v>72</v>
      </c>
      <c r="N111" s="230">
        <f t="shared" si="15"/>
        <v>0</v>
      </c>
      <c r="O111" s="280">
        <v>0</v>
      </c>
      <c r="P111" s="132"/>
      <c r="Q111" s="145"/>
      <c r="R111" s="156"/>
    </row>
    <row r="112" spans="1:18" ht="19.5" customHeight="1" x14ac:dyDescent="0.3">
      <c r="A112" s="171">
        <v>4</v>
      </c>
      <c r="B112" s="113" t="s">
        <v>71</v>
      </c>
      <c r="C112" s="114"/>
      <c r="D112" s="264" t="s">
        <v>72</v>
      </c>
      <c r="E112" s="230">
        <f t="shared" si="14"/>
        <v>0</v>
      </c>
      <c r="F112" s="267">
        <v>0</v>
      </c>
      <c r="G112" s="85"/>
      <c r="H112" s="145"/>
      <c r="J112" s="171">
        <v>4</v>
      </c>
      <c r="K112" s="113" t="s">
        <v>71</v>
      </c>
      <c r="L112" s="114"/>
      <c r="M112" s="277" t="s">
        <v>72</v>
      </c>
      <c r="N112" s="230">
        <f t="shared" si="15"/>
        <v>0</v>
      </c>
      <c r="O112" s="280">
        <v>0</v>
      </c>
      <c r="P112" s="132"/>
      <c r="Q112" s="145"/>
    </row>
    <row r="113" spans="1:17" ht="19.5" customHeight="1" x14ac:dyDescent="0.3">
      <c r="A113" s="171">
        <v>5</v>
      </c>
      <c r="B113" s="113" t="s">
        <v>73</v>
      </c>
      <c r="C113" s="114"/>
      <c r="D113" s="264" t="s">
        <v>72</v>
      </c>
      <c r="E113" s="230">
        <f t="shared" si="14"/>
        <v>0</v>
      </c>
      <c r="F113" s="267">
        <v>0</v>
      </c>
      <c r="G113" s="85"/>
      <c r="H113" s="145"/>
      <c r="J113" s="171">
        <v>5</v>
      </c>
      <c r="K113" s="113" t="s">
        <v>73</v>
      </c>
      <c r="L113" s="114"/>
      <c r="M113" s="277" t="s">
        <v>72</v>
      </c>
      <c r="N113" s="230">
        <f t="shared" si="15"/>
        <v>0</v>
      </c>
      <c r="O113" s="280">
        <v>0</v>
      </c>
      <c r="P113" s="132"/>
      <c r="Q113" s="145"/>
    </row>
    <row r="114" spans="1:17" ht="19.5" customHeight="1" x14ac:dyDescent="0.3">
      <c r="A114" s="171">
        <v>6</v>
      </c>
      <c r="B114" s="113" t="s">
        <v>275</v>
      </c>
      <c r="C114" s="114"/>
      <c r="D114" s="264" t="s">
        <v>72</v>
      </c>
      <c r="E114" s="230">
        <f t="shared" si="14"/>
        <v>0</v>
      </c>
      <c r="F114" s="267">
        <v>0</v>
      </c>
      <c r="G114" s="85"/>
      <c r="H114" s="145"/>
      <c r="J114" s="171">
        <v>6</v>
      </c>
      <c r="K114" s="113" t="s">
        <v>275</v>
      </c>
      <c r="L114" s="114"/>
      <c r="M114" s="277" t="s">
        <v>72</v>
      </c>
      <c r="N114" s="230">
        <f t="shared" si="15"/>
        <v>0</v>
      </c>
      <c r="O114" s="280">
        <v>0</v>
      </c>
      <c r="P114" s="132"/>
      <c r="Q114" s="145"/>
    </row>
    <row r="115" spans="1:17" ht="19.5" customHeight="1" x14ac:dyDescent="0.3">
      <c r="A115" s="171">
        <v>7</v>
      </c>
      <c r="B115" s="113" t="s">
        <v>276</v>
      </c>
      <c r="C115" s="114"/>
      <c r="D115" s="264" t="s">
        <v>72</v>
      </c>
      <c r="E115" s="230">
        <f t="shared" si="14"/>
        <v>0</v>
      </c>
      <c r="F115" s="267">
        <v>0</v>
      </c>
      <c r="G115" s="85"/>
      <c r="H115" s="145"/>
      <c r="J115" s="171">
        <v>7</v>
      </c>
      <c r="K115" s="113" t="s">
        <v>276</v>
      </c>
      <c r="L115" s="114"/>
      <c r="M115" s="277" t="s">
        <v>72</v>
      </c>
      <c r="N115" s="230">
        <f t="shared" si="15"/>
        <v>0</v>
      </c>
      <c r="O115" s="280">
        <v>0</v>
      </c>
      <c r="P115" s="132"/>
      <c r="Q115" s="145"/>
    </row>
    <row r="116" spans="1:17" ht="19.5" customHeight="1" x14ac:dyDescent="0.3">
      <c r="A116" s="171">
        <v>8</v>
      </c>
      <c r="B116" s="113" t="s">
        <v>277</v>
      </c>
      <c r="C116" s="114"/>
      <c r="D116" s="264" t="s">
        <v>72</v>
      </c>
      <c r="E116" s="230">
        <f t="shared" si="14"/>
        <v>0</v>
      </c>
      <c r="F116" s="267">
        <v>0</v>
      </c>
      <c r="G116" s="85"/>
      <c r="H116" s="145"/>
      <c r="J116" s="171">
        <v>8</v>
      </c>
      <c r="K116" s="113" t="s">
        <v>277</v>
      </c>
      <c r="L116" s="114"/>
      <c r="M116" s="277" t="s">
        <v>72</v>
      </c>
      <c r="N116" s="230">
        <f t="shared" si="15"/>
        <v>0</v>
      </c>
      <c r="O116" s="280">
        <v>0</v>
      </c>
      <c r="P116" s="132"/>
      <c r="Q116" s="145"/>
    </row>
    <row r="117" spans="1:17" ht="19.5" customHeight="1" x14ac:dyDescent="0.3">
      <c r="A117" s="171">
        <v>9</v>
      </c>
      <c r="B117" s="113" t="s">
        <v>278</v>
      </c>
      <c r="C117" s="114"/>
      <c r="D117" s="264" t="s">
        <v>72</v>
      </c>
      <c r="E117" s="230">
        <f t="shared" si="14"/>
        <v>0</v>
      </c>
      <c r="F117" s="267">
        <v>0</v>
      </c>
      <c r="G117" s="85"/>
      <c r="H117" s="145"/>
      <c r="J117" s="171">
        <v>9</v>
      </c>
      <c r="K117" s="113" t="s">
        <v>278</v>
      </c>
      <c r="L117" s="114"/>
      <c r="M117" s="277" t="s">
        <v>72</v>
      </c>
      <c r="N117" s="230">
        <f t="shared" si="15"/>
        <v>0</v>
      </c>
      <c r="O117" s="280">
        <v>0</v>
      </c>
      <c r="P117" s="132"/>
      <c r="Q117" s="145"/>
    </row>
    <row r="118" spans="1:17" ht="19.5" customHeight="1" x14ac:dyDescent="0.3">
      <c r="A118" s="171">
        <v>10</v>
      </c>
      <c r="B118" s="113" t="s">
        <v>279</v>
      </c>
      <c r="C118" s="114"/>
      <c r="D118" s="264" t="s">
        <v>72</v>
      </c>
      <c r="E118" s="230">
        <f t="shared" si="14"/>
        <v>0</v>
      </c>
      <c r="F118" s="267">
        <v>0</v>
      </c>
      <c r="G118" s="85"/>
      <c r="H118" s="145"/>
      <c r="J118" s="171">
        <v>10</v>
      </c>
      <c r="K118" s="113" t="s">
        <v>279</v>
      </c>
      <c r="L118" s="114"/>
      <c r="M118" s="277" t="s">
        <v>72</v>
      </c>
      <c r="N118" s="230">
        <f t="shared" si="15"/>
        <v>0</v>
      </c>
      <c r="O118" s="280">
        <v>0</v>
      </c>
      <c r="P118" s="132"/>
      <c r="Q118" s="145"/>
    </row>
    <row r="119" spans="1:17" ht="19.5" customHeight="1" x14ac:dyDescent="0.3">
      <c r="A119" s="171">
        <v>11</v>
      </c>
      <c r="B119" s="113" t="s">
        <v>280</v>
      </c>
      <c r="C119" s="114"/>
      <c r="D119" s="265" t="s">
        <v>72</v>
      </c>
      <c r="E119" s="230">
        <f t="shared" ref="E119" si="16">IF(D119="Ya",4.2,0)</f>
        <v>0</v>
      </c>
      <c r="F119" s="267">
        <v>0</v>
      </c>
      <c r="G119" s="85"/>
      <c r="H119" s="145"/>
      <c r="J119" s="171">
        <v>11</v>
      </c>
      <c r="K119" s="113" t="s">
        <v>280</v>
      </c>
      <c r="L119" s="114"/>
      <c r="M119" s="278" t="s">
        <v>72</v>
      </c>
      <c r="N119" s="230">
        <f t="shared" ref="N119" si="17">IF(M119="Ya",4.2,0)</f>
        <v>0</v>
      </c>
      <c r="O119" s="280">
        <v>0</v>
      </c>
      <c r="P119" s="132"/>
      <c r="Q119" s="145"/>
    </row>
    <row r="120" spans="1:17" ht="19.5" customHeight="1" x14ac:dyDescent="0.3">
      <c r="A120" s="170"/>
      <c r="B120" s="577" t="s">
        <v>81</v>
      </c>
      <c r="C120" s="578"/>
      <c r="D120" s="547"/>
      <c r="E120" s="548"/>
      <c r="F120" s="549"/>
      <c r="G120" s="231"/>
      <c r="H120" s="145"/>
      <c r="J120" s="170"/>
      <c r="K120" s="577" t="s">
        <v>81</v>
      </c>
      <c r="L120" s="578"/>
      <c r="M120" s="547"/>
      <c r="N120" s="548"/>
      <c r="O120" s="549"/>
      <c r="P120" s="231"/>
      <c r="Q120" s="145"/>
    </row>
    <row r="121" spans="1:17" ht="19.5" customHeight="1" x14ac:dyDescent="0.3">
      <c r="A121" s="171">
        <v>12</v>
      </c>
      <c r="B121" s="113" t="s">
        <v>281</v>
      </c>
      <c r="C121" s="113"/>
      <c r="D121" s="263" t="s">
        <v>72</v>
      </c>
      <c r="E121" s="229">
        <f t="shared" ref="E121:E133" si="18">IF(D121="Ya",4.2,0)</f>
        <v>0</v>
      </c>
      <c r="F121" s="266">
        <v>0</v>
      </c>
      <c r="G121" s="85"/>
      <c r="H121" s="145"/>
      <c r="J121" s="171">
        <v>12</v>
      </c>
      <c r="K121" s="113" t="s">
        <v>281</v>
      </c>
      <c r="L121" s="113"/>
      <c r="M121" s="276" t="s">
        <v>72</v>
      </c>
      <c r="N121" s="229">
        <f t="shared" ref="N121:N133" si="19">IF(M121="Ya",4.2,0)</f>
        <v>0</v>
      </c>
      <c r="O121" s="279">
        <v>0</v>
      </c>
      <c r="P121" s="132"/>
      <c r="Q121" s="145"/>
    </row>
    <row r="122" spans="1:17" ht="19.5" customHeight="1" x14ac:dyDescent="0.3">
      <c r="A122" s="171">
        <v>13</v>
      </c>
      <c r="B122" s="113" t="s">
        <v>256</v>
      </c>
      <c r="C122" s="113"/>
      <c r="D122" s="264" t="s">
        <v>72</v>
      </c>
      <c r="E122" s="230">
        <f t="shared" si="18"/>
        <v>0</v>
      </c>
      <c r="F122" s="267">
        <v>0</v>
      </c>
      <c r="G122" s="85"/>
      <c r="H122" s="145"/>
      <c r="J122" s="171">
        <v>13</v>
      </c>
      <c r="K122" s="113" t="s">
        <v>256</v>
      </c>
      <c r="L122" s="113"/>
      <c r="M122" s="277" t="s">
        <v>72</v>
      </c>
      <c r="N122" s="230">
        <f t="shared" si="19"/>
        <v>0</v>
      </c>
      <c r="O122" s="280">
        <v>0</v>
      </c>
      <c r="P122" s="132"/>
      <c r="Q122" s="145"/>
    </row>
    <row r="123" spans="1:17" ht="19.5" customHeight="1" x14ac:dyDescent="0.3">
      <c r="A123" s="171">
        <v>14</v>
      </c>
      <c r="B123" s="113" t="s">
        <v>70</v>
      </c>
      <c r="C123" s="113"/>
      <c r="D123" s="264" t="s">
        <v>72</v>
      </c>
      <c r="E123" s="230">
        <f t="shared" si="18"/>
        <v>0</v>
      </c>
      <c r="F123" s="267">
        <v>0</v>
      </c>
      <c r="G123" s="85"/>
      <c r="H123" s="145"/>
      <c r="J123" s="171">
        <v>14</v>
      </c>
      <c r="K123" s="113" t="s">
        <v>70</v>
      </c>
      <c r="L123" s="113"/>
      <c r="M123" s="277" t="s">
        <v>72</v>
      </c>
      <c r="N123" s="230">
        <f t="shared" si="19"/>
        <v>0</v>
      </c>
      <c r="O123" s="280">
        <v>0</v>
      </c>
      <c r="P123" s="132"/>
      <c r="Q123" s="145"/>
    </row>
    <row r="124" spans="1:17" ht="19.5" customHeight="1" x14ac:dyDescent="0.3">
      <c r="A124" s="171">
        <v>15</v>
      </c>
      <c r="B124" s="113" t="s">
        <v>282</v>
      </c>
      <c r="C124" s="113"/>
      <c r="D124" s="264" t="s">
        <v>72</v>
      </c>
      <c r="E124" s="230">
        <f t="shared" si="18"/>
        <v>0</v>
      </c>
      <c r="F124" s="267">
        <v>0</v>
      </c>
      <c r="G124" s="85"/>
      <c r="H124" s="145"/>
      <c r="J124" s="171">
        <v>15</v>
      </c>
      <c r="K124" s="113" t="s">
        <v>282</v>
      </c>
      <c r="L124" s="113"/>
      <c r="M124" s="277" t="s">
        <v>72</v>
      </c>
      <c r="N124" s="230">
        <f t="shared" si="19"/>
        <v>0</v>
      </c>
      <c r="O124" s="280">
        <v>0</v>
      </c>
      <c r="P124" s="132"/>
      <c r="Q124" s="145"/>
    </row>
    <row r="125" spans="1:17" ht="19.5" customHeight="1" x14ac:dyDescent="0.3">
      <c r="A125" s="171">
        <v>16</v>
      </c>
      <c r="B125" s="113" t="s">
        <v>287</v>
      </c>
      <c r="C125" s="113"/>
      <c r="D125" s="264" t="s">
        <v>72</v>
      </c>
      <c r="E125" s="230">
        <f t="shared" si="18"/>
        <v>0</v>
      </c>
      <c r="F125" s="267">
        <v>0</v>
      </c>
      <c r="G125" s="85"/>
      <c r="H125" s="145"/>
      <c r="J125" s="171">
        <v>16</v>
      </c>
      <c r="K125" s="113" t="s">
        <v>287</v>
      </c>
      <c r="L125" s="113"/>
      <c r="M125" s="277" t="s">
        <v>72</v>
      </c>
      <c r="N125" s="230">
        <f t="shared" si="19"/>
        <v>0</v>
      </c>
      <c r="O125" s="280">
        <v>0</v>
      </c>
      <c r="P125" s="132"/>
      <c r="Q125" s="145"/>
    </row>
    <row r="126" spans="1:17" ht="19.5" customHeight="1" x14ac:dyDescent="0.3">
      <c r="A126" s="171">
        <v>17</v>
      </c>
      <c r="B126" s="113" t="s">
        <v>257</v>
      </c>
      <c r="C126" s="113"/>
      <c r="D126" s="264" t="s">
        <v>72</v>
      </c>
      <c r="E126" s="230">
        <f t="shared" si="18"/>
        <v>0</v>
      </c>
      <c r="F126" s="267">
        <v>0</v>
      </c>
      <c r="G126" s="85"/>
      <c r="H126" s="145"/>
      <c r="J126" s="171">
        <v>17</v>
      </c>
      <c r="K126" s="113" t="s">
        <v>257</v>
      </c>
      <c r="L126" s="113"/>
      <c r="M126" s="277" t="s">
        <v>72</v>
      </c>
      <c r="N126" s="230">
        <f t="shared" si="19"/>
        <v>0</v>
      </c>
      <c r="O126" s="280">
        <v>0</v>
      </c>
      <c r="P126" s="132"/>
      <c r="Q126" s="145"/>
    </row>
    <row r="127" spans="1:17" ht="19.5" customHeight="1" x14ac:dyDescent="0.3">
      <c r="A127" s="171">
        <v>18</v>
      </c>
      <c r="B127" s="113" t="s">
        <v>288</v>
      </c>
      <c r="C127" s="113"/>
      <c r="D127" s="264" t="s">
        <v>72</v>
      </c>
      <c r="E127" s="230">
        <f t="shared" si="18"/>
        <v>0</v>
      </c>
      <c r="F127" s="267">
        <v>0</v>
      </c>
      <c r="G127" s="85"/>
      <c r="H127" s="145"/>
      <c r="J127" s="171">
        <v>18</v>
      </c>
      <c r="K127" s="113" t="s">
        <v>288</v>
      </c>
      <c r="L127" s="113"/>
      <c r="M127" s="277" t="s">
        <v>72</v>
      </c>
      <c r="N127" s="230">
        <f t="shared" si="19"/>
        <v>0</v>
      </c>
      <c r="O127" s="280">
        <v>0</v>
      </c>
      <c r="P127" s="132"/>
      <c r="Q127" s="145"/>
    </row>
    <row r="128" spans="1:17" ht="19.5" customHeight="1" x14ac:dyDescent="0.3">
      <c r="A128" s="171">
        <v>19</v>
      </c>
      <c r="B128" s="113" t="s">
        <v>289</v>
      </c>
      <c r="C128" s="113"/>
      <c r="D128" s="264" t="s">
        <v>72</v>
      </c>
      <c r="E128" s="230">
        <f t="shared" si="18"/>
        <v>0</v>
      </c>
      <c r="F128" s="267">
        <v>0</v>
      </c>
      <c r="G128" s="85"/>
      <c r="H128" s="145"/>
      <c r="J128" s="171">
        <v>19</v>
      </c>
      <c r="K128" s="113" t="s">
        <v>289</v>
      </c>
      <c r="L128" s="113"/>
      <c r="M128" s="277" t="s">
        <v>72</v>
      </c>
      <c r="N128" s="230">
        <f t="shared" si="19"/>
        <v>0</v>
      </c>
      <c r="O128" s="280">
        <v>0</v>
      </c>
      <c r="P128" s="132"/>
      <c r="Q128" s="145"/>
    </row>
    <row r="129" spans="1:17" ht="19.5" customHeight="1" x14ac:dyDescent="0.3">
      <c r="A129" s="171">
        <v>20</v>
      </c>
      <c r="B129" s="113" t="s">
        <v>283</v>
      </c>
      <c r="C129" s="113"/>
      <c r="D129" s="264" t="s">
        <v>72</v>
      </c>
      <c r="E129" s="230">
        <f t="shared" si="18"/>
        <v>0</v>
      </c>
      <c r="F129" s="267">
        <v>0</v>
      </c>
      <c r="G129" s="85"/>
      <c r="H129" s="145"/>
      <c r="J129" s="171">
        <v>20</v>
      </c>
      <c r="K129" s="113" t="s">
        <v>283</v>
      </c>
      <c r="L129" s="113"/>
      <c r="M129" s="277" t="s">
        <v>72</v>
      </c>
      <c r="N129" s="230">
        <f t="shared" si="19"/>
        <v>0</v>
      </c>
      <c r="O129" s="280">
        <v>0</v>
      </c>
      <c r="P129" s="132"/>
      <c r="Q129" s="145"/>
    </row>
    <row r="130" spans="1:17" ht="19.5" customHeight="1" x14ac:dyDescent="0.3">
      <c r="A130" s="171">
        <v>21</v>
      </c>
      <c r="B130" s="113" t="s">
        <v>258</v>
      </c>
      <c r="C130" s="113"/>
      <c r="D130" s="264" t="s">
        <v>72</v>
      </c>
      <c r="E130" s="230">
        <f t="shared" ref="E130" si="20">IF(D130="Ya",4.2,0)</f>
        <v>0</v>
      </c>
      <c r="F130" s="267">
        <v>0</v>
      </c>
      <c r="G130" s="85"/>
      <c r="H130" s="145"/>
      <c r="J130" s="171">
        <v>21</v>
      </c>
      <c r="K130" s="113" t="s">
        <v>258</v>
      </c>
      <c r="L130" s="113"/>
      <c r="M130" s="277" t="s">
        <v>72</v>
      </c>
      <c r="N130" s="230">
        <f t="shared" ref="N130" si="21">IF(M130="Ya",4.2,0)</f>
        <v>0</v>
      </c>
      <c r="O130" s="280">
        <v>0</v>
      </c>
      <c r="P130" s="132"/>
      <c r="Q130" s="145"/>
    </row>
    <row r="131" spans="1:17" ht="19.5" customHeight="1" x14ac:dyDescent="0.3">
      <c r="A131" s="171">
        <v>22</v>
      </c>
      <c r="B131" s="113" t="s">
        <v>284</v>
      </c>
      <c r="C131" s="113"/>
      <c r="D131" s="264" t="s">
        <v>72</v>
      </c>
      <c r="E131" s="230">
        <f t="shared" si="18"/>
        <v>0</v>
      </c>
      <c r="F131" s="267">
        <v>0</v>
      </c>
      <c r="G131" s="85"/>
      <c r="H131" s="145"/>
      <c r="J131" s="171">
        <v>22</v>
      </c>
      <c r="K131" s="113" t="s">
        <v>284</v>
      </c>
      <c r="L131" s="113"/>
      <c r="M131" s="277" t="s">
        <v>72</v>
      </c>
      <c r="N131" s="230">
        <f t="shared" si="19"/>
        <v>0</v>
      </c>
      <c r="O131" s="280">
        <v>0</v>
      </c>
      <c r="P131" s="132"/>
      <c r="Q131" s="145"/>
    </row>
    <row r="132" spans="1:17" ht="19.5" customHeight="1" x14ac:dyDescent="0.3">
      <c r="A132" s="171">
        <v>23</v>
      </c>
      <c r="B132" s="113" t="s">
        <v>285</v>
      </c>
      <c r="C132" s="113"/>
      <c r="D132" s="264" t="s">
        <v>72</v>
      </c>
      <c r="E132" s="230">
        <f t="shared" ref="E132" si="22">IF(D132="Ya",4.2,0)</f>
        <v>0</v>
      </c>
      <c r="F132" s="267">
        <v>0</v>
      </c>
      <c r="G132" s="85"/>
      <c r="H132" s="145"/>
      <c r="J132" s="171">
        <v>23</v>
      </c>
      <c r="K132" s="113" t="s">
        <v>285</v>
      </c>
      <c r="L132" s="113"/>
      <c r="M132" s="277" t="s">
        <v>72</v>
      </c>
      <c r="N132" s="230">
        <f t="shared" ref="N132" si="23">IF(M132="Ya",4.2,0)</f>
        <v>0</v>
      </c>
      <c r="O132" s="280">
        <v>0</v>
      </c>
      <c r="P132" s="132"/>
      <c r="Q132" s="145"/>
    </row>
    <row r="133" spans="1:17" ht="19.5" customHeight="1" x14ac:dyDescent="0.3">
      <c r="A133" s="171">
        <v>24</v>
      </c>
      <c r="B133" s="113" t="s">
        <v>286</v>
      </c>
      <c r="C133" s="113"/>
      <c r="D133" s="265" t="s">
        <v>72</v>
      </c>
      <c r="E133" s="230">
        <f t="shared" si="18"/>
        <v>0</v>
      </c>
      <c r="F133" s="267">
        <v>0</v>
      </c>
      <c r="G133" s="85"/>
      <c r="H133" s="145"/>
      <c r="J133" s="171">
        <v>24</v>
      </c>
      <c r="K133" s="113" t="s">
        <v>286</v>
      </c>
      <c r="L133" s="113"/>
      <c r="M133" s="278" t="s">
        <v>72</v>
      </c>
      <c r="N133" s="230">
        <f t="shared" si="19"/>
        <v>0</v>
      </c>
      <c r="O133" s="280">
        <v>0</v>
      </c>
      <c r="P133" s="132"/>
      <c r="Q133" s="145"/>
    </row>
    <row r="134" spans="1:17" ht="19.5" customHeight="1" x14ac:dyDescent="0.3">
      <c r="A134" s="172"/>
      <c r="B134" s="440"/>
      <c r="C134" s="121" t="s">
        <v>94</v>
      </c>
      <c r="D134" s="210"/>
      <c r="E134" s="122">
        <f>ROUNDDOWN(SUM(E109:E133),0)</f>
        <v>0</v>
      </c>
      <c r="F134" s="122">
        <f>ROUNDDOWN(SUM(F109:F133),0)</f>
        <v>0</v>
      </c>
      <c r="G134" s="116"/>
      <c r="H134" s="173"/>
      <c r="J134" s="172"/>
      <c r="K134" s="281"/>
      <c r="L134" s="121" t="s">
        <v>94</v>
      </c>
      <c r="M134" s="210"/>
      <c r="N134" s="122">
        <f>ROUNDDOWN(SUM(N109:N133),0)</f>
        <v>0</v>
      </c>
      <c r="O134" s="122">
        <f>ROUNDDOWN(SUM(O109:O133),0)</f>
        <v>0</v>
      </c>
      <c r="P134" s="100"/>
      <c r="Q134" s="173"/>
    </row>
    <row r="135" spans="1:17" ht="19.5" customHeight="1" x14ac:dyDescent="0.3">
      <c r="A135" s="174"/>
      <c r="B135" s="175"/>
      <c r="C135" s="175"/>
      <c r="D135" s="100"/>
      <c r="E135" s="133"/>
      <c r="F135" s="133"/>
      <c r="G135" s="129"/>
      <c r="H135" s="130"/>
      <c r="J135" s="174"/>
      <c r="K135" s="175"/>
      <c r="L135" s="175"/>
      <c r="M135" s="100"/>
      <c r="N135" s="133"/>
      <c r="O135" s="133"/>
      <c r="P135" s="129"/>
      <c r="Q135" s="130"/>
    </row>
    <row r="136" spans="1:17" ht="19.5" customHeight="1" x14ac:dyDescent="0.3">
      <c r="A136" s="144"/>
      <c r="B136" s="137"/>
      <c r="C136" s="139"/>
      <c r="D136" s="117" t="s">
        <v>151</v>
      </c>
      <c r="E136" s="176">
        <v>4.2</v>
      </c>
      <c r="F136" s="177" t="s">
        <v>152</v>
      </c>
      <c r="G136" s="85"/>
      <c r="H136" s="145"/>
      <c r="J136" s="144"/>
      <c r="K136" s="137"/>
      <c r="L136" s="139"/>
      <c r="M136" s="117" t="s">
        <v>151</v>
      </c>
      <c r="N136" s="176">
        <v>4.2</v>
      </c>
      <c r="O136" s="177" t="s">
        <v>152</v>
      </c>
      <c r="P136" s="132"/>
      <c r="Q136" s="145"/>
    </row>
    <row r="137" spans="1:17" ht="19.5" customHeight="1" x14ac:dyDescent="0.3">
      <c r="A137" s="144"/>
      <c r="B137" s="137"/>
      <c r="C137" s="139"/>
      <c r="D137" s="98"/>
      <c r="E137" s="176">
        <f>E138*2</f>
        <v>2.78</v>
      </c>
      <c r="F137" s="177" t="s">
        <v>153</v>
      </c>
      <c r="G137" s="85"/>
      <c r="H137" s="145"/>
      <c r="J137" s="144"/>
      <c r="K137" s="137"/>
      <c r="L137" s="139"/>
      <c r="M137" s="98"/>
      <c r="N137" s="176">
        <f>N138*2</f>
        <v>2.78</v>
      </c>
      <c r="O137" s="177" t="s">
        <v>153</v>
      </c>
      <c r="P137" s="132"/>
      <c r="Q137" s="145"/>
    </row>
    <row r="138" spans="1:17" ht="19.5" customHeight="1" x14ac:dyDescent="0.3">
      <c r="A138" s="144"/>
      <c r="B138" s="137"/>
      <c r="C138" s="139"/>
      <c r="D138" s="98"/>
      <c r="E138" s="176">
        <v>1.39</v>
      </c>
      <c r="F138" s="177" t="s">
        <v>154</v>
      </c>
      <c r="G138" s="85"/>
      <c r="H138" s="145"/>
      <c r="J138" s="144"/>
      <c r="K138" s="137"/>
      <c r="L138" s="139"/>
      <c r="M138" s="98"/>
      <c r="N138" s="176">
        <v>1.39</v>
      </c>
      <c r="O138" s="177" t="s">
        <v>154</v>
      </c>
      <c r="P138" s="132"/>
      <c r="Q138" s="145"/>
    </row>
    <row r="139" spans="1:17" ht="19.5" customHeight="1" x14ac:dyDescent="0.3">
      <c r="A139" s="144"/>
      <c r="B139" s="137"/>
      <c r="C139" s="139"/>
      <c r="D139" s="98"/>
      <c r="E139" s="178">
        <v>0</v>
      </c>
      <c r="F139" s="177" t="s">
        <v>155</v>
      </c>
      <c r="G139" s="85"/>
      <c r="H139" s="145"/>
      <c r="J139" s="144"/>
      <c r="K139" s="137"/>
      <c r="L139" s="139"/>
      <c r="M139" s="98"/>
      <c r="N139" s="178">
        <v>0</v>
      </c>
      <c r="O139" s="177" t="s">
        <v>155</v>
      </c>
      <c r="P139" s="132"/>
      <c r="Q139" s="145"/>
    </row>
    <row r="140" spans="1:17" ht="19.5" customHeight="1" x14ac:dyDescent="0.3">
      <c r="A140" s="144"/>
      <c r="B140" s="137"/>
      <c r="C140" s="179" t="s">
        <v>156</v>
      </c>
      <c r="D140" s="129"/>
      <c r="E140" s="180"/>
      <c r="F140" s="180"/>
      <c r="G140" s="129"/>
      <c r="H140" s="145"/>
      <c r="J140" s="144"/>
      <c r="K140" s="137"/>
      <c r="L140" s="179" t="s">
        <v>156</v>
      </c>
      <c r="M140" s="129"/>
      <c r="N140" s="180"/>
      <c r="O140" s="180"/>
      <c r="P140" s="129"/>
      <c r="Q140" s="145"/>
    </row>
    <row r="141" spans="1:17" ht="19.5" customHeight="1" thickBot="1" x14ac:dyDescent="0.35">
      <c r="A141" s="181"/>
      <c r="B141" s="182"/>
      <c r="C141" s="182"/>
      <c r="D141" s="183"/>
      <c r="E141" s="184"/>
      <c r="F141" s="184"/>
      <c r="G141" s="185"/>
      <c r="H141" s="186"/>
      <c r="J141" s="181"/>
      <c r="K141" s="182"/>
      <c r="L141" s="182"/>
      <c r="M141" s="183"/>
      <c r="N141" s="184"/>
      <c r="O141" s="184"/>
      <c r="P141" s="185"/>
      <c r="Q141" s="186"/>
    </row>
    <row r="142" spans="1:17" ht="19.5" customHeight="1" x14ac:dyDescent="0.3">
      <c r="A142" s="118"/>
      <c r="B142" s="115"/>
      <c r="C142" s="115"/>
    </row>
    <row r="143" spans="1:17" ht="19.5" customHeight="1" x14ac:dyDescent="0.3">
      <c r="A143" s="118"/>
      <c r="B143" s="115"/>
      <c r="C143" s="115"/>
    </row>
    <row r="144" spans="1:17" ht="19.5" customHeight="1" x14ac:dyDescent="0.3">
      <c r="A144" s="118"/>
      <c r="B144" s="115"/>
      <c r="C144" s="115"/>
    </row>
    <row r="145" spans="1:3" ht="19.5" customHeight="1" x14ac:dyDescent="0.3">
      <c r="A145" s="118"/>
      <c r="B145" s="115"/>
      <c r="C145" s="115"/>
    </row>
    <row r="146" spans="1:3" ht="19.5" customHeight="1" x14ac:dyDescent="0.3">
      <c r="A146" s="118"/>
      <c r="B146" s="115"/>
      <c r="C146" s="115"/>
    </row>
    <row r="147" spans="1:3" ht="19.5" customHeight="1" x14ac:dyDescent="0.3">
      <c r="A147" s="118"/>
      <c r="B147" s="115"/>
      <c r="C147" s="115"/>
    </row>
    <row r="148" spans="1:3" ht="19.5" customHeight="1" x14ac:dyDescent="0.3">
      <c r="A148" s="118"/>
      <c r="B148" s="115"/>
      <c r="C148" s="115"/>
    </row>
    <row r="149" spans="1:3" ht="19.5" customHeight="1" x14ac:dyDescent="0.3">
      <c r="A149" s="118"/>
      <c r="B149" s="115"/>
      <c r="C149" s="115"/>
    </row>
    <row r="150" spans="1:3" ht="19.5" customHeight="1" x14ac:dyDescent="0.3">
      <c r="A150" s="118"/>
      <c r="B150" s="115"/>
      <c r="C150" s="115"/>
    </row>
  </sheetData>
  <sheetProtection algorithmName="SHA-512" hashValue="akp9Fpv/R2hxSruvnV1Sh7swr59NWShYUwCsHBhZaNpEkkTqDBuBKw8SulAqRqv99JKO0kHSATRQ3ON40qOv3w==" saltValue="5D8XLkkrseXmDVDidgHL9Q==" spinCount="100000" sheet="1" objects="1" scenarios="1" selectLockedCells="1"/>
  <mergeCells count="160">
    <mergeCell ref="A12:A19"/>
    <mergeCell ref="B12:C12"/>
    <mergeCell ref="J12:J19"/>
    <mergeCell ref="K12:L12"/>
    <mergeCell ref="A5:H6"/>
    <mergeCell ref="J5:Q6"/>
    <mergeCell ref="B8:C8"/>
    <mergeCell ref="K8:L8"/>
    <mergeCell ref="B9:C9"/>
    <mergeCell ref="K9:L9"/>
    <mergeCell ref="B20:C20"/>
    <mergeCell ref="K20:L20"/>
    <mergeCell ref="B21:C21"/>
    <mergeCell ref="K21:L21"/>
    <mergeCell ref="B22:C22"/>
    <mergeCell ref="K22:L22"/>
    <mergeCell ref="B10:C10"/>
    <mergeCell ref="K10:L10"/>
    <mergeCell ref="B11:C11"/>
    <mergeCell ref="K11:L11"/>
    <mergeCell ref="B26:C26"/>
    <mergeCell ref="K26:L26"/>
    <mergeCell ref="B27:C27"/>
    <mergeCell ref="K27:L27"/>
    <mergeCell ref="A28:C28"/>
    <mergeCell ref="J28:L28"/>
    <mergeCell ref="B23:C23"/>
    <mergeCell ref="K23:L23"/>
    <mergeCell ref="B24:C24"/>
    <mergeCell ref="K24:L24"/>
    <mergeCell ref="B25:C25"/>
    <mergeCell ref="K25:L25"/>
    <mergeCell ref="B34:C34"/>
    <mergeCell ref="K34:L34"/>
    <mergeCell ref="B35:C35"/>
    <mergeCell ref="K35:L35"/>
    <mergeCell ref="B36:C36"/>
    <mergeCell ref="K36:L36"/>
    <mergeCell ref="B31:C31"/>
    <mergeCell ref="K31:L31"/>
    <mergeCell ref="B32:C32"/>
    <mergeCell ref="K32:L32"/>
    <mergeCell ref="B33:C33"/>
    <mergeCell ref="K33:L33"/>
    <mergeCell ref="B43:C43"/>
    <mergeCell ref="K43:L43"/>
    <mergeCell ref="B44:C44"/>
    <mergeCell ref="K44:L44"/>
    <mergeCell ref="B45:C45"/>
    <mergeCell ref="K45:L45"/>
    <mergeCell ref="B37:C37"/>
    <mergeCell ref="K37:L37"/>
    <mergeCell ref="B38:C38"/>
    <mergeCell ref="K38:L38"/>
    <mergeCell ref="B39:C39"/>
    <mergeCell ref="K39:L39"/>
    <mergeCell ref="B52:C52"/>
    <mergeCell ref="K52:L52"/>
    <mergeCell ref="B53:C53"/>
    <mergeCell ref="K53:L53"/>
    <mergeCell ref="B54:C54"/>
    <mergeCell ref="K54:L54"/>
    <mergeCell ref="B46:C46"/>
    <mergeCell ref="K46:L46"/>
    <mergeCell ref="B50:C50"/>
    <mergeCell ref="K50:L50"/>
    <mergeCell ref="B51:C51"/>
    <mergeCell ref="K51:L51"/>
    <mergeCell ref="C61:D61"/>
    <mergeCell ref="L61:M61"/>
    <mergeCell ref="B62:C62"/>
    <mergeCell ref="K62:L62"/>
    <mergeCell ref="B63:C63"/>
    <mergeCell ref="K63:L63"/>
    <mergeCell ref="B55:C55"/>
    <mergeCell ref="K55:L55"/>
    <mergeCell ref="B56:C56"/>
    <mergeCell ref="K56:L56"/>
    <mergeCell ref="B57:C57"/>
    <mergeCell ref="K57:L57"/>
    <mergeCell ref="C68:E68"/>
    <mergeCell ref="L68:N68"/>
    <mergeCell ref="B69:C69"/>
    <mergeCell ref="K69:L69"/>
    <mergeCell ref="B70:C70"/>
    <mergeCell ref="K70:L70"/>
    <mergeCell ref="B64:C64"/>
    <mergeCell ref="K64:L64"/>
    <mergeCell ref="B65:C65"/>
    <mergeCell ref="K65:L65"/>
    <mergeCell ref="B66:C66"/>
    <mergeCell ref="K66:L66"/>
    <mergeCell ref="B74:C74"/>
    <mergeCell ref="K74:L74"/>
    <mergeCell ref="C76:E76"/>
    <mergeCell ref="L76:N76"/>
    <mergeCell ref="B77:C77"/>
    <mergeCell ref="K77:L77"/>
    <mergeCell ref="B71:C71"/>
    <mergeCell ref="K71:L71"/>
    <mergeCell ref="B72:C72"/>
    <mergeCell ref="K72:L72"/>
    <mergeCell ref="B73:C73"/>
    <mergeCell ref="K73:L73"/>
    <mergeCell ref="B81:C81"/>
    <mergeCell ref="K81:L81"/>
    <mergeCell ref="B82:C82"/>
    <mergeCell ref="K82:L82"/>
    <mergeCell ref="C84:E84"/>
    <mergeCell ref="L84:N84"/>
    <mergeCell ref="B78:C78"/>
    <mergeCell ref="K78:L78"/>
    <mergeCell ref="B79:C79"/>
    <mergeCell ref="K79:L79"/>
    <mergeCell ref="B80:C80"/>
    <mergeCell ref="K80:L80"/>
    <mergeCell ref="B88:C88"/>
    <mergeCell ref="K88:L88"/>
    <mergeCell ref="B89:C89"/>
    <mergeCell ref="K89:L89"/>
    <mergeCell ref="B92:C92"/>
    <mergeCell ref="K92:L92"/>
    <mergeCell ref="B85:C85"/>
    <mergeCell ref="K85:L85"/>
    <mergeCell ref="B86:C86"/>
    <mergeCell ref="K86:L86"/>
    <mergeCell ref="B87:C87"/>
    <mergeCell ref="K87:L87"/>
    <mergeCell ref="B96:C96"/>
    <mergeCell ref="K96:L96"/>
    <mergeCell ref="B98:E98"/>
    <mergeCell ref="K98:N98"/>
    <mergeCell ref="B99:C99"/>
    <mergeCell ref="K99:L99"/>
    <mergeCell ref="B93:C93"/>
    <mergeCell ref="K93:L93"/>
    <mergeCell ref="B94:C94"/>
    <mergeCell ref="K94:L94"/>
    <mergeCell ref="B95:C95"/>
    <mergeCell ref="K95:L95"/>
    <mergeCell ref="A106:A107"/>
    <mergeCell ref="B106:C107"/>
    <mergeCell ref="J106:J107"/>
    <mergeCell ref="K106:L107"/>
    <mergeCell ref="B100:C100"/>
    <mergeCell ref="K100:L100"/>
    <mergeCell ref="B101:C101"/>
    <mergeCell ref="K101:L101"/>
    <mergeCell ref="B102:C102"/>
    <mergeCell ref="K102:L102"/>
    <mergeCell ref="B108:C108"/>
    <mergeCell ref="D108:F108"/>
    <mergeCell ref="K108:L108"/>
    <mergeCell ref="M108:O108"/>
    <mergeCell ref="B120:C120"/>
    <mergeCell ref="D120:F120"/>
    <mergeCell ref="K120:L120"/>
    <mergeCell ref="M120:O120"/>
    <mergeCell ref="B103:C103"/>
    <mergeCell ref="K103:L103"/>
  </mergeCells>
  <dataValidations count="5">
    <dataValidation type="list" allowBlank="1" showInputMessage="1" showErrorMessage="1" sqref="O109:O119 F121:F133 F109:F119 O121:O133" xr:uid="{00000000-0002-0000-0400-000000000000}">
      <formula1>"0,1,4,2,8,4,2"</formula1>
    </dataValidation>
    <dataValidation type="list" allowBlank="1" showInputMessage="1" showErrorMessage="1" sqref="O70:O73 F70:F73 F78:F81 O78:O81" xr:uid="{00000000-0002-0000-0400-000001000000}">
      <formula1>"0,1,2,3,4,5"</formula1>
    </dataValidation>
    <dataValidation type="list" allowBlank="1" showInputMessage="1" showErrorMessage="1" sqref="N51:N57 E13:E27 N9:N11 N44 D121:D133 E9:E11 M109:M119 E51:E57 N32:N39 E44 E32:E39 N13:N27 D109:D119 M121:M133" xr:uid="{00000000-0002-0000-0400-000002000000}">
      <formula1>"Ya,Tidak"</formula1>
    </dataValidation>
    <dataValidation type="list" allowBlank="1" showDropDown="1" showInputMessage="1" showErrorMessage="1" sqref="E45:E46 N45:N46" xr:uid="{00000000-0002-0000-0400-000003000000}">
      <formula1>"Ya,Tidak"</formula1>
    </dataValidation>
    <dataValidation type="list" allowBlank="1" showInputMessage="1" showErrorMessage="1" sqref="E86 N86" xr:uid="{00000000-0002-0000-0400-000004000000}">
      <formula1>"0,100"</formula1>
    </dataValidation>
  </dataValidations>
  <pageMargins left="0.7" right="0.7" top="0.75" bottom="0.75" header="0.3" footer="0.3"/>
  <pageSetup paperSize="9"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Z150"/>
  <sheetViews>
    <sheetView zoomScale="42" zoomScaleNormal="64" workbookViewId="0">
      <selection activeCell="C2" sqref="C2"/>
    </sheetView>
  </sheetViews>
  <sheetFormatPr defaultColWidth="9.21875" defaultRowHeight="19.5" customHeight="1" x14ac:dyDescent="0.3"/>
  <cols>
    <col min="1" max="1" width="7" style="84" customWidth="1"/>
    <col min="2" max="2" width="5.5546875" style="92" customWidth="1"/>
    <col min="3" max="3" width="87.5546875" style="81" customWidth="1"/>
    <col min="4" max="4" width="24.5546875" style="85" customWidth="1"/>
    <col min="5" max="5" width="21.5546875" style="83" bestFit="1" customWidth="1"/>
    <col min="6" max="6" width="18.77734375" style="83" customWidth="1"/>
    <col min="7" max="8" width="16.21875" style="84" customWidth="1"/>
    <col min="9" max="9" width="13.5546875" style="85" customWidth="1"/>
    <col min="10" max="10" width="4.77734375" style="85" bestFit="1" customWidth="1"/>
    <col min="11" max="11" width="5.5546875" style="91" customWidth="1"/>
    <col min="12" max="12" width="87.44140625" style="91" customWidth="1"/>
    <col min="13" max="13" width="26" style="85" customWidth="1"/>
    <col min="14" max="14" width="21.5546875" style="85" bestFit="1" customWidth="1"/>
    <col min="15" max="15" width="22.5546875" style="85" bestFit="1" customWidth="1"/>
    <col min="16" max="16" width="18.21875" style="85" customWidth="1"/>
    <col min="17" max="17" width="15.21875" style="85" customWidth="1"/>
    <col min="18" max="18" width="9.21875" style="107"/>
    <col min="19" max="19" width="5.5546875" style="85" bestFit="1" customWidth="1"/>
    <col min="20" max="20" width="9.21875" style="85"/>
    <col min="21" max="21" width="97.77734375" style="85" customWidth="1"/>
    <col min="22" max="22" width="32.21875" style="85" customWidth="1"/>
    <col min="23" max="23" width="16.21875" style="85" bestFit="1" customWidth="1"/>
    <col min="24" max="24" width="9.5546875" style="85" customWidth="1"/>
    <col min="25" max="16384" width="9.21875" style="85"/>
  </cols>
  <sheetData>
    <row r="1" spans="1:24" ht="19.5" customHeight="1" x14ac:dyDescent="0.3">
      <c r="A1" s="217" t="s">
        <v>188</v>
      </c>
      <c r="B1" s="105"/>
      <c r="C1" s="106"/>
      <c r="D1" s="82"/>
      <c r="H1" s="82"/>
    </row>
    <row r="2" spans="1:24" ht="19.5" customHeight="1" x14ac:dyDescent="0.3">
      <c r="A2" s="217" t="s">
        <v>2</v>
      </c>
      <c r="B2" s="105" t="s">
        <v>187</v>
      </c>
      <c r="C2" s="253"/>
      <c r="D2" s="82"/>
      <c r="H2" s="82"/>
    </row>
    <row r="3" spans="1:24" s="107" customFormat="1" ht="19.5" customHeight="1" x14ac:dyDescent="0.3">
      <c r="A3" s="254" t="s">
        <v>191</v>
      </c>
      <c r="B3" s="218"/>
      <c r="C3" s="219"/>
      <c r="D3" s="101"/>
      <c r="E3" s="108"/>
      <c r="F3" s="108"/>
      <c r="G3" s="94"/>
      <c r="H3" s="101"/>
      <c r="K3" s="220"/>
      <c r="L3" s="220"/>
      <c r="R3" s="154"/>
      <c r="S3" s="154"/>
      <c r="T3" s="154"/>
      <c r="U3" s="154"/>
      <c r="V3" s="154"/>
      <c r="W3" s="154"/>
      <c r="X3" s="154"/>
    </row>
    <row r="4" spans="1:24" s="107" customFormat="1" ht="19.5" customHeight="1" thickBot="1" x14ac:dyDescent="0.35">
      <c r="A4" s="221"/>
      <c r="B4" s="105"/>
      <c r="C4" s="106"/>
      <c r="D4" s="101"/>
      <c r="E4" s="108"/>
      <c r="F4" s="108"/>
      <c r="G4" s="94"/>
      <c r="H4" s="101"/>
      <c r="K4" s="220"/>
      <c r="L4" s="220"/>
      <c r="R4" s="154"/>
      <c r="S4" s="154"/>
      <c r="T4" s="154"/>
      <c r="U4" s="154"/>
      <c r="V4" s="154"/>
      <c r="W4" s="154"/>
      <c r="X4" s="154"/>
    </row>
    <row r="5" spans="1:24" s="107" customFormat="1" ht="19.5" customHeight="1" x14ac:dyDescent="0.3">
      <c r="A5" s="537" t="s">
        <v>185</v>
      </c>
      <c r="B5" s="538"/>
      <c r="C5" s="538"/>
      <c r="D5" s="538"/>
      <c r="E5" s="538"/>
      <c r="F5" s="538"/>
      <c r="G5" s="538"/>
      <c r="H5" s="539"/>
      <c r="I5" s="85"/>
      <c r="J5" s="537" t="s">
        <v>192</v>
      </c>
      <c r="K5" s="538"/>
      <c r="L5" s="538"/>
      <c r="M5" s="538"/>
      <c r="N5" s="538"/>
      <c r="O5" s="538"/>
      <c r="P5" s="538"/>
      <c r="Q5" s="539"/>
      <c r="R5" s="310"/>
      <c r="S5" s="310"/>
      <c r="T5" s="310"/>
      <c r="U5" s="310"/>
      <c r="V5" s="310"/>
      <c r="W5" s="310"/>
      <c r="X5" s="310"/>
    </row>
    <row r="6" spans="1:24" s="107" customFormat="1" ht="19.5" customHeight="1" thickBot="1" x14ac:dyDescent="0.35">
      <c r="A6" s="540"/>
      <c r="B6" s="541"/>
      <c r="C6" s="541"/>
      <c r="D6" s="541"/>
      <c r="E6" s="541"/>
      <c r="F6" s="541"/>
      <c r="G6" s="541"/>
      <c r="H6" s="542"/>
      <c r="I6" s="85"/>
      <c r="J6" s="540"/>
      <c r="K6" s="541"/>
      <c r="L6" s="541"/>
      <c r="M6" s="541"/>
      <c r="N6" s="541"/>
      <c r="O6" s="541"/>
      <c r="P6" s="541"/>
      <c r="Q6" s="542"/>
      <c r="R6" s="310"/>
      <c r="S6" s="310"/>
      <c r="T6" s="310"/>
      <c r="U6" s="310"/>
      <c r="V6" s="310"/>
      <c r="W6" s="310"/>
      <c r="X6" s="310"/>
    </row>
    <row r="7" spans="1:24" s="329" customFormat="1" ht="19.5" customHeight="1" x14ac:dyDescent="0.25">
      <c r="A7" s="326" t="s">
        <v>20</v>
      </c>
      <c r="B7" s="327" t="s">
        <v>101</v>
      </c>
      <c r="C7" s="330" t="s">
        <v>225</v>
      </c>
      <c r="D7" s="327"/>
      <c r="E7" s="327"/>
      <c r="F7" s="328"/>
      <c r="G7" s="282"/>
      <c r="H7" s="295"/>
      <c r="J7" s="326" t="s">
        <v>20</v>
      </c>
      <c r="K7" s="327" t="s">
        <v>101</v>
      </c>
      <c r="L7" s="330" t="s">
        <v>225</v>
      </c>
      <c r="M7" s="327"/>
      <c r="N7" s="327"/>
      <c r="O7" s="328"/>
      <c r="P7" s="282"/>
      <c r="Q7" s="295"/>
      <c r="R7" s="195"/>
      <c r="S7" s="282"/>
      <c r="T7" s="282"/>
      <c r="U7" s="282"/>
      <c r="V7" s="282"/>
      <c r="W7" s="282"/>
      <c r="X7" s="282"/>
    </row>
    <row r="8" spans="1:24" ht="19.5" customHeight="1" x14ac:dyDescent="0.3">
      <c r="A8" s="131" t="s">
        <v>1</v>
      </c>
      <c r="B8" s="534" t="s">
        <v>99</v>
      </c>
      <c r="C8" s="534"/>
      <c r="D8" s="86" t="s">
        <v>25</v>
      </c>
      <c r="E8" s="87" t="s">
        <v>100</v>
      </c>
      <c r="F8" s="66" t="s">
        <v>23</v>
      </c>
      <c r="G8" s="201"/>
      <c r="H8" s="130"/>
      <c r="J8" s="131" t="s">
        <v>1</v>
      </c>
      <c r="K8" s="534" t="s">
        <v>99</v>
      </c>
      <c r="L8" s="534"/>
      <c r="M8" s="86" t="s">
        <v>25</v>
      </c>
      <c r="N8" s="87" t="s">
        <v>100</v>
      </c>
      <c r="O8" s="66" t="s">
        <v>23</v>
      </c>
      <c r="P8" s="201"/>
      <c r="Q8" s="130"/>
      <c r="R8" s="156"/>
      <c r="S8" s="132"/>
      <c r="T8" s="132"/>
      <c r="U8" s="132"/>
      <c r="V8" s="132"/>
      <c r="W8" s="132"/>
      <c r="X8" s="132"/>
    </row>
    <row r="9" spans="1:24" ht="19.5" customHeight="1" x14ac:dyDescent="0.3">
      <c r="A9" s="141" t="s">
        <v>101</v>
      </c>
      <c r="B9" s="543" t="s">
        <v>3</v>
      </c>
      <c r="C9" s="543"/>
      <c r="D9" s="255"/>
      <c r="E9" s="256" t="s">
        <v>72</v>
      </c>
      <c r="F9" s="67">
        <f>IF(E9="Ya",100,0)</f>
        <v>0</v>
      </c>
      <c r="G9" s="208"/>
      <c r="H9" s="130"/>
      <c r="J9" s="141" t="s">
        <v>101</v>
      </c>
      <c r="K9" s="543" t="s">
        <v>3</v>
      </c>
      <c r="L9" s="543"/>
      <c r="M9" s="268"/>
      <c r="N9" s="269" t="s">
        <v>72</v>
      </c>
      <c r="O9" s="67">
        <f>IF(N9="Ya",100,0)</f>
        <v>0</v>
      </c>
      <c r="P9" s="208"/>
      <c r="Q9" s="130"/>
      <c r="R9" s="156"/>
      <c r="S9" s="132"/>
      <c r="T9" s="132"/>
      <c r="U9" s="132"/>
      <c r="V9" s="132"/>
      <c r="W9" s="132"/>
      <c r="X9" s="132"/>
    </row>
    <row r="10" spans="1:24" ht="19.5" customHeight="1" x14ac:dyDescent="0.3">
      <c r="A10" s="141" t="s">
        <v>102</v>
      </c>
      <c r="B10" s="543" t="s">
        <v>4</v>
      </c>
      <c r="C10" s="543"/>
      <c r="D10" s="222"/>
      <c r="E10" s="256" t="s">
        <v>72</v>
      </c>
      <c r="F10" s="67">
        <f t="shared" ref="F10:F27" si="0">IF(E10="Ya",100,0)</f>
        <v>0</v>
      </c>
      <c r="G10" s="208"/>
      <c r="H10" s="130"/>
      <c r="J10" s="141" t="s">
        <v>102</v>
      </c>
      <c r="K10" s="543" t="s">
        <v>4</v>
      </c>
      <c r="L10" s="543"/>
      <c r="M10" s="222"/>
      <c r="N10" s="269" t="s">
        <v>72</v>
      </c>
      <c r="O10" s="67">
        <f t="shared" ref="O10:O27" si="1">IF(N10="Ya",100,0)</f>
        <v>0</v>
      </c>
      <c r="P10" s="208"/>
      <c r="Q10" s="130"/>
      <c r="R10" s="156"/>
      <c r="S10" s="132"/>
      <c r="T10" s="132"/>
      <c r="U10" s="132"/>
      <c r="V10" s="132"/>
      <c r="W10" s="132"/>
      <c r="X10" s="132"/>
    </row>
    <row r="11" spans="1:24" ht="19.5" customHeight="1" x14ac:dyDescent="0.3">
      <c r="A11" s="141" t="s">
        <v>103</v>
      </c>
      <c r="B11" s="543" t="s">
        <v>206</v>
      </c>
      <c r="C11" s="543"/>
      <c r="D11" s="222"/>
      <c r="E11" s="256" t="s">
        <v>72</v>
      </c>
      <c r="F11" s="67">
        <f t="shared" si="0"/>
        <v>0</v>
      </c>
      <c r="G11" s="208"/>
      <c r="H11" s="130"/>
      <c r="J11" s="141" t="s">
        <v>103</v>
      </c>
      <c r="K11" s="543" t="s">
        <v>206</v>
      </c>
      <c r="L11" s="543"/>
      <c r="M11" s="222"/>
      <c r="N11" s="269" t="s">
        <v>72</v>
      </c>
      <c r="O11" s="67">
        <f t="shared" si="1"/>
        <v>0</v>
      </c>
      <c r="P11" s="208"/>
      <c r="Q11" s="130"/>
      <c r="R11" s="156"/>
    </row>
    <row r="12" spans="1:24" ht="19.5" customHeight="1" x14ac:dyDescent="0.3">
      <c r="A12" s="550" t="s">
        <v>104</v>
      </c>
      <c r="B12" s="543" t="s">
        <v>105</v>
      </c>
      <c r="C12" s="543"/>
      <c r="D12" s="223"/>
      <c r="E12" s="223"/>
      <c r="F12" s="67"/>
      <c r="G12" s="208"/>
      <c r="H12" s="130"/>
      <c r="J12" s="550" t="s">
        <v>104</v>
      </c>
      <c r="K12" s="543" t="s">
        <v>105</v>
      </c>
      <c r="L12" s="543"/>
      <c r="M12" s="223"/>
      <c r="N12" s="223"/>
      <c r="O12" s="67"/>
      <c r="P12" s="208"/>
      <c r="Q12" s="130"/>
      <c r="R12" s="156"/>
    </row>
    <row r="13" spans="1:24" ht="34.049999999999997" customHeight="1" x14ac:dyDescent="0.3">
      <c r="A13" s="551"/>
      <c r="B13" s="89" t="s">
        <v>106</v>
      </c>
      <c r="C13" s="257" t="s">
        <v>189</v>
      </c>
      <c r="D13" s="222"/>
      <c r="E13" s="256" t="s">
        <v>72</v>
      </c>
      <c r="F13" s="67">
        <f t="shared" si="0"/>
        <v>0</v>
      </c>
      <c r="G13" s="208"/>
      <c r="H13" s="130"/>
      <c r="J13" s="551"/>
      <c r="K13" s="89" t="s">
        <v>106</v>
      </c>
      <c r="L13" s="270" t="s">
        <v>189</v>
      </c>
      <c r="M13" s="222"/>
      <c r="N13" s="269" t="s">
        <v>72</v>
      </c>
      <c r="O13" s="67">
        <f t="shared" si="1"/>
        <v>0</v>
      </c>
      <c r="P13" s="208"/>
      <c r="Q13" s="130"/>
      <c r="R13" s="156"/>
    </row>
    <row r="14" spans="1:24" ht="34.049999999999997" customHeight="1" x14ac:dyDescent="0.3">
      <c r="A14" s="551"/>
      <c r="B14" s="89" t="s">
        <v>107</v>
      </c>
      <c r="C14" s="90" t="s">
        <v>108</v>
      </c>
      <c r="D14" s="222"/>
      <c r="E14" s="256" t="s">
        <v>72</v>
      </c>
      <c r="F14" s="67">
        <f t="shared" si="0"/>
        <v>0</v>
      </c>
      <c r="G14" s="208"/>
      <c r="H14" s="130"/>
      <c r="J14" s="551"/>
      <c r="K14" s="89" t="s">
        <v>107</v>
      </c>
      <c r="L14" s="90" t="s">
        <v>108</v>
      </c>
      <c r="M14" s="222"/>
      <c r="N14" s="269" t="s">
        <v>72</v>
      </c>
      <c r="O14" s="67">
        <f t="shared" si="1"/>
        <v>0</v>
      </c>
      <c r="P14" s="208"/>
      <c r="Q14" s="130"/>
      <c r="R14" s="156"/>
    </row>
    <row r="15" spans="1:24" ht="19.5" customHeight="1" x14ac:dyDescent="0.3">
      <c r="A15" s="551"/>
      <c r="B15" s="89" t="s">
        <v>109</v>
      </c>
      <c r="C15" s="90" t="s">
        <v>110</v>
      </c>
      <c r="D15" s="222"/>
      <c r="E15" s="256" t="s">
        <v>72</v>
      </c>
      <c r="F15" s="67">
        <f t="shared" si="0"/>
        <v>0</v>
      </c>
      <c r="G15" s="208"/>
      <c r="H15" s="130"/>
      <c r="J15" s="551"/>
      <c r="K15" s="89" t="s">
        <v>109</v>
      </c>
      <c r="L15" s="90" t="s">
        <v>110</v>
      </c>
      <c r="M15" s="222"/>
      <c r="N15" s="269" t="s">
        <v>72</v>
      </c>
      <c r="O15" s="67">
        <f t="shared" si="1"/>
        <v>0</v>
      </c>
      <c r="P15" s="208"/>
      <c r="Q15" s="130"/>
      <c r="R15" s="156"/>
    </row>
    <row r="16" spans="1:24" ht="34.049999999999997" customHeight="1" x14ac:dyDescent="0.3">
      <c r="A16" s="551"/>
      <c r="B16" s="89" t="s">
        <v>111</v>
      </c>
      <c r="C16" s="90" t="s">
        <v>112</v>
      </c>
      <c r="D16" s="222"/>
      <c r="E16" s="256" t="s">
        <v>72</v>
      </c>
      <c r="F16" s="67">
        <f t="shared" si="0"/>
        <v>0</v>
      </c>
      <c r="G16" s="208"/>
      <c r="H16" s="130"/>
      <c r="J16" s="551"/>
      <c r="K16" s="89" t="s">
        <v>111</v>
      </c>
      <c r="L16" s="90" t="s">
        <v>112</v>
      </c>
      <c r="M16" s="222"/>
      <c r="N16" s="269" t="s">
        <v>72</v>
      </c>
      <c r="O16" s="67">
        <f t="shared" si="1"/>
        <v>0</v>
      </c>
      <c r="P16" s="208"/>
      <c r="Q16" s="130"/>
      <c r="R16" s="156"/>
    </row>
    <row r="17" spans="1:26" ht="34.049999999999997" customHeight="1" x14ac:dyDescent="0.3">
      <c r="A17" s="551"/>
      <c r="B17" s="89" t="s">
        <v>113</v>
      </c>
      <c r="C17" s="90" t="s">
        <v>157</v>
      </c>
      <c r="D17" s="222"/>
      <c r="E17" s="256" t="s">
        <v>72</v>
      </c>
      <c r="F17" s="67">
        <f t="shared" si="0"/>
        <v>0</v>
      </c>
      <c r="G17" s="208"/>
      <c r="H17" s="130"/>
      <c r="J17" s="551"/>
      <c r="K17" s="89" t="s">
        <v>113</v>
      </c>
      <c r="L17" s="90" t="s">
        <v>157</v>
      </c>
      <c r="M17" s="222"/>
      <c r="N17" s="269" t="s">
        <v>72</v>
      </c>
      <c r="O17" s="67">
        <f t="shared" si="1"/>
        <v>0</v>
      </c>
      <c r="P17" s="208"/>
      <c r="Q17" s="130"/>
      <c r="R17" s="156"/>
    </row>
    <row r="18" spans="1:26" ht="50.1" customHeight="1" x14ac:dyDescent="0.3">
      <c r="A18" s="551"/>
      <c r="B18" s="89" t="s">
        <v>114</v>
      </c>
      <c r="C18" s="90" t="s">
        <v>158</v>
      </c>
      <c r="D18" s="224"/>
      <c r="E18" s="256" t="s">
        <v>72</v>
      </c>
      <c r="F18" s="67">
        <f t="shared" si="0"/>
        <v>0</v>
      </c>
      <c r="G18" s="208"/>
      <c r="H18" s="130"/>
      <c r="J18" s="551"/>
      <c r="K18" s="89" t="s">
        <v>114</v>
      </c>
      <c r="L18" s="90" t="s">
        <v>158</v>
      </c>
      <c r="M18" s="224"/>
      <c r="N18" s="269" t="s">
        <v>72</v>
      </c>
      <c r="O18" s="67">
        <f t="shared" si="1"/>
        <v>0</v>
      </c>
      <c r="P18" s="208"/>
      <c r="Q18" s="130"/>
      <c r="R18" s="156"/>
    </row>
    <row r="19" spans="1:26" ht="19.5" customHeight="1" x14ac:dyDescent="0.3">
      <c r="A19" s="552"/>
      <c r="B19" s="89" t="s">
        <v>115</v>
      </c>
      <c r="C19" s="90" t="s">
        <v>116</v>
      </c>
      <c r="D19" s="224"/>
      <c r="E19" s="256" t="s">
        <v>72</v>
      </c>
      <c r="F19" s="67">
        <f t="shared" si="0"/>
        <v>0</v>
      </c>
      <c r="G19" s="208"/>
      <c r="H19" s="130"/>
      <c r="J19" s="552"/>
      <c r="K19" s="89" t="s">
        <v>115</v>
      </c>
      <c r="L19" s="90" t="s">
        <v>116</v>
      </c>
      <c r="M19" s="224"/>
      <c r="N19" s="269" t="s">
        <v>72</v>
      </c>
      <c r="O19" s="67">
        <f t="shared" si="1"/>
        <v>0</v>
      </c>
      <c r="P19" s="208"/>
      <c r="Q19" s="130"/>
      <c r="R19" s="156"/>
    </row>
    <row r="20" spans="1:26" ht="19.5" customHeight="1" x14ac:dyDescent="0.3">
      <c r="A20" s="141" t="s">
        <v>117</v>
      </c>
      <c r="B20" s="543" t="s">
        <v>118</v>
      </c>
      <c r="C20" s="543"/>
      <c r="D20" s="258"/>
      <c r="E20" s="256" t="s">
        <v>72</v>
      </c>
      <c r="F20" s="67">
        <f t="shared" si="0"/>
        <v>0</v>
      </c>
      <c r="G20" s="208"/>
      <c r="H20" s="130"/>
      <c r="J20" s="141" t="s">
        <v>117</v>
      </c>
      <c r="K20" s="543" t="s">
        <v>118</v>
      </c>
      <c r="L20" s="543"/>
      <c r="M20" s="271"/>
      <c r="N20" s="269" t="s">
        <v>72</v>
      </c>
      <c r="O20" s="67">
        <f t="shared" si="1"/>
        <v>0</v>
      </c>
      <c r="P20" s="208"/>
      <c r="Q20" s="130"/>
      <c r="R20" s="156"/>
    </row>
    <row r="21" spans="1:26" ht="19.5" customHeight="1" x14ac:dyDescent="0.3">
      <c r="A21" s="141" t="s">
        <v>119</v>
      </c>
      <c r="B21" s="543" t="s">
        <v>159</v>
      </c>
      <c r="C21" s="543"/>
      <c r="D21" s="258"/>
      <c r="E21" s="256" t="s">
        <v>72</v>
      </c>
      <c r="F21" s="67">
        <f t="shared" si="0"/>
        <v>0</v>
      </c>
      <c r="G21" s="208"/>
      <c r="H21" s="130"/>
      <c r="J21" s="141" t="s">
        <v>119</v>
      </c>
      <c r="K21" s="543" t="s">
        <v>159</v>
      </c>
      <c r="L21" s="543"/>
      <c r="M21" s="271"/>
      <c r="N21" s="269" t="s">
        <v>72</v>
      </c>
      <c r="O21" s="67">
        <f t="shared" si="1"/>
        <v>0</v>
      </c>
      <c r="P21" s="208"/>
      <c r="Q21" s="130"/>
      <c r="R21" s="156"/>
    </row>
    <row r="22" spans="1:26" ht="19.5" customHeight="1" x14ac:dyDescent="0.3">
      <c r="A22" s="141" t="s">
        <v>120</v>
      </c>
      <c r="B22" s="543" t="s">
        <v>121</v>
      </c>
      <c r="C22" s="543"/>
      <c r="D22" s="258"/>
      <c r="E22" s="256" t="s">
        <v>72</v>
      </c>
      <c r="F22" s="67">
        <f t="shared" si="0"/>
        <v>0</v>
      </c>
      <c r="G22" s="208"/>
      <c r="H22" s="130"/>
      <c r="J22" s="141" t="s">
        <v>120</v>
      </c>
      <c r="K22" s="543" t="s">
        <v>121</v>
      </c>
      <c r="L22" s="543"/>
      <c r="M22" s="271"/>
      <c r="N22" s="269" t="s">
        <v>72</v>
      </c>
      <c r="O22" s="67">
        <f t="shared" si="1"/>
        <v>0</v>
      </c>
      <c r="P22" s="208"/>
      <c r="Q22" s="130"/>
      <c r="R22" s="156"/>
    </row>
    <row r="23" spans="1:26" ht="19.5" customHeight="1" x14ac:dyDescent="0.3">
      <c r="A23" s="141" t="s">
        <v>122</v>
      </c>
      <c r="B23" s="543" t="s">
        <v>123</v>
      </c>
      <c r="C23" s="543"/>
      <c r="D23" s="258"/>
      <c r="E23" s="256" t="s">
        <v>72</v>
      </c>
      <c r="F23" s="67">
        <f t="shared" si="0"/>
        <v>0</v>
      </c>
      <c r="G23" s="208"/>
      <c r="H23" s="130"/>
      <c r="J23" s="141" t="s">
        <v>122</v>
      </c>
      <c r="K23" s="543" t="s">
        <v>123</v>
      </c>
      <c r="L23" s="543"/>
      <c r="M23" s="271"/>
      <c r="N23" s="269" t="s">
        <v>72</v>
      </c>
      <c r="O23" s="67">
        <f t="shared" si="1"/>
        <v>0</v>
      </c>
      <c r="P23" s="208"/>
      <c r="Q23" s="130"/>
      <c r="R23" s="156"/>
    </row>
    <row r="24" spans="1:26" ht="19.5" customHeight="1" x14ac:dyDescent="0.3">
      <c r="A24" s="141" t="s">
        <v>124</v>
      </c>
      <c r="B24" s="543" t="s">
        <v>125</v>
      </c>
      <c r="C24" s="543"/>
      <c r="D24" s="258"/>
      <c r="E24" s="256" t="s">
        <v>72</v>
      </c>
      <c r="F24" s="67">
        <f t="shared" si="0"/>
        <v>0</v>
      </c>
      <c r="G24" s="208"/>
      <c r="H24" s="130"/>
      <c r="J24" s="141" t="s">
        <v>124</v>
      </c>
      <c r="K24" s="543" t="s">
        <v>125</v>
      </c>
      <c r="L24" s="543"/>
      <c r="M24" s="271"/>
      <c r="N24" s="269" t="s">
        <v>72</v>
      </c>
      <c r="O24" s="67">
        <f t="shared" si="1"/>
        <v>0</v>
      </c>
      <c r="P24" s="208"/>
      <c r="Q24" s="130"/>
      <c r="R24" s="156"/>
      <c r="U24" s="132"/>
    </row>
    <row r="25" spans="1:26" ht="34.5" customHeight="1" x14ac:dyDescent="0.3">
      <c r="A25" s="141" t="s">
        <v>126</v>
      </c>
      <c r="B25" s="543" t="s">
        <v>127</v>
      </c>
      <c r="C25" s="543"/>
      <c r="D25" s="258"/>
      <c r="E25" s="256" t="s">
        <v>72</v>
      </c>
      <c r="F25" s="67">
        <f t="shared" si="0"/>
        <v>0</v>
      </c>
      <c r="G25" s="208"/>
      <c r="H25" s="130"/>
      <c r="J25" s="141" t="s">
        <v>126</v>
      </c>
      <c r="K25" s="543" t="s">
        <v>127</v>
      </c>
      <c r="L25" s="543"/>
      <c r="M25" s="271"/>
      <c r="N25" s="269" t="s">
        <v>72</v>
      </c>
      <c r="O25" s="67">
        <f t="shared" si="1"/>
        <v>0</v>
      </c>
      <c r="P25" s="208"/>
      <c r="Q25" s="130"/>
      <c r="R25" s="156"/>
    </row>
    <row r="26" spans="1:26" ht="19.5" customHeight="1" x14ac:dyDescent="0.3">
      <c r="A26" s="141" t="s">
        <v>128</v>
      </c>
      <c r="B26" s="555" t="s">
        <v>190</v>
      </c>
      <c r="C26" s="556"/>
      <c r="D26" s="224"/>
      <c r="E26" s="256" t="s">
        <v>72</v>
      </c>
      <c r="F26" s="67">
        <f t="shared" si="0"/>
        <v>0</v>
      </c>
      <c r="G26" s="208"/>
      <c r="H26" s="130"/>
      <c r="J26" s="141" t="s">
        <v>128</v>
      </c>
      <c r="K26" s="586" t="s">
        <v>190</v>
      </c>
      <c r="L26" s="587"/>
      <c r="M26" s="224"/>
      <c r="N26" s="269" t="s">
        <v>72</v>
      </c>
      <c r="O26" s="67">
        <f t="shared" si="1"/>
        <v>0</v>
      </c>
      <c r="P26" s="208"/>
      <c r="Q26" s="130"/>
      <c r="R26" s="156"/>
    </row>
    <row r="27" spans="1:26" ht="19.5" customHeight="1" x14ac:dyDescent="0.3">
      <c r="A27" s="323" t="s">
        <v>230</v>
      </c>
      <c r="B27" s="532" t="s">
        <v>232</v>
      </c>
      <c r="C27" s="533"/>
      <c r="D27" s="224"/>
      <c r="E27" s="256" t="s">
        <v>72</v>
      </c>
      <c r="F27" s="67">
        <f t="shared" si="0"/>
        <v>0</v>
      </c>
      <c r="G27" s="208"/>
      <c r="H27" s="130"/>
      <c r="J27" s="141" t="s">
        <v>230</v>
      </c>
      <c r="K27" s="532" t="s">
        <v>231</v>
      </c>
      <c r="L27" s="533"/>
      <c r="M27" s="224"/>
      <c r="N27" s="269" t="s">
        <v>72</v>
      </c>
      <c r="O27" s="67">
        <f t="shared" si="1"/>
        <v>0</v>
      </c>
      <c r="P27" s="208"/>
      <c r="Q27" s="130"/>
      <c r="R27" s="156"/>
    </row>
    <row r="28" spans="1:26" ht="19.5" customHeight="1" x14ac:dyDescent="0.3">
      <c r="A28" s="557" t="s">
        <v>129</v>
      </c>
      <c r="B28" s="557"/>
      <c r="C28" s="557"/>
      <c r="D28" s="315"/>
      <c r="E28" s="316" t="s">
        <v>223</v>
      </c>
      <c r="F28" s="93">
        <f>AVERAGE(F9:F27)</f>
        <v>0</v>
      </c>
      <c r="G28" s="187"/>
      <c r="H28" s="130"/>
      <c r="J28" s="573" t="s">
        <v>207</v>
      </c>
      <c r="K28" s="574"/>
      <c r="L28" s="574"/>
      <c r="M28" s="315"/>
      <c r="N28" s="316" t="s">
        <v>223</v>
      </c>
      <c r="O28" s="291">
        <f>AVERAGE(O9:O27)</f>
        <v>0</v>
      </c>
      <c r="P28" s="187"/>
      <c r="Q28" s="130"/>
      <c r="R28" s="156"/>
    </row>
    <row r="29" spans="1:26" ht="19.5" customHeight="1" x14ac:dyDescent="0.3">
      <c r="A29" s="309"/>
      <c r="B29" s="309"/>
      <c r="C29" s="309"/>
      <c r="D29" s="132"/>
      <c r="E29" s="133"/>
      <c r="F29" s="187"/>
      <c r="G29" s="187"/>
      <c r="H29" s="130"/>
      <c r="J29" s="308"/>
      <c r="K29" s="309"/>
      <c r="L29" s="309"/>
      <c r="M29" s="132"/>
      <c r="N29" s="282"/>
      <c r="O29" s="296"/>
      <c r="P29" s="187"/>
      <c r="Q29" s="130"/>
      <c r="R29" s="156"/>
    </row>
    <row r="30" spans="1:26" s="329" customFormat="1" ht="19.5" customHeight="1" x14ac:dyDescent="0.25">
      <c r="A30" s="293" t="s">
        <v>20</v>
      </c>
      <c r="B30" s="329" t="s">
        <v>102</v>
      </c>
      <c r="C30" s="331" t="s">
        <v>193</v>
      </c>
      <c r="D30" s="282"/>
      <c r="E30" s="282"/>
      <c r="F30" s="282"/>
      <c r="G30" s="296"/>
      <c r="H30" s="145"/>
      <c r="J30" s="293" t="s">
        <v>20</v>
      </c>
      <c r="K30" s="282" t="s">
        <v>102</v>
      </c>
      <c r="L30" s="331" t="s">
        <v>193</v>
      </c>
      <c r="M30" s="282"/>
      <c r="N30" s="282"/>
      <c r="O30" s="282"/>
      <c r="P30" s="296"/>
      <c r="Q30" s="145"/>
      <c r="R30" s="195"/>
    </row>
    <row r="31" spans="1:26" ht="19.5" customHeight="1" x14ac:dyDescent="0.3">
      <c r="A31" s="131" t="s">
        <v>1</v>
      </c>
      <c r="B31" s="534" t="s">
        <v>99</v>
      </c>
      <c r="C31" s="534"/>
      <c r="D31" s="86" t="s">
        <v>25</v>
      </c>
      <c r="E31" s="87" t="s">
        <v>100</v>
      </c>
      <c r="F31" s="66" t="s">
        <v>23</v>
      </c>
      <c r="G31" s="187"/>
      <c r="H31" s="130"/>
      <c r="J31" s="131" t="s">
        <v>1</v>
      </c>
      <c r="K31" s="534" t="s">
        <v>99</v>
      </c>
      <c r="L31" s="534"/>
      <c r="M31" s="86" t="s">
        <v>25</v>
      </c>
      <c r="N31" s="87" t="s">
        <v>100</v>
      </c>
      <c r="O31" s="66" t="s">
        <v>23</v>
      </c>
      <c r="P31" s="187"/>
      <c r="Q31" s="130"/>
      <c r="R31" s="156"/>
      <c r="U31" s="132"/>
      <c r="V31" s="132"/>
      <c r="W31" s="132"/>
      <c r="X31" s="132"/>
      <c r="Y31" s="132"/>
      <c r="Z31" s="132"/>
    </row>
    <row r="32" spans="1:26" ht="19.5" customHeight="1" x14ac:dyDescent="0.3">
      <c r="A32" s="141" t="s">
        <v>101</v>
      </c>
      <c r="B32" s="531" t="s">
        <v>208</v>
      </c>
      <c r="C32" s="531"/>
      <c r="D32" s="321"/>
      <c r="E32" s="256" t="s">
        <v>72</v>
      </c>
      <c r="F32" s="67">
        <f>IF(E32="Ya",100,0)</f>
        <v>0</v>
      </c>
      <c r="G32" s="187"/>
      <c r="H32" s="130"/>
      <c r="J32" s="141" t="s">
        <v>101</v>
      </c>
      <c r="K32" s="531" t="s">
        <v>208</v>
      </c>
      <c r="L32" s="531"/>
      <c r="M32" s="286"/>
      <c r="N32" s="269" t="s">
        <v>72</v>
      </c>
      <c r="O32" s="67">
        <f>IF(N32="Ya",100,0)</f>
        <v>0</v>
      </c>
      <c r="P32" s="187"/>
      <c r="Q32" s="130"/>
      <c r="R32" s="156"/>
      <c r="U32" s="132"/>
      <c r="V32" s="132"/>
      <c r="W32" s="132"/>
      <c r="X32" s="132"/>
      <c r="Y32" s="132"/>
      <c r="Z32" s="132"/>
    </row>
    <row r="33" spans="1:26" ht="19.5" customHeight="1" x14ac:dyDescent="0.3">
      <c r="A33" s="141" t="s">
        <v>102</v>
      </c>
      <c r="B33" s="535" t="s">
        <v>209</v>
      </c>
      <c r="C33" s="535"/>
      <c r="D33" s="321"/>
      <c r="E33" s="256" t="s">
        <v>72</v>
      </c>
      <c r="F33" s="67">
        <f t="shared" ref="F33:F39" si="2">IF(E33="Ya",100,0)</f>
        <v>0</v>
      </c>
      <c r="G33" s="187"/>
      <c r="H33" s="130"/>
      <c r="J33" s="141" t="s">
        <v>102</v>
      </c>
      <c r="K33" s="535" t="s">
        <v>209</v>
      </c>
      <c r="L33" s="535"/>
      <c r="M33" s="286"/>
      <c r="N33" s="269" t="s">
        <v>72</v>
      </c>
      <c r="O33" s="67">
        <f t="shared" ref="O33:O39" si="3">IF(N33="Ya",100,0)</f>
        <v>0</v>
      </c>
      <c r="P33" s="187"/>
      <c r="Q33" s="130"/>
      <c r="R33" s="156"/>
      <c r="U33" s="132"/>
      <c r="V33" s="132"/>
      <c r="W33" s="132"/>
      <c r="X33" s="132"/>
      <c r="Y33" s="132"/>
      <c r="Z33" s="132"/>
    </row>
    <row r="34" spans="1:26" ht="19.5" customHeight="1" x14ac:dyDescent="0.3">
      <c r="A34" s="141" t="s">
        <v>103</v>
      </c>
      <c r="B34" s="531" t="s">
        <v>210</v>
      </c>
      <c r="C34" s="531"/>
      <c r="D34" s="321"/>
      <c r="E34" s="256" t="s">
        <v>72</v>
      </c>
      <c r="F34" s="67">
        <f t="shared" si="2"/>
        <v>0</v>
      </c>
      <c r="G34" s="187"/>
      <c r="H34" s="130"/>
      <c r="J34" s="141" t="s">
        <v>103</v>
      </c>
      <c r="K34" s="531" t="s">
        <v>210</v>
      </c>
      <c r="L34" s="531"/>
      <c r="M34" s="286"/>
      <c r="N34" s="269" t="s">
        <v>72</v>
      </c>
      <c r="O34" s="67">
        <f t="shared" si="3"/>
        <v>0</v>
      </c>
      <c r="P34" s="187"/>
      <c r="Q34" s="130"/>
      <c r="R34" s="156"/>
      <c r="U34" s="132"/>
      <c r="V34" s="132"/>
      <c r="W34" s="132"/>
      <c r="X34" s="132"/>
      <c r="Y34" s="132"/>
      <c r="Z34" s="132"/>
    </row>
    <row r="35" spans="1:26" ht="19.5" customHeight="1" x14ac:dyDescent="0.3">
      <c r="A35" s="141" t="s">
        <v>104</v>
      </c>
      <c r="B35" s="535" t="s">
        <v>211</v>
      </c>
      <c r="C35" s="535"/>
      <c r="D35" s="321"/>
      <c r="E35" s="256" t="s">
        <v>72</v>
      </c>
      <c r="F35" s="67">
        <f t="shared" si="2"/>
        <v>0</v>
      </c>
      <c r="G35" s="187"/>
      <c r="H35" s="130"/>
      <c r="J35" s="141" t="s">
        <v>104</v>
      </c>
      <c r="K35" s="535" t="s">
        <v>211</v>
      </c>
      <c r="L35" s="535"/>
      <c r="M35" s="286"/>
      <c r="N35" s="269" t="s">
        <v>72</v>
      </c>
      <c r="O35" s="67">
        <f t="shared" si="3"/>
        <v>0</v>
      </c>
      <c r="P35" s="187"/>
      <c r="Q35" s="130"/>
      <c r="R35" s="151"/>
      <c r="S35" s="132"/>
      <c r="T35" s="132"/>
      <c r="U35" s="132"/>
      <c r="V35" s="132"/>
      <c r="W35" s="132"/>
      <c r="X35" s="132"/>
      <c r="Y35" s="132"/>
      <c r="Z35" s="132"/>
    </row>
    <row r="36" spans="1:26" ht="19.5" customHeight="1" x14ac:dyDescent="0.3">
      <c r="A36" s="141" t="s">
        <v>117</v>
      </c>
      <c r="B36" s="535" t="s">
        <v>212</v>
      </c>
      <c r="C36" s="535"/>
      <c r="D36" s="321"/>
      <c r="E36" s="256" t="s">
        <v>72</v>
      </c>
      <c r="F36" s="67">
        <f t="shared" si="2"/>
        <v>0</v>
      </c>
      <c r="G36" s="187"/>
      <c r="H36" s="130"/>
      <c r="J36" s="141" t="s">
        <v>117</v>
      </c>
      <c r="K36" s="535" t="s">
        <v>212</v>
      </c>
      <c r="L36" s="535"/>
      <c r="M36" s="286"/>
      <c r="N36" s="269" t="s">
        <v>72</v>
      </c>
      <c r="O36" s="67">
        <f t="shared" si="3"/>
        <v>0</v>
      </c>
      <c r="P36" s="187"/>
      <c r="Q36" s="130"/>
      <c r="R36" s="156"/>
      <c r="S36" s="132"/>
      <c r="U36" s="132"/>
      <c r="V36" s="132"/>
      <c r="W36" s="132"/>
      <c r="X36" s="132"/>
      <c r="Y36" s="132"/>
      <c r="Z36" s="132"/>
    </row>
    <row r="37" spans="1:26" s="192" customFormat="1" ht="19.5" customHeight="1" x14ac:dyDescent="0.3">
      <c r="A37" s="141" t="s">
        <v>119</v>
      </c>
      <c r="B37" s="535" t="s">
        <v>213</v>
      </c>
      <c r="C37" s="535"/>
      <c r="D37" s="321"/>
      <c r="E37" s="256" t="s">
        <v>72</v>
      </c>
      <c r="F37" s="67">
        <f t="shared" si="2"/>
        <v>0</v>
      </c>
      <c r="G37" s="187"/>
      <c r="H37" s="130"/>
      <c r="J37" s="141" t="s">
        <v>119</v>
      </c>
      <c r="K37" s="535" t="s">
        <v>213</v>
      </c>
      <c r="L37" s="535"/>
      <c r="M37" s="286"/>
      <c r="N37" s="269" t="s">
        <v>72</v>
      </c>
      <c r="O37" s="67">
        <f t="shared" si="3"/>
        <v>0</v>
      </c>
      <c r="P37" s="187"/>
      <c r="Q37" s="130"/>
      <c r="R37" s="199"/>
      <c r="U37" s="288"/>
      <c r="V37" s="288"/>
      <c r="W37" s="288"/>
      <c r="X37" s="288"/>
      <c r="Y37" s="288"/>
      <c r="Z37" s="288"/>
    </row>
    <row r="38" spans="1:26" ht="19.5" customHeight="1" x14ac:dyDescent="0.3">
      <c r="A38" s="141" t="s">
        <v>120</v>
      </c>
      <c r="B38" s="535" t="s">
        <v>214</v>
      </c>
      <c r="C38" s="535"/>
      <c r="D38" s="321"/>
      <c r="E38" s="256" t="s">
        <v>72</v>
      </c>
      <c r="F38" s="67">
        <f t="shared" si="2"/>
        <v>0</v>
      </c>
      <c r="G38" s="187"/>
      <c r="H38" s="130"/>
      <c r="J38" s="141" t="s">
        <v>120</v>
      </c>
      <c r="K38" s="535" t="s">
        <v>214</v>
      </c>
      <c r="L38" s="535"/>
      <c r="M38" s="286"/>
      <c r="N38" s="269" t="s">
        <v>72</v>
      </c>
      <c r="O38" s="67">
        <f t="shared" si="3"/>
        <v>0</v>
      </c>
      <c r="P38" s="187"/>
      <c r="Q38" s="130"/>
      <c r="R38" s="195"/>
      <c r="U38" s="132"/>
      <c r="V38" s="132"/>
      <c r="W38" s="132"/>
      <c r="X38" s="132"/>
      <c r="Y38" s="132"/>
      <c r="Z38" s="132"/>
    </row>
    <row r="39" spans="1:26" ht="19.5" customHeight="1" x14ac:dyDescent="0.3">
      <c r="A39" s="141" t="s">
        <v>122</v>
      </c>
      <c r="B39" s="535" t="s">
        <v>215</v>
      </c>
      <c r="C39" s="535"/>
      <c r="D39" s="321"/>
      <c r="E39" s="256" t="s">
        <v>72</v>
      </c>
      <c r="F39" s="67">
        <f t="shared" si="2"/>
        <v>0</v>
      </c>
      <c r="G39" s="187"/>
      <c r="H39" s="130"/>
      <c r="J39" s="141" t="s">
        <v>122</v>
      </c>
      <c r="K39" s="535" t="s">
        <v>215</v>
      </c>
      <c r="L39" s="535"/>
      <c r="M39" s="286"/>
      <c r="N39" s="269" t="s">
        <v>72</v>
      </c>
      <c r="O39" s="67">
        <f t="shared" si="3"/>
        <v>0</v>
      </c>
      <c r="P39" s="187"/>
      <c r="Q39" s="130"/>
      <c r="R39" s="117"/>
    </row>
    <row r="40" spans="1:26" ht="19.5" customHeight="1" x14ac:dyDescent="0.3">
      <c r="A40" s="134"/>
      <c r="B40" s="132"/>
      <c r="C40" s="132"/>
      <c r="D40" s="132"/>
      <c r="E40" s="282" t="s">
        <v>220</v>
      </c>
      <c r="F40" s="282">
        <f>AVERAGE(F32:F39)</f>
        <v>0</v>
      </c>
      <c r="G40" s="187"/>
      <c r="H40" s="130"/>
      <c r="J40" s="134"/>
      <c r="K40" s="132"/>
      <c r="L40" s="132"/>
      <c r="M40" s="132"/>
      <c r="N40" s="282" t="s">
        <v>220</v>
      </c>
      <c r="O40" s="282">
        <f>AVERAGE(O32:O39)</f>
        <v>0</v>
      </c>
      <c r="P40" s="187"/>
      <c r="Q40" s="130"/>
      <c r="R40" s="117"/>
    </row>
    <row r="41" spans="1:26" ht="19.5" customHeight="1" x14ac:dyDescent="0.3">
      <c r="A41" s="134"/>
      <c r="B41" s="132"/>
      <c r="C41" s="132"/>
      <c r="D41" s="132"/>
      <c r="E41" s="282"/>
      <c r="F41" s="282"/>
      <c r="G41" s="187"/>
      <c r="H41" s="130"/>
      <c r="J41" s="134"/>
      <c r="K41" s="132"/>
      <c r="L41" s="132"/>
      <c r="M41" s="132"/>
      <c r="N41" s="282"/>
      <c r="O41" s="282"/>
      <c r="P41" s="187"/>
      <c r="Q41" s="130"/>
      <c r="R41" s="117"/>
    </row>
    <row r="42" spans="1:26" s="84" customFormat="1" ht="19.5" customHeight="1" x14ac:dyDescent="0.3">
      <c r="A42" s="293" t="s">
        <v>20</v>
      </c>
      <c r="B42" s="282" t="s">
        <v>103</v>
      </c>
      <c r="C42" s="331" t="s">
        <v>198</v>
      </c>
      <c r="D42" s="190"/>
      <c r="E42" s="190"/>
      <c r="F42" s="190"/>
      <c r="G42" s="187"/>
      <c r="H42" s="130"/>
      <c r="J42" s="293" t="s">
        <v>20</v>
      </c>
      <c r="K42" s="282" t="s">
        <v>103</v>
      </c>
      <c r="L42" s="331" t="s">
        <v>198</v>
      </c>
      <c r="M42" s="190"/>
      <c r="N42" s="190"/>
      <c r="O42" s="190"/>
      <c r="P42" s="187"/>
      <c r="Q42" s="130"/>
      <c r="R42" s="117"/>
    </row>
    <row r="43" spans="1:26" ht="19.5" customHeight="1" x14ac:dyDescent="0.3">
      <c r="A43" s="131" t="s">
        <v>1</v>
      </c>
      <c r="B43" s="534" t="s">
        <v>99</v>
      </c>
      <c r="C43" s="534"/>
      <c r="D43" s="86" t="s">
        <v>25</v>
      </c>
      <c r="E43" s="87" t="s">
        <v>100</v>
      </c>
      <c r="F43" s="66" t="s">
        <v>23</v>
      </c>
      <c r="G43" s="187"/>
      <c r="H43" s="130"/>
      <c r="I43" s="107"/>
      <c r="J43" s="131" t="s">
        <v>1</v>
      </c>
      <c r="K43" s="534" t="s">
        <v>99</v>
      </c>
      <c r="L43" s="534"/>
      <c r="M43" s="86" t="s">
        <v>25</v>
      </c>
      <c r="N43" s="87" t="s">
        <v>100</v>
      </c>
      <c r="O43" s="66" t="s">
        <v>23</v>
      </c>
      <c r="P43" s="187"/>
      <c r="Q43" s="130"/>
      <c r="R43" s="195"/>
    </row>
    <row r="44" spans="1:26" ht="19.5" customHeight="1" x14ac:dyDescent="0.3">
      <c r="A44" s="141" t="s">
        <v>101</v>
      </c>
      <c r="B44" s="531" t="s">
        <v>194</v>
      </c>
      <c r="C44" s="531"/>
      <c r="D44" s="321" t="s">
        <v>301</v>
      </c>
      <c r="E44" s="256" t="s">
        <v>72</v>
      </c>
      <c r="F44" s="67">
        <f>IF(E44="Ya",100,0)</f>
        <v>0</v>
      </c>
      <c r="G44" s="187"/>
      <c r="H44" s="130"/>
      <c r="I44" s="107"/>
      <c r="J44" s="141" t="s">
        <v>101</v>
      </c>
      <c r="K44" s="531" t="s">
        <v>194</v>
      </c>
      <c r="L44" s="531"/>
      <c r="M44" s="286" t="s">
        <v>301</v>
      </c>
      <c r="N44" s="269" t="s">
        <v>72</v>
      </c>
      <c r="O44" s="67">
        <f>IF(N44="Ya",100,0)</f>
        <v>0</v>
      </c>
      <c r="P44" s="187"/>
      <c r="Q44" s="130"/>
      <c r="R44" s="117"/>
    </row>
    <row r="45" spans="1:26" s="192" customFormat="1" ht="19.5" customHeight="1" x14ac:dyDescent="0.3">
      <c r="A45" s="141" t="s">
        <v>102</v>
      </c>
      <c r="B45" s="535" t="s">
        <v>195</v>
      </c>
      <c r="C45" s="535"/>
      <c r="D45" s="321"/>
      <c r="E45" s="336" t="str">
        <f>IF(E96=0,"Tidak",IF(E96&lt;=D96,"Ya","Tidak"))</f>
        <v>Tidak</v>
      </c>
      <c r="F45" s="67">
        <f t="shared" ref="F45:F46" si="4">IF(E45="Ya",100,0)</f>
        <v>0</v>
      </c>
      <c r="G45" s="187"/>
      <c r="H45" s="130"/>
      <c r="J45" s="141" t="s">
        <v>102</v>
      </c>
      <c r="K45" s="535" t="s">
        <v>195</v>
      </c>
      <c r="L45" s="535"/>
      <c r="M45" s="286"/>
      <c r="N45" s="336" t="str">
        <f>IF(N96=0,"Tidak",IF(N96&lt;=M96,"Ya","Tidak"))</f>
        <v>Tidak</v>
      </c>
      <c r="O45" s="67">
        <f t="shared" ref="O45:O46" si="5">IF(N45="Ya",100,0)</f>
        <v>0</v>
      </c>
      <c r="P45" s="187"/>
      <c r="Q45" s="130"/>
      <c r="R45" s="195"/>
    </row>
    <row r="46" spans="1:26" ht="19.5" customHeight="1" x14ac:dyDescent="0.3">
      <c r="A46" s="141" t="s">
        <v>103</v>
      </c>
      <c r="B46" s="535" t="s">
        <v>196</v>
      </c>
      <c r="C46" s="535"/>
      <c r="D46" s="321"/>
      <c r="E46" s="336" t="str">
        <f>IF(E96=0,"Tidak",IF(E94&lt;=25%*E93,"Ya","Tidak"))</f>
        <v>Tidak</v>
      </c>
      <c r="F46" s="67">
        <f t="shared" si="4"/>
        <v>0</v>
      </c>
      <c r="G46" s="187"/>
      <c r="H46" s="130"/>
      <c r="J46" s="141" t="s">
        <v>103</v>
      </c>
      <c r="K46" s="535" t="s">
        <v>196</v>
      </c>
      <c r="L46" s="535"/>
      <c r="M46" s="286"/>
      <c r="N46" s="336" t="str">
        <f>IF(N96=0,"Tidak",IF(N94&lt;=25%*N93,"Ya","Tidak"))</f>
        <v>Tidak</v>
      </c>
      <c r="O46" s="67">
        <f t="shared" si="5"/>
        <v>0</v>
      </c>
      <c r="P46" s="187"/>
      <c r="Q46" s="130"/>
      <c r="R46" s="195"/>
    </row>
    <row r="47" spans="1:26" ht="19.5" customHeight="1" x14ac:dyDescent="0.3">
      <c r="A47" s="134"/>
      <c r="B47" s="132"/>
      <c r="C47" s="132"/>
      <c r="D47" s="132"/>
      <c r="E47" s="282" t="s">
        <v>221</v>
      </c>
      <c r="F47" s="282">
        <f>AVERAGE(F44:F46)</f>
        <v>0</v>
      </c>
      <c r="G47" s="187"/>
      <c r="H47" s="130"/>
      <c r="J47" s="134"/>
      <c r="K47" s="132"/>
      <c r="L47" s="132"/>
      <c r="M47" s="132"/>
      <c r="N47" s="282" t="s">
        <v>221</v>
      </c>
      <c r="O47" s="282">
        <f>AVERAGE(O44:O46)</f>
        <v>0</v>
      </c>
      <c r="P47" s="187"/>
      <c r="Q47" s="130"/>
      <c r="R47" s="117"/>
    </row>
    <row r="48" spans="1:26" ht="19.5" customHeight="1" x14ac:dyDescent="0.3">
      <c r="A48" s="134"/>
      <c r="B48" s="132"/>
      <c r="C48" s="132"/>
      <c r="D48" s="132"/>
      <c r="E48" s="282"/>
      <c r="F48" s="282"/>
      <c r="G48" s="187"/>
      <c r="H48" s="130"/>
      <c r="J48" s="134"/>
      <c r="K48" s="132"/>
      <c r="L48" s="132"/>
      <c r="M48" s="132"/>
      <c r="N48" s="282"/>
      <c r="O48" s="282"/>
      <c r="P48" s="187"/>
      <c r="Q48" s="130"/>
      <c r="R48" s="117"/>
    </row>
    <row r="49" spans="1:18" s="82" customFormat="1" ht="19.5" customHeight="1" x14ac:dyDescent="0.25">
      <c r="A49" s="293" t="s">
        <v>20</v>
      </c>
      <c r="B49" s="282" t="s">
        <v>104</v>
      </c>
      <c r="C49" s="331" t="s">
        <v>197</v>
      </c>
      <c r="D49" s="282"/>
      <c r="E49" s="282"/>
      <c r="F49" s="332"/>
      <c r="G49" s="296"/>
      <c r="H49" s="145"/>
      <c r="J49" s="293" t="s">
        <v>20</v>
      </c>
      <c r="K49" s="282" t="s">
        <v>104</v>
      </c>
      <c r="L49" s="331" t="s">
        <v>197</v>
      </c>
      <c r="M49" s="282"/>
      <c r="N49" s="282"/>
      <c r="O49" s="332"/>
      <c r="P49" s="296"/>
      <c r="Q49" s="145"/>
      <c r="R49" s="117"/>
    </row>
    <row r="50" spans="1:18" ht="19.5" customHeight="1" x14ac:dyDescent="0.3">
      <c r="A50" s="146" t="s">
        <v>1</v>
      </c>
      <c r="B50" s="536" t="s">
        <v>99</v>
      </c>
      <c r="C50" s="536"/>
      <c r="D50" s="95" t="s">
        <v>25</v>
      </c>
      <c r="E50" s="95" t="s">
        <v>100</v>
      </c>
      <c r="F50" s="314" t="s">
        <v>23</v>
      </c>
      <c r="G50" s="187"/>
      <c r="H50" s="130"/>
      <c r="J50" s="146" t="s">
        <v>1</v>
      </c>
      <c r="K50" s="536" t="s">
        <v>99</v>
      </c>
      <c r="L50" s="536"/>
      <c r="M50" s="95" t="s">
        <v>25</v>
      </c>
      <c r="N50" s="95" t="s">
        <v>100</v>
      </c>
      <c r="O50" s="314" t="s">
        <v>23</v>
      </c>
      <c r="P50" s="187"/>
      <c r="Q50" s="130"/>
      <c r="R50" s="117"/>
    </row>
    <row r="51" spans="1:18" ht="38.1" customHeight="1" x14ac:dyDescent="0.3">
      <c r="A51" s="141" t="s">
        <v>101</v>
      </c>
      <c r="B51" s="531" t="s">
        <v>199</v>
      </c>
      <c r="C51" s="531"/>
      <c r="D51" s="322" t="s">
        <v>216</v>
      </c>
      <c r="E51" s="256" t="s">
        <v>72</v>
      </c>
      <c r="F51" s="67">
        <f>IF(E51="Ya",100,0)</f>
        <v>0</v>
      </c>
      <c r="G51" s="187"/>
      <c r="H51" s="130"/>
      <c r="J51" s="141" t="s">
        <v>101</v>
      </c>
      <c r="K51" s="531" t="s">
        <v>199</v>
      </c>
      <c r="L51" s="531"/>
      <c r="M51" s="320" t="s">
        <v>216</v>
      </c>
      <c r="N51" s="269" t="s">
        <v>72</v>
      </c>
      <c r="O51" s="67">
        <f>IF(N51="Ya",100,0)</f>
        <v>0</v>
      </c>
      <c r="P51" s="187"/>
      <c r="Q51" s="130"/>
      <c r="R51" s="117"/>
    </row>
    <row r="52" spans="1:18" ht="39" customHeight="1" x14ac:dyDescent="0.3">
      <c r="A52" s="141" t="s">
        <v>102</v>
      </c>
      <c r="B52" s="531" t="s">
        <v>200</v>
      </c>
      <c r="C52" s="531"/>
      <c r="D52" s="322"/>
      <c r="E52" s="256" t="s">
        <v>72</v>
      </c>
      <c r="F52" s="67">
        <f t="shared" ref="F52:F57" si="6">IF(E52="Ya",100,0)</f>
        <v>0</v>
      </c>
      <c r="G52" s="187"/>
      <c r="H52" s="130"/>
      <c r="I52" s="107"/>
      <c r="J52" s="141" t="s">
        <v>102</v>
      </c>
      <c r="K52" s="531" t="s">
        <v>200</v>
      </c>
      <c r="L52" s="531"/>
      <c r="M52" s="320"/>
      <c r="N52" s="269" t="s">
        <v>72</v>
      </c>
      <c r="O52" s="67">
        <f t="shared" ref="O52:O57" si="7">IF(N52="Ya",100,0)</f>
        <v>0</v>
      </c>
      <c r="P52" s="187"/>
      <c r="Q52" s="130"/>
      <c r="R52" s="195"/>
    </row>
    <row r="53" spans="1:18" ht="36.6" customHeight="1" x14ac:dyDescent="0.3">
      <c r="A53" s="141" t="s">
        <v>103</v>
      </c>
      <c r="B53" s="531" t="s">
        <v>201</v>
      </c>
      <c r="C53" s="531"/>
      <c r="D53" s="322"/>
      <c r="E53" s="256" t="s">
        <v>72</v>
      </c>
      <c r="F53" s="67">
        <f t="shared" si="6"/>
        <v>0</v>
      </c>
      <c r="G53" s="187"/>
      <c r="H53" s="130"/>
      <c r="J53" s="141" t="s">
        <v>103</v>
      </c>
      <c r="K53" s="531" t="s">
        <v>201</v>
      </c>
      <c r="L53" s="531"/>
      <c r="M53" s="320"/>
      <c r="N53" s="269" t="s">
        <v>72</v>
      </c>
      <c r="O53" s="67">
        <f t="shared" si="7"/>
        <v>0</v>
      </c>
      <c r="P53" s="187"/>
      <c r="Q53" s="130"/>
      <c r="R53" s="156"/>
    </row>
    <row r="54" spans="1:18" s="192" customFormat="1" ht="48" customHeight="1" x14ac:dyDescent="0.3">
      <c r="A54" s="141" t="s">
        <v>104</v>
      </c>
      <c r="B54" s="531" t="s">
        <v>202</v>
      </c>
      <c r="C54" s="531"/>
      <c r="D54" s="322"/>
      <c r="E54" s="256" t="s">
        <v>72</v>
      </c>
      <c r="F54" s="67">
        <f t="shared" si="6"/>
        <v>0</v>
      </c>
      <c r="G54" s="187"/>
      <c r="H54" s="130"/>
      <c r="J54" s="141" t="s">
        <v>104</v>
      </c>
      <c r="K54" s="531" t="s">
        <v>202</v>
      </c>
      <c r="L54" s="531"/>
      <c r="M54" s="320"/>
      <c r="N54" s="269" t="s">
        <v>72</v>
      </c>
      <c r="O54" s="67">
        <f t="shared" si="7"/>
        <v>0</v>
      </c>
      <c r="P54" s="187"/>
      <c r="Q54" s="130"/>
      <c r="R54" s="199"/>
    </row>
    <row r="55" spans="1:18" ht="39.6" customHeight="1" x14ac:dyDescent="0.3">
      <c r="A55" s="141" t="s">
        <v>117</v>
      </c>
      <c r="B55" s="531" t="s">
        <v>203</v>
      </c>
      <c r="C55" s="531"/>
      <c r="D55" s="322" t="s">
        <v>217</v>
      </c>
      <c r="E55" s="256" t="s">
        <v>72</v>
      </c>
      <c r="F55" s="67">
        <f t="shared" si="6"/>
        <v>0</v>
      </c>
      <c r="G55" s="187"/>
      <c r="H55" s="130"/>
      <c r="J55" s="141" t="s">
        <v>117</v>
      </c>
      <c r="K55" s="531" t="s">
        <v>203</v>
      </c>
      <c r="L55" s="531"/>
      <c r="M55" s="320" t="s">
        <v>217</v>
      </c>
      <c r="N55" s="269" t="s">
        <v>72</v>
      </c>
      <c r="O55" s="67">
        <f t="shared" si="7"/>
        <v>0</v>
      </c>
      <c r="P55" s="187"/>
      <c r="Q55" s="130"/>
      <c r="R55" s="156"/>
    </row>
    <row r="56" spans="1:18" ht="37.5" customHeight="1" x14ac:dyDescent="0.3">
      <c r="A56" s="141" t="s">
        <v>119</v>
      </c>
      <c r="B56" s="531" t="s">
        <v>204</v>
      </c>
      <c r="C56" s="531"/>
      <c r="D56" s="322" t="s">
        <v>218</v>
      </c>
      <c r="E56" s="256" t="s">
        <v>72</v>
      </c>
      <c r="F56" s="67">
        <f t="shared" si="6"/>
        <v>0</v>
      </c>
      <c r="G56" s="187"/>
      <c r="H56" s="130"/>
      <c r="J56" s="141" t="s">
        <v>119</v>
      </c>
      <c r="K56" s="531" t="s">
        <v>204</v>
      </c>
      <c r="L56" s="531"/>
      <c r="M56" s="320" t="s">
        <v>218</v>
      </c>
      <c r="N56" s="269" t="s">
        <v>72</v>
      </c>
      <c r="O56" s="67">
        <f t="shared" si="7"/>
        <v>0</v>
      </c>
      <c r="P56" s="187"/>
      <c r="Q56" s="130"/>
      <c r="R56" s="156"/>
    </row>
    <row r="57" spans="1:18" ht="39" customHeight="1" x14ac:dyDescent="0.3">
      <c r="A57" s="141" t="s">
        <v>120</v>
      </c>
      <c r="B57" s="531" t="s">
        <v>205</v>
      </c>
      <c r="C57" s="531"/>
      <c r="D57" s="322" t="s">
        <v>219</v>
      </c>
      <c r="E57" s="256" t="s">
        <v>72</v>
      </c>
      <c r="F57" s="67">
        <f t="shared" si="6"/>
        <v>0</v>
      </c>
      <c r="G57" s="187"/>
      <c r="H57" s="130"/>
      <c r="J57" s="141" t="s">
        <v>120</v>
      </c>
      <c r="K57" s="531" t="s">
        <v>205</v>
      </c>
      <c r="L57" s="531"/>
      <c r="M57" s="320" t="s">
        <v>219</v>
      </c>
      <c r="N57" s="269" t="s">
        <v>72</v>
      </c>
      <c r="O57" s="67">
        <f t="shared" si="7"/>
        <v>0</v>
      </c>
      <c r="P57" s="187"/>
      <c r="Q57" s="130"/>
      <c r="R57" s="156"/>
    </row>
    <row r="58" spans="1:18" ht="19.5" customHeight="1" x14ac:dyDescent="0.3">
      <c r="A58" s="134"/>
      <c r="B58" s="132"/>
      <c r="C58" s="132"/>
      <c r="D58" s="132"/>
      <c r="E58" s="190" t="s">
        <v>222</v>
      </c>
      <c r="F58" s="187">
        <f>AVERAGE(F51:F57)</f>
        <v>0</v>
      </c>
      <c r="G58" s="187"/>
      <c r="H58" s="130"/>
      <c r="J58" s="134"/>
      <c r="K58" s="132"/>
      <c r="L58" s="132"/>
      <c r="M58" s="132"/>
      <c r="N58" s="190" t="s">
        <v>222</v>
      </c>
      <c r="O58" s="187">
        <f>AVERAGE(O51:O57)</f>
        <v>0</v>
      </c>
      <c r="P58" s="187"/>
      <c r="Q58" s="130"/>
      <c r="R58" s="156"/>
    </row>
    <row r="59" spans="1:18" ht="19.5" customHeight="1" x14ac:dyDescent="0.3">
      <c r="A59" s="134"/>
      <c r="B59" s="135"/>
      <c r="C59" s="135"/>
      <c r="D59" s="132"/>
      <c r="E59" s="189" t="s">
        <v>224</v>
      </c>
      <c r="F59" s="296">
        <f>(SUM(F9:F27)+SUM(F32:F39)+SUM(F44:F46)+SUM(F51:F57))/36</f>
        <v>0</v>
      </c>
      <c r="G59" s="187"/>
      <c r="H59" s="130"/>
      <c r="J59" s="134"/>
      <c r="K59" s="135"/>
      <c r="L59" s="135"/>
      <c r="M59" s="132"/>
      <c r="N59" s="189" t="s">
        <v>224</v>
      </c>
      <c r="O59" s="296">
        <f>(SUM(O9:O27)+SUM(O32:O39)+SUM(O44:O46)+SUM(O51:O57))/36</f>
        <v>0</v>
      </c>
      <c r="P59" s="187"/>
      <c r="Q59" s="130"/>
      <c r="R59" s="156"/>
    </row>
    <row r="60" spans="1:18" ht="19.5" customHeight="1" x14ac:dyDescent="0.3">
      <c r="A60" s="134"/>
      <c r="B60" s="135"/>
      <c r="C60" s="135"/>
      <c r="D60" s="132"/>
      <c r="E60" s="133"/>
      <c r="F60" s="133"/>
      <c r="G60" s="129"/>
      <c r="H60" s="130"/>
      <c r="J60" s="134"/>
      <c r="K60" s="135"/>
      <c r="L60" s="135"/>
      <c r="M60" s="132"/>
      <c r="N60" s="189"/>
      <c r="O60" s="296"/>
      <c r="P60" s="187"/>
      <c r="Q60" s="130"/>
      <c r="R60" s="156"/>
    </row>
    <row r="61" spans="1:18" s="203" customFormat="1" ht="19.5" customHeight="1" x14ac:dyDescent="0.3">
      <c r="A61" s="293" t="s">
        <v>28</v>
      </c>
      <c r="B61" s="294" t="s">
        <v>101</v>
      </c>
      <c r="C61" s="558" t="s">
        <v>130</v>
      </c>
      <c r="D61" s="558"/>
      <c r="E61" s="282"/>
      <c r="F61" s="189"/>
      <c r="G61" s="190"/>
      <c r="H61" s="191"/>
      <c r="I61" s="225"/>
      <c r="J61" s="293" t="s">
        <v>28</v>
      </c>
      <c r="K61" s="294" t="s">
        <v>101</v>
      </c>
      <c r="L61" s="558" t="s">
        <v>130</v>
      </c>
      <c r="M61" s="558"/>
      <c r="N61" s="282"/>
      <c r="O61" s="282"/>
      <c r="P61" s="187"/>
      <c r="Q61" s="130"/>
      <c r="R61" s="283"/>
    </row>
    <row r="62" spans="1:18" s="227" customFormat="1" ht="19.5" customHeight="1" x14ac:dyDescent="0.3">
      <c r="A62" s="146" t="s">
        <v>1</v>
      </c>
      <c r="B62" s="536" t="s">
        <v>99</v>
      </c>
      <c r="C62" s="536"/>
      <c r="D62" s="95" t="s">
        <v>95</v>
      </c>
      <c r="E62" s="95" t="s">
        <v>23</v>
      </c>
      <c r="F62" s="95" t="s">
        <v>24</v>
      </c>
      <c r="G62" s="195"/>
      <c r="H62" s="130"/>
      <c r="I62" s="226"/>
      <c r="J62" s="146" t="s">
        <v>1</v>
      </c>
      <c r="K62" s="536" t="s">
        <v>99</v>
      </c>
      <c r="L62" s="536"/>
      <c r="M62" s="95" t="s">
        <v>95</v>
      </c>
      <c r="N62" s="95" t="s">
        <v>23</v>
      </c>
      <c r="O62" s="95" t="s">
        <v>24</v>
      </c>
      <c r="P62" s="187"/>
      <c r="Q62" s="130"/>
      <c r="R62" s="284"/>
    </row>
    <row r="63" spans="1:18" s="228" customFormat="1" ht="19.5" customHeight="1" x14ac:dyDescent="0.3">
      <c r="A63" s="141" t="s">
        <v>101</v>
      </c>
      <c r="B63" s="553" t="s">
        <v>22</v>
      </c>
      <c r="C63" s="554"/>
      <c r="D63" s="96">
        <v>0.3</v>
      </c>
      <c r="E63" s="88">
        <f>H74</f>
        <v>0</v>
      </c>
      <c r="F63" s="289">
        <f>E63*D63</f>
        <v>0</v>
      </c>
      <c r="G63" s="285"/>
      <c r="H63" s="130"/>
      <c r="I63" s="68"/>
      <c r="J63" s="141" t="s">
        <v>101</v>
      </c>
      <c r="K63" s="553" t="s">
        <v>22</v>
      </c>
      <c r="L63" s="554"/>
      <c r="M63" s="96">
        <v>0.3</v>
      </c>
      <c r="N63" s="88">
        <f>Q74</f>
        <v>0</v>
      </c>
      <c r="O63" s="289">
        <f>N63*M63</f>
        <v>0</v>
      </c>
      <c r="P63" s="187"/>
      <c r="Q63" s="130"/>
      <c r="R63" s="284"/>
    </row>
    <row r="64" spans="1:18" s="228" customFormat="1" ht="19.5" customHeight="1" x14ac:dyDescent="0.3">
      <c r="A64" s="141" t="s">
        <v>102</v>
      </c>
      <c r="B64" s="553" t="s">
        <v>131</v>
      </c>
      <c r="C64" s="554"/>
      <c r="D64" s="96">
        <v>0.3</v>
      </c>
      <c r="E64" s="88">
        <f>H82</f>
        <v>0</v>
      </c>
      <c r="F64" s="289">
        <f t="shared" ref="F64:F65" si="8">E64*D64</f>
        <v>0</v>
      </c>
      <c r="G64" s="285"/>
      <c r="H64" s="130"/>
      <c r="I64" s="68"/>
      <c r="J64" s="141" t="s">
        <v>102</v>
      </c>
      <c r="K64" s="553" t="s">
        <v>131</v>
      </c>
      <c r="L64" s="554"/>
      <c r="M64" s="96">
        <v>0.3</v>
      </c>
      <c r="N64" s="88">
        <f>Q82</f>
        <v>0</v>
      </c>
      <c r="O64" s="289">
        <f t="shared" ref="O64:O65" si="9">N64*M64</f>
        <v>0</v>
      </c>
      <c r="P64" s="187"/>
      <c r="Q64" s="130"/>
      <c r="R64" s="284"/>
    </row>
    <row r="65" spans="1:18" s="228" customFormat="1" ht="19.5" customHeight="1" x14ac:dyDescent="0.3">
      <c r="A65" s="141" t="s">
        <v>103</v>
      </c>
      <c r="B65" s="553" t="s">
        <v>132</v>
      </c>
      <c r="C65" s="554"/>
      <c r="D65" s="96">
        <v>0.4</v>
      </c>
      <c r="E65" s="289">
        <f>F89</f>
        <v>0</v>
      </c>
      <c r="F65" s="289">
        <f t="shared" si="8"/>
        <v>0</v>
      </c>
      <c r="G65" s="285"/>
      <c r="H65" s="130"/>
      <c r="I65" s="68"/>
      <c r="J65" s="141" t="s">
        <v>103</v>
      </c>
      <c r="K65" s="553" t="s">
        <v>132</v>
      </c>
      <c r="L65" s="554"/>
      <c r="M65" s="96">
        <v>0.4</v>
      </c>
      <c r="N65" s="289">
        <f>O89</f>
        <v>0</v>
      </c>
      <c r="O65" s="289">
        <f t="shared" si="9"/>
        <v>0</v>
      </c>
      <c r="P65" s="187"/>
      <c r="Q65" s="130"/>
      <c r="R65" s="284"/>
    </row>
    <row r="66" spans="1:18" s="228" customFormat="1" ht="19.5" customHeight="1" x14ac:dyDescent="0.3">
      <c r="A66" s="141"/>
      <c r="B66" s="559" t="s">
        <v>94</v>
      </c>
      <c r="C66" s="559"/>
      <c r="D66" s="290"/>
      <c r="E66" s="291"/>
      <c r="F66" s="291">
        <f>F65+F64+F63</f>
        <v>0</v>
      </c>
      <c r="G66" s="292"/>
      <c r="H66" s="138"/>
      <c r="I66" s="68"/>
      <c r="J66" s="141"/>
      <c r="K66" s="559" t="s">
        <v>94</v>
      </c>
      <c r="L66" s="559"/>
      <c r="M66" s="290"/>
      <c r="N66" s="291"/>
      <c r="O66" s="291">
        <f>O65+O64+O63</f>
        <v>0</v>
      </c>
      <c r="P66" s="187"/>
      <c r="Q66" s="130"/>
      <c r="R66" s="284"/>
    </row>
    <row r="67" spans="1:18" s="228" customFormat="1" ht="19.5" customHeight="1" x14ac:dyDescent="0.3">
      <c r="A67" s="136"/>
      <c r="B67" s="137"/>
      <c r="C67" s="139"/>
      <c r="D67" s="132"/>
      <c r="E67" s="133"/>
      <c r="F67" s="133"/>
      <c r="G67" s="129"/>
      <c r="H67" s="130"/>
      <c r="I67" s="68"/>
      <c r="J67" s="136"/>
      <c r="K67" s="137"/>
      <c r="L67" s="139"/>
      <c r="M67" s="132"/>
      <c r="N67" s="133"/>
      <c r="O67" s="133"/>
      <c r="P67" s="129"/>
      <c r="Q67" s="130"/>
      <c r="R67" s="284"/>
    </row>
    <row r="68" spans="1:18" s="228" customFormat="1" ht="19.5" customHeight="1" x14ac:dyDescent="0.3">
      <c r="A68" s="128" t="s">
        <v>28</v>
      </c>
      <c r="B68" s="188" t="s">
        <v>133</v>
      </c>
      <c r="C68" s="560" t="s">
        <v>134</v>
      </c>
      <c r="D68" s="560"/>
      <c r="E68" s="560"/>
      <c r="F68" s="204"/>
      <c r="G68" s="190"/>
      <c r="H68" s="191"/>
      <c r="I68" s="68"/>
      <c r="J68" s="128" t="s">
        <v>28</v>
      </c>
      <c r="K68" s="188" t="s">
        <v>133</v>
      </c>
      <c r="L68" s="560" t="s">
        <v>134</v>
      </c>
      <c r="M68" s="560"/>
      <c r="N68" s="560"/>
      <c r="O68" s="204"/>
      <c r="P68" s="190"/>
      <c r="Q68" s="191"/>
      <c r="R68" s="284"/>
    </row>
    <row r="69" spans="1:18" s="227" customFormat="1" ht="19.5" customHeight="1" x14ac:dyDescent="0.3">
      <c r="A69" s="131" t="s">
        <v>1</v>
      </c>
      <c r="B69" s="536" t="s">
        <v>99</v>
      </c>
      <c r="C69" s="536"/>
      <c r="D69" s="95" t="s">
        <v>135</v>
      </c>
      <c r="E69" s="95" t="s">
        <v>95</v>
      </c>
      <c r="F69" s="95" t="s">
        <v>186</v>
      </c>
      <c r="G69" s="95" t="s">
        <v>23</v>
      </c>
      <c r="H69" s="140" t="s">
        <v>24</v>
      </c>
      <c r="I69" s="226"/>
      <c r="J69" s="131" t="s">
        <v>1</v>
      </c>
      <c r="K69" s="536" t="s">
        <v>99</v>
      </c>
      <c r="L69" s="536"/>
      <c r="M69" s="95" t="s">
        <v>135</v>
      </c>
      <c r="N69" s="95" t="s">
        <v>95</v>
      </c>
      <c r="O69" s="95" t="s">
        <v>186</v>
      </c>
      <c r="P69" s="95" t="s">
        <v>23</v>
      </c>
      <c r="Q69" s="140" t="s">
        <v>24</v>
      </c>
      <c r="R69" s="284"/>
    </row>
    <row r="70" spans="1:18" s="228" customFormat="1" ht="19.5" customHeight="1" x14ac:dyDescent="0.3">
      <c r="A70" s="141" t="s">
        <v>101</v>
      </c>
      <c r="B70" s="561" t="s">
        <v>136</v>
      </c>
      <c r="C70" s="561"/>
      <c r="D70" s="259"/>
      <c r="E70" s="96">
        <v>0.4</v>
      </c>
      <c r="F70" s="260">
        <v>0</v>
      </c>
      <c r="G70" s="102">
        <f t="shared" ref="G70:G73" si="10">IF(F70=0,0,IF(F70=1,20,IF(F70=2,40,IF(F70=3,60,IF(F70=4,80,100)))))</f>
        <v>0</v>
      </c>
      <c r="H70" s="142">
        <f>G70*E70</f>
        <v>0</v>
      </c>
      <c r="I70" s="68"/>
      <c r="J70" s="141" t="s">
        <v>101</v>
      </c>
      <c r="K70" s="561" t="s">
        <v>136</v>
      </c>
      <c r="L70" s="561"/>
      <c r="M70" s="272"/>
      <c r="N70" s="96">
        <v>0.4</v>
      </c>
      <c r="O70" s="273">
        <v>0</v>
      </c>
      <c r="P70" s="102">
        <f t="shared" ref="P70:P73" si="11">IF(O70=0,0,IF(O70=1,20,IF(O70=2,40,IF(O70=3,60,IF(O70=4,80,100)))))</f>
        <v>0</v>
      </c>
      <c r="Q70" s="142">
        <f>P70*N70</f>
        <v>0</v>
      </c>
      <c r="R70" s="284"/>
    </row>
    <row r="71" spans="1:18" s="228" customFormat="1" ht="19.5" customHeight="1" x14ac:dyDescent="0.3">
      <c r="A71" s="141" t="s">
        <v>102</v>
      </c>
      <c r="B71" s="561" t="s">
        <v>137</v>
      </c>
      <c r="C71" s="561"/>
      <c r="D71" s="259"/>
      <c r="E71" s="96">
        <v>0.3</v>
      </c>
      <c r="F71" s="260">
        <v>0</v>
      </c>
      <c r="G71" s="102">
        <f t="shared" si="10"/>
        <v>0</v>
      </c>
      <c r="H71" s="142">
        <f>G71*E71</f>
        <v>0</v>
      </c>
      <c r="I71" s="68"/>
      <c r="J71" s="141" t="s">
        <v>102</v>
      </c>
      <c r="K71" s="561" t="s">
        <v>137</v>
      </c>
      <c r="L71" s="561"/>
      <c r="M71" s="272"/>
      <c r="N71" s="96">
        <v>0.3</v>
      </c>
      <c r="O71" s="273">
        <v>0</v>
      </c>
      <c r="P71" s="102">
        <f t="shared" si="11"/>
        <v>0</v>
      </c>
      <c r="Q71" s="142">
        <f>P71*N71</f>
        <v>0</v>
      </c>
      <c r="R71" s="284"/>
    </row>
    <row r="72" spans="1:18" s="228" customFormat="1" ht="19.5" customHeight="1" x14ac:dyDescent="0.3">
      <c r="A72" s="141" t="s">
        <v>103</v>
      </c>
      <c r="B72" s="561" t="s">
        <v>138</v>
      </c>
      <c r="C72" s="561"/>
      <c r="D72" s="259"/>
      <c r="E72" s="96">
        <v>0.2</v>
      </c>
      <c r="F72" s="260">
        <v>0</v>
      </c>
      <c r="G72" s="102">
        <f t="shared" si="10"/>
        <v>0</v>
      </c>
      <c r="H72" s="142">
        <f>G72*E72</f>
        <v>0</v>
      </c>
      <c r="I72" s="68"/>
      <c r="J72" s="141" t="s">
        <v>103</v>
      </c>
      <c r="K72" s="561" t="s">
        <v>138</v>
      </c>
      <c r="L72" s="561"/>
      <c r="M72" s="272"/>
      <c r="N72" s="96">
        <v>0.2</v>
      </c>
      <c r="O72" s="273">
        <v>0</v>
      </c>
      <c r="P72" s="102">
        <f t="shared" si="11"/>
        <v>0</v>
      </c>
      <c r="Q72" s="142">
        <f>P72*N72</f>
        <v>0</v>
      </c>
      <c r="R72" s="284"/>
    </row>
    <row r="73" spans="1:18" s="228" customFormat="1" ht="19.5" customHeight="1" x14ac:dyDescent="0.3">
      <c r="A73" s="141" t="s">
        <v>104</v>
      </c>
      <c r="B73" s="561" t="s">
        <v>139</v>
      </c>
      <c r="C73" s="561"/>
      <c r="D73" s="259"/>
      <c r="E73" s="96">
        <v>0.1</v>
      </c>
      <c r="F73" s="260">
        <v>0</v>
      </c>
      <c r="G73" s="102">
        <f t="shared" si="10"/>
        <v>0</v>
      </c>
      <c r="H73" s="142">
        <f>G73*E73</f>
        <v>0</v>
      </c>
      <c r="I73" s="68"/>
      <c r="J73" s="141" t="s">
        <v>104</v>
      </c>
      <c r="K73" s="561" t="s">
        <v>139</v>
      </c>
      <c r="L73" s="561"/>
      <c r="M73" s="272"/>
      <c r="N73" s="96">
        <v>0.1</v>
      </c>
      <c r="O73" s="273">
        <v>0</v>
      </c>
      <c r="P73" s="102">
        <f t="shared" si="11"/>
        <v>0</v>
      </c>
      <c r="Q73" s="142">
        <f>P73*N73</f>
        <v>0</v>
      </c>
      <c r="R73" s="284"/>
    </row>
    <row r="74" spans="1:18" ht="19.5" customHeight="1" x14ac:dyDescent="0.3">
      <c r="A74" s="141"/>
      <c r="B74" s="559" t="s">
        <v>94</v>
      </c>
      <c r="C74" s="559"/>
      <c r="D74" s="287"/>
      <c r="E74" s="88"/>
      <c r="F74" s="88"/>
      <c r="G74" s="88"/>
      <c r="H74" s="143">
        <f>SUM(H70:H73)</f>
        <v>0</v>
      </c>
      <c r="J74" s="141"/>
      <c r="K74" s="559" t="s">
        <v>94</v>
      </c>
      <c r="L74" s="559"/>
      <c r="M74" s="287"/>
      <c r="N74" s="88"/>
      <c r="O74" s="88"/>
      <c r="P74" s="88"/>
      <c r="Q74" s="143">
        <f>SUM(Q70:Q73)</f>
        <v>0</v>
      </c>
      <c r="R74" s="156"/>
    </row>
    <row r="75" spans="1:18" ht="19.5" customHeight="1" x14ac:dyDescent="0.3">
      <c r="A75" s="144"/>
      <c r="B75" s="99"/>
      <c r="C75" s="99"/>
      <c r="D75" s="100"/>
      <c r="E75" s="98"/>
      <c r="F75" s="98"/>
      <c r="G75" s="98"/>
      <c r="H75" s="145"/>
      <c r="J75" s="144"/>
      <c r="K75" s="99"/>
      <c r="L75" s="99"/>
      <c r="M75" s="100"/>
      <c r="N75" s="98"/>
      <c r="O75" s="98"/>
      <c r="P75" s="98"/>
      <c r="Q75" s="145"/>
      <c r="R75" s="117"/>
    </row>
    <row r="76" spans="1:18" s="82" customFormat="1" ht="19.5" customHeight="1" x14ac:dyDescent="0.25">
      <c r="A76" s="193" t="s">
        <v>28</v>
      </c>
      <c r="B76" s="194" t="s">
        <v>140</v>
      </c>
      <c r="C76" s="562" t="s">
        <v>141</v>
      </c>
      <c r="D76" s="562"/>
      <c r="E76" s="562"/>
      <c r="F76" s="205"/>
      <c r="G76" s="195"/>
      <c r="H76" s="196"/>
      <c r="J76" s="193" t="s">
        <v>28</v>
      </c>
      <c r="K76" s="194" t="s">
        <v>140</v>
      </c>
      <c r="L76" s="562" t="s">
        <v>141</v>
      </c>
      <c r="M76" s="562"/>
      <c r="N76" s="562"/>
      <c r="O76" s="205"/>
      <c r="P76" s="195"/>
      <c r="Q76" s="196"/>
      <c r="R76" s="117"/>
    </row>
    <row r="77" spans="1:18" s="82" customFormat="1" ht="19.5" customHeight="1" x14ac:dyDescent="0.25">
      <c r="A77" s="146" t="s">
        <v>1</v>
      </c>
      <c r="B77" s="536" t="s">
        <v>99</v>
      </c>
      <c r="C77" s="536"/>
      <c r="D77" s="95" t="s">
        <v>135</v>
      </c>
      <c r="E77" s="95" t="s">
        <v>95</v>
      </c>
      <c r="F77" s="95" t="s">
        <v>186</v>
      </c>
      <c r="G77" s="95" t="s">
        <v>23</v>
      </c>
      <c r="H77" s="140" t="s">
        <v>24</v>
      </c>
      <c r="J77" s="146" t="s">
        <v>1</v>
      </c>
      <c r="K77" s="536" t="s">
        <v>99</v>
      </c>
      <c r="L77" s="536"/>
      <c r="M77" s="95" t="s">
        <v>135</v>
      </c>
      <c r="N77" s="95" t="s">
        <v>95</v>
      </c>
      <c r="O77" s="95" t="s">
        <v>186</v>
      </c>
      <c r="P77" s="95" t="s">
        <v>23</v>
      </c>
      <c r="Q77" s="140" t="s">
        <v>24</v>
      </c>
      <c r="R77" s="117"/>
    </row>
    <row r="78" spans="1:18" ht="19.5" customHeight="1" x14ac:dyDescent="0.3">
      <c r="A78" s="147" t="s">
        <v>101</v>
      </c>
      <c r="B78" s="580" t="s">
        <v>136</v>
      </c>
      <c r="C78" s="580"/>
      <c r="D78" s="260"/>
      <c r="E78" s="103">
        <v>0.4</v>
      </c>
      <c r="F78" s="260">
        <v>0</v>
      </c>
      <c r="G78" s="102">
        <f t="shared" ref="G78:G81" si="12">IF(F78=0,0,IF(F78=1,20,IF(F78=2,40,IF(F78=3,60,IF(F78=4,80,100)))))</f>
        <v>0</v>
      </c>
      <c r="H78" s="148">
        <f>G78*E78</f>
        <v>0</v>
      </c>
      <c r="J78" s="147" t="s">
        <v>101</v>
      </c>
      <c r="K78" s="580" t="s">
        <v>136</v>
      </c>
      <c r="L78" s="580"/>
      <c r="M78" s="273"/>
      <c r="N78" s="103">
        <v>0.4</v>
      </c>
      <c r="O78" s="273">
        <v>0</v>
      </c>
      <c r="P78" s="102">
        <f t="shared" ref="P78:P81" si="13">IF(O78=0,0,IF(O78=1,20,IF(O78=2,40,IF(O78=3,60,IF(O78=4,80,100)))))</f>
        <v>0</v>
      </c>
      <c r="Q78" s="148">
        <f>P78*N78</f>
        <v>0</v>
      </c>
      <c r="R78" s="117"/>
    </row>
    <row r="79" spans="1:18" ht="19.5" customHeight="1" x14ac:dyDescent="0.3">
      <c r="A79" s="147" t="s">
        <v>102</v>
      </c>
      <c r="B79" s="580" t="s">
        <v>137</v>
      </c>
      <c r="C79" s="580"/>
      <c r="D79" s="260"/>
      <c r="E79" s="103">
        <v>0.3</v>
      </c>
      <c r="F79" s="260">
        <v>0</v>
      </c>
      <c r="G79" s="102">
        <f t="shared" si="12"/>
        <v>0</v>
      </c>
      <c r="H79" s="148">
        <f>G79*E79</f>
        <v>0</v>
      </c>
      <c r="J79" s="147" t="s">
        <v>102</v>
      </c>
      <c r="K79" s="580" t="s">
        <v>137</v>
      </c>
      <c r="L79" s="580"/>
      <c r="M79" s="273"/>
      <c r="N79" s="103">
        <v>0.3</v>
      </c>
      <c r="O79" s="273">
        <v>0</v>
      </c>
      <c r="P79" s="102">
        <f t="shared" si="13"/>
        <v>0</v>
      </c>
      <c r="Q79" s="148">
        <f>P79*N79</f>
        <v>0</v>
      </c>
      <c r="R79" s="117"/>
    </row>
    <row r="80" spans="1:18" ht="19.5" customHeight="1" x14ac:dyDescent="0.3">
      <c r="A80" s="149" t="s">
        <v>103</v>
      </c>
      <c r="B80" s="580" t="s">
        <v>138</v>
      </c>
      <c r="C80" s="580"/>
      <c r="D80" s="260"/>
      <c r="E80" s="103">
        <v>0.2</v>
      </c>
      <c r="F80" s="260">
        <v>0</v>
      </c>
      <c r="G80" s="102">
        <f t="shared" si="12"/>
        <v>0</v>
      </c>
      <c r="H80" s="148">
        <f>G80*E80</f>
        <v>0</v>
      </c>
      <c r="J80" s="149" t="s">
        <v>103</v>
      </c>
      <c r="K80" s="580" t="s">
        <v>138</v>
      </c>
      <c r="L80" s="580"/>
      <c r="M80" s="273"/>
      <c r="N80" s="103">
        <v>0.2</v>
      </c>
      <c r="O80" s="273">
        <v>0</v>
      </c>
      <c r="P80" s="102">
        <f t="shared" si="13"/>
        <v>0</v>
      </c>
      <c r="Q80" s="148">
        <f>P80*N80</f>
        <v>0</v>
      </c>
      <c r="R80" s="117"/>
    </row>
    <row r="81" spans="1:18" ht="19.5" customHeight="1" x14ac:dyDescent="0.3">
      <c r="A81" s="149" t="s">
        <v>104</v>
      </c>
      <c r="B81" s="580" t="s">
        <v>139</v>
      </c>
      <c r="C81" s="580"/>
      <c r="D81" s="259"/>
      <c r="E81" s="103">
        <v>0.1</v>
      </c>
      <c r="F81" s="260">
        <v>0</v>
      </c>
      <c r="G81" s="102">
        <f t="shared" si="12"/>
        <v>0</v>
      </c>
      <c r="H81" s="148">
        <f>G81*E81</f>
        <v>0</v>
      </c>
      <c r="J81" s="149" t="s">
        <v>104</v>
      </c>
      <c r="K81" s="580" t="s">
        <v>139</v>
      </c>
      <c r="L81" s="580"/>
      <c r="M81" s="272"/>
      <c r="N81" s="103">
        <v>0.1</v>
      </c>
      <c r="O81" s="273">
        <v>0</v>
      </c>
      <c r="P81" s="102">
        <f t="shared" si="13"/>
        <v>0</v>
      </c>
      <c r="Q81" s="148">
        <f>P81*N81</f>
        <v>0</v>
      </c>
      <c r="R81" s="117"/>
    </row>
    <row r="82" spans="1:18" ht="19.5" customHeight="1" x14ac:dyDescent="0.3">
      <c r="A82" s="149"/>
      <c r="B82" s="581" t="s">
        <v>94</v>
      </c>
      <c r="C82" s="581"/>
      <c r="D82" s="104"/>
      <c r="E82" s="102"/>
      <c r="F82" s="102"/>
      <c r="G82" s="102"/>
      <c r="H82" s="150">
        <f>SUM(H78:H81)</f>
        <v>0</v>
      </c>
      <c r="J82" s="149"/>
      <c r="K82" s="581" t="s">
        <v>94</v>
      </c>
      <c r="L82" s="581"/>
      <c r="M82" s="104"/>
      <c r="N82" s="102"/>
      <c r="O82" s="102"/>
      <c r="P82" s="102"/>
      <c r="Q82" s="150">
        <f>SUM(Q78:Q81)</f>
        <v>0</v>
      </c>
      <c r="R82" s="117"/>
    </row>
    <row r="83" spans="1:18" ht="19.5" customHeight="1" x14ac:dyDescent="0.3">
      <c r="A83" s="151"/>
      <c r="B83" s="152"/>
      <c r="C83" s="153"/>
      <c r="D83" s="154"/>
      <c r="E83" s="155"/>
      <c r="F83" s="155"/>
      <c r="G83" s="156"/>
      <c r="H83" s="138"/>
      <c r="J83" s="151"/>
      <c r="K83" s="152"/>
      <c r="L83" s="153"/>
      <c r="M83" s="154"/>
      <c r="N83" s="155"/>
      <c r="O83" s="155"/>
      <c r="P83" s="156"/>
      <c r="Q83" s="138"/>
      <c r="R83" s="117"/>
    </row>
    <row r="84" spans="1:18" ht="19.5" customHeight="1" x14ac:dyDescent="0.3">
      <c r="A84" s="197" t="s">
        <v>28</v>
      </c>
      <c r="B84" s="317" t="s">
        <v>142</v>
      </c>
      <c r="C84" s="582" t="s">
        <v>143</v>
      </c>
      <c r="D84" s="582"/>
      <c r="E84" s="582"/>
      <c r="F84" s="206"/>
      <c r="G84" s="199"/>
      <c r="H84" s="200"/>
      <c r="J84" s="197" t="s">
        <v>28</v>
      </c>
      <c r="K84" s="198" t="s">
        <v>142</v>
      </c>
      <c r="L84" s="585" t="s">
        <v>143</v>
      </c>
      <c r="M84" s="585"/>
      <c r="N84" s="585"/>
      <c r="O84" s="206"/>
      <c r="P84" s="199"/>
      <c r="Q84" s="200"/>
      <c r="R84" s="117"/>
    </row>
    <row r="85" spans="1:18" ht="19.5" customHeight="1" x14ac:dyDescent="0.3">
      <c r="A85" s="146" t="s">
        <v>1</v>
      </c>
      <c r="B85" s="536" t="s">
        <v>99</v>
      </c>
      <c r="C85" s="536"/>
      <c r="D85" s="95" t="s">
        <v>95</v>
      </c>
      <c r="E85" s="95" t="s">
        <v>23</v>
      </c>
      <c r="F85" s="95" t="s">
        <v>24</v>
      </c>
      <c r="G85" s="85"/>
      <c r="H85" s="138"/>
      <c r="J85" s="131" t="s">
        <v>1</v>
      </c>
      <c r="K85" s="534" t="s">
        <v>99</v>
      </c>
      <c r="L85" s="534"/>
      <c r="M85" s="86" t="s">
        <v>95</v>
      </c>
      <c r="N85" s="87" t="s">
        <v>23</v>
      </c>
      <c r="O85" s="86" t="s">
        <v>24</v>
      </c>
      <c r="P85" s="132"/>
      <c r="Q85" s="138"/>
      <c r="R85" s="117"/>
    </row>
    <row r="86" spans="1:18" ht="19.5" customHeight="1" x14ac:dyDescent="0.3">
      <c r="A86" s="147" t="s">
        <v>101</v>
      </c>
      <c r="B86" s="580" t="s">
        <v>144</v>
      </c>
      <c r="C86" s="580"/>
      <c r="D86" s="103">
        <v>0.2</v>
      </c>
      <c r="E86" s="256">
        <v>0</v>
      </c>
      <c r="F86" s="318">
        <f>E86*D86</f>
        <v>0</v>
      </c>
      <c r="G86" s="85"/>
      <c r="H86" s="138"/>
      <c r="J86" s="149" t="s">
        <v>101</v>
      </c>
      <c r="K86" s="583" t="s">
        <v>144</v>
      </c>
      <c r="L86" s="583"/>
      <c r="M86" s="109">
        <v>0.2</v>
      </c>
      <c r="N86" s="269">
        <v>0</v>
      </c>
      <c r="O86" s="110">
        <f>N86*M86</f>
        <v>0</v>
      </c>
      <c r="P86" s="132"/>
      <c r="Q86" s="138"/>
      <c r="R86" s="117"/>
    </row>
    <row r="87" spans="1:18" ht="19.5" customHeight="1" x14ac:dyDescent="0.3">
      <c r="A87" s="147" t="s">
        <v>102</v>
      </c>
      <c r="B87" s="580" t="s">
        <v>145</v>
      </c>
      <c r="C87" s="580"/>
      <c r="D87" s="103">
        <v>0.4</v>
      </c>
      <c r="E87" s="318">
        <f>E134</f>
        <v>0</v>
      </c>
      <c r="F87" s="318">
        <f>E87*D87</f>
        <v>0</v>
      </c>
      <c r="G87" s="85"/>
      <c r="H87" s="138"/>
      <c r="J87" s="149" t="s">
        <v>102</v>
      </c>
      <c r="K87" s="583" t="s">
        <v>145</v>
      </c>
      <c r="L87" s="583"/>
      <c r="M87" s="109">
        <v>0.4</v>
      </c>
      <c r="N87" s="110">
        <f>N134</f>
        <v>0</v>
      </c>
      <c r="O87" s="110">
        <f>N87*M87</f>
        <v>0</v>
      </c>
      <c r="P87" s="132"/>
      <c r="Q87" s="138"/>
      <c r="R87" s="117"/>
    </row>
    <row r="88" spans="1:18" ht="19.5" customHeight="1" x14ac:dyDescent="0.3">
      <c r="A88" s="147" t="s">
        <v>103</v>
      </c>
      <c r="B88" s="580" t="s">
        <v>146</v>
      </c>
      <c r="C88" s="580"/>
      <c r="D88" s="103">
        <v>0.4</v>
      </c>
      <c r="E88" s="318">
        <f>F134</f>
        <v>0</v>
      </c>
      <c r="F88" s="318">
        <f>E88*D88</f>
        <v>0</v>
      </c>
      <c r="G88" s="85"/>
      <c r="H88" s="138"/>
      <c r="J88" s="149" t="s">
        <v>103</v>
      </c>
      <c r="K88" s="583" t="s">
        <v>146</v>
      </c>
      <c r="L88" s="583"/>
      <c r="M88" s="109">
        <v>0.4</v>
      </c>
      <c r="N88" s="110">
        <f>O134</f>
        <v>0</v>
      </c>
      <c r="O88" s="110">
        <f>N88*M88</f>
        <v>0</v>
      </c>
      <c r="P88" s="132"/>
      <c r="Q88" s="138"/>
      <c r="R88" s="117"/>
    </row>
    <row r="89" spans="1:18" ht="19.5" customHeight="1" x14ac:dyDescent="0.3">
      <c r="A89" s="147"/>
      <c r="B89" s="581" t="s">
        <v>94</v>
      </c>
      <c r="C89" s="581"/>
      <c r="D89" s="104"/>
      <c r="E89" s="318"/>
      <c r="F89" s="319">
        <f>SUM(F86:F88)</f>
        <v>0</v>
      </c>
      <c r="G89" s="85"/>
      <c r="H89" s="138"/>
      <c r="J89" s="149"/>
      <c r="K89" s="584" t="s">
        <v>94</v>
      </c>
      <c r="L89" s="584"/>
      <c r="M89" s="111"/>
      <c r="N89" s="110"/>
      <c r="O89" s="112">
        <f>SUM(O86:O88)</f>
        <v>0</v>
      </c>
      <c r="P89" s="132"/>
      <c r="Q89" s="138"/>
      <c r="R89" s="117"/>
    </row>
    <row r="90" spans="1:18" ht="19.5" customHeight="1" x14ac:dyDescent="0.3">
      <c r="A90" s="151"/>
      <c r="B90" s="152"/>
      <c r="C90" s="153"/>
      <c r="D90" s="154"/>
      <c r="E90" s="155"/>
      <c r="F90" s="155"/>
      <c r="G90" s="156"/>
      <c r="H90" s="138"/>
      <c r="J90" s="151"/>
      <c r="K90" s="152"/>
      <c r="L90" s="153"/>
      <c r="M90" s="154"/>
      <c r="N90" s="155"/>
      <c r="O90" s="155"/>
      <c r="P90" s="156"/>
      <c r="Q90" s="138"/>
      <c r="R90" s="117"/>
    </row>
    <row r="91" spans="1:18" ht="19.5" customHeight="1" x14ac:dyDescent="0.3">
      <c r="A91" s="167" t="s">
        <v>30</v>
      </c>
      <c r="B91" s="325" t="s">
        <v>147</v>
      </c>
      <c r="C91" s="85"/>
      <c r="D91" s="324"/>
      <c r="E91" s="324"/>
      <c r="F91" s="207"/>
      <c r="G91" s="201"/>
      <c r="H91" s="202"/>
      <c r="J91" s="167" t="s">
        <v>30</v>
      </c>
      <c r="K91" s="325" t="s">
        <v>147</v>
      </c>
      <c r="L91" s="324"/>
      <c r="M91" s="324"/>
      <c r="N91" s="324"/>
      <c r="O91" s="207"/>
      <c r="P91" s="201"/>
      <c r="Q91" s="202"/>
      <c r="R91" s="117"/>
    </row>
    <row r="92" spans="1:18" ht="19.5" customHeight="1" x14ac:dyDescent="0.3">
      <c r="A92" s="161" t="s">
        <v>1</v>
      </c>
      <c r="B92" s="572" t="s">
        <v>99</v>
      </c>
      <c r="C92" s="572"/>
      <c r="D92" s="69" t="s">
        <v>40</v>
      </c>
      <c r="E92" s="70" t="s">
        <v>39</v>
      </c>
      <c r="F92" s="69" t="s">
        <v>148</v>
      </c>
      <c r="G92" s="283"/>
      <c r="H92" s="160"/>
      <c r="J92" s="161" t="s">
        <v>1</v>
      </c>
      <c r="K92" s="572" t="s">
        <v>99</v>
      </c>
      <c r="L92" s="572"/>
      <c r="M92" s="69" t="s">
        <v>40</v>
      </c>
      <c r="N92" s="70" t="s">
        <v>39</v>
      </c>
      <c r="O92" s="69" t="s">
        <v>148</v>
      </c>
      <c r="P92" s="283"/>
      <c r="Q92" s="160"/>
      <c r="R92" s="117"/>
    </row>
    <row r="93" spans="1:18" ht="19.5" customHeight="1" x14ac:dyDescent="0.3">
      <c r="A93" s="162" t="s">
        <v>101</v>
      </c>
      <c r="B93" s="569" t="s">
        <v>35</v>
      </c>
      <c r="C93" s="569"/>
      <c r="D93" s="71">
        <f>HPS!F30</f>
        <v>70057500</v>
      </c>
      <c r="E93" s="261">
        <v>0</v>
      </c>
      <c r="F93" s="72">
        <f>D93-E93</f>
        <v>70057500</v>
      </c>
      <c r="G93" s="429"/>
      <c r="H93" s="160"/>
      <c r="J93" s="162" t="s">
        <v>101</v>
      </c>
      <c r="K93" s="569" t="s">
        <v>35</v>
      </c>
      <c r="L93" s="569"/>
      <c r="M93" s="71">
        <f>HPS!F30</f>
        <v>70057500</v>
      </c>
      <c r="N93" s="274">
        <v>0</v>
      </c>
      <c r="O93" s="72">
        <f>M93-N93</f>
        <v>70057500</v>
      </c>
      <c r="P93" s="429"/>
      <c r="Q93" s="160"/>
      <c r="R93" s="117"/>
    </row>
    <row r="94" spans="1:18" ht="19.5" customHeight="1" x14ac:dyDescent="0.3">
      <c r="A94" s="162" t="s">
        <v>102</v>
      </c>
      <c r="B94" s="569" t="s">
        <v>36</v>
      </c>
      <c r="C94" s="569"/>
      <c r="D94" s="73">
        <f>HPS!F31</f>
        <v>17514375</v>
      </c>
      <c r="E94" s="262">
        <v>0</v>
      </c>
      <c r="F94" s="72">
        <f>D94-E94</f>
        <v>17514375</v>
      </c>
      <c r="G94" s="429"/>
      <c r="H94" s="160"/>
      <c r="J94" s="162" t="s">
        <v>102</v>
      </c>
      <c r="K94" s="569" t="s">
        <v>36</v>
      </c>
      <c r="L94" s="569"/>
      <c r="M94" s="71">
        <f>HPS!F31</f>
        <v>17514375</v>
      </c>
      <c r="N94" s="275">
        <v>0</v>
      </c>
      <c r="O94" s="72">
        <f>M94-N94</f>
        <v>17514375</v>
      </c>
      <c r="P94" s="429"/>
      <c r="Q94" s="160"/>
      <c r="R94" s="117"/>
    </row>
    <row r="95" spans="1:18" ht="19.5" customHeight="1" x14ac:dyDescent="0.3">
      <c r="A95" s="162" t="s">
        <v>103</v>
      </c>
      <c r="B95" s="569" t="s">
        <v>37</v>
      </c>
      <c r="C95" s="569"/>
      <c r="D95" s="73">
        <f>HPS!F33</f>
        <v>8757187.5</v>
      </c>
      <c r="E95" s="262">
        <v>0</v>
      </c>
      <c r="F95" s="72">
        <f>D95-E95</f>
        <v>8757187.5</v>
      </c>
      <c r="G95" s="429"/>
      <c r="H95" s="160"/>
      <c r="J95" s="162" t="s">
        <v>103</v>
      </c>
      <c r="K95" s="569" t="s">
        <v>37</v>
      </c>
      <c r="L95" s="569"/>
      <c r="M95" s="71">
        <f>HPS!F33</f>
        <v>8757187.5</v>
      </c>
      <c r="N95" s="275">
        <v>0</v>
      </c>
      <c r="O95" s="72">
        <f>M95-N95</f>
        <v>8757187.5</v>
      </c>
      <c r="P95" s="429"/>
      <c r="Q95" s="160"/>
      <c r="R95" s="117"/>
    </row>
    <row r="96" spans="1:18" ht="19.5" customHeight="1" x14ac:dyDescent="0.3">
      <c r="A96" s="163" t="s">
        <v>104</v>
      </c>
      <c r="B96" s="570" t="s">
        <v>38</v>
      </c>
      <c r="C96" s="570"/>
      <c r="D96" s="120">
        <f>SUM(D93:D95)</f>
        <v>96329062.5</v>
      </c>
      <c r="E96" s="120">
        <f>SUM(E93:E95)</f>
        <v>0</v>
      </c>
      <c r="F96" s="120">
        <f>SUM(F93:F95)</f>
        <v>96329062.5</v>
      </c>
      <c r="G96" s="120">
        <f>IF(E96&lt;=D96,50,0)</f>
        <v>50</v>
      </c>
      <c r="H96" s="160"/>
      <c r="J96" s="163" t="s">
        <v>104</v>
      </c>
      <c r="K96" s="570" t="s">
        <v>38</v>
      </c>
      <c r="L96" s="570"/>
      <c r="M96" s="120">
        <f>SUM(M93:M95)</f>
        <v>96329062.5</v>
      </c>
      <c r="N96" s="120">
        <f>SUM(N93:N95)</f>
        <v>0</v>
      </c>
      <c r="O96" s="120">
        <f>SUM(O93:O95)</f>
        <v>96329062.5</v>
      </c>
      <c r="P96" s="120">
        <f>IF(N96&lt;=M96,50,0)</f>
        <v>50</v>
      </c>
      <c r="Q96" s="160"/>
      <c r="R96" s="117"/>
    </row>
    <row r="97" spans="1:18" ht="19.5" customHeight="1" x14ac:dyDescent="0.3">
      <c r="A97" s="157"/>
      <c r="B97" s="158"/>
      <c r="C97" s="164"/>
      <c r="D97" s="165"/>
      <c r="E97" s="166"/>
      <c r="F97" s="166"/>
      <c r="G97" s="159"/>
      <c r="H97" s="160"/>
      <c r="J97" s="157"/>
      <c r="K97" s="158"/>
      <c r="L97" s="164"/>
      <c r="M97" s="165"/>
      <c r="N97" s="166"/>
      <c r="O97" s="166"/>
      <c r="P97" s="159"/>
      <c r="Q97" s="160"/>
      <c r="R97" s="117"/>
    </row>
    <row r="98" spans="1:18" ht="19.5" customHeight="1" x14ac:dyDescent="0.3">
      <c r="A98" s="167" t="s">
        <v>33</v>
      </c>
      <c r="B98" s="571" t="s">
        <v>149</v>
      </c>
      <c r="C98" s="571"/>
      <c r="D98" s="571"/>
      <c r="E98" s="571"/>
      <c r="F98" s="207"/>
      <c r="G98" s="159"/>
      <c r="H98" s="160"/>
      <c r="J98" s="167" t="s">
        <v>33</v>
      </c>
      <c r="K98" s="571" t="s">
        <v>149</v>
      </c>
      <c r="L98" s="571"/>
      <c r="M98" s="571"/>
      <c r="N98" s="571"/>
      <c r="O98" s="207"/>
      <c r="P98" s="159"/>
      <c r="Q98" s="160"/>
      <c r="R98" s="117"/>
    </row>
    <row r="99" spans="1:18" ht="19.5" customHeight="1" x14ac:dyDescent="0.3">
      <c r="A99" s="161" t="s">
        <v>1</v>
      </c>
      <c r="B99" s="572" t="s">
        <v>99</v>
      </c>
      <c r="C99" s="572"/>
      <c r="D99" s="69" t="s">
        <v>95</v>
      </c>
      <c r="E99" s="70" t="s">
        <v>23</v>
      </c>
      <c r="F99" s="69" t="s">
        <v>24</v>
      </c>
      <c r="G99" s="227"/>
      <c r="H99" s="168"/>
      <c r="J99" s="161" t="s">
        <v>1</v>
      </c>
      <c r="K99" s="572" t="s">
        <v>99</v>
      </c>
      <c r="L99" s="572"/>
      <c r="M99" s="69" t="s">
        <v>95</v>
      </c>
      <c r="N99" s="70" t="s">
        <v>23</v>
      </c>
      <c r="O99" s="69" t="s">
        <v>24</v>
      </c>
      <c r="P99" s="311"/>
      <c r="Q99" s="168"/>
      <c r="R99" s="117"/>
    </row>
    <row r="100" spans="1:18" ht="19.5" customHeight="1" x14ac:dyDescent="0.3">
      <c r="A100" s="162" t="s">
        <v>101</v>
      </c>
      <c r="B100" s="569" t="s">
        <v>48</v>
      </c>
      <c r="C100" s="569"/>
      <c r="D100" s="74">
        <v>0.3</v>
      </c>
      <c r="E100" s="75">
        <f>F59</f>
        <v>0</v>
      </c>
      <c r="F100" s="76">
        <f>E100*D100</f>
        <v>0</v>
      </c>
      <c r="G100" s="228"/>
      <c r="H100" s="160"/>
      <c r="J100" s="162" t="s">
        <v>101</v>
      </c>
      <c r="K100" s="569" t="s">
        <v>48</v>
      </c>
      <c r="L100" s="569"/>
      <c r="M100" s="74">
        <v>0.3</v>
      </c>
      <c r="N100" s="75">
        <f>O59</f>
        <v>0</v>
      </c>
      <c r="O100" s="76">
        <f>N100*M100</f>
        <v>0</v>
      </c>
      <c r="P100" s="312"/>
      <c r="Q100" s="160"/>
      <c r="R100" s="117"/>
    </row>
    <row r="101" spans="1:18" ht="19.5" customHeight="1" x14ac:dyDescent="0.3">
      <c r="A101" s="162" t="s">
        <v>102</v>
      </c>
      <c r="B101" s="569" t="s">
        <v>49</v>
      </c>
      <c r="C101" s="569"/>
      <c r="D101" s="74">
        <v>0.35</v>
      </c>
      <c r="E101" s="75">
        <f>F66</f>
        <v>0</v>
      </c>
      <c r="F101" s="76">
        <f>E101*D101</f>
        <v>0</v>
      </c>
      <c r="G101" s="228"/>
      <c r="H101" s="160"/>
      <c r="J101" s="162" t="s">
        <v>102</v>
      </c>
      <c r="K101" s="569" t="s">
        <v>49</v>
      </c>
      <c r="L101" s="569"/>
      <c r="M101" s="74">
        <v>0.35</v>
      </c>
      <c r="N101" s="75">
        <f>O66</f>
        <v>0</v>
      </c>
      <c r="O101" s="76">
        <f>N101*M101</f>
        <v>0</v>
      </c>
      <c r="P101" s="312"/>
      <c r="Q101" s="160"/>
      <c r="R101" s="117"/>
    </row>
    <row r="102" spans="1:18" ht="19.5" customHeight="1" x14ac:dyDescent="0.3">
      <c r="A102" s="162" t="s">
        <v>103</v>
      </c>
      <c r="B102" s="569" t="s">
        <v>50</v>
      </c>
      <c r="C102" s="569"/>
      <c r="D102" s="74">
        <v>0.35</v>
      </c>
      <c r="E102" s="77">
        <f>'Rekap Penilaian KAP'!E58</f>
        <v>0</v>
      </c>
      <c r="F102" s="76">
        <f>E102*D102</f>
        <v>0</v>
      </c>
      <c r="G102" s="228"/>
      <c r="H102" s="160"/>
      <c r="J102" s="162" t="s">
        <v>103</v>
      </c>
      <c r="K102" s="569" t="s">
        <v>50</v>
      </c>
      <c r="L102" s="569"/>
      <c r="M102" s="74">
        <v>0.35</v>
      </c>
      <c r="N102" s="77">
        <f>'Rekap Penilaian KAP'!E67</f>
        <v>0</v>
      </c>
      <c r="O102" s="76">
        <f>N102*M102</f>
        <v>0</v>
      </c>
      <c r="P102" s="312"/>
      <c r="Q102" s="160"/>
      <c r="R102" s="117"/>
    </row>
    <row r="103" spans="1:18" ht="19.5" customHeight="1" x14ac:dyDescent="0.3">
      <c r="A103" s="162"/>
      <c r="B103" s="579" t="s">
        <v>150</v>
      </c>
      <c r="C103" s="579"/>
      <c r="D103" s="78"/>
      <c r="E103" s="79"/>
      <c r="F103" s="80">
        <f>SUM(F100:F102)</f>
        <v>0</v>
      </c>
      <c r="G103" s="228"/>
      <c r="H103" s="160"/>
      <c r="J103" s="162"/>
      <c r="K103" s="579" t="s">
        <v>150</v>
      </c>
      <c r="L103" s="579"/>
      <c r="M103" s="78"/>
      <c r="N103" s="79"/>
      <c r="O103" s="80">
        <f>SUM(O100:O102)</f>
        <v>0</v>
      </c>
      <c r="P103" s="312"/>
      <c r="Q103" s="160"/>
      <c r="R103" s="117"/>
    </row>
    <row r="104" spans="1:18" s="116" customFormat="1" ht="19.5" customHeight="1" x14ac:dyDescent="0.3">
      <c r="A104" s="136"/>
      <c r="B104" s="137"/>
      <c r="C104" s="139"/>
      <c r="D104" s="132"/>
      <c r="E104" s="133"/>
      <c r="F104" s="133"/>
      <c r="G104" s="129"/>
      <c r="H104" s="130"/>
      <c r="J104" s="136"/>
      <c r="K104" s="137"/>
      <c r="L104" s="139"/>
      <c r="M104" s="132"/>
      <c r="N104" s="133"/>
      <c r="O104" s="133"/>
      <c r="P104" s="129"/>
      <c r="Q104" s="130"/>
      <c r="R104" s="285"/>
    </row>
    <row r="105" spans="1:18" ht="19.5" customHeight="1" x14ac:dyDescent="0.3">
      <c r="A105" s="169" t="s">
        <v>60</v>
      </c>
      <c r="B105" s="137"/>
      <c r="C105" s="139"/>
      <c r="D105" s="98"/>
      <c r="E105" s="133"/>
      <c r="F105" s="133"/>
      <c r="G105" s="129"/>
      <c r="H105" s="145"/>
      <c r="J105" s="169" t="s">
        <v>60</v>
      </c>
      <c r="K105" s="137"/>
      <c r="L105" s="139"/>
      <c r="M105" s="98"/>
      <c r="N105" s="133"/>
      <c r="O105" s="133"/>
      <c r="P105" s="129"/>
      <c r="Q105" s="145"/>
      <c r="R105" s="156"/>
    </row>
    <row r="106" spans="1:18" ht="19.5" customHeight="1" x14ac:dyDescent="0.3">
      <c r="A106" s="563" t="s">
        <v>1</v>
      </c>
      <c r="B106" s="565" t="s">
        <v>61</v>
      </c>
      <c r="C106" s="566"/>
      <c r="D106" s="95" t="s">
        <v>62</v>
      </c>
      <c r="E106" s="95" t="s">
        <v>62</v>
      </c>
      <c r="F106" s="95" t="s">
        <v>63</v>
      </c>
      <c r="G106" s="82"/>
      <c r="H106" s="145"/>
      <c r="I106" s="232"/>
      <c r="J106" s="563" t="s">
        <v>1</v>
      </c>
      <c r="K106" s="565" t="s">
        <v>61</v>
      </c>
      <c r="L106" s="566"/>
      <c r="M106" s="95" t="s">
        <v>62</v>
      </c>
      <c r="N106" s="95" t="s">
        <v>62</v>
      </c>
      <c r="O106" s="95" t="s">
        <v>63</v>
      </c>
      <c r="P106" s="98"/>
      <c r="Q106" s="145"/>
      <c r="R106" s="117"/>
    </row>
    <row r="107" spans="1:18" ht="19.5" customHeight="1" x14ac:dyDescent="0.3">
      <c r="A107" s="564"/>
      <c r="B107" s="567"/>
      <c r="C107" s="568"/>
      <c r="D107" s="95" t="s">
        <v>64</v>
      </c>
      <c r="E107" s="95" t="s">
        <v>65</v>
      </c>
      <c r="F107" s="95" t="s">
        <v>66</v>
      </c>
      <c r="G107" s="82"/>
      <c r="H107" s="145"/>
      <c r="J107" s="564"/>
      <c r="K107" s="567"/>
      <c r="L107" s="568"/>
      <c r="M107" s="95" t="s">
        <v>64</v>
      </c>
      <c r="N107" s="95" t="s">
        <v>65</v>
      </c>
      <c r="O107" s="95" t="s">
        <v>66</v>
      </c>
      <c r="P107" s="98"/>
      <c r="Q107" s="145"/>
      <c r="R107" s="117"/>
    </row>
    <row r="108" spans="1:18" ht="19.5" customHeight="1" x14ac:dyDescent="0.3">
      <c r="A108" s="170"/>
      <c r="B108" s="575" t="s">
        <v>67</v>
      </c>
      <c r="C108" s="576"/>
      <c r="D108" s="544"/>
      <c r="E108" s="545"/>
      <c r="F108" s="546"/>
      <c r="G108" s="209"/>
      <c r="H108" s="145"/>
      <c r="J108" s="170"/>
      <c r="K108" s="575" t="s">
        <v>67</v>
      </c>
      <c r="L108" s="576"/>
      <c r="M108" s="544"/>
      <c r="N108" s="545"/>
      <c r="O108" s="546"/>
      <c r="P108" s="209"/>
      <c r="Q108" s="145"/>
      <c r="R108" s="117"/>
    </row>
    <row r="109" spans="1:18" ht="19.5" customHeight="1" x14ac:dyDescent="0.3">
      <c r="A109" s="171">
        <v>1</v>
      </c>
      <c r="B109" s="113" t="s">
        <v>68</v>
      </c>
      <c r="C109" s="114"/>
      <c r="D109" s="263" t="s">
        <v>72</v>
      </c>
      <c r="E109" s="229">
        <f t="shared" ref="E109:E119" si="14">IF(D109="Ya",4.2,0)</f>
        <v>0</v>
      </c>
      <c r="F109" s="266">
        <v>0</v>
      </c>
      <c r="G109" s="85"/>
      <c r="H109" s="145"/>
      <c r="J109" s="171">
        <v>1</v>
      </c>
      <c r="K109" s="113" t="s">
        <v>68</v>
      </c>
      <c r="L109" s="114"/>
      <c r="M109" s="276" t="s">
        <v>72</v>
      </c>
      <c r="N109" s="229">
        <f t="shared" ref="N109:N119" si="15">IF(M109="Ya",4.2,0)</f>
        <v>0</v>
      </c>
      <c r="O109" s="279">
        <v>0</v>
      </c>
      <c r="P109" s="132"/>
      <c r="Q109" s="145"/>
      <c r="R109" s="117"/>
    </row>
    <row r="110" spans="1:18" ht="19.5" customHeight="1" x14ac:dyDescent="0.3">
      <c r="A110" s="171">
        <v>2</v>
      </c>
      <c r="B110" s="113" t="s">
        <v>273</v>
      </c>
      <c r="C110" s="442"/>
      <c r="D110" s="264" t="s">
        <v>72</v>
      </c>
      <c r="E110" s="230">
        <f t="shared" si="14"/>
        <v>0</v>
      </c>
      <c r="F110" s="267">
        <v>0</v>
      </c>
      <c r="G110" s="85"/>
      <c r="H110" s="145"/>
      <c r="J110" s="171">
        <v>2</v>
      </c>
      <c r="K110" s="113" t="s">
        <v>273</v>
      </c>
      <c r="L110" s="442"/>
      <c r="M110" s="277" t="s">
        <v>72</v>
      </c>
      <c r="N110" s="230">
        <f t="shared" si="15"/>
        <v>0</v>
      </c>
      <c r="O110" s="280">
        <v>0</v>
      </c>
      <c r="P110" s="132"/>
      <c r="Q110" s="145"/>
      <c r="R110" s="117"/>
    </row>
    <row r="111" spans="1:18" ht="19.5" customHeight="1" x14ac:dyDescent="0.3">
      <c r="A111" s="171">
        <v>3</v>
      </c>
      <c r="B111" s="113" t="s">
        <v>274</v>
      </c>
      <c r="C111" s="442"/>
      <c r="D111" s="264" t="s">
        <v>72</v>
      </c>
      <c r="E111" s="230">
        <f t="shared" si="14"/>
        <v>0</v>
      </c>
      <c r="F111" s="267">
        <v>0</v>
      </c>
      <c r="G111" s="85"/>
      <c r="H111" s="145"/>
      <c r="J111" s="171">
        <v>3</v>
      </c>
      <c r="K111" s="113" t="s">
        <v>274</v>
      </c>
      <c r="L111" s="442"/>
      <c r="M111" s="277" t="s">
        <v>72</v>
      </c>
      <c r="N111" s="230">
        <f t="shared" si="15"/>
        <v>0</v>
      </c>
      <c r="O111" s="280">
        <v>0</v>
      </c>
      <c r="P111" s="132"/>
      <c r="Q111" s="145"/>
      <c r="R111" s="156"/>
    </row>
    <row r="112" spans="1:18" ht="19.5" customHeight="1" x14ac:dyDescent="0.3">
      <c r="A112" s="171">
        <v>4</v>
      </c>
      <c r="B112" s="113" t="s">
        <v>71</v>
      </c>
      <c r="C112" s="114"/>
      <c r="D112" s="264" t="s">
        <v>72</v>
      </c>
      <c r="E112" s="230">
        <f t="shared" si="14"/>
        <v>0</v>
      </c>
      <c r="F112" s="267">
        <v>0</v>
      </c>
      <c r="G112" s="85"/>
      <c r="H112" s="145"/>
      <c r="J112" s="171">
        <v>4</v>
      </c>
      <c r="K112" s="113" t="s">
        <v>71</v>
      </c>
      <c r="L112" s="114"/>
      <c r="M112" s="277" t="s">
        <v>72</v>
      </c>
      <c r="N112" s="230">
        <f t="shared" si="15"/>
        <v>0</v>
      </c>
      <c r="O112" s="280">
        <v>0</v>
      </c>
      <c r="P112" s="132"/>
      <c r="Q112" s="145"/>
    </row>
    <row r="113" spans="1:17" ht="19.5" customHeight="1" x14ac:dyDescent="0.3">
      <c r="A113" s="171">
        <v>5</v>
      </c>
      <c r="B113" s="113" t="s">
        <v>73</v>
      </c>
      <c r="C113" s="114"/>
      <c r="D113" s="264" t="s">
        <v>72</v>
      </c>
      <c r="E113" s="230">
        <f t="shared" si="14"/>
        <v>0</v>
      </c>
      <c r="F113" s="267">
        <v>0</v>
      </c>
      <c r="G113" s="85"/>
      <c r="H113" s="145"/>
      <c r="J113" s="171">
        <v>5</v>
      </c>
      <c r="K113" s="113" t="s">
        <v>73</v>
      </c>
      <c r="L113" s="114"/>
      <c r="M113" s="277" t="s">
        <v>72</v>
      </c>
      <c r="N113" s="230">
        <f t="shared" si="15"/>
        <v>0</v>
      </c>
      <c r="O113" s="280">
        <v>0</v>
      </c>
      <c r="P113" s="132"/>
      <c r="Q113" s="145"/>
    </row>
    <row r="114" spans="1:17" ht="19.5" customHeight="1" x14ac:dyDescent="0.3">
      <c r="A114" s="171">
        <v>6</v>
      </c>
      <c r="B114" s="113" t="s">
        <v>275</v>
      </c>
      <c r="C114" s="114"/>
      <c r="D114" s="264" t="s">
        <v>72</v>
      </c>
      <c r="E114" s="230">
        <f t="shared" si="14"/>
        <v>0</v>
      </c>
      <c r="F114" s="267">
        <v>0</v>
      </c>
      <c r="G114" s="85"/>
      <c r="H114" s="145"/>
      <c r="J114" s="171">
        <v>6</v>
      </c>
      <c r="K114" s="113" t="s">
        <v>275</v>
      </c>
      <c r="L114" s="114"/>
      <c r="M114" s="277" t="s">
        <v>72</v>
      </c>
      <c r="N114" s="230">
        <f t="shared" si="15"/>
        <v>0</v>
      </c>
      <c r="O114" s="280">
        <v>0</v>
      </c>
      <c r="P114" s="132"/>
      <c r="Q114" s="145"/>
    </row>
    <row r="115" spans="1:17" ht="19.5" customHeight="1" x14ac:dyDescent="0.3">
      <c r="A115" s="171">
        <v>7</v>
      </c>
      <c r="B115" s="113" t="s">
        <v>276</v>
      </c>
      <c r="C115" s="114"/>
      <c r="D115" s="264" t="s">
        <v>72</v>
      </c>
      <c r="E115" s="230">
        <f t="shared" si="14"/>
        <v>0</v>
      </c>
      <c r="F115" s="267">
        <v>0</v>
      </c>
      <c r="G115" s="85"/>
      <c r="H115" s="145"/>
      <c r="J115" s="171">
        <v>7</v>
      </c>
      <c r="K115" s="113" t="s">
        <v>276</v>
      </c>
      <c r="L115" s="114"/>
      <c r="M115" s="277" t="s">
        <v>72</v>
      </c>
      <c r="N115" s="230">
        <f t="shared" si="15"/>
        <v>0</v>
      </c>
      <c r="O115" s="280">
        <v>0</v>
      </c>
      <c r="P115" s="132"/>
      <c r="Q115" s="145"/>
    </row>
    <row r="116" spans="1:17" ht="19.5" customHeight="1" x14ac:dyDescent="0.3">
      <c r="A116" s="171">
        <v>8</v>
      </c>
      <c r="B116" s="113" t="s">
        <v>277</v>
      </c>
      <c r="C116" s="114"/>
      <c r="D116" s="264" t="s">
        <v>72</v>
      </c>
      <c r="E116" s="230">
        <f t="shared" si="14"/>
        <v>0</v>
      </c>
      <c r="F116" s="267">
        <v>0</v>
      </c>
      <c r="G116" s="85"/>
      <c r="H116" s="145"/>
      <c r="J116" s="171">
        <v>8</v>
      </c>
      <c r="K116" s="113" t="s">
        <v>277</v>
      </c>
      <c r="L116" s="114"/>
      <c r="M116" s="277" t="s">
        <v>72</v>
      </c>
      <c r="N116" s="230">
        <f t="shared" si="15"/>
        <v>0</v>
      </c>
      <c r="O116" s="280">
        <v>0</v>
      </c>
      <c r="P116" s="132"/>
      <c r="Q116" s="145"/>
    </row>
    <row r="117" spans="1:17" ht="19.5" customHeight="1" x14ac:dyDescent="0.3">
      <c r="A117" s="171">
        <v>9</v>
      </c>
      <c r="B117" s="113" t="s">
        <v>278</v>
      </c>
      <c r="C117" s="114"/>
      <c r="D117" s="264" t="s">
        <v>72</v>
      </c>
      <c r="E117" s="230">
        <f t="shared" si="14"/>
        <v>0</v>
      </c>
      <c r="F117" s="267">
        <v>0</v>
      </c>
      <c r="G117" s="85"/>
      <c r="H117" s="145"/>
      <c r="J117" s="171">
        <v>9</v>
      </c>
      <c r="K117" s="113" t="s">
        <v>278</v>
      </c>
      <c r="L117" s="114"/>
      <c r="M117" s="277" t="s">
        <v>72</v>
      </c>
      <c r="N117" s="230">
        <f t="shared" si="15"/>
        <v>0</v>
      </c>
      <c r="O117" s="280">
        <v>0</v>
      </c>
      <c r="P117" s="132"/>
      <c r="Q117" s="145"/>
    </row>
    <row r="118" spans="1:17" ht="19.5" customHeight="1" x14ac:dyDescent="0.3">
      <c r="A118" s="171">
        <v>10</v>
      </c>
      <c r="B118" s="113" t="s">
        <v>279</v>
      </c>
      <c r="C118" s="114"/>
      <c r="D118" s="264" t="s">
        <v>72</v>
      </c>
      <c r="E118" s="230">
        <f t="shared" si="14"/>
        <v>0</v>
      </c>
      <c r="F118" s="267">
        <v>0</v>
      </c>
      <c r="G118" s="85"/>
      <c r="H118" s="145"/>
      <c r="J118" s="171">
        <v>10</v>
      </c>
      <c r="K118" s="113" t="s">
        <v>279</v>
      </c>
      <c r="L118" s="114"/>
      <c r="M118" s="277" t="s">
        <v>72</v>
      </c>
      <c r="N118" s="230">
        <f t="shared" si="15"/>
        <v>0</v>
      </c>
      <c r="O118" s="280">
        <v>0</v>
      </c>
      <c r="P118" s="132"/>
      <c r="Q118" s="145"/>
    </row>
    <row r="119" spans="1:17" ht="19.5" customHeight="1" x14ac:dyDescent="0.3">
      <c r="A119" s="171">
        <v>11</v>
      </c>
      <c r="B119" s="113" t="s">
        <v>280</v>
      </c>
      <c r="C119" s="114"/>
      <c r="D119" s="265" t="s">
        <v>72</v>
      </c>
      <c r="E119" s="230">
        <f t="shared" si="14"/>
        <v>0</v>
      </c>
      <c r="F119" s="267">
        <v>0</v>
      </c>
      <c r="G119" s="85"/>
      <c r="H119" s="145"/>
      <c r="J119" s="171">
        <v>11</v>
      </c>
      <c r="K119" s="113" t="s">
        <v>280</v>
      </c>
      <c r="L119" s="114"/>
      <c r="M119" s="278" t="s">
        <v>72</v>
      </c>
      <c r="N119" s="230">
        <f t="shared" si="15"/>
        <v>0</v>
      </c>
      <c r="O119" s="280">
        <v>0</v>
      </c>
      <c r="P119" s="313"/>
      <c r="Q119" s="145"/>
    </row>
    <row r="120" spans="1:17" ht="19.5" customHeight="1" x14ac:dyDescent="0.3">
      <c r="A120" s="170"/>
      <c r="B120" s="577" t="s">
        <v>81</v>
      </c>
      <c r="C120" s="578"/>
      <c r="D120" s="547"/>
      <c r="E120" s="548"/>
      <c r="F120" s="549"/>
      <c r="G120" s="231"/>
      <c r="H120" s="145"/>
      <c r="J120" s="170"/>
      <c r="K120" s="577" t="s">
        <v>81</v>
      </c>
      <c r="L120" s="578"/>
      <c r="M120" s="547"/>
      <c r="N120" s="548"/>
      <c r="O120" s="549"/>
      <c r="P120" s="231"/>
      <c r="Q120" s="145"/>
    </row>
    <row r="121" spans="1:17" ht="19.5" customHeight="1" x14ac:dyDescent="0.3">
      <c r="A121" s="171">
        <v>12</v>
      </c>
      <c r="B121" s="113" t="s">
        <v>281</v>
      </c>
      <c r="C121" s="113"/>
      <c r="D121" s="263" t="s">
        <v>72</v>
      </c>
      <c r="E121" s="229">
        <f t="shared" ref="E121:E133" si="16">IF(D121="Ya",4.2,0)</f>
        <v>0</v>
      </c>
      <c r="F121" s="266">
        <v>0</v>
      </c>
      <c r="G121" s="85"/>
      <c r="H121" s="145"/>
      <c r="J121" s="171">
        <v>12</v>
      </c>
      <c r="K121" s="113" t="s">
        <v>281</v>
      </c>
      <c r="L121" s="113"/>
      <c r="M121" s="276" t="s">
        <v>72</v>
      </c>
      <c r="N121" s="229">
        <f t="shared" ref="N121:N133" si="17">IF(M121="Ya",4.2,0)</f>
        <v>0</v>
      </c>
      <c r="O121" s="279">
        <v>0</v>
      </c>
      <c r="P121" s="132"/>
      <c r="Q121" s="145"/>
    </row>
    <row r="122" spans="1:17" ht="19.5" customHeight="1" x14ac:dyDescent="0.3">
      <c r="A122" s="171">
        <v>13</v>
      </c>
      <c r="B122" s="113" t="s">
        <v>256</v>
      </c>
      <c r="C122" s="113"/>
      <c r="D122" s="264" t="s">
        <v>72</v>
      </c>
      <c r="E122" s="230">
        <f t="shared" si="16"/>
        <v>0</v>
      </c>
      <c r="F122" s="267">
        <v>0</v>
      </c>
      <c r="G122" s="85"/>
      <c r="H122" s="145"/>
      <c r="J122" s="171">
        <v>13</v>
      </c>
      <c r="K122" s="113" t="s">
        <v>256</v>
      </c>
      <c r="L122" s="113"/>
      <c r="M122" s="277" t="s">
        <v>72</v>
      </c>
      <c r="N122" s="230">
        <f t="shared" si="17"/>
        <v>0</v>
      </c>
      <c r="O122" s="280">
        <v>0</v>
      </c>
      <c r="P122" s="132"/>
      <c r="Q122" s="145"/>
    </row>
    <row r="123" spans="1:17" ht="19.5" customHeight="1" x14ac:dyDescent="0.3">
      <c r="A123" s="171">
        <v>14</v>
      </c>
      <c r="B123" s="113" t="s">
        <v>70</v>
      </c>
      <c r="C123" s="113"/>
      <c r="D123" s="264" t="s">
        <v>72</v>
      </c>
      <c r="E123" s="230">
        <f t="shared" ref="E123" si="18">IF(D123="Ya",4.2,0)</f>
        <v>0</v>
      </c>
      <c r="F123" s="267">
        <v>0</v>
      </c>
      <c r="G123" s="85"/>
      <c r="H123" s="145"/>
      <c r="J123" s="171">
        <v>14</v>
      </c>
      <c r="K123" s="113" t="s">
        <v>70</v>
      </c>
      <c r="L123" s="113"/>
      <c r="M123" s="277" t="s">
        <v>72</v>
      </c>
      <c r="N123" s="230">
        <f t="shared" ref="N123" si="19">IF(M123="Ya",4.2,0)</f>
        <v>0</v>
      </c>
      <c r="O123" s="280">
        <v>0</v>
      </c>
      <c r="P123" s="132"/>
      <c r="Q123" s="145"/>
    </row>
    <row r="124" spans="1:17" ht="19.5" customHeight="1" x14ac:dyDescent="0.3">
      <c r="A124" s="171">
        <v>15</v>
      </c>
      <c r="B124" s="113" t="s">
        <v>282</v>
      </c>
      <c r="C124" s="113"/>
      <c r="D124" s="264" t="s">
        <v>72</v>
      </c>
      <c r="E124" s="230">
        <f t="shared" si="16"/>
        <v>0</v>
      </c>
      <c r="F124" s="267">
        <v>0</v>
      </c>
      <c r="G124" s="85"/>
      <c r="H124" s="145"/>
      <c r="J124" s="171">
        <v>15</v>
      </c>
      <c r="K124" s="113" t="s">
        <v>282</v>
      </c>
      <c r="L124" s="113"/>
      <c r="M124" s="277" t="s">
        <v>72</v>
      </c>
      <c r="N124" s="230">
        <f t="shared" si="17"/>
        <v>0</v>
      </c>
      <c r="O124" s="280">
        <v>0</v>
      </c>
      <c r="P124" s="132"/>
      <c r="Q124" s="145"/>
    </row>
    <row r="125" spans="1:17" ht="19.5" customHeight="1" x14ac:dyDescent="0.3">
      <c r="A125" s="171">
        <v>16</v>
      </c>
      <c r="B125" s="113" t="s">
        <v>287</v>
      </c>
      <c r="C125" s="113"/>
      <c r="D125" s="264" t="s">
        <v>72</v>
      </c>
      <c r="E125" s="230">
        <f t="shared" si="16"/>
        <v>0</v>
      </c>
      <c r="F125" s="267">
        <v>0</v>
      </c>
      <c r="G125" s="85"/>
      <c r="H125" s="145"/>
      <c r="J125" s="171">
        <v>16</v>
      </c>
      <c r="K125" s="113" t="s">
        <v>287</v>
      </c>
      <c r="L125" s="113"/>
      <c r="M125" s="277" t="s">
        <v>72</v>
      </c>
      <c r="N125" s="230">
        <f t="shared" si="17"/>
        <v>0</v>
      </c>
      <c r="O125" s="280">
        <v>0</v>
      </c>
      <c r="P125" s="132"/>
      <c r="Q125" s="145"/>
    </row>
    <row r="126" spans="1:17" ht="19.5" customHeight="1" x14ac:dyDescent="0.3">
      <c r="A126" s="171">
        <v>17</v>
      </c>
      <c r="B126" s="113" t="s">
        <v>257</v>
      </c>
      <c r="C126" s="113"/>
      <c r="D126" s="264" t="s">
        <v>72</v>
      </c>
      <c r="E126" s="230">
        <f t="shared" si="16"/>
        <v>0</v>
      </c>
      <c r="F126" s="267">
        <v>0</v>
      </c>
      <c r="G126" s="85"/>
      <c r="H126" s="145"/>
      <c r="J126" s="171">
        <v>17</v>
      </c>
      <c r="K126" s="113" t="s">
        <v>257</v>
      </c>
      <c r="L126" s="113"/>
      <c r="M126" s="277" t="s">
        <v>72</v>
      </c>
      <c r="N126" s="230">
        <f t="shared" si="17"/>
        <v>0</v>
      </c>
      <c r="O126" s="280">
        <v>0</v>
      </c>
      <c r="P126" s="132"/>
      <c r="Q126" s="145"/>
    </row>
    <row r="127" spans="1:17" ht="19.5" customHeight="1" x14ac:dyDescent="0.3">
      <c r="A127" s="171">
        <v>18</v>
      </c>
      <c r="B127" s="113" t="s">
        <v>288</v>
      </c>
      <c r="C127" s="113"/>
      <c r="D127" s="264" t="s">
        <v>72</v>
      </c>
      <c r="E127" s="230">
        <f t="shared" si="16"/>
        <v>0</v>
      </c>
      <c r="F127" s="267">
        <v>0</v>
      </c>
      <c r="G127" s="85"/>
      <c r="H127" s="145"/>
      <c r="J127" s="171">
        <v>18</v>
      </c>
      <c r="K127" s="113" t="s">
        <v>288</v>
      </c>
      <c r="L127" s="113"/>
      <c r="M127" s="277" t="s">
        <v>72</v>
      </c>
      <c r="N127" s="230">
        <f t="shared" si="17"/>
        <v>0</v>
      </c>
      <c r="O127" s="280">
        <v>0</v>
      </c>
      <c r="P127" s="132"/>
      <c r="Q127" s="145"/>
    </row>
    <row r="128" spans="1:17" ht="19.5" customHeight="1" x14ac:dyDescent="0.3">
      <c r="A128" s="171">
        <v>19</v>
      </c>
      <c r="B128" s="113" t="s">
        <v>289</v>
      </c>
      <c r="C128" s="113"/>
      <c r="D128" s="264" t="s">
        <v>72</v>
      </c>
      <c r="E128" s="230">
        <f t="shared" si="16"/>
        <v>0</v>
      </c>
      <c r="F128" s="267">
        <v>0</v>
      </c>
      <c r="G128" s="85"/>
      <c r="H128" s="145"/>
      <c r="J128" s="171">
        <v>19</v>
      </c>
      <c r="K128" s="113" t="s">
        <v>289</v>
      </c>
      <c r="L128" s="113"/>
      <c r="M128" s="277" t="s">
        <v>72</v>
      </c>
      <c r="N128" s="230">
        <f t="shared" si="17"/>
        <v>0</v>
      </c>
      <c r="O128" s="280">
        <v>0</v>
      </c>
      <c r="P128" s="132"/>
      <c r="Q128" s="145"/>
    </row>
    <row r="129" spans="1:17" ht="19.5" customHeight="1" x14ac:dyDescent="0.3">
      <c r="A129" s="171">
        <v>20</v>
      </c>
      <c r="B129" s="113" t="s">
        <v>283</v>
      </c>
      <c r="C129" s="113"/>
      <c r="D129" s="264" t="s">
        <v>72</v>
      </c>
      <c r="E129" s="230">
        <f t="shared" si="16"/>
        <v>0</v>
      </c>
      <c r="F129" s="267">
        <v>0</v>
      </c>
      <c r="G129" s="85"/>
      <c r="H129" s="145"/>
      <c r="J129" s="171">
        <v>20</v>
      </c>
      <c r="K129" s="113" t="s">
        <v>283</v>
      </c>
      <c r="L129" s="113"/>
      <c r="M129" s="277" t="s">
        <v>72</v>
      </c>
      <c r="N129" s="230">
        <f t="shared" si="17"/>
        <v>0</v>
      </c>
      <c r="O129" s="280">
        <v>0</v>
      </c>
      <c r="P129" s="132"/>
      <c r="Q129" s="145"/>
    </row>
    <row r="130" spans="1:17" ht="19.5" customHeight="1" x14ac:dyDescent="0.3">
      <c r="A130" s="171">
        <v>21</v>
      </c>
      <c r="B130" s="113" t="s">
        <v>258</v>
      </c>
      <c r="C130" s="113"/>
      <c r="D130" s="264" t="s">
        <v>72</v>
      </c>
      <c r="E130" s="230">
        <f t="shared" si="16"/>
        <v>0</v>
      </c>
      <c r="F130" s="267">
        <v>0</v>
      </c>
      <c r="G130" s="85"/>
      <c r="H130" s="145"/>
      <c r="J130" s="171">
        <v>21</v>
      </c>
      <c r="K130" s="113" t="s">
        <v>258</v>
      </c>
      <c r="L130" s="113"/>
      <c r="M130" s="277" t="s">
        <v>72</v>
      </c>
      <c r="N130" s="230">
        <f t="shared" si="17"/>
        <v>0</v>
      </c>
      <c r="O130" s="280">
        <v>0</v>
      </c>
      <c r="P130" s="132"/>
      <c r="Q130" s="145"/>
    </row>
    <row r="131" spans="1:17" ht="19.5" customHeight="1" x14ac:dyDescent="0.3">
      <c r="A131" s="171">
        <v>22</v>
      </c>
      <c r="B131" s="113" t="s">
        <v>284</v>
      </c>
      <c r="C131" s="113"/>
      <c r="D131" s="264" t="s">
        <v>72</v>
      </c>
      <c r="E131" s="230">
        <f t="shared" si="16"/>
        <v>0</v>
      </c>
      <c r="F131" s="267">
        <v>0</v>
      </c>
      <c r="G131" s="85"/>
      <c r="H131" s="145"/>
      <c r="J131" s="171">
        <v>22</v>
      </c>
      <c r="K131" s="113" t="s">
        <v>284</v>
      </c>
      <c r="L131" s="113"/>
      <c r="M131" s="277" t="s">
        <v>72</v>
      </c>
      <c r="N131" s="230">
        <f t="shared" si="17"/>
        <v>0</v>
      </c>
      <c r="O131" s="280">
        <v>0</v>
      </c>
      <c r="P131" s="132"/>
      <c r="Q131" s="145"/>
    </row>
    <row r="132" spans="1:17" ht="19.5" customHeight="1" x14ac:dyDescent="0.3">
      <c r="A132" s="171">
        <v>23</v>
      </c>
      <c r="B132" s="113" t="s">
        <v>285</v>
      </c>
      <c r="C132" s="113"/>
      <c r="D132" s="264" t="s">
        <v>72</v>
      </c>
      <c r="E132" s="230">
        <f t="shared" si="16"/>
        <v>0</v>
      </c>
      <c r="F132" s="267">
        <v>0</v>
      </c>
      <c r="G132" s="85"/>
      <c r="H132" s="145"/>
      <c r="J132" s="171">
        <v>23</v>
      </c>
      <c r="K132" s="113" t="s">
        <v>285</v>
      </c>
      <c r="L132" s="113"/>
      <c r="M132" s="277" t="s">
        <v>72</v>
      </c>
      <c r="N132" s="230">
        <f t="shared" si="17"/>
        <v>0</v>
      </c>
      <c r="O132" s="280">
        <v>0</v>
      </c>
      <c r="P132" s="132"/>
      <c r="Q132" s="145"/>
    </row>
    <row r="133" spans="1:17" ht="19.5" customHeight="1" x14ac:dyDescent="0.3">
      <c r="A133" s="171">
        <v>24</v>
      </c>
      <c r="B133" s="113" t="s">
        <v>286</v>
      </c>
      <c r="C133" s="113"/>
      <c r="D133" s="265" t="s">
        <v>72</v>
      </c>
      <c r="E133" s="230">
        <f t="shared" si="16"/>
        <v>0</v>
      </c>
      <c r="F133" s="267">
        <v>0</v>
      </c>
      <c r="G133" s="85"/>
      <c r="H133" s="145"/>
      <c r="J133" s="171">
        <v>24</v>
      </c>
      <c r="K133" s="113" t="s">
        <v>286</v>
      </c>
      <c r="L133" s="113"/>
      <c r="M133" s="278" t="s">
        <v>72</v>
      </c>
      <c r="N133" s="230">
        <f t="shared" si="17"/>
        <v>0</v>
      </c>
      <c r="O133" s="280">
        <v>0</v>
      </c>
      <c r="P133" s="132"/>
      <c r="Q133" s="145"/>
    </row>
    <row r="134" spans="1:17" ht="19.5" customHeight="1" x14ac:dyDescent="0.3">
      <c r="A134" s="172"/>
      <c r="B134" s="281"/>
      <c r="C134" s="121" t="s">
        <v>94</v>
      </c>
      <c r="D134" s="210"/>
      <c r="E134" s="122">
        <f>ROUNDDOWN(SUM(E109:E133),0)</f>
        <v>0</v>
      </c>
      <c r="F134" s="122">
        <f>ROUNDDOWN(SUM(F109:F133),0)</f>
        <v>0</v>
      </c>
      <c r="G134" s="116"/>
      <c r="H134" s="173"/>
      <c r="J134" s="172"/>
      <c r="K134" s="281"/>
      <c r="L134" s="121" t="s">
        <v>94</v>
      </c>
      <c r="M134" s="210"/>
      <c r="N134" s="122">
        <f>ROUNDDOWN(SUM(N109:N133),0)</f>
        <v>0</v>
      </c>
      <c r="O134" s="122">
        <f>ROUNDDOWN(SUM(O109:O133),0)</f>
        <v>0</v>
      </c>
      <c r="P134" s="100"/>
      <c r="Q134" s="173"/>
    </row>
    <row r="135" spans="1:17" ht="19.5" customHeight="1" x14ac:dyDescent="0.3">
      <c r="A135" s="174"/>
      <c r="B135" s="175"/>
      <c r="C135" s="175"/>
      <c r="D135" s="100"/>
      <c r="E135" s="133"/>
      <c r="F135" s="133"/>
      <c r="G135" s="129"/>
      <c r="H135" s="130"/>
      <c r="J135" s="174"/>
      <c r="K135" s="175"/>
      <c r="L135" s="175"/>
      <c r="M135" s="100"/>
      <c r="N135" s="133"/>
      <c r="O135" s="133"/>
      <c r="P135" s="129"/>
      <c r="Q135" s="130"/>
    </row>
    <row r="136" spans="1:17" ht="19.5" customHeight="1" x14ac:dyDescent="0.3">
      <c r="A136" s="144"/>
      <c r="B136" s="137"/>
      <c r="C136" s="139"/>
      <c r="D136" s="117" t="s">
        <v>151</v>
      </c>
      <c r="E136" s="176">
        <v>4.2</v>
      </c>
      <c r="F136" s="177" t="s">
        <v>152</v>
      </c>
      <c r="G136" s="85"/>
      <c r="H136" s="145"/>
      <c r="J136" s="144"/>
      <c r="K136" s="137"/>
      <c r="L136" s="139"/>
      <c r="M136" s="117" t="s">
        <v>151</v>
      </c>
      <c r="N136" s="176">
        <v>4.2</v>
      </c>
      <c r="O136" s="177" t="s">
        <v>152</v>
      </c>
      <c r="P136" s="132"/>
      <c r="Q136" s="145"/>
    </row>
    <row r="137" spans="1:17" ht="19.5" customHeight="1" x14ac:dyDescent="0.3">
      <c r="A137" s="144"/>
      <c r="B137" s="137"/>
      <c r="C137" s="139"/>
      <c r="D137" s="98"/>
      <c r="E137" s="176">
        <f>E138*2</f>
        <v>2.78</v>
      </c>
      <c r="F137" s="177" t="s">
        <v>153</v>
      </c>
      <c r="G137" s="85"/>
      <c r="H137" s="145"/>
      <c r="J137" s="144"/>
      <c r="K137" s="137"/>
      <c r="L137" s="139"/>
      <c r="M137" s="98"/>
      <c r="N137" s="176">
        <f>N138*2</f>
        <v>2.78</v>
      </c>
      <c r="O137" s="177" t="s">
        <v>153</v>
      </c>
      <c r="P137" s="132"/>
      <c r="Q137" s="145"/>
    </row>
    <row r="138" spans="1:17" ht="19.5" customHeight="1" x14ac:dyDescent="0.3">
      <c r="A138" s="144"/>
      <c r="B138" s="137"/>
      <c r="C138" s="139"/>
      <c r="D138" s="98"/>
      <c r="E138" s="176">
        <v>1.39</v>
      </c>
      <c r="F138" s="177" t="s">
        <v>154</v>
      </c>
      <c r="G138" s="85"/>
      <c r="H138" s="145"/>
      <c r="J138" s="144"/>
      <c r="K138" s="137"/>
      <c r="L138" s="139"/>
      <c r="M138" s="98"/>
      <c r="N138" s="176">
        <v>1.39</v>
      </c>
      <c r="O138" s="177" t="s">
        <v>154</v>
      </c>
      <c r="P138" s="132"/>
      <c r="Q138" s="145"/>
    </row>
    <row r="139" spans="1:17" ht="19.5" customHeight="1" x14ac:dyDescent="0.3">
      <c r="A139" s="144"/>
      <c r="B139" s="137"/>
      <c r="C139" s="139"/>
      <c r="D139" s="98"/>
      <c r="E139" s="178">
        <v>0</v>
      </c>
      <c r="F139" s="177" t="s">
        <v>155</v>
      </c>
      <c r="G139" s="85"/>
      <c r="H139" s="145"/>
      <c r="J139" s="144"/>
      <c r="K139" s="137"/>
      <c r="L139" s="139"/>
      <c r="M139" s="98"/>
      <c r="N139" s="178">
        <v>0</v>
      </c>
      <c r="O139" s="177" t="s">
        <v>155</v>
      </c>
      <c r="P139" s="132"/>
      <c r="Q139" s="145"/>
    </row>
    <row r="140" spans="1:17" ht="19.5" customHeight="1" x14ac:dyDescent="0.3">
      <c r="A140" s="144"/>
      <c r="B140" s="137"/>
      <c r="C140" s="179" t="s">
        <v>156</v>
      </c>
      <c r="D140" s="129"/>
      <c r="E140" s="180"/>
      <c r="F140" s="180"/>
      <c r="G140" s="129"/>
      <c r="H140" s="145"/>
      <c r="J140" s="144"/>
      <c r="K140" s="137"/>
      <c r="L140" s="179" t="s">
        <v>156</v>
      </c>
      <c r="M140" s="129"/>
      <c r="N140" s="180"/>
      <c r="O140" s="180"/>
      <c r="P140" s="129"/>
      <c r="Q140" s="145"/>
    </row>
    <row r="141" spans="1:17" ht="19.5" customHeight="1" thickBot="1" x14ac:dyDescent="0.35">
      <c r="A141" s="181"/>
      <c r="B141" s="182"/>
      <c r="C141" s="182"/>
      <c r="D141" s="183"/>
      <c r="E141" s="184"/>
      <c r="F141" s="184"/>
      <c r="G141" s="185"/>
      <c r="H141" s="186"/>
      <c r="J141" s="181"/>
      <c r="K141" s="182"/>
      <c r="L141" s="182"/>
      <c r="M141" s="183"/>
      <c r="N141" s="184"/>
      <c r="O141" s="184"/>
      <c r="P141" s="185"/>
      <c r="Q141" s="186"/>
    </row>
    <row r="142" spans="1:17" ht="19.5" customHeight="1" x14ac:dyDescent="0.3">
      <c r="A142" s="118"/>
      <c r="B142" s="115"/>
      <c r="C142" s="115"/>
    </row>
    <row r="143" spans="1:17" ht="19.5" customHeight="1" x14ac:dyDescent="0.3">
      <c r="A143" s="118"/>
      <c r="B143" s="115"/>
      <c r="C143" s="115"/>
    </row>
    <row r="144" spans="1:17" ht="19.5" customHeight="1" x14ac:dyDescent="0.3">
      <c r="A144" s="118"/>
      <c r="B144" s="115"/>
      <c r="C144" s="115"/>
    </row>
    <row r="145" spans="1:3" ht="19.5" customHeight="1" x14ac:dyDescent="0.3">
      <c r="A145" s="118"/>
      <c r="B145" s="115"/>
      <c r="C145" s="115"/>
    </row>
    <row r="146" spans="1:3" ht="19.5" customHeight="1" x14ac:dyDescent="0.3">
      <c r="A146" s="118"/>
      <c r="B146" s="115"/>
      <c r="C146" s="115"/>
    </row>
    <row r="147" spans="1:3" ht="19.5" customHeight="1" x14ac:dyDescent="0.3">
      <c r="A147" s="118"/>
      <c r="B147" s="115"/>
      <c r="C147" s="115"/>
    </row>
    <row r="148" spans="1:3" ht="19.5" customHeight="1" x14ac:dyDescent="0.3">
      <c r="A148" s="118"/>
      <c r="B148" s="115"/>
      <c r="C148" s="115"/>
    </row>
    <row r="149" spans="1:3" ht="19.5" customHeight="1" x14ac:dyDescent="0.3">
      <c r="A149" s="118"/>
      <c r="B149" s="115"/>
      <c r="C149" s="115"/>
    </row>
    <row r="150" spans="1:3" ht="19.5" customHeight="1" x14ac:dyDescent="0.3">
      <c r="A150" s="118"/>
      <c r="B150" s="115"/>
      <c r="C150" s="115"/>
    </row>
  </sheetData>
  <sheetProtection algorithmName="SHA-512" hashValue="H43YvbxdUYL/Q7AsE+j2VplMOmTwvCLvECiznDazyBWn7zhYq+FlW3E7GkdqwpKj4WWFyHySNIt56LnAd//Rkw==" saltValue="IXvYN0JLFTwn8qgZwvsB1Q==" spinCount="100000" sheet="1" objects="1" scenarios="1" selectLockedCells="1"/>
  <mergeCells count="160">
    <mergeCell ref="A12:A19"/>
    <mergeCell ref="B12:C12"/>
    <mergeCell ref="J12:J19"/>
    <mergeCell ref="K12:L12"/>
    <mergeCell ref="A5:H6"/>
    <mergeCell ref="J5:Q6"/>
    <mergeCell ref="B8:C8"/>
    <mergeCell ref="K8:L8"/>
    <mergeCell ref="B9:C9"/>
    <mergeCell ref="K9:L9"/>
    <mergeCell ref="B20:C20"/>
    <mergeCell ref="K20:L20"/>
    <mergeCell ref="B21:C21"/>
    <mergeCell ref="K21:L21"/>
    <mergeCell ref="B22:C22"/>
    <mergeCell ref="K22:L22"/>
    <mergeCell ref="B10:C10"/>
    <mergeCell ref="K10:L10"/>
    <mergeCell ref="B11:C11"/>
    <mergeCell ref="K11:L11"/>
    <mergeCell ref="B26:C26"/>
    <mergeCell ref="K26:L26"/>
    <mergeCell ref="B27:C27"/>
    <mergeCell ref="K27:L27"/>
    <mergeCell ref="A28:C28"/>
    <mergeCell ref="J28:L28"/>
    <mergeCell ref="B23:C23"/>
    <mergeCell ref="K23:L23"/>
    <mergeCell ref="B24:C24"/>
    <mergeCell ref="K24:L24"/>
    <mergeCell ref="B25:C25"/>
    <mergeCell ref="K25:L25"/>
    <mergeCell ref="B34:C34"/>
    <mergeCell ref="K34:L34"/>
    <mergeCell ref="B35:C35"/>
    <mergeCell ref="K35:L35"/>
    <mergeCell ref="B36:C36"/>
    <mergeCell ref="K36:L36"/>
    <mergeCell ref="B31:C31"/>
    <mergeCell ref="K31:L31"/>
    <mergeCell ref="B32:C32"/>
    <mergeCell ref="K32:L32"/>
    <mergeCell ref="B33:C33"/>
    <mergeCell ref="K33:L33"/>
    <mergeCell ref="B43:C43"/>
    <mergeCell ref="K43:L43"/>
    <mergeCell ref="B44:C44"/>
    <mergeCell ref="K44:L44"/>
    <mergeCell ref="B45:C45"/>
    <mergeCell ref="K45:L45"/>
    <mergeCell ref="B37:C37"/>
    <mergeCell ref="K37:L37"/>
    <mergeCell ref="B38:C38"/>
    <mergeCell ref="K38:L38"/>
    <mergeCell ref="B39:C39"/>
    <mergeCell ref="K39:L39"/>
    <mergeCell ref="B52:C52"/>
    <mergeCell ref="K52:L52"/>
    <mergeCell ref="B53:C53"/>
    <mergeCell ref="K53:L53"/>
    <mergeCell ref="B54:C54"/>
    <mergeCell ref="K54:L54"/>
    <mergeCell ref="B46:C46"/>
    <mergeCell ref="K46:L46"/>
    <mergeCell ref="B50:C50"/>
    <mergeCell ref="K50:L50"/>
    <mergeCell ref="B51:C51"/>
    <mergeCell ref="K51:L51"/>
    <mergeCell ref="C61:D61"/>
    <mergeCell ref="L61:M61"/>
    <mergeCell ref="B62:C62"/>
    <mergeCell ref="K62:L62"/>
    <mergeCell ref="B63:C63"/>
    <mergeCell ref="K63:L63"/>
    <mergeCell ref="B55:C55"/>
    <mergeCell ref="K55:L55"/>
    <mergeCell ref="B56:C56"/>
    <mergeCell ref="K56:L56"/>
    <mergeCell ref="B57:C57"/>
    <mergeCell ref="K57:L57"/>
    <mergeCell ref="C68:E68"/>
    <mergeCell ref="L68:N68"/>
    <mergeCell ref="B69:C69"/>
    <mergeCell ref="K69:L69"/>
    <mergeCell ref="B70:C70"/>
    <mergeCell ref="K70:L70"/>
    <mergeCell ref="B64:C64"/>
    <mergeCell ref="K64:L64"/>
    <mergeCell ref="B65:C65"/>
    <mergeCell ref="K65:L65"/>
    <mergeCell ref="B66:C66"/>
    <mergeCell ref="K66:L66"/>
    <mergeCell ref="B74:C74"/>
    <mergeCell ref="K74:L74"/>
    <mergeCell ref="C76:E76"/>
    <mergeCell ref="L76:N76"/>
    <mergeCell ref="B77:C77"/>
    <mergeCell ref="K77:L77"/>
    <mergeCell ref="B71:C71"/>
    <mergeCell ref="K71:L71"/>
    <mergeCell ref="B72:C72"/>
    <mergeCell ref="K72:L72"/>
    <mergeCell ref="B73:C73"/>
    <mergeCell ref="K73:L73"/>
    <mergeCell ref="B81:C81"/>
    <mergeCell ref="K81:L81"/>
    <mergeCell ref="B82:C82"/>
    <mergeCell ref="K82:L82"/>
    <mergeCell ref="C84:E84"/>
    <mergeCell ref="L84:N84"/>
    <mergeCell ref="B78:C78"/>
    <mergeCell ref="K78:L78"/>
    <mergeCell ref="B79:C79"/>
    <mergeCell ref="K79:L79"/>
    <mergeCell ref="B80:C80"/>
    <mergeCell ref="K80:L80"/>
    <mergeCell ref="B88:C88"/>
    <mergeCell ref="K88:L88"/>
    <mergeCell ref="B89:C89"/>
    <mergeCell ref="K89:L89"/>
    <mergeCell ref="B92:C92"/>
    <mergeCell ref="K92:L92"/>
    <mergeCell ref="B85:C85"/>
    <mergeCell ref="K85:L85"/>
    <mergeCell ref="B86:C86"/>
    <mergeCell ref="K86:L86"/>
    <mergeCell ref="B87:C87"/>
    <mergeCell ref="K87:L87"/>
    <mergeCell ref="B96:C96"/>
    <mergeCell ref="K96:L96"/>
    <mergeCell ref="B98:E98"/>
    <mergeCell ref="K98:N98"/>
    <mergeCell ref="B99:C99"/>
    <mergeCell ref="K99:L99"/>
    <mergeCell ref="B93:C93"/>
    <mergeCell ref="K93:L93"/>
    <mergeCell ref="B94:C94"/>
    <mergeCell ref="K94:L94"/>
    <mergeCell ref="B95:C95"/>
    <mergeCell ref="K95:L95"/>
    <mergeCell ref="A106:A107"/>
    <mergeCell ref="B106:C107"/>
    <mergeCell ref="J106:J107"/>
    <mergeCell ref="K106:L107"/>
    <mergeCell ref="B100:C100"/>
    <mergeCell ref="K100:L100"/>
    <mergeCell ref="B101:C101"/>
    <mergeCell ref="K101:L101"/>
    <mergeCell ref="B102:C102"/>
    <mergeCell ref="K102:L102"/>
    <mergeCell ref="B108:C108"/>
    <mergeCell ref="D108:F108"/>
    <mergeCell ref="K108:L108"/>
    <mergeCell ref="M108:O108"/>
    <mergeCell ref="B120:C120"/>
    <mergeCell ref="D120:F120"/>
    <mergeCell ref="K120:L120"/>
    <mergeCell ref="M120:O120"/>
    <mergeCell ref="B103:C103"/>
    <mergeCell ref="K103:L103"/>
  </mergeCells>
  <dataValidations count="5">
    <dataValidation type="list" allowBlank="1" showInputMessage="1" showErrorMessage="1" sqref="E9:E11 D109:D119 E13:E27 N9:N11 D121:D133 N13:N27 N32:N39 E32:E39 N51:N57 N44 E44 E51:E57 M109:M119 M121:M133" xr:uid="{00000000-0002-0000-0500-000000000000}">
      <formula1>"Ya,Tidak"</formula1>
    </dataValidation>
    <dataValidation type="list" allowBlank="1" showInputMessage="1" showErrorMessage="1" sqref="F70:F73 F78:F81 O70:O73 O78:O81" xr:uid="{00000000-0002-0000-0500-000001000000}">
      <formula1>"0,1,2,3,4,5"</formula1>
    </dataValidation>
    <dataValidation type="list" allowBlank="1" showInputMessage="1" showErrorMessage="1" sqref="F109:F119 F121:F133 O109:O119 O121:O133" xr:uid="{00000000-0002-0000-0500-000002000000}">
      <formula1>"0,1,4,2,8,4,2"</formula1>
    </dataValidation>
    <dataValidation type="list" allowBlank="1" showDropDown="1" showInputMessage="1" showErrorMessage="1" sqref="E45:E46 N45:N46" xr:uid="{00000000-0002-0000-0500-000003000000}">
      <formula1>"Ya,Tidak"</formula1>
    </dataValidation>
    <dataValidation type="list" allowBlank="1" showInputMessage="1" showErrorMessage="1" sqref="E86 N86" xr:uid="{00000000-0002-0000-0500-000004000000}">
      <formula1>"0,100"</formula1>
    </dataValidation>
  </dataValidations>
  <pageMargins left="0.7" right="0.7" top="0.75" bottom="0.75" header="0.3" footer="0.3"/>
  <pageSetup paperSize="9" orientation="portrait" r:id="rId1"/>
  <customProperties>
    <customPr name="EpmWorksheetKeyString_GU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Z150"/>
  <sheetViews>
    <sheetView zoomScale="49" zoomScaleNormal="32" workbookViewId="0">
      <selection activeCell="M44" sqref="M44"/>
    </sheetView>
  </sheetViews>
  <sheetFormatPr defaultColWidth="9.21875" defaultRowHeight="19.5" customHeight="1" x14ac:dyDescent="0.3"/>
  <cols>
    <col min="1" max="1" width="7" style="84" customWidth="1"/>
    <col min="2" max="2" width="5.5546875" style="92" customWidth="1"/>
    <col min="3" max="3" width="87.5546875" style="81" customWidth="1"/>
    <col min="4" max="4" width="24.5546875" style="85" customWidth="1"/>
    <col min="5" max="5" width="21.5546875" style="83" bestFit="1" customWidth="1"/>
    <col min="6" max="6" width="18.77734375" style="83" customWidth="1"/>
    <col min="7" max="8" width="16.21875" style="84" customWidth="1"/>
    <col min="9" max="9" width="13.5546875" style="85" customWidth="1"/>
    <col min="10" max="10" width="4.77734375" style="85" bestFit="1" customWidth="1"/>
    <col min="11" max="11" width="5.5546875" style="91" customWidth="1"/>
    <col min="12" max="12" width="87.44140625" style="91" customWidth="1"/>
    <col min="13" max="13" width="26" style="85" customWidth="1"/>
    <col min="14" max="14" width="21.5546875" style="85" bestFit="1" customWidth="1"/>
    <col min="15" max="15" width="22.5546875" style="85" bestFit="1" customWidth="1"/>
    <col min="16" max="16" width="18.21875" style="85" customWidth="1"/>
    <col min="17" max="17" width="15.21875" style="85" customWidth="1"/>
    <col min="18" max="18" width="9.21875" style="107"/>
    <col min="19" max="19" width="5.5546875" style="85" bestFit="1" customWidth="1"/>
    <col min="20" max="20" width="9.21875" style="85"/>
    <col min="21" max="21" width="97.77734375" style="85" customWidth="1"/>
    <col min="22" max="22" width="32.21875" style="85" customWidth="1"/>
    <col min="23" max="23" width="16.21875" style="85" bestFit="1" customWidth="1"/>
    <col min="24" max="24" width="9.5546875" style="85" customWidth="1"/>
    <col min="25" max="16384" width="9.21875" style="85"/>
  </cols>
  <sheetData>
    <row r="1" spans="1:24" ht="19.5" customHeight="1" x14ac:dyDescent="0.3">
      <c r="A1" s="217" t="s">
        <v>188</v>
      </c>
      <c r="B1" s="105"/>
      <c r="C1" s="106"/>
      <c r="D1" s="82"/>
      <c r="H1" s="82"/>
    </row>
    <row r="2" spans="1:24" ht="19.5" customHeight="1" x14ac:dyDescent="0.3">
      <c r="A2" s="217" t="s">
        <v>2</v>
      </c>
      <c r="B2" s="105" t="s">
        <v>187</v>
      </c>
      <c r="C2" s="253"/>
      <c r="D2" s="82"/>
      <c r="H2" s="82"/>
    </row>
    <row r="3" spans="1:24" s="107" customFormat="1" ht="19.5" customHeight="1" x14ac:dyDescent="0.3">
      <c r="A3" s="254" t="s">
        <v>191</v>
      </c>
      <c r="B3" s="218"/>
      <c r="C3" s="219"/>
      <c r="D3" s="101"/>
      <c r="E3" s="108"/>
      <c r="F3" s="108"/>
      <c r="G3" s="94"/>
      <c r="H3" s="101"/>
      <c r="K3" s="220"/>
      <c r="L3" s="220"/>
      <c r="R3" s="154"/>
      <c r="S3" s="154"/>
      <c r="T3" s="154"/>
      <c r="U3" s="154"/>
      <c r="V3" s="154"/>
      <c r="W3" s="154"/>
      <c r="X3" s="154"/>
    </row>
    <row r="4" spans="1:24" s="107" customFormat="1" ht="19.5" customHeight="1" thickBot="1" x14ac:dyDescent="0.35">
      <c r="A4" s="221"/>
      <c r="B4" s="105"/>
      <c r="C4" s="106"/>
      <c r="D4" s="101"/>
      <c r="E4" s="108"/>
      <c r="F4" s="108"/>
      <c r="G4" s="94"/>
      <c r="H4" s="101"/>
      <c r="K4" s="220"/>
      <c r="L4" s="220"/>
      <c r="R4" s="154"/>
      <c r="S4" s="154"/>
      <c r="T4" s="154"/>
      <c r="U4" s="154"/>
      <c r="V4" s="154"/>
      <c r="W4" s="154"/>
      <c r="X4" s="154"/>
    </row>
    <row r="5" spans="1:24" s="107" customFormat="1" ht="19.5" customHeight="1" x14ac:dyDescent="0.3">
      <c r="A5" s="537" t="s">
        <v>185</v>
      </c>
      <c r="B5" s="538"/>
      <c r="C5" s="538"/>
      <c r="D5" s="538"/>
      <c r="E5" s="538"/>
      <c r="F5" s="538"/>
      <c r="G5" s="538"/>
      <c r="H5" s="539"/>
      <c r="I5" s="85"/>
      <c r="J5" s="537" t="s">
        <v>192</v>
      </c>
      <c r="K5" s="538"/>
      <c r="L5" s="538"/>
      <c r="M5" s="538"/>
      <c r="N5" s="538"/>
      <c r="O5" s="538"/>
      <c r="P5" s="538"/>
      <c r="Q5" s="539"/>
      <c r="R5" s="310"/>
      <c r="S5" s="310"/>
      <c r="T5" s="310"/>
      <c r="U5" s="310"/>
      <c r="V5" s="310"/>
      <c r="W5" s="310"/>
      <c r="X5" s="310"/>
    </row>
    <row r="6" spans="1:24" s="107" customFormat="1" ht="19.5" customHeight="1" thickBot="1" x14ac:dyDescent="0.35">
      <c r="A6" s="540"/>
      <c r="B6" s="541"/>
      <c r="C6" s="541"/>
      <c r="D6" s="541"/>
      <c r="E6" s="541"/>
      <c r="F6" s="541"/>
      <c r="G6" s="541"/>
      <c r="H6" s="542"/>
      <c r="I6" s="85"/>
      <c r="J6" s="540"/>
      <c r="K6" s="541"/>
      <c r="L6" s="541"/>
      <c r="M6" s="541"/>
      <c r="N6" s="541"/>
      <c r="O6" s="541"/>
      <c r="P6" s="541"/>
      <c r="Q6" s="542"/>
      <c r="R6" s="310"/>
      <c r="S6" s="310"/>
      <c r="T6" s="310"/>
      <c r="U6" s="310"/>
      <c r="V6" s="310"/>
      <c r="W6" s="310"/>
      <c r="X6" s="310"/>
    </row>
    <row r="7" spans="1:24" s="329" customFormat="1" ht="19.5" customHeight="1" x14ac:dyDescent="0.25">
      <c r="A7" s="326" t="s">
        <v>20</v>
      </c>
      <c r="B7" s="327" t="s">
        <v>101</v>
      </c>
      <c r="C7" s="330" t="s">
        <v>225</v>
      </c>
      <c r="D7" s="327"/>
      <c r="E7" s="327"/>
      <c r="F7" s="328"/>
      <c r="G7" s="282"/>
      <c r="H7" s="295"/>
      <c r="J7" s="326" t="s">
        <v>20</v>
      </c>
      <c r="K7" s="327" t="s">
        <v>101</v>
      </c>
      <c r="L7" s="330" t="s">
        <v>225</v>
      </c>
      <c r="M7" s="327"/>
      <c r="N7" s="327"/>
      <c r="O7" s="328"/>
      <c r="P7" s="282"/>
      <c r="Q7" s="295"/>
      <c r="R7" s="195"/>
      <c r="S7" s="282"/>
      <c r="T7" s="282"/>
      <c r="U7" s="282"/>
      <c r="V7" s="282"/>
      <c r="W7" s="282"/>
      <c r="X7" s="282"/>
    </row>
    <row r="8" spans="1:24" ht="19.5" customHeight="1" x14ac:dyDescent="0.3">
      <c r="A8" s="131" t="s">
        <v>1</v>
      </c>
      <c r="B8" s="534" t="s">
        <v>99</v>
      </c>
      <c r="C8" s="534"/>
      <c r="D8" s="86" t="s">
        <v>25</v>
      </c>
      <c r="E8" s="87" t="s">
        <v>100</v>
      </c>
      <c r="F8" s="66" t="s">
        <v>23</v>
      </c>
      <c r="G8" s="201"/>
      <c r="H8" s="130"/>
      <c r="J8" s="131" t="s">
        <v>1</v>
      </c>
      <c r="K8" s="534" t="s">
        <v>99</v>
      </c>
      <c r="L8" s="534"/>
      <c r="M8" s="86" t="s">
        <v>25</v>
      </c>
      <c r="N8" s="87" t="s">
        <v>100</v>
      </c>
      <c r="O8" s="66" t="s">
        <v>23</v>
      </c>
      <c r="P8" s="201"/>
      <c r="Q8" s="130"/>
      <c r="R8" s="156"/>
      <c r="S8" s="132"/>
      <c r="T8" s="132"/>
      <c r="U8" s="132"/>
      <c r="V8" s="132"/>
      <c r="W8" s="132"/>
      <c r="X8" s="132"/>
    </row>
    <row r="9" spans="1:24" ht="19.5" customHeight="1" x14ac:dyDescent="0.3">
      <c r="A9" s="141" t="s">
        <v>101</v>
      </c>
      <c r="B9" s="543" t="s">
        <v>3</v>
      </c>
      <c r="C9" s="543"/>
      <c r="D9" s="255"/>
      <c r="E9" s="256" t="s">
        <v>72</v>
      </c>
      <c r="F9" s="67">
        <f>IF(E9="Ya",100,0)</f>
        <v>0</v>
      </c>
      <c r="G9" s="208"/>
      <c r="H9" s="130"/>
      <c r="J9" s="141" t="s">
        <v>101</v>
      </c>
      <c r="K9" s="543" t="s">
        <v>3</v>
      </c>
      <c r="L9" s="543"/>
      <c r="M9" s="268"/>
      <c r="N9" s="269" t="s">
        <v>72</v>
      </c>
      <c r="O9" s="67">
        <f>IF(N9="Ya",100,0)</f>
        <v>0</v>
      </c>
      <c r="P9" s="208"/>
      <c r="Q9" s="130"/>
      <c r="R9" s="156"/>
      <c r="S9" s="132"/>
      <c r="T9" s="132"/>
      <c r="U9" s="132"/>
      <c r="V9" s="132"/>
      <c r="W9" s="132"/>
      <c r="X9" s="132"/>
    </row>
    <row r="10" spans="1:24" ht="19.5" customHeight="1" x14ac:dyDescent="0.3">
      <c r="A10" s="141" t="s">
        <v>102</v>
      </c>
      <c r="B10" s="543" t="s">
        <v>4</v>
      </c>
      <c r="C10" s="543"/>
      <c r="D10" s="222"/>
      <c r="E10" s="256" t="s">
        <v>72</v>
      </c>
      <c r="F10" s="67">
        <f t="shared" ref="F10:F27" si="0">IF(E10="Ya",100,0)</f>
        <v>0</v>
      </c>
      <c r="G10" s="208"/>
      <c r="H10" s="130"/>
      <c r="J10" s="141" t="s">
        <v>102</v>
      </c>
      <c r="K10" s="543" t="s">
        <v>4</v>
      </c>
      <c r="L10" s="543"/>
      <c r="M10" s="222"/>
      <c r="N10" s="269" t="s">
        <v>72</v>
      </c>
      <c r="O10" s="67">
        <f t="shared" ref="O10:O27" si="1">IF(N10="Ya",100,0)</f>
        <v>0</v>
      </c>
      <c r="P10" s="208"/>
      <c r="Q10" s="130"/>
      <c r="R10" s="156"/>
      <c r="S10" s="132"/>
      <c r="T10" s="132"/>
      <c r="U10" s="132"/>
      <c r="V10" s="132"/>
      <c r="W10" s="132"/>
      <c r="X10" s="132"/>
    </row>
    <row r="11" spans="1:24" ht="19.5" customHeight="1" x14ac:dyDescent="0.3">
      <c r="A11" s="141" t="s">
        <v>103</v>
      </c>
      <c r="B11" s="543" t="s">
        <v>206</v>
      </c>
      <c r="C11" s="543"/>
      <c r="D11" s="222"/>
      <c r="E11" s="256" t="s">
        <v>72</v>
      </c>
      <c r="F11" s="67">
        <f t="shared" si="0"/>
        <v>0</v>
      </c>
      <c r="G11" s="208"/>
      <c r="H11" s="130"/>
      <c r="J11" s="141" t="s">
        <v>103</v>
      </c>
      <c r="K11" s="543" t="s">
        <v>206</v>
      </c>
      <c r="L11" s="543"/>
      <c r="M11" s="222"/>
      <c r="N11" s="269" t="s">
        <v>72</v>
      </c>
      <c r="O11" s="67">
        <f t="shared" si="1"/>
        <v>0</v>
      </c>
      <c r="P11" s="208"/>
      <c r="Q11" s="130"/>
      <c r="R11" s="156"/>
    </row>
    <row r="12" spans="1:24" ht="19.5" customHeight="1" x14ac:dyDescent="0.3">
      <c r="A12" s="550" t="s">
        <v>104</v>
      </c>
      <c r="B12" s="543" t="s">
        <v>105</v>
      </c>
      <c r="C12" s="543"/>
      <c r="D12" s="223"/>
      <c r="E12" s="223"/>
      <c r="F12" s="67"/>
      <c r="G12" s="208"/>
      <c r="H12" s="130"/>
      <c r="J12" s="550" t="s">
        <v>104</v>
      </c>
      <c r="K12" s="543" t="s">
        <v>105</v>
      </c>
      <c r="L12" s="543"/>
      <c r="M12" s="223"/>
      <c r="N12" s="223"/>
      <c r="O12" s="67"/>
      <c r="P12" s="208"/>
      <c r="Q12" s="130"/>
      <c r="R12" s="156"/>
    </row>
    <row r="13" spans="1:24" ht="34.049999999999997" customHeight="1" x14ac:dyDescent="0.3">
      <c r="A13" s="551"/>
      <c r="B13" s="89" t="s">
        <v>106</v>
      </c>
      <c r="C13" s="257" t="s">
        <v>189</v>
      </c>
      <c r="D13" s="222"/>
      <c r="E13" s="256" t="s">
        <v>72</v>
      </c>
      <c r="F13" s="67">
        <f t="shared" si="0"/>
        <v>0</v>
      </c>
      <c r="G13" s="208"/>
      <c r="H13" s="130"/>
      <c r="J13" s="551"/>
      <c r="K13" s="89" t="s">
        <v>106</v>
      </c>
      <c r="L13" s="270" t="s">
        <v>189</v>
      </c>
      <c r="M13" s="222"/>
      <c r="N13" s="269" t="s">
        <v>72</v>
      </c>
      <c r="O13" s="67">
        <f t="shared" si="1"/>
        <v>0</v>
      </c>
      <c r="P13" s="208"/>
      <c r="Q13" s="130"/>
      <c r="R13" s="156"/>
    </row>
    <row r="14" spans="1:24" ht="34.049999999999997" customHeight="1" x14ac:dyDescent="0.3">
      <c r="A14" s="551"/>
      <c r="B14" s="89" t="s">
        <v>107</v>
      </c>
      <c r="C14" s="90" t="s">
        <v>108</v>
      </c>
      <c r="D14" s="222"/>
      <c r="E14" s="256" t="s">
        <v>72</v>
      </c>
      <c r="F14" s="67">
        <f t="shared" si="0"/>
        <v>0</v>
      </c>
      <c r="G14" s="208"/>
      <c r="H14" s="130"/>
      <c r="J14" s="551"/>
      <c r="K14" s="89" t="s">
        <v>107</v>
      </c>
      <c r="L14" s="90" t="s">
        <v>108</v>
      </c>
      <c r="M14" s="222"/>
      <c r="N14" s="269" t="s">
        <v>72</v>
      </c>
      <c r="O14" s="67">
        <f t="shared" si="1"/>
        <v>0</v>
      </c>
      <c r="P14" s="208"/>
      <c r="Q14" s="130"/>
      <c r="R14" s="156"/>
    </row>
    <row r="15" spans="1:24" ht="19.5" customHeight="1" x14ac:dyDescent="0.3">
      <c r="A15" s="551"/>
      <c r="B15" s="89" t="s">
        <v>109</v>
      </c>
      <c r="C15" s="90" t="s">
        <v>110</v>
      </c>
      <c r="D15" s="222"/>
      <c r="E15" s="256" t="s">
        <v>72</v>
      </c>
      <c r="F15" s="67">
        <f t="shared" si="0"/>
        <v>0</v>
      </c>
      <c r="G15" s="208"/>
      <c r="H15" s="130"/>
      <c r="J15" s="551"/>
      <c r="K15" s="89" t="s">
        <v>109</v>
      </c>
      <c r="L15" s="90" t="s">
        <v>110</v>
      </c>
      <c r="M15" s="222"/>
      <c r="N15" s="269" t="s">
        <v>72</v>
      </c>
      <c r="O15" s="67">
        <f t="shared" si="1"/>
        <v>0</v>
      </c>
      <c r="P15" s="208"/>
      <c r="Q15" s="130"/>
      <c r="R15" s="156"/>
    </row>
    <row r="16" spans="1:24" ht="34.049999999999997" customHeight="1" x14ac:dyDescent="0.3">
      <c r="A16" s="551"/>
      <c r="B16" s="89" t="s">
        <v>111</v>
      </c>
      <c r="C16" s="90" t="s">
        <v>112</v>
      </c>
      <c r="D16" s="222"/>
      <c r="E16" s="256" t="s">
        <v>72</v>
      </c>
      <c r="F16" s="67">
        <f t="shared" si="0"/>
        <v>0</v>
      </c>
      <c r="G16" s="208"/>
      <c r="H16" s="130"/>
      <c r="J16" s="551"/>
      <c r="K16" s="89" t="s">
        <v>111</v>
      </c>
      <c r="L16" s="90" t="s">
        <v>112</v>
      </c>
      <c r="M16" s="222"/>
      <c r="N16" s="269" t="s">
        <v>72</v>
      </c>
      <c r="O16" s="67">
        <f t="shared" si="1"/>
        <v>0</v>
      </c>
      <c r="P16" s="208"/>
      <c r="Q16" s="130"/>
      <c r="R16" s="156"/>
    </row>
    <row r="17" spans="1:26" ht="34.049999999999997" customHeight="1" x14ac:dyDescent="0.3">
      <c r="A17" s="551"/>
      <c r="B17" s="89" t="s">
        <v>113</v>
      </c>
      <c r="C17" s="90" t="s">
        <v>157</v>
      </c>
      <c r="D17" s="222"/>
      <c r="E17" s="256" t="s">
        <v>72</v>
      </c>
      <c r="F17" s="67">
        <f t="shared" si="0"/>
        <v>0</v>
      </c>
      <c r="G17" s="208"/>
      <c r="H17" s="130"/>
      <c r="J17" s="551"/>
      <c r="K17" s="89" t="s">
        <v>113</v>
      </c>
      <c r="L17" s="90" t="s">
        <v>157</v>
      </c>
      <c r="M17" s="222"/>
      <c r="N17" s="269" t="s">
        <v>72</v>
      </c>
      <c r="O17" s="67">
        <f t="shared" si="1"/>
        <v>0</v>
      </c>
      <c r="P17" s="208"/>
      <c r="Q17" s="130"/>
      <c r="R17" s="156"/>
    </row>
    <row r="18" spans="1:26" ht="50.1" customHeight="1" x14ac:dyDescent="0.3">
      <c r="A18" s="551"/>
      <c r="B18" s="89" t="s">
        <v>114</v>
      </c>
      <c r="C18" s="90" t="s">
        <v>158</v>
      </c>
      <c r="D18" s="224"/>
      <c r="E18" s="256" t="s">
        <v>72</v>
      </c>
      <c r="F18" s="67">
        <f t="shared" si="0"/>
        <v>0</v>
      </c>
      <c r="G18" s="208"/>
      <c r="H18" s="130"/>
      <c r="J18" s="551"/>
      <c r="K18" s="89" t="s">
        <v>114</v>
      </c>
      <c r="L18" s="90" t="s">
        <v>158</v>
      </c>
      <c r="M18" s="224"/>
      <c r="N18" s="269" t="s">
        <v>72</v>
      </c>
      <c r="O18" s="67">
        <f t="shared" si="1"/>
        <v>0</v>
      </c>
      <c r="P18" s="208"/>
      <c r="Q18" s="130"/>
      <c r="R18" s="156"/>
    </row>
    <row r="19" spans="1:26" ht="19.5" customHeight="1" x14ac:dyDescent="0.3">
      <c r="A19" s="552"/>
      <c r="B19" s="89" t="s">
        <v>115</v>
      </c>
      <c r="C19" s="90" t="s">
        <v>116</v>
      </c>
      <c r="D19" s="224"/>
      <c r="E19" s="256" t="s">
        <v>72</v>
      </c>
      <c r="F19" s="67">
        <f t="shared" si="0"/>
        <v>0</v>
      </c>
      <c r="G19" s="208"/>
      <c r="H19" s="130"/>
      <c r="J19" s="552"/>
      <c r="K19" s="89" t="s">
        <v>115</v>
      </c>
      <c r="L19" s="90" t="s">
        <v>116</v>
      </c>
      <c r="M19" s="224"/>
      <c r="N19" s="269" t="s">
        <v>72</v>
      </c>
      <c r="O19" s="67">
        <f t="shared" si="1"/>
        <v>0</v>
      </c>
      <c r="P19" s="208"/>
      <c r="Q19" s="130"/>
      <c r="R19" s="156"/>
    </row>
    <row r="20" spans="1:26" ht="19.5" customHeight="1" x14ac:dyDescent="0.3">
      <c r="A20" s="141" t="s">
        <v>117</v>
      </c>
      <c r="B20" s="543" t="s">
        <v>118</v>
      </c>
      <c r="C20" s="543"/>
      <c r="D20" s="258"/>
      <c r="E20" s="256" t="s">
        <v>72</v>
      </c>
      <c r="F20" s="67">
        <f t="shared" si="0"/>
        <v>0</v>
      </c>
      <c r="G20" s="208"/>
      <c r="H20" s="130"/>
      <c r="J20" s="141" t="s">
        <v>117</v>
      </c>
      <c r="K20" s="543" t="s">
        <v>118</v>
      </c>
      <c r="L20" s="543"/>
      <c r="M20" s="271"/>
      <c r="N20" s="269" t="s">
        <v>72</v>
      </c>
      <c r="O20" s="67">
        <f t="shared" si="1"/>
        <v>0</v>
      </c>
      <c r="P20" s="208"/>
      <c r="Q20" s="130"/>
      <c r="R20" s="156"/>
    </row>
    <row r="21" spans="1:26" ht="19.5" customHeight="1" x14ac:dyDescent="0.3">
      <c r="A21" s="141" t="s">
        <v>119</v>
      </c>
      <c r="B21" s="543" t="s">
        <v>159</v>
      </c>
      <c r="C21" s="543"/>
      <c r="D21" s="258"/>
      <c r="E21" s="256" t="s">
        <v>72</v>
      </c>
      <c r="F21" s="67">
        <f t="shared" si="0"/>
        <v>0</v>
      </c>
      <c r="G21" s="208"/>
      <c r="H21" s="130"/>
      <c r="J21" s="141" t="s">
        <v>119</v>
      </c>
      <c r="K21" s="543" t="s">
        <v>159</v>
      </c>
      <c r="L21" s="543"/>
      <c r="M21" s="271"/>
      <c r="N21" s="269" t="s">
        <v>72</v>
      </c>
      <c r="O21" s="67">
        <f t="shared" si="1"/>
        <v>0</v>
      </c>
      <c r="P21" s="208"/>
      <c r="Q21" s="130"/>
      <c r="R21" s="156"/>
    </row>
    <row r="22" spans="1:26" ht="19.5" customHeight="1" x14ac:dyDescent="0.3">
      <c r="A22" s="141" t="s">
        <v>120</v>
      </c>
      <c r="B22" s="543" t="s">
        <v>121</v>
      </c>
      <c r="C22" s="543"/>
      <c r="D22" s="258"/>
      <c r="E22" s="256" t="s">
        <v>72</v>
      </c>
      <c r="F22" s="67">
        <f t="shared" si="0"/>
        <v>0</v>
      </c>
      <c r="G22" s="208"/>
      <c r="H22" s="130"/>
      <c r="J22" s="141" t="s">
        <v>120</v>
      </c>
      <c r="K22" s="543" t="s">
        <v>121</v>
      </c>
      <c r="L22" s="543"/>
      <c r="M22" s="271"/>
      <c r="N22" s="269" t="s">
        <v>72</v>
      </c>
      <c r="O22" s="67">
        <f t="shared" si="1"/>
        <v>0</v>
      </c>
      <c r="P22" s="208"/>
      <c r="Q22" s="130"/>
      <c r="R22" s="156"/>
    </row>
    <row r="23" spans="1:26" ht="19.5" customHeight="1" x14ac:dyDescent="0.3">
      <c r="A23" s="141" t="s">
        <v>122</v>
      </c>
      <c r="B23" s="543" t="s">
        <v>123</v>
      </c>
      <c r="C23" s="543"/>
      <c r="D23" s="258"/>
      <c r="E23" s="256" t="s">
        <v>72</v>
      </c>
      <c r="F23" s="67">
        <f t="shared" si="0"/>
        <v>0</v>
      </c>
      <c r="G23" s="208"/>
      <c r="H23" s="130"/>
      <c r="J23" s="141" t="s">
        <v>122</v>
      </c>
      <c r="K23" s="543" t="s">
        <v>123</v>
      </c>
      <c r="L23" s="543"/>
      <c r="M23" s="271"/>
      <c r="N23" s="269" t="s">
        <v>72</v>
      </c>
      <c r="O23" s="67">
        <f t="shared" si="1"/>
        <v>0</v>
      </c>
      <c r="P23" s="208"/>
      <c r="Q23" s="130"/>
      <c r="R23" s="156"/>
    </row>
    <row r="24" spans="1:26" ht="19.5" customHeight="1" x14ac:dyDescent="0.3">
      <c r="A24" s="141" t="s">
        <v>124</v>
      </c>
      <c r="B24" s="543" t="s">
        <v>125</v>
      </c>
      <c r="C24" s="543"/>
      <c r="D24" s="258"/>
      <c r="E24" s="256" t="s">
        <v>72</v>
      </c>
      <c r="F24" s="67">
        <f t="shared" si="0"/>
        <v>0</v>
      </c>
      <c r="G24" s="208"/>
      <c r="H24" s="130"/>
      <c r="J24" s="141" t="s">
        <v>124</v>
      </c>
      <c r="K24" s="543" t="s">
        <v>125</v>
      </c>
      <c r="L24" s="543"/>
      <c r="M24" s="271"/>
      <c r="N24" s="269" t="s">
        <v>72</v>
      </c>
      <c r="O24" s="67">
        <f t="shared" si="1"/>
        <v>0</v>
      </c>
      <c r="P24" s="208"/>
      <c r="Q24" s="130"/>
      <c r="R24" s="156"/>
      <c r="U24" s="132"/>
    </row>
    <row r="25" spans="1:26" ht="34.5" customHeight="1" x14ac:dyDescent="0.3">
      <c r="A25" s="141" t="s">
        <v>126</v>
      </c>
      <c r="B25" s="543" t="s">
        <v>127</v>
      </c>
      <c r="C25" s="543"/>
      <c r="D25" s="258"/>
      <c r="E25" s="256" t="s">
        <v>72</v>
      </c>
      <c r="F25" s="67">
        <f t="shared" si="0"/>
        <v>0</v>
      </c>
      <c r="G25" s="208"/>
      <c r="H25" s="130"/>
      <c r="J25" s="141" t="s">
        <v>126</v>
      </c>
      <c r="K25" s="543" t="s">
        <v>127</v>
      </c>
      <c r="L25" s="543"/>
      <c r="M25" s="271"/>
      <c r="N25" s="269" t="s">
        <v>72</v>
      </c>
      <c r="O25" s="67">
        <f t="shared" si="1"/>
        <v>0</v>
      </c>
      <c r="P25" s="208"/>
      <c r="Q25" s="130"/>
      <c r="R25" s="156"/>
    </row>
    <row r="26" spans="1:26" ht="19.5" customHeight="1" x14ac:dyDescent="0.3">
      <c r="A26" s="141" t="s">
        <v>128</v>
      </c>
      <c r="B26" s="555" t="s">
        <v>190</v>
      </c>
      <c r="C26" s="556"/>
      <c r="D26" s="224"/>
      <c r="E26" s="256" t="s">
        <v>72</v>
      </c>
      <c r="F26" s="67">
        <f t="shared" si="0"/>
        <v>0</v>
      </c>
      <c r="G26" s="208"/>
      <c r="H26" s="130"/>
      <c r="J26" s="141" t="s">
        <v>128</v>
      </c>
      <c r="K26" s="586" t="s">
        <v>190</v>
      </c>
      <c r="L26" s="587"/>
      <c r="M26" s="224"/>
      <c r="N26" s="269" t="s">
        <v>72</v>
      </c>
      <c r="O26" s="67">
        <f t="shared" si="1"/>
        <v>0</v>
      </c>
      <c r="P26" s="208"/>
      <c r="Q26" s="130"/>
      <c r="R26" s="156"/>
    </row>
    <row r="27" spans="1:26" ht="19.5" customHeight="1" x14ac:dyDescent="0.3">
      <c r="A27" s="323" t="s">
        <v>230</v>
      </c>
      <c r="B27" s="532" t="s">
        <v>232</v>
      </c>
      <c r="C27" s="533"/>
      <c r="D27" s="224"/>
      <c r="E27" s="256" t="s">
        <v>72</v>
      </c>
      <c r="F27" s="67">
        <f t="shared" si="0"/>
        <v>0</v>
      </c>
      <c r="G27" s="208"/>
      <c r="H27" s="130"/>
      <c r="J27" s="141" t="s">
        <v>230</v>
      </c>
      <c r="K27" s="532" t="s">
        <v>231</v>
      </c>
      <c r="L27" s="533"/>
      <c r="M27" s="224"/>
      <c r="N27" s="269" t="s">
        <v>72</v>
      </c>
      <c r="O27" s="67">
        <f t="shared" si="1"/>
        <v>0</v>
      </c>
      <c r="P27" s="208"/>
      <c r="Q27" s="130"/>
      <c r="R27" s="156"/>
    </row>
    <row r="28" spans="1:26" ht="19.5" customHeight="1" x14ac:dyDescent="0.3">
      <c r="A28" s="557" t="s">
        <v>129</v>
      </c>
      <c r="B28" s="557"/>
      <c r="C28" s="557"/>
      <c r="D28" s="315"/>
      <c r="E28" s="316" t="s">
        <v>223</v>
      </c>
      <c r="F28" s="93">
        <f>AVERAGE(F9:F27)</f>
        <v>0</v>
      </c>
      <c r="G28" s="187"/>
      <c r="H28" s="130"/>
      <c r="J28" s="573" t="s">
        <v>207</v>
      </c>
      <c r="K28" s="574"/>
      <c r="L28" s="574"/>
      <c r="M28" s="315"/>
      <c r="N28" s="316" t="s">
        <v>223</v>
      </c>
      <c r="O28" s="291">
        <f>AVERAGE(O9:O27)</f>
        <v>0</v>
      </c>
      <c r="P28" s="187"/>
      <c r="Q28" s="130"/>
      <c r="R28" s="156"/>
    </row>
    <row r="29" spans="1:26" ht="19.5" customHeight="1" x14ac:dyDescent="0.3">
      <c r="A29" s="309"/>
      <c r="B29" s="309"/>
      <c r="C29" s="309"/>
      <c r="D29" s="132"/>
      <c r="E29" s="133"/>
      <c r="F29" s="187"/>
      <c r="G29" s="187"/>
      <c r="H29" s="130"/>
      <c r="J29" s="308"/>
      <c r="K29" s="309"/>
      <c r="L29" s="309"/>
      <c r="M29" s="132"/>
      <c r="N29" s="282"/>
      <c r="O29" s="296"/>
      <c r="P29" s="187"/>
      <c r="Q29" s="130"/>
      <c r="R29" s="156"/>
    </row>
    <row r="30" spans="1:26" s="329" customFormat="1" ht="19.5" customHeight="1" x14ac:dyDescent="0.25">
      <c r="A30" s="293" t="s">
        <v>20</v>
      </c>
      <c r="B30" s="329" t="s">
        <v>102</v>
      </c>
      <c r="C30" s="331" t="s">
        <v>193</v>
      </c>
      <c r="D30" s="282"/>
      <c r="E30" s="282"/>
      <c r="F30" s="282"/>
      <c r="G30" s="296"/>
      <c r="H30" s="145"/>
      <c r="J30" s="293" t="s">
        <v>20</v>
      </c>
      <c r="K30" s="282" t="s">
        <v>102</v>
      </c>
      <c r="L30" s="331" t="s">
        <v>193</v>
      </c>
      <c r="M30" s="282"/>
      <c r="N30" s="282"/>
      <c r="O30" s="282"/>
      <c r="P30" s="296"/>
      <c r="Q30" s="145"/>
      <c r="R30" s="195"/>
    </row>
    <row r="31" spans="1:26" ht="19.5" customHeight="1" x14ac:dyDescent="0.3">
      <c r="A31" s="131" t="s">
        <v>1</v>
      </c>
      <c r="B31" s="534" t="s">
        <v>99</v>
      </c>
      <c r="C31" s="534"/>
      <c r="D31" s="86" t="s">
        <v>25</v>
      </c>
      <c r="E31" s="87" t="s">
        <v>100</v>
      </c>
      <c r="F31" s="66" t="s">
        <v>23</v>
      </c>
      <c r="G31" s="187"/>
      <c r="H31" s="130"/>
      <c r="J31" s="131" t="s">
        <v>1</v>
      </c>
      <c r="K31" s="534" t="s">
        <v>99</v>
      </c>
      <c r="L31" s="534"/>
      <c r="M31" s="86" t="s">
        <v>25</v>
      </c>
      <c r="N31" s="87" t="s">
        <v>100</v>
      </c>
      <c r="O31" s="66" t="s">
        <v>23</v>
      </c>
      <c r="P31" s="187"/>
      <c r="Q31" s="130"/>
      <c r="R31" s="156"/>
      <c r="U31" s="132"/>
      <c r="V31" s="132"/>
      <c r="W31" s="132"/>
      <c r="X31" s="132"/>
      <c r="Y31" s="132"/>
      <c r="Z31" s="132"/>
    </row>
    <row r="32" spans="1:26" ht="19.5" customHeight="1" x14ac:dyDescent="0.3">
      <c r="A32" s="141" t="s">
        <v>101</v>
      </c>
      <c r="B32" s="531" t="s">
        <v>208</v>
      </c>
      <c r="C32" s="531"/>
      <c r="D32" s="321"/>
      <c r="E32" s="256" t="s">
        <v>72</v>
      </c>
      <c r="F32" s="67">
        <f>IF(E32="Ya",100,0)</f>
        <v>0</v>
      </c>
      <c r="G32" s="187"/>
      <c r="H32" s="130"/>
      <c r="J32" s="141" t="s">
        <v>101</v>
      </c>
      <c r="K32" s="531" t="s">
        <v>208</v>
      </c>
      <c r="L32" s="531"/>
      <c r="M32" s="286"/>
      <c r="N32" s="269" t="s">
        <v>72</v>
      </c>
      <c r="O32" s="67">
        <f>IF(N32="Ya",100,0)</f>
        <v>0</v>
      </c>
      <c r="P32" s="187"/>
      <c r="Q32" s="130"/>
      <c r="R32" s="156"/>
      <c r="U32" s="132"/>
      <c r="V32" s="132"/>
      <c r="W32" s="132"/>
      <c r="X32" s="132"/>
      <c r="Y32" s="132"/>
      <c r="Z32" s="132"/>
    </row>
    <row r="33" spans="1:26" ht="19.5" customHeight="1" x14ac:dyDescent="0.3">
      <c r="A33" s="141" t="s">
        <v>102</v>
      </c>
      <c r="B33" s="535" t="s">
        <v>209</v>
      </c>
      <c r="C33" s="535"/>
      <c r="D33" s="321"/>
      <c r="E33" s="256" t="s">
        <v>72</v>
      </c>
      <c r="F33" s="67">
        <f t="shared" ref="F33:F39" si="2">IF(E33="Ya",100,0)</f>
        <v>0</v>
      </c>
      <c r="G33" s="187"/>
      <c r="H33" s="130"/>
      <c r="J33" s="141" t="s">
        <v>102</v>
      </c>
      <c r="K33" s="535" t="s">
        <v>209</v>
      </c>
      <c r="L33" s="535"/>
      <c r="M33" s="286"/>
      <c r="N33" s="269" t="s">
        <v>72</v>
      </c>
      <c r="O33" s="67">
        <f t="shared" ref="O33:O39" si="3">IF(N33="Ya",100,0)</f>
        <v>0</v>
      </c>
      <c r="P33" s="187"/>
      <c r="Q33" s="130"/>
      <c r="R33" s="156"/>
      <c r="U33" s="132"/>
      <c r="V33" s="132"/>
      <c r="W33" s="132"/>
      <c r="X33" s="132"/>
      <c r="Y33" s="132"/>
      <c r="Z33" s="132"/>
    </row>
    <row r="34" spans="1:26" ht="19.5" customHeight="1" x14ac:dyDescent="0.3">
      <c r="A34" s="141" t="s">
        <v>103</v>
      </c>
      <c r="B34" s="531" t="s">
        <v>210</v>
      </c>
      <c r="C34" s="531"/>
      <c r="D34" s="321"/>
      <c r="E34" s="256" t="s">
        <v>72</v>
      </c>
      <c r="F34" s="67">
        <f t="shared" si="2"/>
        <v>0</v>
      </c>
      <c r="G34" s="187"/>
      <c r="H34" s="130"/>
      <c r="J34" s="141" t="s">
        <v>103</v>
      </c>
      <c r="K34" s="531" t="s">
        <v>210</v>
      </c>
      <c r="L34" s="531"/>
      <c r="M34" s="286"/>
      <c r="N34" s="269" t="s">
        <v>72</v>
      </c>
      <c r="O34" s="67">
        <f t="shared" si="3"/>
        <v>0</v>
      </c>
      <c r="P34" s="187"/>
      <c r="Q34" s="130"/>
      <c r="R34" s="156"/>
      <c r="U34" s="132"/>
      <c r="V34" s="132"/>
      <c r="W34" s="132"/>
      <c r="X34" s="132"/>
      <c r="Y34" s="132"/>
      <c r="Z34" s="132"/>
    </row>
    <row r="35" spans="1:26" ht="19.5" customHeight="1" x14ac:dyDescent="0.3">
      <c r="A35" s="141" t="s">
        <v>104</v>
      </c>
      <c r="B35" s="535" t="s">
        <v>211</v>
      </c>
      <c r="C35" s="535"/>
      <c r="D35" s="321"/>
      <c r="E35" s="256" t="s">
        <v>72</v>
      </c>
      <c r="F35" s="67">
        <f t="shared" si="2"/>
        <v>0</v>
      </c>
      <c r="G35" s="187"/>
      <c r="H35" s="130"/>
      <c r="J35" s="141" t="s">
        <v>104</v>
      </c>
      <c r="K35" s="535" t="s">
        <v>211</v>
      </c>
      <c r="L35" s="535"/>
      <c r="M35" s="286"/>
      <c r="N35" s="269" t="s">
        <v>72</v>
      </c>
      <c r="O35" s="67">
        <f t="shared" si="3"/>
        <v>0</v>
      </c>
      <c r="P35" s="187"/>
      <c r="Q35" s="130"/>
      <c r="R35" s="151"/>
      <c r="S35" s="132"/>
      <c r="T35" s="132"/>
      <c r="U35" s="132"/>
      <c r="V35" s="132"/>
      <c r="W35" s="132"/>
      <c r="X35" s="132"/>
      <c r="Y35" s="132"/>
      <c r="Z35" s="132"/>
    </row>
    <row r="36" spans="1:26" ht="19.5" customHeight="1" x14ac:dyDescent="0.3">
      <c r="A36" s="141" t="s">
        <v>117</v>
      </c>
      <c r="B36" s="535" t="s">
        <v>212</v>
      </c>
      <c r="C36" s="535"/>
      <c r="D36" s="321"/>
      <c r="E36" s="256" t="s">
        <v>72</v>
      </c>
      <c r="F36" s="67">
        <f t="shared" si="2"/>
        <v>0</v>
      </c>
      <c r="G36" s="187"/>
      <c r="H36" s="130"/>
      <c r="J36" s="141" t="s">
        <v>117</v>
      </c>
      <c r="K36" s="535" t="s">
        <v>212</v>
      </c>
      <c r="L36" s="535"/>
      <c r="M36" s="286"/>
      <c r="N36" s="269" t="s">
        <v>72</v>
      </c>
      <c r="O36" s="67">
        <f t="shared" si="3"/>
        <v>0</v>
      </c>
      <c r="P36" s="187"/>
      <c r="Q36" s="130"/>
      <c r="R36" s="156"/>
      <c r="S36" s="132"/>
      <c r="U36" s="132"/>
      <c r="V36" s="132"/>
      <c r="W36" s="132"/>
      <c r="X36" s="132"/>
      <c r="Y36" s="132"/>
      <c r="Z36" s="132"/>
    </row>
    <row r="37" spans="1:26" s="192" customFormat="1" ht="19.5" customHeight="1" x14ac:dyDescent="0.3">
      <c r="A37" s="141" t="s">
        <v>119</v>
      </c>
      <c r="B37" s="535" t="s">
        <v>213</v>
      </c>
      <c r="C37" s="535"/>
      <c r="D37" s="321"/>
      <c r="E37" s="256" t="s">
        <v>72</v>
      </c>
      <c r="F37" s="67">
        <f t="shared" si="2"/>
        <v>0</v>
      </c>
      <c r="G37" s="187"/>
      <c r="H37" s="130"/>
      <c r="J37" s="141" t="s">
        <v>119</v>
      </c>
      <c r="K37" s="535" t="s">
        <v>213</v>
      </c>
      <c r="L37" s="535"/>
      <c r="M37" s="286"/>
      <c r="N37" s="269" t="s">
        <v>72</v>
      </c>
      <c r="O37" s="67">
        <f t="shared" si="3"/>
        <v>0</v>
      </c>
      <c r="P37" s="187"/>
      <c r="Q37" s="130"/>
      <c r="R37" s="199"/>
      <c r="U37" s="288"/>
      <c r="V37" s="288"/>
      <c r="W37" s="288"/>
      <c r="X37" s="288"/>
      <c r="Y37" s="288"/>
      <c r="Z37" s="288"/>
    </row>
    <row r="38" spans="1:26" ht="19.5" customHeight="1" x14ac:dyDescent="0.3">
      <c r="A38" s="141" t="s">
        <v>120</v>
      </c>
      <c r="B38" s="535" t="s">
        <v>214</v>
      </c>
      <c r="C38" s="535"/>
      <c r="D38" s="321"/>
      <c r="E38" s="256" t="s">
        <v>72</v>
      </c>
      <c r="F38" s="67">
        <f t="shared" si="2"/>
        <v>0</v>
      </c>
      <c r="G38" s="187"/>
      <c r="H38" s="130"/>
      <c r="J38" s="141" t="s">
        <v>120</v>
      </c>
      <c r="K38" s="535" t="s">
        <v>214</v>
      </c>
      <c r="L38" s="535"/>
      <c r="M38" s="286"/>
      <c r="N38" s="269" t="s">
        <v>72</v>
      </c>
      <c r="O38" s="67">
        <f t="shared" si="3"/>
        <v>0</v>
      </c>
      <c r="P38" s="187"/>
      <c r="Q38" s="130"/>
      <c r="R38" s="195"/>
      <c r="U38" s="132"/>
      <c r="V38" s="132"/>
      <c r="W38" s="132"/>
      <c r="X38" s="132"/>
      <c r="Y38" s="132"/>
      <c r="Z38" s="132"/>
    </row>
    <row r="39" spans="1:26" ht="19.5" customHeight="1" x14ac:dyDescent="0.3">
      <c r="A39" s="141" t="s">
        <v>122</v>
      </c>
      <c r="B39" s="535" t="s">
        <v>215</v>
      </c>
      <c r="C39" s="535"/>
      <c r="D39" s="321"/>
      <c r="E39" s="256" t="s">
        <v>72</v>
      </c>
      <c r="F39" s="67">
        <f t="shared" si="2"/>
        <v>0</v>
      </c>
      <c r="G39" s="187"/>
      <c r="H39" s="130"/>
      <c r="J39" s="141" t="s">
        <v>122</v>
      </c>
      <c r="K39" s="535" t="s">
        <v>215</v>
      </c>
      <c r="L39" s="535"/>
      <c r="M39" s="286"/>
      <c r="N39" s="269" t="s">
        <v>72</v>
      </c>
      <c r="O39" s="67">
        <f t="shared" si="3"/>
        <v>0</v>
      </c>
      <c r="P39" s="187"/>
      <c r="Q39" s="130"/>
      <c r="R39" s="117"/>
    </row>
    <row r="40" spans="1:26" ht="19.5" customHeight="1" x14ac:dyDescent="0.3">
      <c r="A40" s="134"/>
      <c r="B40" s="132"/>
      <c r="C40" s="132"/>
      <c r="D40" s="132"/>
      <c r="E40" s="282" t="s">
        <v>220</v>
      </c>
      <c r="F40" s="282">
        <f>AVERAGE(F32:F39)</f>
        <v>0</v>
      </c>
      <c r="G40" s="187"/>
      <c r="H40" s="130"/>
      <c r="J40" s="134"/>
      <c r="K40" s="132"/>
      <c r="L40" s="132"/>
      <c r="M40" s="132"/>
      <c r="N40" s="282" t="s">
        <v>220</v>
      </c>
      <c r="O40" s="282">
        <f>AVERAGE(O32:O39)</f>
        <v>0</v>
      </c>
      <c r="P40" s="187"/>
      <c r="Q40" s="130"/>
      <c r="R40" s="117"/>
    </row>
    <row r="41" spans="1:26" ht="19.5" customHeight="1" x14ac:dyDescent="0.3">
      <c r="A41" s="134"/>
      <c r="B41" s="132"/>
      <c r="C41" s="132"/>
      <c r="D41" s="132"/>
      <c r="E41" s="282"/>
      <c r="F41" s="282"/>
      <c r="G41" s="187"/>
      <c r="H41" s="130"/>
      <c r="J41" s="134"/>
      <c r="K41" s="132"/>
      <c r="L41" s="132"/>
      <c r="M41" s="132"/>
      <c r="N41" s="282"/>
      <c r="O41" s="282"/>
      <c r="P41" s="187"/>
      <c r="Q41" s="130"/>
      <c r="R41" s="117"/>
    </row>
    <row r="42" spans="1:26" s="84" customFormat="1" ht="19.5" customHeight="1" x14ac:dyDescent="0.3">
      <c r="A42" s="293" t="s">
        <v>20</v>
      </c>
      <c r="B42" s="282" t="s">
        <v>103</v>
      </c>
      <c r="C42" s="331" t="s">
        <v>198</v>
      </c>
      <c r="D42" s="190"/>
      <c r="E42" s="190"/>
      <c r="F42" s="190"/>
      <c r="G42" s="187"/>
      <c r="H42" s="130"/>
      <c r="J42" s="293" t="s">
        <v>20</v>
      </c>
      <c r="K42" s="282" t="s">
        <v>103</v>
      </c>
      <c r="L42" s="331" t="s">
        <v>198</v>
      </c>
      <c r="M42" s="190"/>
      <c r="N42" s="190"/>
      <c r="O42" s="190"/>
      <c r="P42" s="187"/>
      <c r="Q42" s="130"/>
      <c r="R42" s="117"/>
    </row>
    <row r="43" spans="1:26" ht="19.5" customHeight="1" x14ac:dyDescent="0.3">
      <c r="A43" s="131" t="s">
        <v>1</v>
      </c>
      <c r="B43" s="534" t="s">
        <v>99</v>
      </c>
      <c r="C43" s="534"/>
      <c r="D43" s="86" t="s">
        <v>25</v>
      </c>
      <c r="E43" s="87" t="s">
        <v>100</v>
      </c>
      <c r="F43" s="66" t="s">
        <v>23</v>
      </c>
      <c r="G43" s="187"/>
      <c r="H43" s="130"/>
      <c r="I43" s="107"/>
      <c r="J43" s="131" t="s">
        <v>1</v>
      </c>
      <c r="K43" s="534" t="s">
        <v>99</v>
      </c>
      <c r="L43" s="534"/>
      <c r="M43" s="86" t="s">
        <v>25</v>
      </c>
      <c r="N43" s="87" t="s">
        <v>100</v>
      </c>
      <c r="O43" s="66" t="s">
        <v>23</v>
      </c>
      <c r="P43" s="187"/>
      <c r="Q43" s="130"/>
      <c r="R43" s="195"/>
    </row>
    <row r="44" spans="1:26" ht="19.5" customHeight="1" x14ac:dyDescent="0.3">
      <c r="A44" s="141" t="s">
        <v>101</v>
      </c>
      <c r="B44" s="531" t="s">
        <v>194</v>
      </c>
      <c r="C44" s="531"/>
      <c r="D44" s="321" t="s">
        <v>301</v>
      </c>
      <c r="E44" s="256" t="s">
        <v>72</v>
      </c>
      <c r="F44" s="67">
        <f>IF(E44="Ya",100,0)</f>
        <v>0</v>
      </c>
      <c r="G44" s="187"/>
      <c r="H44" s="130"/>
      <c r="I44" s="107"/>
      <c r="J44" s="141" t="s">
        <v>101</v>
      </c>
      <c r="K44" s="531" t="s">
        <v>194</v>
      </c>
      <c r="L44" s="531"/>
      <c r="M44" s="286" t="s">
        <v>301</v>
      </c>
      <c r="N44" s="269" t="s">
        <v>72</v>
      </c>
      <c r="O44" s="67">
        <f>IF(N44="Ya",100,0)</f>
        <v>0</v>
      </c>
      <c r="P44" s="187"/>
      <c r="Q44" s="130"/>
      <c r="R44" s="117"/>
    </row>
    <row r="45" spans="1:26" s="192" customFormat="1" ht="19.5" customHeight="1" x14ac:dyDescent="0.3">
      <c r="A45" s="141" t="s">
        <v>102</v>
      </c>
      <c r="B45" s="535" t="s">
        <v>195</v>
      </c>
      <c r="C45" s="535"/>
      <c r="D45" s="321"/>
      <c r="E45" s="336" t="str">
        <f>IF(E96=0,"Tidak",IF(E96&lt;=D96,"Ya","Tidak"))</f>
        <v>Tidak</v>
      </c>
      <c r="F45" s="67">
        <f t="shared" ref="F45:F46" si="4">IF(E45="Ya",100,0)</f>
        <v>0</v>
      </c>
      <c r="G45" s="187"/>
      <c r="H45" s="130"/>
      <c r="J45" s="141" t="s">
        <v>102</v>
      </c>
      <c r="K45" s="535" t="s">
        <v>195</v>
      </c>
      <c r="L45" s="535"/>
      <c r="M45" s="286"/>
      <c r="N45" s="336" t="str">
        <f>IF(N96=0,"Tidak",IF(N96&lt;=M96,"Ya","Tidak"))</f>
        <v>Tidak</v>
      </c>
      <c r="O45" s="67">
        <f t="shared" ref="O45:O46" si="5">IF(N45="Ya",100,0)</f>
        <v>0</v>
      </c>
      <c r="P45" s="187"/>
      <c r="Q45" s="130"/>
      <c r="R45" s="195"/>
    </row>
    <row r="46" spans="1:26" ht="19.5" customHeight="1" x14ac:dyDescent="0.3">
      <c r="A46" s="141" t="s">
        <v>103</v>
      </c>
      <c r="B46" s="535" t="s">
        <v>196</v>
      </c>
      <c r="C46" s="535"/>
      <c r="D46" s="321"/>
      <c r="E46" s="336" t="str">
        <f>IF(E96=0,"Tidak",IF(E94&lt;=25%*E93,"Ya","Tidak"))</f>
        <v>Tidak</v>
      </c>
      <c r="F46" s="67">
        <f t="shared" si="4"/>
        <v>0</v>
      </c>
      <c r="G46" s="187"/>
      <c r="H46" s="130"/>
      <c r="J46" s="141" t="s">
        <v>103</v>
      </c>
      <c r="K46" s="535" t="s">
        <v>196</v>
      </c>
      <c r="L46" s="535"/>
      <c r="M46" s="286"/>
      <c r="N46" s="336" t="str">
        <f>IF(N96=0,"Tidak",IF(N94&lt;=25%*N93,"Ya","Tidak"))</f>
        <v>Tidak</v>
      </c>
      <c r="O46" s="67">
        <f t="shared" si="5"/>
        <v>0</v>
      </c>
      <c r="P46" s="187"/>
      <c r="Q46" s="130"/>
      <c r="R46" s="195"/>
    </row>
    <row r="47" spans="1:26" ht="19.5" customHeight="1" x14ac:dyDescent="0.3">
      <c r="A47" s="134"/>
      <c r="B47" s="132"/>
      <c r="C47" s="132"/>
      <c r="D47" s="132"/>
      <c r="E47" s="282" t="s">
        <v>221</v>
      </c>
      <c r="F47" s="282">
        <f>AVERAGE(F44:F46)</f>
        <v>0</v>
      </c>
      <c r="G47" s="187"/>
      <c r="H47" s="130"/>
      <c r="J47" s="134"/>
      <c r="K47" s="132"/>
      <c r="L47" s="132"/>
      <c r="M47" s="132"/>
      <c r="N47" s="282" t="s">
        <v>221</v>
      </c>
      <c r="O47" s="282">
        <f>AVERAGE(O44:O46)</f>
        <v>0</v>
      </c>
      <c r="P47" s="187"/>
      <c r="Q47" s="130"/>
      <c r="R47" s="117"/>
    </row>
    <row r="48" spans="1:26" ht="19.5" customHeight="1" x14ac:dyDescent="0.3">
      <c r="A48" s="134"/>
      <c r="B48" s="132"/>
      <c r="C48" s="132"/>
      <c r="D48" s="132"/>
      <c r="E48" s="282"/>
      <c r="F48" s="282"/>
      <c r="G48" s="187"/>
      <c r="H48" s="130"/>
      <c r="J48" s="134"/>
      <c r="K48" s="132"/>
      <c r="L48" s="132"/>
      <c r="M48" s="132"/>
      <c r="N48" s="282"/>
      <c r="O48" s="282"/>
      <c r="P48" s="187"/>
      <c r="Q48" s="130"/>
      <c r="R48" s="117"/>
    </row>
    <row r="49" spans="1:18" s="82" customFormat="1" ht="19.5" customHeight="1" x14ac:dyDescent="0.25">
      <c r="A49" s="293" t="s">
        <v>20</v>
      </c>
      <c r="B49" s="282" t="s">
        <v>104</v>
      </c>
      <c r="C49" s="331" t="s">
        <v>197</v>
      </c>
      <c r="D49" s="282"/>
      <c r="E49" s="282"/>
      <c r="F49" s="332"/>
      <c r="G49" s="296"/>
      <c r="H49" s="145"/>
      <c r="J49" s="293" t="s">
        <v>20</v>
      </c>
      <c r="K49" s="282" t="s">
        <v>104</v>
      </c>
      <c r="L49" s="331" t="s">
        <v>197</v>
      </c>
      <c r="M49" s="282"/>
      <c r="N49" s="282"/>
      <c r="O49" s="332"/>
      <c r="P49" s="296"/>
      <c r="Q49" s="145"/>
      <c r="R49" s="117"/>
    </row>
    <row r="50" spans="1:18" ht="19.5" customHeight="1" x14ac:dyDescent="0.3">
      <c r="A50" s="146" t="s">
        <v>1</v>
      </c>
      <c r="B50" s="536" t="s">
        <v>99</v>
      </c>
      <c r="C50" s="536"/>
      <c r="D50" s="95" t="s">
        <v>25</v>
      </c>
      <c r="E50" s="95" t="s">
        <v>100</v>
      </c>
      <c r="F50" s="314" t="s">
        <v>23</v>
      </c>
      <c r="G50" s="187"/>
      <c r="H50" s="130"/>
      <c r="J50" s="146" t="s">
        <v>1</v>
      </c>
      <c r="K50" s="536" t="s">
        <v>99</v>
      </c>
      <c r="L50" s="536"/>
      <c r="M50" s="95" t="s">
        <v>25</v>
      </c>
      <c r="N50" s="95" t="s">
        <v>100</v>
      </c>
      <c r="O50" s="314" t="s">
        <v>23</v>
      </c>
      <c r="P50" s="187"/>
      <c r="Q50" s="130"/>
      <c r="R50" s="117"/>
    </row>
    <row r="51" spans="1:18" ht="38.1" customHeight="1" x14ac:dyDescent="0.3">
      <c r="A51" s="141" t="s">
        <v>101</v>
      </c>
      <c r="B51" s="531" t="s">
        <v>199</v>
      </c>
      <c r="C51" s="531"/>
      <c r="D51" s="322" t="s">
        <v>216</v>
      </c>
      <c r="E51" s="256" t="s">
        <v>72</v>
      </c>
      <c r="F51" s="67">
        <f>IF(E51="Ya",100,0)</f>
        <v>0</v>
      </c>
      <c r="G51" s="187"/>
      <c r="H51" s="130"/>
      <c r="J51" s="141" t="s">
        <v>101</v>
      </c>
      <c r="K51" s="531" t="s">
        <v>199</v>
      </c>
      <c r="L51" s="531"/>
      <c r="M51" s="320" t="s">
        <v>216</v>
      </c>
      <c r="N51" s="269" t="s">
        <v>72</v>
      </c>
      <c r="O51" s="67">
        <f>IF(N51="Ya",100,0)</f>
        <v>0</v>
      </c>
      <c r="P51" s="187"/>
      <c r="Q51" s="130"/>
      <c r="R51" s="117"/>
    </row>
    <row r="52" spans="1:18" ht="39" customHeight="1" x14ac:dyDescent="0.3">
      <c r="A52" s="141" t="s">
        <v>102</v>
      </c>
      <c r="B52" s="531" t="s">
        <v>200</v>
      </c>
      <c r="C52" s="531"/>
      <c r="D52" s="322"/>
      <c r="E52" s="256" t="s">
        <v>72</v>
      </c>
      <c r="F52" s="67">
        <f t="shared" ref="F52:F57" si="6">IF(E52="Ya",100,0)</f>
        <v>0</v>
      </c>
      <c r="G52" s="187"/>
      <c r="H52" s="130"/>
      <c r="I52" s="107"/>
      <c r="J52" s="141" t="s">
        <v>102</v>
      </c>
      <c r="K52" s="531" t="s">
        <v>200</v>
      </c>
      <c r="L52" s="531"/>
      <c r="M52" s="320"/>
      <c r="N52" s="269" t="s">
        <v>72</v>
      </c>
      <c r="O52" s="67">
        <f t="shared" ref="O52:O57" si="7">IF(N52="Ya",100,0)</f>
        <v>0</v>
      </c>
      <c r="P52" s="187"/>
      <c r="Q52" s="130"/>
      <c r="R52" s="195"/>
    </row>
    <row r="53" spans="1:18" ht="36.6" customHeight="1" x14ac:dyDescent="0.3">
      <c r="A53" s="141" t="s">
        <v>103</v>
      </c>
      <c r="B53" s="531" t="s">
        <v>201</v>
      </c>
      <c r="C53" s="531"/>
      <c r="D53" s="322"/>
      <c r="E53" s="256" t="s">
        <v>72</v>
      </c>
      <c r="F53" s="67">
        <f t="shared" si="6"/>
        <v>0</v>
      </c>
      <c r="G53" s="187"/>
      <c r="H53" s="130"/>
      <c r="J53" s="141" t="s">
        <v>103</v>
      </c>
      <c r="K53" s="531" t="s">
        <v>201</v>
      </c>
      <c r="L53" s="531"/>
      <c r="M53" s="320"/>
      <c r="N53" s="269" t="s">
        <v>72</v>
      </c>
      <c r="O53" s="67">
        <f t="shared" si="7"/>
        <v>0</v>
      </c>
      <c r="P53" s="187"/>
      <c r="Q53" s="130"/>
      <c r="R53" s="156"/>
    </row>
    <row r="54" spans="1:18" s="192" customFormat="1" ht="48" customHeight="1" x14ac:dyDescent="0.3">
      <c r="A54" s="141" t="s">
        <v>104</v>
      </c>
      <c r="B54" s="531" t="s">
        <v>202</v>
      </c>
      <c r="C54" s="531"/>
      <c r="D54" s="322"/>
      <c r="E54" s="256" t="s">
        <v>72</v>
      </c>
      <c r="F54" s="67">
        <f t="shared" si="6"/>
        <v>0</v>
      </c>
      <c r="G54" s="187"/>
      <c r="H54" s="130"/>
      <c r="J54" s="141" t="s">
        <v>104</v>
      </c>
      <c r="K54" s="531" t="s">
        <v>202</v>
      </c>
      <c r="L54" s="531"/>
      <c r="M54" s="320"/>
      <c r="N54" s="269" t="s">
        <v>72</v>
      </c>
      <c r="O54" s="67">
        <f t="shared" si="7"/>
        <v>0</v>
      </c>
      <c r="P54" s="187"/>
      <c r="Q54" s="130"/>
      <c r="R54" s="199"/>
    </row>
    <row r="55" spans="1:18" ht="39.6" customHeight="1" x14ac:dyDescent="0.3">
      <c r="A55" s="141" t="s">
        <v>117</v>
      </c>
      <c r="B55" s="531" t="s">
        <v>203</v>
      </c>
      <c r="C55" s="531"/>
      <c r="D55" s="322" t="s">
        <v>217</v>
      </c>
      <c r="E55" s="256" t="s">
        <v>72</v>
      </c>
      <c r="F55" s="67">
        <f t="shared" si="6"/>
        <v>0</v>
      </c>
      <c r="G55" s="187"/>
      <c r="H55" s="130"/>
      <c r="J55" s="141" t="s">
        <v>117</v>
      </c>
      <c r="K55" s="531" t="s">
        <v>203</v>
      </c>
      <c r="L55" s="531"/>
      <c r="M55" s="320" t="s">
        <v>217</v>
      </c>
      <c r="N55" s="269" t="s">
        <v>72</v>
      </c>
      <c r="O55" s="67">
        <f t="shared" si="7"/>
        <v>0</v>
      </c>
      <c r="P55" s="187"/>
      <c r="Q55" s="130"/>
      <c r="R55" s="156"/>
    </row>
    <row r="56" spans="1:18" ht="37.5" customHeight="1" x14ac:dyDescent="0.3">
      <c r="A56" s="141" t="s">
        <v>119</v>
      </c>
      <c r="B56" s="531" t="s">
        <v>204</v>
      </c>
      <c r="C56" s="531"/>
      <c r="D56" s="322" t="s">
        <v>218</v>
      </c>
      <c r="E56" s="256" t="s">
        <v>72</v>
      </c>
      <c r="F56" s="67">
        <f t="shared" si="6"/>
        <v>0</v>
      </c>
      <c r="G56" s="187"/>
      <c r="H56" s="130"/>
      <c r="J56" s="141" t="s">
        <v>119</v>
      </c>
      <c r="K56" s="531" t="s">
        <v>204</v>
      </c>
      <c r="L56" s="531"/>
      <c r="M56" s="320" t="s">
        <v>218</v>
      </c>
      <c r="N56" s="269" t="s">
        <v>72</v>
      </c>
      <c r="O56" s="67">
        <f t="shared" si="7"/>
        <v>0</v>
      </c>
      <c r="P56" s="187"/>
      <c r="Q56" s="130"/>
      <c r="R56" s="156"/>
    </row>
    <row r="57" spans="1:18" ht="39" customHeight="1" x14ac:dyDescent="0.3">
      <c r="A57" s="141" t="s">
        <v>120</v>
      </c>
      <c r="B57" s="531" t="s">
        <v>205</v>
      </c>
      <c r="C57" s="531"/>
      <c r="D57" s="322" t="s">
        <v>219</v>
      </c>
      <c r="E57" s="256" t="s">
        <v>72</v>
      </c>
      <c r="F57" s="67">
        <f t="shared" si="6"/>
        <v>0</v>
      </c>
      <c r="G57" s="187"/>
      <c r="H57" s="130"/>
      <c r="J57" s="141" t="s">
        <v>120</v>
      </c>
      <c r="K57" s="531" t="s">
        <v>205</v>
      </c>
      <c r="L57" s="531"/>
      <c r="M57" s="320" t="s">
        <v>219</v>
      </c>
      <c r="N57" s="269" t="s">
        <v>72</v>
      </c>
      <c r="O57" s="67">
        <f t="shared" si="7"/>
        <v>0</v>
      </c>
      <c r="P57" s="187"/>
      <c r="Q57" s="130"/>
      <c r="R57" s="156"/>
    </row>
    <row r="58" spans="1:18" ht="19.5" customHeight="1" x14ac:dyDescent="0.3">
      <c r="A58" s="134"/>
      <c r="B58" s="132"/>
      <c r="C58" s="132"/>
      <c r="D58" s="132"/>
      <c r="E58" s="190" t="s">
        <v>222</v>
      </c>
      <c r="F58" s="187">
        <f>AVERAGE(F51:F57)</f>
        <v>0</v>
      </c>
      <c r="G58" s="187"/>
      <c r="H58" s="130"/>
      <c r="J58" s="134"/>
      <c r="K58" s="132"/>
      <c r="L58" s="132"/>
      <c r="M58" s="132"/>
      <c r="N58" s="190" t="s">
        <v>222</v>
      </c>
      <c r="O58" s="187">
        <f>AVERAGE(O51:O57)</f>
        <v>0</v>
      </c>
      <c r="P58" s="187"/>
      <c r="Q58" s="130"/>
      <c r="R58" s="156"/>
    </row>
    <row r="59" spans="1:18" ht="19.5" customHeight="1" x14ac:dyDescent="0.3">
      <c r="A59" s="134"/>
      <c r="B59" s="135"/>
      <c r="C59" s="135"/>
      <c r="D59" s="132"/>
      <c r="E59" s="189" t="s">
        <v>224</v>
      </c>
      <c r="F59" s="296">
        <f>(SUM(F9:F27)+SUM(F32:F39)+SUM(F44:F46)+SUM(F51:F57))/36</f>
        <v>0</v>
      </c>
      <c r="G59" s="187"/>
      <c r="H59" s="130"/>
      <c r="J59" s="134"/>
      <c r="K59" s="135"/>
      <c r="L59" s="135"/>
      <c r="M59" s="132"/>
      <c r="N59" s="189" t="s">
        <v>224</v>
      </c>
      <c r="O59" s="296">
        <f>(SUM(O9:O27)+SUM(O32:O39)+SUM(O44:O46)+SUM(O51:O57))/36</f>
        <v>0</v>
      </c>
      <c r="P59" s="187"/>
      <c r="Q59" s="130"/>
      <c r="R59" s="156"/>
    </row>
    <row r="60" spans="1:18" ht="19.5" customHeight="1" x14ac:dyDescent="0.3">
      <c r="A60" s="134"/>
      <c r="B60" s="135"/>
      <c r="C60" s="135"/>
      <c r="D60" s="132"/>
      <c r="E60" s="133"/>
      <c r="F60" s="133"/>
      <c r="G60" s="129"/>
      <c r="H60" s="130"/>
      <c r="J60" s="134"/>
      <c r="K60" s="135"/>
      <c r="L60" s="135"/>
      <c r="M60" s="132"/>
      <c r="N60" s="189"/>
      <c r="O60" s="296"/>
      <c r="P60" s="187"/>
      <c r="Q60" s="130"/>
      <c r="R60" s="156"/>
    </row>
    <row r="61" spans="1:18" s="203" customFormat="1" ht="19.5" customHeight="1" x14ac:dyDescent="0.3">
      <c r="A61" s="293" t="s">
        <v>28</v>
      </c>
      <c r="B61" s="294" t="s">
        <v>101</v>
      </c>
      <c r="C61" s="558" t="s">
        <v>130</v>
      </c>
      <c r="D61" s="558"/>
      <c r="E61" s="282"/>
      <c r="F61" s="189"/>
      <c r="G61" s="190"/>
      <c r="H61" s="191"/>
      <c r="I61" s="225"/>
      <c r="J61" s="293" t="s">
        <v>28</v>
      </c>
      <c r="K61" s="294" t="s">
        <v>101</v>
      </c>
      <c r="L61" s="558" t="s">
        <v>130</v>
      </c>
      <c r="M61" s="558"/>
      <c r="N61" s="282"/>
      <c r="O61" s="282"/>
      <c r="P61" s="187"/>
      <c r="Q61" s="130"/>
      <c r="R61" s="283"/>
    </row>
    <row r="62" spans="1:18" s="227" customFormat="1" ht="19.5" customHeight="1" x14ac:dyDescent="0.3">
      <c r="A62" s="146" t="s">
        <v>1</v>
      </c>
      <c r="B62" s="536" t="s">
        <v>99</v>
      </c>
      <c r="C62" s="536"/>
      <c r="D62" s="95" t="s">
        <v>95</v>
      </c>
      <c r="E62" s="95" t="s">
        <v>23</v>
      </c>
      <c r="F62" s="95" t="s">
        <v>24</v>
      </c>
      <c r="G62" s="195"/>
      <c r="H62" s="130"/>
      <c r="I62" s="226"/>
      <c r="J62" s="146" t="s">
        <v>1</v>
      </c>
      <c r="K62" s="536" t="s">
        <v>99</v>
      </c>
      <c r="L62" s="536"/>
      <c r="M62" s="95" t="s">
        <v>95</v>
      </c>
      <c r="N62" s="95" t="s">
        <v>23</v>
      </c>
      <c r="O62" s="95" t="s">
        <v>24</v>
      </c>
      <c r="P62" s="187"/>
      <c r="Q62" s="130"/>
      <c r="R62" s="284"/>
    </row>
    <row r="63" spans="1:18" s="228" customFormat="1" ht="19.5" customHeight="1" x14ac:dyDescent="0.3">
      <c r="A63" s="141" t="s">
        <v>101</v>
      </c>
      <c r="B63" s="553" t="s">
        <v>22</v>
      </c>
      <c r="C63" s="554"/>
      <c r="D63" s="96">
        <v>0.3</v>
      </c>
      <c r="E63" s="88">
        <f>H74</f>
        <v>0</v>
      </c>
      <c r="F63" s="289">
        <f>E63*D63</f>
        <v>0</v>
      </c>
      <c r="G63" s="285"/>
      <c r="H63" s="130"/>
      <c r="I63" s="68"/>
      <c r="J63" s="141" t="s">
        <v>101</v>
      </c>
      <c r="K63" s="553" t="s">
        <v>22</v>
      </c>
      <c r="L63" s="554"/>
      <c r="M63" s="96">
        <v>0.3</v>
      </c>
      <c r="N63" s="88">
        <f>Q74</f>
        <v>0</v>
      </c>
      <c r="O63" s="289">
        <f>N63*M63</f>
        <v>0</v>
      </c>
      <c r="P63" s="187"/>
      <c r="Q63" s="130"/>
      <c r="R63" s="284"/>
    </row>
    <row r="64" spans="1:18" s="228" customFormat="1" ht="19.5" customHeight="1" x14ac:dyDescent="0.3">
      <c r="A64" s="141" t="s">
        <v>102</v>
      </c>
      <c r="B64" s="553" t="s">
        <v>131</v>
      </c>
      <c r="C64" s="554"/>
      <c r="D64" s="96">
        <v>0.3</v>
      </c>
      <c r="E64" s="88">
        <f>H82</f>
        <v>0</v>
      </c>
      <c r="F64" s="289">
        <f t="shared" ref="F64:F65" si="8">E64*D64</f>
        <v>0</v>
      </c>
      <c r="G64" s="285"/>
      <c r="H64" s="130"/>
      <c r="I64" s="68"/>
      <c r="J64" s="141" t="s">
        <v>102</v>
      </c>
      <c r="K64" s="553" t="s">
        <v>131</v>
      </c>
      <c r="L64" s="554"/>
      <c r="M64" s="96">
        <v>0.3</v>
      </c>
      <c r="N64" s="88">
        <f>Q82</f>
        <v>0</v>
      </c>
      <c r="O64" s="289">
        <f t="shared" ref="O64:O65" si="9">N64*M64</f>
        <v>0</v>
      </c>
      <c r="P64" s="187"/>
      <c r="Q64" s="130"/>
      <c r="R64" s="284"/>
    </row>
    <row r="65" spans="1:18" s="228" customFormat="1" ht="19.5" customHeight="1" x14ac:dyDescent="0.3">
      <c r="A65" s="141" t="s">
        <v>103</v>
      </c>
      <c r="B65" s="553" t="s">
        <v>132</v>
      </c>
      <c r="C65" s="554"/>
      <c r="D65" s="96">
        <v>0.4</v>
      </c>
      <c r="E65" s="289">
        <f>F89</f>
        <v>0</v>
      </c>
      <c r="F65" s="289">
        <f t="shared" si="8"/>
        <v>0</v>
      </c>
      <c r="G65" s="285"/>
      <c r="H65" s="130"/>
      <c r="I65" s="68"/>
      <c r="J65" s="141" t="s">
        <v>103</v>
      </c>
      <c r="K65" s="553" t="s">
        <v>132</v>
      </c>
      <c r="L65" s="554"/>
      <c r="M65" s="96">
        <v>0.4</v>
      </c>
      <c r="N65" s="289">
        <f>O89</f>
        <v>0</v>
      </c>
      <c r="O65" s="289">
        <f t="shared" si="9"/>
        <v>0</v>
      </c>
      <c r="P65" s="187"/>
      <c r="Q65" s="130"/>
      <c r="R65" s="284"/>
    </row>
    <row r="66" spans="1:18" s="228" customFormat="1" ht="19.5" customHeight="1" x14ac:dyDescent="0.3">
      <c r="A66" s="141"/>
      <c r="B66" s="559" t="s">
        <v>94</v>
      </c>
      <c r="C66" s="559"/>
      <c r="D66" s="290"/>
      <c r="E66" s="291"/>
      <c r="F66" s="291">
        <f>F65+F64+F63</f>
        <v>0</v>
      </c>
      <c r="G66" s="292"/>
      <c r="H66" s="138"/>
      <c r="I66" s="68"/>
      <c r="J66" s="141"/>
      <c r="K66" s="559" t="s">
        <v>94</v>
      </c>
      <c r="L66" s="559"/>
      <c r="M66" s="290"/>
      <c r="N66" s="291"/>
      <c r="O66" s="291">
        <f>O65+O64+O63</f>
        <v>0</v>
      </c>
      <c r="P66" s="187"/>
      <c r="Q66" s="130"/>
      <c r="R66" s="284"/>
    </row>
    <row r="67" spans="1:18" s="228" customFormat="1" ht="19.5" customHeight="1" x14ac:dyDescent="0.3">
      <c r="A67" s="136"/>
      <c r="B67" s="137"/>
      <c r="C67" s="139"/>
      <c r="D67" s="132"/>
      <c r="E67" s="133"/>
      <c r="F67" s="133"/>
      <c r="G67" s="129"/>
      <c r="H67" s="130"/>
      <c r="I67" s="68"/>
      <c r="J67" s="136"/>
      <c r="K67" s="137"/>
      <c r="L67" s="139"/>
      <c r="M67" s="132"/>
      <c r="N67" s="133"/>
      <c r="O67" s="133"/>
      <c r="P67" s="129"/>
      <c r="Q67" s="130"/>
      <c r="R67" s="284"/>
    </row>
    <row r="68" spans="1:18" s="228" customFormat="1" ht="19.5" customHeight="1" x14ac:dyDescent="0.3">
      <c r="A68" s="128" t="s">
        <v>28</v>
      </c>
      <c r="B68" s="188" t="s">
        <v>133</v>
      </c>
      <c r="C68" s="560" t="s">
        <v>134</v>
      </c>
      <c r="D68" s="560"/>
      <c r="E68" s="560"/>
      <c r="F68" s="204"/>
      <c r="G68" s="190"/>
      <c r="H68" s="191"/>
      <c r="I68" s="68"/>
      <c r="J68" s="128" t="s">
        <v>28</v>
      </c>
      <c r="K68" s="188" t="s">
        <v>133</v>
      </c>
      <c r="L68" s="560" t="s">
        <v>134</v>
      </c>
      <c r="M68" s="560"/>
      <c r="N68" s="560"/>
      <c r="O68" s="204"/>
      <c r="P68" s="190"/>
      <c r="Q68" s="191"/>
      <c r="R68" s="284"/>
    </row>
    <row r="69" spans="1:18" s="227" customFormat="1" ht="19.5" customHeight="1" x14ac:dyDescent="0.3">
      <c r="A69" s="131" t="s">
        <v>1</v>
      </c>
      <c r="B69" s="536" t="s">
        <v>99</v>
      </c>
      <c r="C69" s="536"/>
      <c r="D69" s="95" t="s">
        <v>135</v>
      </c>
      <c r="E69" s="95" t="s">
        <v>95</v>
      </c>
      <c r="F69" s="95" t="s">
        <v>186</v>
      </c>
      <c r="G69" s="95" t="s">
        <v>23</v>
      </c>
      <c r="H69" s="140" t="s">
        <v>24</v>
      </c>
      <c r="I69" s="226"/>
      <c r="J69" s="131" t="s">
        <v>1</v>
      </c>
      <c r="K69" s="536" t="s">
        <v>99</v>
      </c>
      <c r="L69" s="536"/>
      <c r="M69" s="95" t="s">
        <v>135</v>
      </c>
      <c r="N69" s="95" t="s">
        <v>95</v>
      </c>
      <c r="O69" s="95" t="s">
        <v>186</v>
      </c>
      <c r="P69" s="95" t="s">
        <v>23</v>
      </c>
      <c r="Q69" s="140" t="s">
        <v>24</v>
      </c>
      <c r="R69" s="284"/>
    </row>
    <row r="70" spans="1:18" s="228" customFormat="1" ht="19.5" customHeight="1" x14ac:dyDescent="0.3">
      <c r="A70" s="141" t="s">
        <v>101</v>
      </c>
      <c r="B70" s="561" t="s">
        <v>136</v>
      </c>
      <c r="C70" s="561"/>
      <c r="D70" s="259"/>
      <c r="E70" s="96">
        <v>0.4</v>
      </c>
      <c r="F70" s="260">
        <v>0</v>
      </c>
      <c r="G70" s="102">
        <f t="shared" ref="G70:G73" si="10">IF(F70=0,0,IF(F70=1,20,IF(F70=2,40,IF(F70=3,60,IF(F70=4,80,100)))))</f>
        <v>0</v>
      </c>
      <c r="H70" s="142">
        <f>G70*E70</f>
        <v>0</v>
      </c>
      <c r="I70" s="68"/>
      <c r="J70" s="141" t="s">
        <v>101</v>
      </c>
      <c r="K70" s="561" t="s">
        <v>136</v>
      </c>
      <c r="L70" s="561"/>
      <c r="M70" s="272"/>
      <c r="N70" s="96">
        <v>0.4</v>
      </c>
      <c r="O70" s="273">
        <v>0</v>
      </c>
      <c r="P70" s="102">
        <f t="shared" ref="P70:P73" si="11">IF(O70=0,0,IF(O70=1,20,IF(O70=2,40,IF(O70=3,60,IF(O70=4,80,100)))))</f>
        <v>0</v>
      </c>
      <c r="Q70" s="142">
        <f>P70*N70</f>
        <v>0</v>
      </c>
      <c r="R70" s="284"/>
    </row>
    <row r="71" spans="1:18" s="228" customFormat="1" ht="19.5" customHeight="1" x14ac:dyDescent="0.3">
      <c r="A71" s="141" t="s">
        <v>102</v>
      </c>
      <c r="B71" s="561" t="s">
        <v>137</v>
      </c>
      <c r="C71" s="561"/>
      <c r="D71" s="259"/>
      <c r="E71" s="96">
        <v>0.3</v>
      </c>
      <c r="F71" s="260">
        <v>0</v>
      </c>
      <c r="G71" s="102">
        <f t="shared" si="10"/>
        <v>0</v>
      </c>
      <c r="H71" s="142">
        <f>G71*E71</f>
        <v>0</v>
      </c>
      <c r="I71" s="68"/>
      <c r="J71" s="141" t="s">
        <v>102</v>
      </c>
      <c r="K71" s="561" t="s">
        <v>137</v>
      </c>
      <c r="L71" s="561"/>
      <c r="M71" s="272"/>
      <c r="N71" s="96">
        <v>0.3</v>
      </c>
      <c r="O71" s="273">
        <v>0</v>
      </c>
      <c r="P71" s="102">
        <f t="shared" si="11"/>
        <v>0</v>
      </c>
      <c r="Q71" s="142">
        <f>P71*N71</f>
        <v>0</v>
      </c>
      <c r="R71" s="284"/>
    </row>
    <row r="72" spans="1:18" s="228" customFormat="1" ht="19.5" customHeight="1" x14ac:dyDescent="0.3">
      <c r="A72" s="141" t="s">
        <v>103</v>
      </c>
      <c r="B72" s="561" t="s">
        <v>138</v>
      </c>
      <c r="C72" s="561"/>
      <c r="D72" s="259"/>
      <c r="E72" s="96">
        <v>0.2</v>
      </c>
      <c r="F72" s="260">
        <v>0</v>
      </c>
      <c r="G72" s="102">
        <f t="shared" si="10"/>
        <v>0</v>
      </c>
      <c r="H72" s="142">
        <f>G72*E72</f>
        <v>0</v>
      </c>
      <c r="I72" s="68"/>
      <c r="J72" s="141" t="s">
        <v>103</v>
      </c>
      <c r="K72" s="561" t="s">
        <v>138</v>
      </c>
      <c r="L72" s="561"/>
      <c r="M72" s="272"/>
      <c r="N72" s="96">
        <v>0.2</v>
      </c>
      <c r="O72" s="273">
        <v>0</v>
      </c>
      <c r="P72" s="102">
        <f t="shared" si="11"/>
        <v>0</v>
      </c>
      <c r="Q72" s="142">
        <f>P72*N72</f>
        <v>0</v>
      </c>
      <c r="R72" s="284"/>
    </row>
    <row r="73" spans="1:18" s="228" customFormat="1" ht="19.5" customHeight="1" x14ac:dyDescent="0.3">
      <c r="A73" s="141" t="s">
        <v>104</v>
      </c>
      <c r="B73" s="561" t="s">
        <v>139</v>
      </c>
      <c r="C73" s="561"/>
      <c r="D73" s="259"/>
      <c r="E73" s="96">
        <v>0.1</v>
      </c>
      <c r="F73" s="260">
        <v>0</v>
      </c>
      <c r="G73" s="102">
        <f t="shared" si="10"/>
        <v>0</v>
      </c>
      <c r="H73" s="142">
        <f>G73*E73</f>
        <v>0</v>
      </c>
      <c r="I73" s="68"/>
      <c r="J73" s="141" t="s">
        <v>104</v>
      </c>
      <c r="K73" s="561" t="s">
        <v>139</v>
      </c>
      <c r="L73" s="561"/>
      <c r="M73" s="272"/>
      <c r="N73" s="96">
        <v>0.1</v>
      </c>
      <c r="O73" s="273">
        <v>0</v>
      </c>
      <c r="P73" s="102">
        <f t="shared" si="11"/>
        <v>0</v>
      </c>
      <c r="Q73" s="142">
        <f>P73*N73</f>
        <v>0</v>
      </c>
      <c r="R73" s="284"/>
    </row>
    <row r="74" spans="1:18" ht="19.5" customHeight="1" x14ac:dyDescent="0.3">
      <c r="A74" s="141"/>
      <c r="B74" s="559" t="s">
        <v>94</v>
      </c>
      <c r="C74" s="559"/>
      <c r="D74" s="287"/>
      <c r="E74" s="88"/>
      <c r="F74" s="88"/>
      <c r="G74" s="88"/>
      <c r="H74" s="143">
        <f>SUM(H70:H73)</f>
        <v>0</v>
      </c>
      <c r="J74" s="141"/>
      <c r="K74" s="559" t="s">
        <v>94</v>
      </c>
      <c r="L74" s="559"/>
      <c r="M74" s="287"/>
      <c r="N74" s="88"/>
      <c r="O74" s="88"/>
      <c r="P74" s="88"/>
      <c r="Q74" s="143">
        <f>SUM(Q70:Q73)</f>
        <v>0</v>
      </c>
      <c r="R74" s="156"/>
    </row>
    <row r="75" spans="1:18" ht="19.5" customHeight="1" x14ac:dyDescent="0.3">
      <c r="A75" s="144"/>
      <c r="B75" s="99"/>
      <c r="C75" s="99"/>
      <c r="D75" s="100"/>
      <c r="E75" s="98"/>
      <c r="F75" s="98"/>
      <c r="G75" s="98"/>
      <c r="H75" s="145"/>
      <c r="J75" s="144"/>
      <c r="K75" s="99"/>
      <c r="L75" s="99"/>
      <c r="M75" s="100"/>
      <c r="N75" s="98"/>
      <c r="O75" s="98"/>
      <c r="P75" s="98"/>
      <c r="Q75" s="145"/>
      <c r="R75" s="117"/>
    </row>
    <row r="76" spans="1:18" s="82" customFormat="1" ht="19.5" customHeight="1" x14ac:dyDescent="0.25">
      <c r="A76" s="193" t="s">
        <v>28</v>
      </c>
      <c r="B76" s="194" t="s">
        <v>140</v>
      </c>
      <c r="C76" s="562" t="s">
        <v>141</v>
      </c>
      <c r="D76" s="562"/>
      <c r="E76" s="562"/>
      <c r="F76" s="205"/>
      <c r="G76" s="195"/>
      <c r="H76" s="196"/>
      <c r="J76" s="193" t="s">
        <v>28</v>
      </c>
      <c r="K76" s="194" t="s">
        <v>140</v>
      </c>
      <c r="L76" s="562" t="s">
        <v>141</v>
      </c>
      <c r="M76" s="562"/>
      <c r="N76" s="562"/>
      <c r="O76" s="205"/>
      <c r="P76" s="195"/>
      <c r="Q76" s="196"/>
      <c r="R76" s="117"/>
    </row>
    <row r="77" spans="1:18" s="82" customFormat="1" ht="19.5" customHeight="1" x14ac:dyDescent="0.25">
      <c r="A77" s="146" t="s">
        <v>1</v>
      </c>
      <c r="B77" s="536" t="s">
        <v>99</v>
      </c>
      <c r="C77" s="536"/>
      <c r="D77" s="95" t="s">
        <v>135</v>
      </c>
      <c r="E77" s="95" t="s">
        <v>95</v>
      </c>
      <c r="F77" s="95" t="s">
        <v>186</v>
      </c>
      <c r="G77" s="95" t="s">
        <v>23</v>
      </c>
      <c r="H77" s="140" t="s">
        <v>24</v>
      </c>
      <c r="J77" s="146" t="s">
        <v>1</v>
      </c>
      <c r="K77" s="536" t="s">
        <v>99</v>
      </c>
      <c r="L77" s="536"/>
      <c r="M77" s="95" t="s">
        <v>135</v>
      </c>
      <c r="N77" s="95" t="s">
        <v>95</v>
      </c>
      <c r="O77" s="95" t="s">
        <v>186</v>
      </c>
      <c r="P77" s="95" t="s">
        <v>23</v>
      </c>
      <c r="Q77" s="140" t="s">
        <v>24</v>
      </c>
      <c r="R77" s="117"/>
    </row>
    <row r="78" spans="1:18" ht="19.5" customHeight="1" x14ac:dyDescent="0.3">
      <c r="A78" s="147" t="s">
        <v>101</v>
      </c>
      <c r="B78" s="580" t="s">
        <v>136</v>
      </c>
      <c r="C78" s="580"/>
      <c r="D78" s="260"/>
      <c r="E78" s="103">
        <v>0.4</v>
      </c>
      <c r="F78" s="260">
        <v>0</v>
      </c>
      <c r="G78" s="102">
        <f t="shared" ref="G78:G81" si="12">IF(F78=0,0,IF(F78=1,20,IF(F78=2,40,IF(F78=3,60,IF(F78=4,80,100)))))</f>
        <v>0</v>
      </c>
      <c r="H78" s="148">
        <f>G78*E78</f>
        <v>0</v>
      </c>
      <c r="J78" s="147" t="s">
        <v>101</v>
      </c>
      <c r="K78" s="580" t="s">
        <v>136</v>
      </c>
      <c r="L78" s="580"/>
      <c r="M78" s="273"/>
      <c r="N78" s="103">
        <v>0.4</v>
      </c>
      <c r="O78" s="273">
        <v>0</v>
      </c>
      <c r="P78" s="102">
        <f t="shared" ref="P78:P81" si="13">IF(O78=0,0,IF(O78=1,20,IF(O78=2,40,IF(O78=3,60,IF(O78=4,80,100)))))</f>
        <v>0</v>
      </c>
      <c r="Q78" s="148">
        <f>P78*N78</f>
        <v>0</v>
      </c>
      <c r="R78" s="117"/>
    </row>
    <row r="79" spans="1:18" ht="19.5" customHeight="1" x14ac:dyDescent="0.3">
      <c r="A79" s="147" t="s">
        <v>102</v>
      </c>
      <c r="B79" s="580" t="s">
        <v>137</v>
      </c>
      <c r="C79" s="580"/>
      <c r="D79" s="260"/>
      <c r="E79" s="103">
        <v>0.3</v>
      </c>
      <c r="F79" s="260">
        <v>0</v>
      </c>
      <c r="G79" s="102">
        <f t="shared" si="12"/>
        <v>0</v>
      </c>
      <c r="H79" s="148">
        <f>G79*E79</f>
        <v>0</v>
      </c>
      <c r="J79" s="147" t="s">
        <v>102</v>
      </c>
      <c r="K79" s="580" t="s">
        <v>137</v>
      </c>
      <c r="L79" s="580"/>
      <c r="M79" s="273"/>
      <c r="N79" s="103">
        <v>0.3</v>
      </c>
      <c r="O79" s="273">
        <v>0</v>
      </c>
      <c r="P79" s="102">
        <f t="shared" si="13"/>
        <v>0</v>
      </c>
      <c r="Q79" s="148">
        <f>P79*N79</f>
        <v>0</v>
      </c>
      <c r="R79" s="117"/>
    </row>
    <row r="80" spans="1:18" ht="19.5" customHeight="1" x14ac:dyDescent="0.3">
      <c r="A80" s="149" t="s">
        <v>103</v>
      </c>
      <c r="B80" s="580" t="s">
        <v>138</v>
      </c>
      <c r="C80" s="580"/>
      <c r="D80" s="260"/>
      <c r="E80" s="103">
        <v>0.2</v>
      </c>
      <c r="F80" s="260">
        <v>0</v>
      </c>
      <c r="G80" s="102">
        <f t="shared" si="12"/>
        <v>0</v>
      </c>
      <c r="H80" s="148">
        <f>G80*E80</f>
        <v>0</v>
      </c>
      <c r="J80" s="149" t="s">
        <v>103</v>
      </c>
      <c r="K80" s="580" t="s">
        <v>138</v>
      </c>
      <c r="L80" s="580"/>
      <c r="M80" s="273"/>
      <c r="N80" s="103">
        <v>0.2</v>
      </c>
      <c r="O80" s="273">
        <v>0</v>
      </c>
      <c r="P80" s="102">
        <f t="shared" si="13"/>
        <v>0</v>
      </c>
      <c r="Q80" s="148">
        <f>P80*N80</f>
        <v>0</v>
      </c>
      <c r="R80" s="117"/>
    </row>
    <row r="81" spans="1:18" ht="19.5" customHeight="1" x14ac:dyDescent="0.3">
      <c r="A81" s="149" t="s">
        <v>104</v>
      </c>
      <c r="B81" s="580" t="s">
        <v>139</v>
      </c>
      <c r="C81" s="580"/>
      <c r="D81" s="259"/>
      <c r="E81" s="103">
        <v>0.1</v>
      </c>
      <c r="F81" s="260">
        <v>0</v>
      </c>
      <c r="G81" s="102">
        <f t="shared" si="12"/>
        <v>0</v>
      </c>
      <c r="H81" s="148">
        <f>G81*E81</f>
        <v>0</v>
      </c>
      <c r="J81" s="149" t="s">
        <v>104</v>
      </c>
      <c r="K81" s="580" t="s">
        <v>139</v>
      </c>
      <c r="L81" s="580"/>
      <c r="M81" s="272"/>
      <c r="N81" s="103">
        <v>0.1</v>
      </c>
      <c r="O81" s="273">
        <v>0</v>
      </c>
      <c r="P81" s="102">
        <f t="shared" si="13"/>
        <v>0</v>
      </c>
      <c r="Q81" s="148">
        <f>P81*N81</f>
        <v>0</v>
      </c>
      <c r="R81" s="117"/>
    </row>
    <row r="82" spans="1:18" ht="19.5" customHeight="1" x14ac:dyDescent="0.3">
      <c r="A82" s="149"/>
      <c r="B82" s="581" t="s">
        <v>94</v>
      </c>
      <c r="C82" s="581"/>
      <c r="D82" s="104"/>
      <c r="E82" s="102"/>
      <c r="F82" s="102"/>
      <c r="G82" s="102"/>
      <c r="H82" s="150">
        <f>SUM(H78:H81)</f>
        <v>0</v>
      </c>
      <c r="J82" s="149"/>
      <c r="K82" s="581" t="s">
        <v>94</v>
      </c>
      <c r="L82" s="581"/>
      <c r="M82" s="104"/>
      <c r="N82" s="102"/>
      <c r="O82" s="102"/>
      <c r="P82" s="102"/>
      <c r="Q82" s="150">
        <f>SUM(Q78:Q81)</f>
        <v>0</v>
      </c>
      <c r="R82" s="117"/>
    </row>
    <row r="83" spans="1:18" ht="19.5" customHeight="1" x14ac:dyDescent="0.3">
      <c r="A83" s="151"/>
      <c r="B83" s="152"/>
      <c r="C83" s="153"/>
      <c r="D83" s="154"/>
      <c r="E83" s="155"/>
      <c r="F83" s="155"/>
      <c r="G83" s="156"/>
      <c r="H83" s="138"/>
      <c r="J83" s="151"/>
      <c r="K83" s="152"/>
      <c r="L83" s="153"/>
      <c r="M83" s="154"/>
      <c r="N83" s="155"/>
      <c r="O83" s="155"/>
      <c r="P83" s="156"/>
      <c r="Q83" s="138"/>
      <c r="R83" s="117"/>
    </row>
    <row r="84" spans="1:18" ht="19.5" customHeight="1" x14ac:dyDescent="0.3">
      <c r="A84" s="197" t="s">
        <v>28</v>
      </c>
      <c r="B84" s="317" t="s">
        <v>142</v>
      </c>
      <c r="C84" s="582" t="s">
        <v>143</v>
      </c>
      <c r="D84" s="582"/>
      <c r="E84" s="582"/>
      <c r="F84" s="206"/>
      <c r="G84" s="199"/>
      <c r="H84" s="200"/>
      <c r="J84" s="197" t="s">
        <v>28</v>
      </c>
      <c r="K84" s="198" t="s">
        <v>142</v>
      </c>
      <c r="L84" s="585" t="s">
        <v>143</v>
      </c>
      <c r="M84" s="585"/>
      <c r="N84" s="585"/>
      <c r="O84" s="206"/>
      <c r="P84" s="199"/>
      <c r="Q84" s="200"/>
      <c r="R84" s="117"/>
    </row>
    <row r="85" spans="1:18" ht="19.5" customHeight="1" x14ac:dyDescent="0.3">
      <c r="A85" s="146" t="s">
        <v>1</v>
      </c>
      <c r="B85" s="536" t="s">
        <v>99</v>
      </c>
      <c r="C85" s="536"/>
      <c r="D85" s="95" t="s">
        <v>95</v>
      </c>
      <c r="E85" s="95" t="s">
        <v>23</v>
      </c>
      <c r="F85" s="95" t="s">
        <v>24</v>
      </c>
      <c r="G85" s="85"/>
      <c r="H85" s="138"/>
      <c r="J85" s="131" t="s">
        <v>1</v>
      </c>
      <c r="K85" s="534" t="s">
        <v>99</v>
      </c>
      <c r="L85" s="534"/>
      <c r="M85" s="86" t="s">
        <v>95</v>
      </c>
      <c r="N85" s="87" t="s">
        <v>23</v>
      </c>
      <c r="O85" s="86" t="s">
        <v>24</v>
      </c>
      <c r="P85" s="132"/>
      <c r="Q85" s="138"/>
      <c r="R85" s="117"/>
    </row>
    <row r="86" spans="1:18" ht="19.5" customHeight="1" x14ac:dyDescent="0.3">
      <c r="A86" s="147" t="s">
        <v>101</v>
      </c>
      <c r="B86" s="580" t="s">
        <v>144</v>
      </c>
      <c r="C86" s="580"/>
      <c r="D86" s="103">
        <v>0.2</v>
      </c>
      <c r="E86" s="256">
        <v>0</v>
      </c>
      <c r="F86" s="318">
        <f>E86*D86</f>
        <v>0</v>
      </c>
      <c r="G86" s="85"/>
      <c r="H86" s="138"/>
      <c r="J86" s="149" t="s">
        <v>101</v>
      </c>
      <c r="K86" s="583" t="s">
        <v>144</v>
      </c>
      <c r="L86" s="583"/>
      <c r="M86" s="109">
        <v>0.2</v>
      </c>
      <c r="N86" s="269">
        <v>0</v>
      </c>
      <c r="O86" s="110">
        <f>N86*M86</f>
        <v>0</v>
      </c>
      <c r="P86" s="132"/>
      <c r="Q86" s="138"/>
      <c r="R86" s="117"/>
    </row>
    <row r="87" spans="1:18" ht="19.5" customHeight="1" x14ac:dyDescent="0.3">
      <c r="A87" s="147" t="s">
        <v>102</v>
      </c>
      <c r="B87" s="580" t="s">
        <v>145</v>
      </c>
      <c r="C87" s="580"/>
      <c r="D87" s="103">
        <v>0.4</v>
      </c>
      <c r="E87" s="318">
        <f>E134</f>
        <v>0</v>
      </c>
      <c r="F87" s="318">
        <f>E87*D87</f>
        <v>0</v>
      </c>
      <c r="G87" s="85"/>
      <c r="H87" s="138"/>
      <c r="J87" s="149" t="s">
        <v>102</v>
      </c>
      <c r="K87" s="583" t="s">
        <v>145</v>
      </c>
      <c r="L87" s="583"/>
      <c r="M87" s="109">
        <v>0.4</v>
      </c>
      <c r="N87" s="110">
        <f>N134</f>
        <v>0</v>
      </c>
      <c r="O87" s="110">
        <f>N87*M87</f>
        <v>0</v>
      </c>
      <c r="P87" s="132"/>
      <c r="Q87" s="138"/>
      <c r="R87" s="117"/>
    </row>
    <row r="88" spans="1:18" ht="19.5" customHeight="1" x14ac:dyDescent="0.3">
      <c r="A88" s="147" t="s">
        <v>103</v>
      </c>
      <c r="B88" s="580" t="s">
        <v>146</v>
      </c>
      <c r="C88" s="580"/>
      <c r="D88" s="103">
        <v>0.4</v>
      </c>
      <c r="E88" s="318">
        <f>F134</f>
        <v>0</v>
      </c>
      <c r="F88" s="318">
        <f>E88*D88</f>
        <v>0</v>
      </c>
      <c r="G88" s="85"/>
      <c r="H88" s="138"/>
      <c r="J88" s="149" t="s">
        <v>103</v>
      </c>
      <c r="K88" s="583" t="s">
        <v>146</v>
      </c>
      <c r="L88" s="583"/>
      <c r="M88" s="109">
        <v>0.4</v>
      </c>
      <c r="N88" s="110">
        <f>O134</f>
        <v>0</v>
      </c>
      <c r="O88" s="110">
        <f>N88*M88</f>
        <v>0</v>
      </c>
      <c r="P88" s="132"/>
      <c r="Q88" s="138"/>
      <c r="R88" s="117"/>
    </row>
    <row r="89" spans="1:18" ht="19.5" customHeight="1" x14ac:dyDescent="0.3">
      <c r="A89" s="147"/>
      <c r="B89" s="581" t="s">
        <v>94</v>
      </c>
      <c r="C89" s="581"/>
      <c r="D89" s="104"/>
      <c r="E89" s="318"/>
      <c r="F89" s="319">
        <f>SUM(F86:F88)</f>
        <v>0</v>
      </c>
      <c r="G89" s="85"/>
      <c r="H89" s="138"/>
      <c r="J89" s="149"/>
      <c r="K89" s="584" t="s">
        <v>94</v>
      </c>
      <c r="L89" s="584"/>
      <c r="M89" s="111"/>
      <c r="N89" s="110"/>
      <c r="O89" s="112">
        <f>SUM(O86:O88)</f>
        <v>0</v>
      </c>
      <c r="P89" s="132"/>
      <c r="Q89" s="138"/>
      <c r="R89" s="117"/>
    </row>
    <row r="90" spans="1:18" ht="19.5" customHeight="1" x14ac:dyDescent="0.3">
      <c r="A90" s="151"/>
      <c r="B90" s="152"/>
      <c r="C90" s="153"/>
      <c r="D90" s="154"/>
      <c r="E90" s="155"/>
      <c r="F90" s="155"/>
      <c r="G90" s="156"/>
      <c r="H90" s="138"/>
      <c r="J90" s="151"/>
      <c r="K90" s="152"/>
      <c r="L90" s="153"/>
      <c r="M90" s="154"/>
      <c r="N90" s="155"/>
      <c r="O90" s="155"/>
      <c r="P90" s="156"/>
      <c r="Q90" s="138"/>
      <c r="R90" s="117"/>
    </row>
    <row r="91" spans="1:18" ht="19.5" customHeight="1" x14ac:dyDescent="0.3">
      <c r="A91" s="167" t="s">
        <v>30</v>
      </c>
      <c r="B91" s="325" t="s">
        <v>147</v>
      </c>
      <c r="C91" s="85"/>
      <c r="D91" s="324"/>
      <c r="E91" s="324"/>
      <c r="F91" s="207"/>
      <c r="G91" s="201"/>
      <c r="H91" s="202"/>
      <c r="J91" s="167" t="s">
        <v>30</v>
      </c>
      <c r="K91" s="325" t="s">
        <v>147</v>
      </c>
      <c r="L91" s="324"/>
      <c r="M91" s="324"/>
      <c r="N91" s="324"/>
      <c r="O91" s="207"/>
      <c r="P91" s="201"/>
      <c r="Q91" s="202"/>
      <c r="R91" s="117"/>
    </row>
    <row r="92" spans="1:18" ht="19.5" customHeight="1" x14ac:dyDescent="0.3">
      <c r="A92" s="161" t="s">
        <v>1</v>
      </c>
      <c r="B92" s="572" t="s">
        <v>99</v>
      </c>
      <c r="C92" s="572"/>
      <c r="D92" s="69" t="s">
        <v>40</v>
      </c>
      <c r="E92" s="70" t="s">
        <v>39</v>
      </c>
      <c r="F92" s="69" t="s">
        <v>148</v>
      </c>
      <c r="G92" s="283"/>
      <c r="H92" s="160"/>
      <c r="J92" s="161" t="s">
        <v>1</v>
      </c>
      <c r="K92" s="572" t="s">
        <v>99</v>
      </c>
      <c r="L92" s="572"/>
      <c r="M92" s="69" t="s">
        <v>40</v>
      </c>
      <c r="N92" s="70" t="s">
        <v>39</v>
      </c>
      <c r="O92" s="69" t="s">
        <v>148</v>
      </c>
      <c r="P92" s="283"/>
      <c r="Q92" s="160"/>
      <c r="R92" s="117"/>
    </row>
    <row r="93" spans="1:18" ht="19.5" customHeight="1" x14ac:dyDescent="0.3">
      <c r="A93" s="162" t="s">
        <v>101</v>
      </c>
      <c r="B93" s="569" t="s">
        <v>35</v>
      </c>
      <c r="C93" s="569"/>
      <c r="D93" s="71">
        <f>HPS!F30</f>
        <v>70057500</v>
      </c>
      <c r="E93" s="261">
        <v>0</v>
      </c>
      <c r="F93" s="72">
        <f>D93-E93</f>
        <v>70057500</v>
      </c>
      <c r="G93" s="429"/>
      <c r="H93" s="160"/>
      <c r="J93" s="162" t="s">
        <v>101</v>
      </c>
      <c r="K93" s="569" t="s">
        <v>35</v>
      </c>
      <c r="L93" s="569"/>
      <c r="M93" s="71">
        <f>HPS!F30</f>
        <v>70057500</v>
      </c>
      <c r="N93" s="274">
        <v>0</v>
      </c>
      <c r="O93" s="72">
        <f>M93-N93</f>
        <v>70057500</v>
      </c>
      <c r="P93" s="429"/>
      <c r="Q93" s="160"/>
      <c r="R93" s="117"/>
    </row>
    <row r="94" spans="1:18" ht="19.5" customHeight="1" x14ac:dyDescent="0.3">
      <c r="A94" s="162" t="s">
        <v>102</v>
      </c>
      <c r="B94" s="569" t="s">
        <v>36</v>
      </c>
      <c r="C94" s="569"/>
      <c r="D94" s="73">
        <f>HPS!F31</f>
        <v>17514375</v>
      </c>
      <c r="E94" s="262">
        <v>0</v>
      </c>
      <c r="F94" s="72">
        <f>D94-E94</f>
        <v>17514375</v>
      </c>
      <c r="G94" s="429"/>
      <c r="H94" s="160"/>
      <c r="J94" s="162" t="s">
        <v>102</v>
      </c>
      <c r="K94" s="569" t="s">
        <v>36</v>
      </c>
      <c r="L94" s="569"/>
      <c r="M94" s="71">
        <f>HPS!F31</f>
        <v>17514375</v>
      </c>
      <c r="N94" s="275">
        <v>0</v>
      </c>
      <c r="O94" s="72">
        <f>M94-N94</f>
        <v>17514375</v>
      </c>
      <c r="P94" s="429"/>
      <c r="Q94" s="160"/>
      <c r="R94" s="117"/>
    </row>
    <row r="95" spans="1:18" ht="19.5" customHeight="1" x14ac:dyDescent="0.3">
      <c r="A95" s="162" t="s">
        <v>103</v>
      </c>
      <c r="B95" s="569" t="s">
        <v>37</v>
      </c>
      <c r="C95" s="569"/>
      <c r="D95" s="73">
        <f>HPS!F33</f>
        <v>8757187.5</v>
      </c>
      <c r="E95" s="262">
        <v>0</v>
      </c>
      <c r="F95" s="72">
        <f>D95-E95</f>
        <v>8757187.5</v>
      </c>
      <c r="G95" s="429"/>
      <c r="H95" s="160"/>
      <c r="J95" s="162" t="s">
        <v>103</v>
      </c>
      <c r="K95" s="569" t="s">
        <v>37</v>
      </c>
      <c r="L95" s="569"/>
      <c r="M95" s="71">
        <f>HPS!F33</f>
        <v>8757187.5</v>
      </c>
      <c r="N95" s="275">
        <v>0</v>
      </c>
      <c r="O95" s="72">
        <f>M95-N95</f>
        <v>8757187.5</v>
      </c>
      <c r="P95" s="429"/>
      <c r="Q95" s="160"/>
      <c r="R95" s="117"/>
    </row>
    <row r="96" spans="1:18" ht="19.5" customHeight="1" x14ac:dyDescent="0.3">
      <c r="A96" s="163" t="s">
        <v>104</v>
      </c>
      <c r="B96" s="570" t="s">
        <v>38</v>
      </c>
      <c r="C96" s="570"/>
      <c r="D96" s="120">
        <f>SUM(D93:D95)</f>
        <v>96329062.5</v>
      </c>
      <c r="E96" s="120">
        <f>SUM(E93:E95)</f>
        <v>0</v>
      </c>
      <c r="F96" s="120">
        <f>SUM(F93:F95)</f>
        <v>96329062.5</v>
      </c>
      <c r="G96" s="120">
        <f>IF(E96&lt;=D96,50,0)</f>
        <v>50</v>
      </c>
      <c r="H96" s="160"/>
      <c r="J96" s="163" t="s">
        <v>104</v>
      </c>
      <c r="K96" s="570" t="s">
        <v>38</v>
      </c>
      <c r="L96" s="570"/>
      <c r="M96" s="120">
        <f>SUM(M93:M95)</f>
        <v>96329062.5</v>
      </c>
      <c r="N96" s="120">
        <f>SUM(N93:N95)</f>
        <v>0</v>
      </c>
      <c r="O96" s="120">
        <f>SUM(O93:O95)</f>
        <v>96329062.5</v>
      </c>
      <c r="P96" s="120">
        <f>IF(N96&lt;=M96,50,0)</f>
        <v>50</v>
      </c>
      <c r="Q96" s="160"/>
      <c r="R96" s="117"/>
    </row>
    <row r="97" spans="1:18" ht="19.5" customHeight="1" x14ac:dyDescent="0.3">
      <c r="A97" s="157"/>
      <c r="B97" s="158"/>
      <c r="C97" s="164"/>
      <c r="D97" s="165"/>
      <c r="E97" s="166"/>
      <c r="F97" s="166"/>
      <c r="G97" s="159"/>
      <c r="H97" s="160"/>
      <c r="J97" s="157"/>
      <c r="K97" s="158"/>
      <c r="L97" s="164"/>
      <c r="M97" s="165"/>
      <c r="N97" s="166"/>
      <c r="O97" s="166"/>
      <c r="P97" s="159"/>
      <c r="Q97" s="160"/>
      <c r="R97" s="117"/>
    </row>
    <row r="98" spans="1:18" ht="19.5" customHeight="1" x14ac:dyDescent="0.3">
      <c r="A98" s="167" t="s">
        <v>33</v>
      </c>
      <c r="B98" s="571" t="s">
        <v>149</v>
      </c>
      <c r="C98" s="571"/>
      <c r="D98" s="571"/>
      <c r="E98" s="571"/>
      <c r="F98" s="207"/>
      <c r="G98" s="159"/>
      <c r="H98" s="160"/>
      <c r="J98" s="167" t="s">
        <v>33</v>
      </c>
      <c r="K98" s="571" t="s">
        <v>149</v>
      </c>
      <c r="L98" s="571"/>
      <c r="M98" s="571"/>
      <c r="N98" s="571"/>
      <c r="O98" s="207"/>
      <c r="P98" s="159"/>
      <c r="Q98" s="160"/>
      <c r="R98" s="117"/>
    </row>
    <row r="99" spans="1:18" ht="19.5" customHeight="1" x14ac:dyDescent="0.3">
      <c r="A99" s="161" t="s">
        <v>1</v>
      </c>
      <c r="B99" s="572" t="s">
        <v>99</v>
      </c>
      <c r="C99" s="572"/>
      <c r="D99" s="69" t="s">
        <v>95</v>
      </c>
      <c r="E99" s="70" t="s">
        <v>23</v>
      </c>
      <c r="F99" s="69" t="s">
        <v>24</v>
      </c>
      <c r="G99" s="227"/>
      <c r="H99" s="168"/>
      <c r="J99" s="161" t="s">
        <v>1</v>
      </c>
      <c r="K99" s="572" t="s">
        <v>99</v>
      </c>
      <c r="L99" s="572"/>
      <c r="M99" s="69" t="s">
        <v>95</v>
      </c>
      <c r="N99" s="70" t="s">
        <v>23</v>
      </c>
      <c r="O99" s="69" t="s">
        <v>24</v>
      </c>
      <c r="P99" s="311"/>
      <c r="Q99" s="168"/>
      <c r="R99" s="117"/>
    </row>
    <row r="100" spans="1:18" ht="19.5" customHeight="1" x14ac:dyDescent="0.3">
      <c r="A100" s="162" t="s">
        <v>101</v>
      </c>
      <c r="B100" s="569" t="s">
        <v>48</v>
      </c>
      <c r="C100" s="569"/>
      <c r="D100" s="74">
        <v>0.3</v>
      </c>
      <c r="E100" s="75">
        <f>F59</f>
        <v>0</v>
      </c>
      <c r="F100" s="76">
        <f>E100*D100</f>
        <v>0</v>
      </c>
      <c r="G100" s="228"/>
      <c r="H100" s="160"/>
      <c r="J100" s="162" t="s">
        <v>101</v>
      </c>
      <c r="K100" s="569" t="s">
        <v>48</v>
      </c>
      <c r="L100" s="569"/>
      <c r="M100" s="74">
        <v>0.3</v>
      </c>
      <c r="N100" s="75">
        <f>O59</f>
        <v>0</v>
      </c>
      <c r="O100" s="76">
        <f>N100*M100</f>
        <v>0</v>
      </c>
      <c r="P100" s="312"/>
      <c r="Q100" s="160"/>
      <c r="R100" s="117"/>
    </row>
    <row r="101" spans="1:18" ht="19.5" customHeight="1" x14ac:dyDescent="0.3">
      <c r="A101" s="162" t="s">
        <v>102</v>
      </c>
      <c r="B101" s="569" t="s">
        <v>49</v>
      </c>
      <c r="C101" s="569"/>
      <c r="D101" s="74">
        <v>0.35</v>
      </c>
      <c r="E101" s="75">
        <f>F66</f>
        <v>0</v>
      </c>
      <c r="F101" s="76">
        <f>E101*D101</f>
        <v>0</v>
      </c>
      <c r="G101" s="228"/>
      <c r="H101" s="160"/>
      <c r="J101" s="162" t="s">
        <v>102</v>
      </c>
      <c r="K101" s="569" t="s">
        <v>49</v>
      </c>
      <c r="L101" s="569"/>
      <c r="M101" s="74">
        <v>0.35</v>
      </c>
      <c r="N101" s="75">
        <f>O66</f>
        <v>0</v>
      </c>
      <c r="O101" s="76">
        <f>N101*M101</f>
        <v>0</v>
      </c>
      <c r="P101" s="312"/>
      <c r="Q101" s="160"/>
      <c r="R101" s="117"/>
    </row>
    <row r="102" spans="1:18" ht="19.5" customHeight="1" x14ac:dyDescent="0.3">
      <c r="A102" s="162" t="s">
        <v>103</v>
      </c>
      <c r="B102" s="569" t="s">
        <v>50</v>
      </c>
      <c r="C102" s="569"/>
      <c r="D102" s="74">
        <v>0.35</v>
      </c>
      <c r="E102" s="77">
        <f>'Rekap Penilaian KAP'!E59</f>
        <v>0</v>
      </c>
      <c r="F102" s="76">
        <f>E102*D102</f>
        <v>0</v>
      </c>
      <c r="G102" s="228"/>
      <c r="H102" s="160"/>
      <c r="J102" s="162" t="s">
        <v>103</v>
      </c>
      <c r="K102" s="569" t="s">
        <v>50</v>
      </c>
      <c r="L102" s="569"/>
      <c r="M102" s="74">
        <v>0.35</v>
      </c>
      <c r="N102" s="77">
        <f>'Rekap Penilaian KAP'!E68</f>
        <v>0</v>
      </c>
      <c r="O102" s="76">
        <f>N102*M102</f>
        <v>0</v>
      </c>
      <c r="P102" s="312"/>
      <c r="Q102" s="160"/>
      <c r="R102" s="117"/>
    </row>
    <row r="103" spans="1:18" ht="19.5" customHeight="1" x14ac:dyDescent="0.3">
      <c r="A103" s="162"/>
      <c r="B103" s="579" t="s">
        <v>150</v>
      </c>
      <c r="C103" s="579"/>
      <c r="D103" s="78"/>
      <c r="E103" s="79"/>
      <c r="F103" s="80">
        <f>SUM(F100:F102)</f>
        <v>0</v>
      </c>
      <c r="G103" s="228"/>
      <c r="H103" s="160"/>
      <c r="J103" s="162"/>
      <c r="K103" s="579" t="s">
        <v>150</v>
      </c>
      <c r="L103" s="579"/>
      <c r="M103" s="78"/>
      <c r="N103" s="79"/>
      <c r="O103" s="80">
        <f>SUM(O100:O102)</f>
        <v>0</v>
      </c>
      <c r="P103" s="312"/>
      <c r="Q103" s="160"/>
      <c r="R103" s="117"/>
    </row>
    <row r="104" spans="1:18" s="116" customFormat="1" ht="19.5" customHeight="1" x14ac:dyDescent="0.3">
      <c r="A104" s="136"/>
      <c r="B104" s="137"/>
      <c r="C104" s="139"/>
      <c r="D104" s="132"/>
      <c r="E104" s="133"/>
      <c r="F104" s="133"/>
      <c r="G104" s="129"/>
      <c r="H104" s="130"/>
      <c r="J104" s="136"/>
      <c r="K104" s="137"/>
      <c r="L104" s="139"/>
      <c r="M104" s="132"/>
      <c r="N104" s="133"/>
      <c r="O104" s="133"/>
      <c r="P104" s="129"/>
      <c r="Q104" s="130"/>
      <c r="R104" s="285"/>
    </row>
    <row r="105" spans="1:18" ht="19.5" customHeight="1" x14ac:dyDescent="0.3">
      <c r="A105" s="169" t="s">
        <v>60</v>
      </c>
      <c r="B105" s="137"/>
      <c r="C105" s="139"/>
      <c r="D105" s="98"/>
      <c r="E105" s="133"/>
      <c r="F105" s="133"/>
      <c r="G105" s="129"/>
      <c r="H105" s="145"/>
      <c r="J105" s="169" t="s">
        <v>60</v>
      </c>
      <c r="K105" s="137"/>
      <c r="L105" s="139"/>
      <c r="M105" s="98"/>
      <c r="N105" s="133"/>
      <c r="O105" s="133"/>
      <c r="P105" s="129"/>
      <c r="Q105" s="145"/>
      <c r="R105" s="156"/>
    </row>
    <row r="106" spans="1:18" ht="19.5" customHeight="1" x14ac:dyDescent="0.3">
      <c r="A106" s="563" t="s">
        <v>1</v>
      </c>
      <c r="B106" s="565" t="s">
        <v>61</v>
      </c>
      <c r="C106" s="566"/>
      <c r="D106" s="95" t="s">
        <v>62</v>
      </c>
      <c r="E106" s="95" t="s">
        <v>62</v>
      </c>
      <c r="F106" s="95" t="s">
        <v>63</v>
      </c>
      <c r="G106" s="82"/>
      <c r="H106" s="145"/>
      <c r="I106" s="232"/>
      <c r="J106" s="563" t="s">
        <v>1</v>
      </c>
      <c r="K106" s="565" t="s">
        <v>61</v>
      </c>
      <c r="L106" s="566"/>
      <c r="M106" s="95" t="s">
        <v>62</v>
      </c>
      <c r="N106" s="95" t="s">
        <v>62</v>
      </c>
      <c r="O106" s="95" t="s">
        <v>63</v>
      </c>
      <c r="P106" s="98"/>
      <c r="Q106" s="145"/>
      <c r="R106" s="117"/>
    </row>
    <row r="107" spans="1:18" ht="19.5" customHeight="1" x14ac:dyDescent="0.3">
      <c r="A107" s="564"/>
      <c r="B107" s="567"/>
      <c r="C107" s="568"/>
      <c r="D107" s="95" t="s">
        <v>64</v>
      </c>
      <c r="E107" s="95" t="s">
        <v>65</v>
      </c>
      <c r="F107" s="95" t="s">
        <v>66</v>
      </c>
      <c r="G107" s="82"/>
      <c r="H107" s="145"/>
      <c r="J107" s="564"/>
      <c r="K107" s="567"/>
      <c r="L107" s="568"/>
      <c r="M107" s="95" t="s">
        <v>64</v>
      </c>
      <c r="N107" s="95" t="s">
        <v>65</v>
      </c>
      <c r="O107" s="95" t="s">
        <v>66</v>
      </c>
      <c r="P107" s="98"/>
      <c r="Q107" s="145"/>
      <c r="R107" s="117"/>
    </row>
    <row r="108" spans="1:18" ht="19.5" customHeight="1" x14ac:dyDescent="0.3">
      <c r="A108" s="170"/>
      <c r="B108" s="575" t="s">
        <v>67</v>
      </c>
      <c r="C108" s="576"/>
      <c r="D108" s="544"/>
      <c r="E108" s="545"/>
      <c r="F108" s="546"/>
      <c r="G108" s="209"/>
      <c r="H108" s="145"/>
      <c r="J108" s="170"/>
      <c r="K108" s="575" t="s">
        <v>67</v>
      </c>
      <c r="L108" s="576"/>
      <c r="M108" s="544"/>
      <c r="N108" s="545"/>
      <c r="O108" s="546"/>
      <c r="P108" s="209"/>
      <c r="Q108" s="145"/>
      <c r="R108" s="117"/>
    </row>
    <row r="109" spans="1:18" ht="19.5" customHeight="1" x14ac:dyDescent="0.3">
      <c r="A109" s="171">
        <v>1</v>
      </c>
      <c r="B109" s="113" t="s">
        <v>68</v>
      </c>
      <c r="C109" s="114"/>
      <c r="D109" s="263" t="s">
        <v>72</v>
      </c>
      <c r="E109" s="229">
        <f t="shared" ref="E109:E119" si="14">IF(D109="Ya",4.2,0)</f>
        <v>0</v>
      </c>
      <c r="F109" s="266">
        <v>0</v>
      </c>
      <c r="G109" s="85"/>
      <c r="H109" s="145"/>
      <c r="J109" s="171">
        <v>1</v>
      </c>
      <c r="K109" s="113" t="s">
        <v>68</v>
      </c>
      <c r="L109" s="114"/>
      <c r="M109" s="276" t="s">
        <v>72</v>
      </c>
      <c r="N109" s="229">
        <f t="shared" ref="N109:N119" si="15">IF(M109="Ya",4.2,0)</f>
        <v>0</v>
      </c>
      <c r="O109" s="279">
        <v>0</v>
      </c>
      <c r="P109" s="132"/>
      <c r="Q109" s="145"/>
      <c r="R109" s="117"/>
    </row>
    <row r="110" spans="1:18" ht="19.5" customHeight="1" x14ac:dyDescent="0.3">
      <c r="A110" s="171">
        <v>2</v>
      </c>
      <c r="B110" s="113" t="s">
        <v>273</v>
      </c>
      <c r="C110" s="442"/>
      <c r="D110" s="264" t="s">
        <v>72</v>
      </c>
      <c r="E110" s="230">
        <f t="shared" si="14"/>
        <v>0</v>
      </c>
      <c r="F110" s="267">
        <v>0</v>
      </c>
      <c r="G110" s="85"/>
      <c r="H110" s="145"/>
      <c r="J110" s="171">
        <v>2</v>
      </c>
      <c r="K110" s="113" t="s">
        <v>273</v>
      </c>
      <c r="L110" s="442"/>
      <c r="M110" s="277" t="s">
        <v>72</v>
      </c>
      <c r="N110" s="230">
        <f t="shared" si="15"/>
        <v>0</v>
      </c>
      <c r="O110" s="280">
        <v>0</v>
      </c>
      <c r="P110" s="132"/>
      <c r="Q110" s="145"/>
      <c r="R110" s="117"/>
    </row>
    <row r="111" spans="1:18" ht="19.5" customHeight="1" x14ac:dyDescent="0.3">
      <c r="A111" s="171">
        <v>3</v>
      </c>
      <c r="B111" s="113" t="s">
        <v>274</v>
      </c>
      <c r="C111" s="442"/>
      <c r="D111" s="264" t="s">
        <v>72</v>
      </c>
      <c r="E111" s="230">
        <f t="shared" si="14"/>
        <v>0</v>
      </c>
      <c r="F111" s="267">
        <v>0</v>
      </c>
      <c r="G111" s="85"/>
      <c r="H111" s="145"/>
      <c r="J111" s="171">
        <v>3</v>
      </c>
      <c r="K111" s="113" t="s">
        <v>274</v>
      </c>
      <c r="L111" s="442"/>
      <c r="M111" s="277" t="s">
        <v>72</v>
      </c>
      <c r="N111" s="230">
        <f t="shared" si="15"/>
        <v>0</v>
      </c>
      <c r="O111" s="280">
        <v>0</v>
      </c>
      <c r="P111" s="132"/>
      <c r="Q111" s="145"/>
      <c r="R111" s="156"/>
    </row>
    <row r="112" spans="1:18" ht="19.5" customHeight="1" x14ac:dyDescent="0.3">
      <c r="A112" s="171">
        <v>4</v>
      </c>
      <c r="B112" s="113" t="s">
        <v>71</v>
      </c>
      <c r="C112" s="114"/>
      <c r="D112" s="264" t="s">
        <v>72</v>
      </c>
      <c r="E112" s="230">
        <f t="shared" si="14"/>
        <v>0</v>
      </c>
      <c r="F112" s="267">
        <v>0</v>
      </c>
      <c r="G112" s="85"/>
      <c r="H112" s="145"/>
      <c r="J112" s="171">
        <v>4</v>
      </c>
      <c r="K112" s="113" t="s">
        <v>71</v>
      </c>
      <c r="L112" s="114"/>
      <c r="M112" s="277" t="s">
        <v>72</v>
      </c>
      <c r="N112" s="230">
        <f t="shared" si="15"/>
        <v>0</v>
      </c>
      <c r="O112" s="280">
        <v>0</v>
      </c>
      <c r="P112" s="132"/>
      <c r="Q112" s="145"/>
    </row>
    <row r="113" spans="1:17" ht="19.5" customHeight="1" x14ac:dyDescent="0.3">
      <c r="A113" s="171">
        <v>5</v>
      </c>
      <c r="B113" s="113" t="s">
        <v>73</v>
      </c>
      <c r="C113" s="114"/>
      <c r="D113" s="264" t="s">
        <v>72</v>
      </c>
      <c r="E113" s="230">
        <f t="shared" si="14"/>
        <v>0</v>
      </c>
      <c r="F113" s="267">
        <v>0</v>
      </c>
      <c r="G113" s="85"/>
      <c r="H113" s="145"/>
      <c r="J113" s="171">
        <v>5</v>
      </c>
      <c r="K113" s="113" t="s">
        <v>73</v>
      </c>
      <c r="L113" s="114"/>
      <c r="M113" s="277" t="s">
        <v>72</v>
      </c>
      <c r="N113" s="230">
        <f t="shared" si="15"/>
        <v>0</v>
      </c>
      <c r="O113" s="280">
        <v>0</v>
      </c>
      <c r="P113" s="132"/>
      <c r="Q113" s="145"/>
    </row>
    <row r="114" spans="1:17" ht="19.5" customHeight="1" x14ac:dyDescent="0.3">
      <c r="A114" s="171">
        <v>6</v>
      </c>
      <c r="B114" s="113" t="s">
        <v>275</v>
      </c>
      <c r="C114" s="114"/>
      <c r="D114" s="264" t="s">
        <v>72</v>
      </c>
      <c r="E114" s="230">
        <f t="shared" si="14"/>
        <v>0</v>
      </c>
      <c r="F114" s="267">
        <v>0</v>
      </c>
      <c r="G114" s="85"/>
      <c r="H114" s="145"/>
      <c r="J114" s="171">
        <v>6</v>
      </c>
      <c r="K114" s="113" t="s">
        <v>275</v>
      </c>
      <c r="L114" s="114"/>
      <c r="M114" s="277" t="s">
        <v>72</v>
      </c>
      <c r="N114" s="230">
        <f t="shared" si="15"/>
        <v>0</v>
      </c>
      <c r="O114" s="280">
        <v>0</v>
      </c>
      <c r="P114" s="132"/>
      <c r="Q114" s="145"/>
    </row>
    <row r="115" spans="1:17" ht="19.5" customHeight="1" x14ac:dyDescent="0.3">
      <c r="A115" s="171">
        <v>7</v>
      </c>
      <c r="B115" s="113" t="s">
        <v>276</v>
      </c>
      <c r="C115" s="114"/>
      <c r="D115" s="264" t="s">
        <v>72</v>
      </c>
      <c r="E115" s="230">
        <f t="shared" si="14"/>
        <v>0</v>
      </c>
      <c r="F115" s="267">
        <v>0</v>
      </c>
      <c r="G115" s="85"/>
      <c r="H115" s="145"/>
      <c r="J115" s="171">
        <v>7</v>
      </c>
      <c r="K115" s="113" t="s">
        <v>276</v>
      </c>
      <c r="L115" s="114"/>
      <c r="M115" s="277" t="s">
        <v>72</v>
      </c>
      <c r="N115" s="230">
        <f t="shared" si="15"/>
        <v>0</v>
      </c>
      <c r="O115" s="280">
        <v>0</v>
      </c>
      <c r="P115" s="132"/>
      <c r="Q115" s="145"/>
    </row>
    <row r="116" spans="1:17" ht="19.5" customHeight="1" x14ac:dyDescent="0.3">
      <c r="A116" s="171">
        <v>8</v>
      </c>
      <c r="B116" s="113" t="s">
        <v>277</v>
      </c>
      <c r="C116" s="114"/>
      <c r="D116" s="264" t="s">
        <v>72</v>
      </c>
      <c r="E116" s="230">
        <f t="shared" si="14"/>
        <v>0</v>
      </c>
      <c r="F116" s="267">
        <v>0</v>
      </c>
      <c r="G116" s="85"/>
      <c r="H116" s="145"/>
      <c r="J116" s="171">
        <v>8</v>
      </c>
      <c r="K116" s="113" t="s">
        <v>277</v>
      </c>
      <c r="L116" s="114"/>
      <c r="M116" s="277" t="s">
        <v>72</v>
      </c>
      <c r="N116" s="230">
        <f t="shared" si="15"/>
        <v>0</v>
      </c>
      <c r="O116" s="280">
        <v>0</v>
      </c>
      <c r="P116" s="132"/>
      <c r="Q116" s="145"/>
    </row>
    <row r="117" spans="1:17" ht="19.5" customHeight="1" x14ac:dyDescent="0.3">
      <c r="A117" s="171">
        <v>9</v>
      </c>
      <c r="B117" s="113" t="s">
        <v>278</v>
      </c>
      <c r="C117" s="114"/>
      <c r="D117" s="264" t="s">
        <v>72</v>
      </c>
      <c r="E117" s="230">
        <f t="shared" si="14"/>
        <v>0</v>
      </c>
      <c r="F117" s="267">
        <v>0</v>
      </c>
      <c r="G117" s="85"/>
      <c r="H117" s="145"/>
      <c r="J117" s="171">
        <v>9</v>
      </c>
      <c r="K117" s="113" t="s">
        <v>278</v>
      </c>
      <c r="L117" s="114"/>
      <c r="M117" s="277" t="s">
        <v>72</v>
      </c>
      <c r="N117" s="230">
        <f t="shared" si="15"/>
        <v>0</v>
      </c>
      <c r="O117" s="280">
        <v>0</v>
      </c>
      <c r="P117" s="132"/>
      <c r="Q117" s="145"/>
    </row>
    <row r="118" spans="1:17" ht="19.5" customHeight="1" x14ac:dyDescent="0.3">
      <c r="A118" s="171">
        <v>10</v>
      </c>
      <c r="B118" s="113" t="s">
        <v>279</v>
      </c>
      <c r="C118" s="114"/>
      <c r="D118" s="264" t="s">
        <v>72</v>
      </c>
      <c r="E118" s="230">
        <f t="shared" si="14"/>
        <v>0</v>
      </c>
      <c r="F118" s="267">
        <v>0</v>
      </c>
      <c r="G118" s="85"/>
      <c r="H118" s="145"/>
      <c r="J118" s="171">
        <v>10</v>
      </c>
      <c r="K118" s="113" t="s">
        <v>279</v>
      </c>
      <c r="L118" s="114"/>
      <c r="M118" s="277" t="s">
        <v>72</v>
      </c>
      <c r="N118" s="230">
        <f t="shared" si="15"/>
        <v>0</v>
      </c>
      <c r="O118" s="280">
        <v>0</v>
      </c>
      <c r="P118" s="132"/>
      <c r="Q118" s="145"/>
    </row>
    <row r="119" spans="1:17" ht="19.5" customHeight="1" x14ac:dyDescent="0.3">
      <c r="A119" s="171">
        <v>11</v>
      </c>
      <c r="B119" s="113" t="s">
        <v>280</v>
      </c>
      <c r="C119" s="114"/>
      <c r="D119" s="265" t="s">
        <v>72</v>
      </c>
      <c r="E119" s="230">
        <f t="shared" si="14"/>
        <v>0</v>
      </c>
      <c r="F119" s="267">
        <v>0</v>
      </c>
      <c r="G119" s="85"/>
      <c r="H119" s="145"/>
      <c r="J119" s="171">
        <v>11</v>
      </c>
      <c r="K119" s="113" t="s">
        <v>280</v>
      </c>
      <c r="L119" s="114"/>
      <c r="M119" s="278" t="s">
        <v>72</v>
      </c>
      <c r="N119" s="230">
        <f t="shared" si="15"/>
        <v>0</v>
      </c>
      <c r="O119" s="280">
        <v>0</v>
      </c>
      <c r="P119" s="132"/>
      <c r="Q119" s="145"/>
    </row>
    <row r="120" spans="1:17" ht="19.5" customHeight="1" x14ac:dyDescent="0.3">
      <c r="A120" s="170"/>
      <c r="B120" s="577" t="s">
        <v>81</v>
      </c>
      <c r="C120" s="578"/>
      <c r="D120" s="547"/>
      <c r="E120" s="548"/>
      <c r="F120" s="549"/>
      <c r="G120" s="231"/>
      <c r="H120" s="145"/>
      <c r="J120" s="170"/>
      <c r="K120" s="577" t="s">
        <v>81</v>
      </c>
      <c r="L120" s="578"/>
      <c r="M120" s="547"/>
      <c r="N120" s="548"/>
      <c r="O120" s="549"/>
      <c r="P120" s="231"/>
      <c r="Q120" s="145"/>
    </row>
    <row r="121" spans="1:17" ht="19.5" customHeight="1" x14ac:dyDescent="0.3">
      <c r="A121" s="171">
        <v>12</v>
      </c>
      <c r="B121" s="113" t="s">
        <v>281</v>
      </c>
      <c r="C121" s="113"/>
      <c r="D121" s="263" t="s">
        <v>72</v>
      </c>
      <c r="E121" s="229">
        <f t="shared" ref="E121:E133" si="16">IF(D121="Ya",4.2,0)</f>
        <v>0</v>
      </c>
      <c r="F121" s="266">
        <v>0</v>
      </c>
      <c r="G121" s="85"/>
      <c r="H121" s="145"/>
      <c r="J121" s="171">
        <v>12</v>
      </c>
      <c r="K121" s="113" t="s">
        <v>281</v>
      </c>
      <c r="L121" s="113"/>
      <c r="M121" s="276" t="s">
        <v>72</v>
      </c>
      <c r="N121" s="229">
        <f t="shared" ref="N121:N133" si="17">IF(M121="Ya",4.2,0)</f>
        <v>0</v>
      </c>
      <c r="O121" s="279">
        <v>0</v>
      </c>
      <c r="P121" s="132"/>
      <c r="Q121" s="145"/>
    </row>
    <row r="122" spans="1:17" ht="19.5" customHeight="1" x14ac:dyDescent="0.3">
      <c r="A122" s="171">
        <v>13</v>
      </c>
      <c r="B122" s="113" t="s">
        <v>256</v>
      </c>
      <c r="C122" s="113"/>
      <c r="D122" s="264" t="s">
        <v>72</v>
      </c>
      <c r="E122" s="230">
        <f t="shared" si="16"/>
        <v>0</v>
      </c>
      <c r="F122" s="267">
        <v>0</v>
      </c>
      <c r="G122" s="85"/>
      <c r="H122" s="145"/>
      <c r="J122" s="171">
        <v>13</v>
      </c>
      <c r="K122" s="113" t="s">
        <v>256</v>
      </c>
      <c r="L122" s="113"/>
      <c r="M122" s="277" t="s">
        <v>72</v>
      </c>
      <c r="N122" s="230">
        <f t="shared" si="17"/>
        <v>0</v>
      </c>
      <c r="O122" s="280">
        <v>0</v>
      </c>
      <c r="P122" s="132"/>
      <c r="Q122" s="145"/>
    </row>
    <row r="123" spans="1:17" ht="19.5" customHeight="1" x14ac:dyDescent="0.3">
      <c r="A123" s="171">
        <v>14</v>
      </c>
      <c r="B123" s="113" t="s">
        <v>70</v>
      </c>
      <c r="C123" s="113"/>
      <c r="D123" s="264" t="s">
        <v>72</v>
      </c>
      <c r="E123" s="230">
        <f t="shared" si="16"/>
        <v>0</v>
      </c>
      <c r="F123" s="267">
        <v>0</v>
      </c>
      <c r="G123" s="85"/>
      <c r="H123" s="145"/>
      <c r="J123" s="171">
        <v>14</v>
      </c>
      <c r="K123" s="113" t="s">
        <v>70</v>
      </c>
      <c r="L123" s="113"/>
      <c r="M123" s="277" t="s">
        <v>72</v>
      </c>
      <c r="N123" s="230">
        <f t="shared" si="17"/>
        <v>0</v>
      </c>
      <c r="O123" s="280">
        <v>0</v>
      </c>
      <c r="P123" s="132"/>
      <c r="Q123" s="145"/>
    </row>
    <row r="124" spans="1:17" ht="19.5" customHeight="1" x14ac:dyDescent="0.3">
      <c r="A124" s="171">
        <v>15</v>
      </c>
      <c r="B124" s="113" t="s">
        <v>282</v>
      </c>
      <c r="C124" s="113"/>
      <c r="D124" s="264" t="s">
        <v>72</v>
      </c>
      <c r="E124" s="230">
        <f t="shared" ref="E124" si="18">IF(D124="Ya",4.2,0)</f>
        <v>0</v>
      </c>
      <c r="F124" s="267">
        <v>0</v>
      </c>
      <c r="G124" s="85"/>
      <c r="H124" s="145"/>
      <c r="J124" s="171">
        <v>15</v>
      </c>
      <c r="K124" s="113" t="s">
        <v>282</v>
      </c>
      <c r="L124" s="113"/>
      <c r="M124" s="277" t="s">
        <v>72</v>
      </c>
      <c r="N124" s="230">
        <f t="shared" ref="N124" si="19">IF(M124="Ya",4.2,0)</f>
        <v>0</v>
      </c>
      <c r="O124" s="280">
        <v>0</v>
      </c>
      <c r="P124" s="132"/>
      <c r="Q124" s="145"/>
    </row>
    <row r="125" spans="1:17" ht="19.5" customHeight="1" x14ac:dyDescent="0.3">
      <c r="A125" s="171">
        <v>16</v>
      </c>
      <c r="B125" s="113" t="s">
        <v>287</v>
      </c>
      <c r="C125" s="113"/>
      <c r="D125" s="264" t="s">
        <v>72</v>
      </c>
      <c r="E125" s="230">
        <f t="shared" si="16"/>
        <v>0</v>
      </c>
      <c r="F125" s="267">
        <v>0</v>
      </c>
      <c r="G125" s="85"/>
      <c r="H125" s="145"/>
      <c r="J125" s="171">
        <v>16</v>
      </c>
      <c r="K125" s="113" t="s">
        <v>287</v>
      </c>
      <c r="L125" s="113"/>
      <c r="M125" s="277" t="s">
        <v>72</v>
      </c>
      <c r="N125" s="230">
        <f t="shared" si="17"/>
        <v>0</v>
      </c>
      <c r="O125" s="280">
        <v>0</v>
      </c>
      <c r="P125" s="132"/>
      <c r="Q125" s="145"/>
    </row>
    <row r="126" spans="1:17" ht="19.5" customHeight="1" x14ac:dyDescent="0.3">
      <c r="A126" s="171">
        <v>17</v>
      </c>
      <c r="B126" s="113" t="s">
        <v>257</v>
      </c>
      <c r="C126" s="113"/>
      <c r="D126" s="264" t="s">
        <v>72</v>
      </c>
      <c r="E126" s="230">
        <f t="shared" si="16"/>
        <v>0</v>
      </c>
      <c r="F126" s="267">
        <v>0</v>
      </c>
      <c r="G126" s="85"/>
      <c r="H126" s="145"/>
      <c r="J126" s="171">
        <v>17</v>
      </c>
      <c r="K126" s="113" t="s">
        <v>257</v>
      </c>
      <c r="L126" s="113"/>
      <c r="M126" s="277" t="s">
        <v>72</v>
      </c>
      <c r="N126" s="230">
        <f t="shared" si="17"/>
        <v>0</v>
      </c>
      <c r="O126" s="280">
        <v>0</v>
      </c>
      <c r="P126" s="132"/>
      <c r="Q126" s="145"/>
    </row>
    <row r="127" spans="1:17" ht="19.5" customHeight="1" x14ac:dyDescent="0.3">
      <c r="A127" s="171">
        <v>18</v>
      </c>
      <c r="B127" s="113" t="s">
        <v>288</v>
      </c>
      <c r="C127" s="113"/>
      <c r="D127" s="264" t="s">
        <v>72</v>
      </c>
      <c r="E127" s="230">
        <f t="shared" si="16"/>
        <v>0</v>
      </c>
      <c r="F127" s="267">
        <v>0</v>
      </c>
      <c r="G127" s="85"/>
      <c r="H127" s="145"/>
      <c r="J127" s="171">
        <v>18</v>
      </c>
      <c r="K127" s="113" t="s">
        <v>288</v>
      </c>
      <c r="L127" s="113"/>
      <c r="M127" s="277" t="s">
        <v>72</v>
      </c>
      <c r="N127" s="230">
        <f t="shared" si="17"/>
        <v>0</v>
      </c>
      <c r="O127" s="280">
        <v>0</v>
      </c>
      <c r="P127" s="132"/>
      <c r="Q127" s="145"/>
    </row>
    <row r="128" spans="1:17" ht="19.5" customHeight="1" x14ac:dyDescent="0.3">
      <c r="A128" s="171">
        <v>19</v>
      </c>
      <c r="B128" s="113" t="s">
        <v>289</v>
      </c>
      <c r="C128" s="113"/>
      <c r="D128" s="264" t="s">
        <v>72</v>
      </c>
      <c r="E128" s="230">
        <f t="shared" si="16"/>
        <v>0</v>
      </c>
      <c r="F128" s="267">
        <v>0</v>
      </c>
      <c r="G128" s="85"/>
      <c r="H128" s="145"/>
      <c r="J128" s="171">
        <v>19</v>
      </c>
      <c r="K128" s="113" t="s">
        <v>289</v>
      </c>
      <c r="L128" s="113"/>
      <c r="M128" s="277" t="s">
        <v>72</v>
      </c>
      <c r="N128" s="230">
        <f t="shared" si="17"/>
        <v>0</v>
      </c>
      <c r="O128" s="280">
        <v>0</v>
      </c>
      <c r="P128" s="132"/>
      <c r="Q128" s="145"/>
    </row>
    <row r="129" spans="1:17" ht="19.5" customHeight="1" x14ac:dyDescent="0.3">
      <c r="A129" s="171">
        <v>20</v>
      </c>
      <c r="B129" s="113" t="s">
        <v>283</v>
      </c>
      <c r="C129" s="113"/>
      <c r="D129" s="264" t="s">
        <v>72</v>
      </c>
      <c r="E129" s="230">
        <f t="shared" si="16"/>
        <v>0</v>
      </c>
      <c r="F129" s="267">
        <v>0</v>
      </c>
      <c r="G129" s="85"/>
      <c r="H129" s="145"/>
      <c r="J129" s="171">
        <v>20</v>
      </c>
      <c r="K129" s="113" t="s">
        <v>283</v>
      </c>
      <c r="L129" s="113"/>
      <c r="M129" s="277" t="s">
        <v>72</v>
      </c>
      <c r="N129" s="230">
        <f t="shared" si="17"/>
        <v>0</v>
      </c>
      <c r="O129" s="280">
        <v>0</v>
      </c>
      <c r="P129" s="132"/>
      <c r="Q129" s="145"/>
    </row>
    <row r="130" spans="1:17" ht="19.5" customHeight="1" x14ac:dyDescent="0.3">
      <c r="A130" s="171">
        <v>21</v>
      </c>
      <c r="B130" s="113" t="s">
        <v>258</v>
      </c>
      <c r="C130" s="113"/>
      <c r="D130" s="264" t="s">
        <v>72</v>
      </c>
      <c r="E130" s="230">
        <f t="shared" si="16"/>
        <v>0</v>
      </c>
      <c r="F130" s="267">
        <v>0</v>
      </c>
      <c r="G130" s="85"/>
      <c r="H130" s="145"/>
      <c r="J130" s="171">
        <v>21</v>
      </c>
      <c r="K130" s="113" t="s">
        <v>258</v>
      </c>
      <c r="L130" s="113"/>
      <c r="M130" s="277" t="s">
        <v>72</v>
      </c>
      <c r="N130" s="230">
        <f t="shared" si="17"/>
        <v>0</v>
      </c>
      <c r="O130" s="280">
        <v>0</v>
      </c>
      <c r="P130" s="132"/>
      <c r="Q130" s="145"/>
    </row>
    <row r="131" spans="1:17" ht="19.5" customHeight="1" x14ac:dyDescent="0.3">
      <c r="A131" s="171">
        <v>22</v>
      </c>
      <c r="B131" s="113" t="s">
        <v>284</v>
      </c>
      <c r="C131" s="113"/>
      <c r="D131" s="264" t="s">
        <v>72</v>
      </c>
      <c r="E131" s="230">
        <f t="shared" si="16"/>
        <v>0</v>
      </c>
      <c r="F131" s="267">
        <v>0</v>
      </c>
      <c r="G131" s="85"/>
      <c r="H131" s="145"/>
      <c r="J131" s="171">
        <v>22</v>
      </c>
      <c r="K131" s="113" t="s">
        <v>284</v>
      </c>
      <c r="L131" s="113"/>
      <c r="M131" s="277" t="s">
        <v>72</v>
      </c>
      <c r="N131" s="230">
        <f t="shared" si="17"/>
        <v>0</v>
      </c>
      <c r="O131" s="280">
        <v>0</v>
      </c>
      <c r="P131" s="132"/>
      <c r="Q131" s="145"/>
    </row>
    <row r="132" spans="1:17" ht="19.5" customHeight="1" x14ac:dyDescent="0.3">
      <c r="A132" s="171">
        <v>23</v>
      </c>
      <c r="B132" s="113" t="s">
        <v>285</v>
      </c>
      <c r="C132" s="113"/>
      <c r="D132" s="264" t="s">
        <v>72</v>
      </c>
      <c r="E132" s="230">
        <f t="shared" si="16"/>
        <v>0</v>
      </c>
      <c r="F132" s="267">
        <v>0</v>
      </c>
      <c r="G132" s="85"/>
      <c r="H132" s="145"/>
      <c r="J132" s="171">
        <v>23</v>
      </c>
      <c r="K132" s="113" t="s">
        <v>285</v>
      </c>
      <c r="L132" s="113"/>
      <c r="M132" s="277" t="s">
        <v>72</v>
      </c>
      <c r="N132" s="230">
        <f t="shared" si="17"/>
        <v>0</v>
      </c>
      <c r="O132" s="280">
        <v>0</v>
      </c>
      <c r="P132" s="132"/>
      <c r="Q132" s="145"/>
    </row>
    <row r="133" spans="1:17" ht="19.5" customHeight="1" x14ac:dyDescent="0.3">
      <c r="A133" s="171">
        <v>24</v>
      </c>
      <c r="B133" s="113" t="s">
        <v>286</v>
      </c>
      <c r="C133" s="113"/>
      <c r="D133" s="265" t="s">
        <v>72</v>
      </c>
      <c r="E133" s="230">
        <f t="shared" si="16"/>
        <v>0</v>
      </c>
      <c r="F133" s="267">
        <v>0</v>
      </c>
      <c r="G133" s="85"/>
      <c r="H133" s="145"/>
      <c r="J133" s="171">
        <v>24</v>
      </c>
      <c r="K133" s="113" t="s">
        <v>286</v>
      </c>
      <c r="L133" s="113"/>
      <c r="M133" s="278" t="s">
        <v>72</v>
      </c>
      <c r="N133" s="230">
        <f t="shared" si="17"/>
        <v>0</v>
      </c>
      <c r="O133" s="280">
        <v>0</v>
      </c>
      <c r="P133" s="132"/>
      <c r="Q133" s="145"/>
    </row>
    <row r="134" spans="1:17" ht="19.5" customHeight="1" x14ac:dyDescent="0.3">
      <c r="A134" s="172"/>
      <c r="B134" s="281"/>
      <c r="C134" s="121" t="s">
        <v>94</v>
      </c>
      <c r="D134" s="210"/>
      <c r="E134" s="122">
        <f>ROUNDDOWN(SUM(E109:E133),0)</f>
        <v>0</v>
      </c>
      <c r="F134" s="122">
        <f>ROUNDDOWN(SUM(F109:F133),0)</f>
        <v>0</v>
      </c>
      <c r="G134" s="116"/>
      <c r="H134" s="173"/>
      <c r="J134" s="172"/>
      <c r="K134" s="281"/>
      <c r="L134" s="121" t="s">
        <v>94</v>
      </c>
      <c r="M134" s="210"/>
      <c r="N134" s="122">
        <f>ROUNDDOWN(SUM(N109:N133),0)</f>
        <v>0</v>
      </c>
      <c r="O134" s="122">
        <f>ROUNDDOWN(SUM(O109:O133),0)</f>
        <v>0</v>
      </c>
      <c r="P134" s="100"/>
      <c r="Q134" s="173"/>
    </row>
    <row r="135" spans="1:17" ht="19.5" customHeight="1" x14ac:dyDescent="0.3">
      <c r="A135" s="174"/>
      <c r="B135" s="175"/>
      <c r="C135" s="175"/>
      <c r="D135" s="100"/>
      <c r="E135" s="133"/>
      <c r="F135" s="133"/>
      <c r="G135" s="129"/>
      <c r="H135" s="130"/>
      <c r="J135" s="174"/>
      <c r="K135" s="175"/>
      <c r="L135" s="175"/>
      <c r="M135" s="100"/>
      <c r="N135" s="133"/>
      <c r="O135" s="133"/>
      <c r="P135" s="129"/>
      <c r="Q135" s="130"/>
    </row>
    <row r="136" spans="1:17" ht="19.5" customHeight="1" x14ac:dyDescent="0.3">
      <c r="A136" s="144"/>
      <c r="B136" s="137"/>
      <c r="C136" s="139"/>
      <c r="D136" s="117" t="s">
        <v>151</v>
      </c>
      <c r="E136" s="176">
        <v>4.2</v>
      </c>
      <c r="F136" s="177" t="s">
        <v>152</v>
      </c>
      <c r="G136" s="85"/>
      <c r="H136" s="145"/>
      <c r="J136" s="144"/>
      <c r="K136" s="137"/>
      <c r="L136" s="139"/>
      <c r="M136" s="117" t="s">
        <v>151</v>
      </c>
      <c r="N136" s="176">
        <v>4.2</v>
      </c>
      <c r="O136" s="177" t="s">
        <v>152</v>
      </c>
      <c r="P136" s="132"/>
      <c r="Q136" s="145"/>
    </row>
    <row r="137" spans="1:17" ht="19.5" customHeight="1" x14ac:dyDescent="0.3">
      <c r="A137" s="144"/>
      <c r="B137" s="137"/>
      <c r="C137" s="139"/>
      <c r="D137" s="98"/>
      <c r="E137" s="176">
        <f>E138*2</f>
        <v>2.78</v>
      </c>
      <c r="F137" s="177" t="s">
        <v>153</v>
      </c>
      <c r="G137" s="85"/>
      <c r="H137" s="145"/>
      <c r="J137" s="144"/>
      <c r="K137" s="137"/>
      <c r="L137" s="139"/>
      <c r="M137" s="98"/>
      <c r="N137" s="176">
        <f>N138*2</f>
        <v>2.78</v>
      </c>
      <c r="O137" s="177" t="s">
        <v>153</v>
      </c>
      <c r="P137" s="132"/>
      <c r="Q137" s="145"/>
    </row>
    <row r="138" spans="1:17" ht="19.5" customHeight="1" x14ac:dyDescent="0.3">
      <c r="A138" s="144"/>
      <c r="B138" s="137"/>
      <c r="C138" s="139"/>
      <c r="D138" s="98"/>
      <c r="E138" s="176">
        <v>1.39</v>
      </c>
      <c r="F138" s="177" t="s">
        <v>154</v>
      </c>
      <c r="G138" s="85"/>
      <c r="H138" s="145"/>
      <c r="J138" s="144"/>
      <c r="K138" s="137"/>
      <c r="L138" s="139"/>
      <c r="M138" s="98"/>
      <c r="N138" s="176">
        <v>1.39</v>
      </c>
      <c r="O138" s="177" t="s">
        <v>154</v>
      </c>
      <c r="P138" s="132"/>
      <c r="Q138" s="145"/>
    </row>
    <row r="139" spans="1:17" ht="19.5" customHeight="1" x14ac:dyDescent="0.3">
      <c r="A139" s="144"/>
      <c r="B139" s="137"/>
      <c r="C139" s="139"/>
      <c r="D139" s="98"/>
      <c r="E139" s="178">
        <v>0</v>
      </c>
      <c r="F139" s="177" t="s">
        <v>155</v>
      </c>
      <c r="G139" s="85"/>
      <c r="H139" s="145"/>
      <c r="J139" s="144"/>
      <c r="K139" s="137"/>
      <c r="L139" s="139"/>
      <c r="M139" s="98"/>
      <c r="N139" s="178">
        <v>0</v>
      </c>
      <c r="O139" s="177" t="s">
        <v>155</v>
      </c>
      <c r="P139" s="132"/>
      <c r="Q139" s="145"/>
    </row>
    <row r="140" spans="1:17" ht="19.5" customHeight="1" x14ac:dyDescent="0.3">
      <c r="A140" s="144"/>
      <c r="B140" s="137"/>
      <c r="C140" s="179" t="s">
        <v>156</v>
      </c>
      <c r="D140" s="129"/>
      <c r="E140" s="180"/>
      <c r="F140" s="180"/>
      <c r="G140" s="129"/>
      <c r="H140" s="145"/>
      <c r="J140" s="144"/>
      <c r="K140" s="137"/>
      <c r="L140" s="179" t="s">
        <v>156</v>
      </c>
      <c r="M140" s="129"/>
      <c r="N140" s="180"/>
      <c r="O140" s="180"/>
      <c r="P140" s="129"/>
      <c r="Q140" s="145"/>
    </row>
    <row r="141" spans="1:17" ht="19.5" customHeight="1" thickBot="1" x14ac:dyDescent="0.35">
      <c r="A141" s="181"/>
      <c r="B141" s="182"/>
      <c r="C141" s="182"/>
      <c r="D141" s="183"/>
      <c r="E141" s="184"/>
      <c r="F141" s="184"/>
      <c r="G141" s="185"/>
      <c r="H141" s="186"/>
      <c r="J141" s="181"/>
      <c r="K141" s="182"/>
      <c r="L141" s="182"/>
      <c r="M141" s="183"/>
      <c r="N141" s="184"/>
      <c r="O141" s="184"/>
      <c r="P141" s="185"/>
      <c r="Q141" s="186"/>
    </row>
    <row r="142" spans="1:17" ht="19.5" customHeight="1" x14ac:dyDescent="0.3">
      <c r="A142" s="118"/>
      <c r="B142" s="115"/>
      <c r="C142" s="115"/>
    </row>
    <row r="143" spans="1:17" ht="19.5" customHeight="1" x14ac:dyDescent="0.3">
      <c r="A143" s="118"/>
      <c r="B143" s="115"/>
      <c r="C143" s="115"/>
    </row>
    <row r="144" spans="1:17" ht="19.5" customHeight="1" x14ac:dyDescent="0.3">
      <c r="A144" s="118"/>
      <c r="B144" s="115"/>
      <c r="C144" s="115"/>
    </row>
    <row r="145" spans="1:3" ht="19.5" customHeight="1" x14ac:dyDescent="0.3">
      <c r="A145" s="118"/>
      <c r="B145" s="115"/>
      <c r="C145" s="115"/>
    </row>
    <row r="146" spans="1:3" ht="19.5" customHeight="1" x14ac:dyDescent="0.3">
      <c r="A146" s="118"/>
      <c r="B146" s="115"/>
      <c r="C146" s="115"/>
    </row>
    <row r="147" spans="1:3" ht="19.5" customHeight="1" x14ac:dyDescent="0.3">
      <c r="A147" s="118"/>
      <c r="B147" s="115"/>
      <c r="C147" s="115"/>
    </row>
    <row r="148" spans="1:3" ht="19.5" customHeight="1" x14ac:dyDescent="0.3">
      <c r="A148" s="118"/>
      <c r="B148" s="115"/>
      <c r="C148" s="115"/>
    </row>
    <row r="149" spans="1:3" ht="19.5" customHeight="1" x14ac:dyDescent="0.3">
      <c r="A149" s="118"/>
      <c r="B149" s="115"/>
      <c r="C149" s="115"/>
    </row>
    <row r="150" spans="1:3" ht="19.5" customHeight="1" x14ac:dyDescent="0.3">
      <c r="A150" s="118"/>
      <c r="B150" s="115"/>
      <c r="C150" s="115"/>
    </row>
  </sheetData>
  <sheetProtection algorithmName="SHA-512" hashValue="gEz4gg1UMauh86bzQLx49jtwGcV+/9TN+ViNAWySsAIE/D7ygpFZ7cmRSbU/qhJM4qO5Umb+fNBify/jbhvU1A==" saltValue="UF0UnXQOTyyspblcMxnhpQ==" spinCount="100000" sheet="1" objects="1" scenarios="1" selectLockedCells="1"/>
  <mergeCells count="160">
    <mergeCell ref="A12:A19"/>
    <mergeCell ref="B12:C12"/>
    <mergeCell ref="J12:J19"/>
    <mergeCell ref="K12:L12"/>
    <mergeCell ref="A5:H6"/>
    <mergeCell ref="J5:Q6"/>
    <mergeCell ref="B8:C8"/>
    <mergeCell ref="K8:L8"/>
    <mergeCell ref="B9:C9"/>
    <mergeCell ref="K9:L9"/>
    <mergeCell ref="B20:C20"/>
    <mergeCell ref="K20:L20"/>
    <mergeCell ref="B21:C21"/>
    <mergeCell ref="K21:L21"/>
    <mergeCell ref="B22:C22"/>
    <mergeCell ref="K22:L22"/>
    <mergeCell ref="B10:C10"/>
    <mergeCell ref="K10:L10"/>
    <mergeCell ref="B11:C11"/>
    <mergeCell ref="K11:L11"/>
    <mergeCell ref="B26:C26"/>
    <mergeCell ref="K26:L26"/>
    <mergeCell ref="B27:C27"/>
    <mergeCell ref="K27:L27"/>
    <mergeCell ref="A28:C28"/>
    <mergeCell ref="J28:L28"/>
    <mergeCell ref="B23:C23"/>
    <mergeCell ref="K23:L23"/>
    <mergeCell ref="B24:C24"/>
    <mergeCell ref="K24:L24"/>
    <mergeCell ref="B25:C25"/>
    <mergeCell ref="K25:L25"/>
    <mergeCell ref="B34:C34"/>
    <mergeCell ref="K34:L34"/>
    <mergeCell ref="B35:C35"/>
    <mergeCell ref="K35:L35"/>
    <mergeCell ref="B36:C36"/>
    <mergeCell ref="K36:L36"/>
    <mergeCell ref="B31:C31"/>
    <mergeCell ref="K31:L31"/>
    <mergeCell ref="B32:C32"/>
    <mergeCell ref="K32:L32"/>
    <mergeCell ref="B33:C33"/>
    <mergeCell ref="K33:L33"/>
    <mergeCell ref="B43:C43"/>
    <mergeCell ref="K43:L43"/>
    <mergeCell ref="B44:C44"/>
    <mergeCell ref="K44:L44"/>
    <mergeCell ref="B45:C45"/>
    <mergeCell ref="K45:L45"/>
    <mergeCell ref="B37:C37"/>
    <mergeCell ref="K37:L37"/>
    <mergeCell ref="B38:C38"/>
    <mergeCell ref="K38:L38"/>
    <mergeCell ref="B39:C39"/>
    <mergeCell ref="K39:L39"/>
    <mergeCell ref="B52:C52"/>
    <mergeCell ref="K52:L52"/>
    <mergeCell ref="B53:C53"/>
    <mergeCell ref="K53:L53"/>
    <mergeCell ref="B54:C54"/>
    <mergeCell ref="K54:L54"/>
    <mergeCell ref="B46:C46"/>
    <mergeCell ref="K46:L46"/>
    <mergeCell ref="B50:C50"/>
    <mergeCell ref="K50:L50"/>
    <mergeCell ref="B51:C51"/>
    <mergeCell ref="K51:L51"/>
    <mergeCell ref="C61:D61"/>
    <mergeCell ref="L61:M61"/>
    <mergeCell ref="B62:C62"/>
    <mergeCell ref="K62:L62"/>
    <mergeCell ref="B63:C63"/>
    <mergeCell ref="K63:L63"/>
    <mergeCell ref="B55:C55"/>
    <mergeCell ref="K55:L55"/>
    <mergeCell ref="B56:C56"/>
    <mergeCell ref="K56:L56"/>
    <mergeCell ref="B57:C57"/>
    <mergeCell ref="K57:L57"/>
    <mergeCell ref="C68:E68"/>
    <mergeCell ref="L68:N68"/>
    <mergeCell ref="B69:C69"/>
    <mergeCell ref="K69:L69"/>
    <mergeCell ref="B70:C70"/>
    <mergeCell ref="K70:L70"/>
    <mergeCell ref="B64:C64"/>
    <mergeCell ref="K64:L64"/>
    <mergeCell ref="B65:C65"/>
    <mergeCell ref="K65:L65"/>
    <mergeCell ref="B66:C66"/>
    <mergeCell ref="K66:L66"/>
    <mergeCell ref="B74:C74"/>
    <mergeCell ref="K74:L74"/>
    <mergeCell ref="C76:E76"/>
    <mergeCell ref="L76:N76"/>
    <mergeCell ref="B77:C77"/>
    <mergeCell ref="K77:L77"/>
    <mergeCell ref="B71:C71"/>
    <mergeCell ref="K71:L71"/>
    <mergeCell ref="B72:C72"/>
    <mergeCell ref="K72:L72"/>
    <mergeCell ref="B73:C73"/>
    <mergeCell ref="K73:L73"/>
    <mergeCell ref="B81:C81"/>
    <mergeCell ref="K81:L81"/>
    <mergeCell ref="B82:C82"/>
    <mergeCell ref="K82:L82"/>
    <mergeCell ref="C84:E84"/>
    <mergeCell ref="L84:N84"/>
    <mergeCell ref="B78:C78"/>
    <mergeCell ref="K78:L78"/>
    <mergeCell ref="B79:C79"/>
    <mergeCell ref="K79:L79"/>
    <mergeCell ref="B80:C80"/>
    <mergeCell ref="K80:L80"/>
    <mergeCell ref="B88:C88"/>
    <mergeCell ref="K88:L88"/>
    <mergeCell ref="B89:C89"/>
    <mergeCell ref="K89:L89"/>
    <mergeCell ref="B92:C92"/>
    <mergeCell ref="K92:L92"/>
    <mergeCell ref="B85:C85"/>
    <mergeCell ref="K85:L85"/>
    <mergeCell ref="B86:C86"/>
    <mergeCell ref="K86:L86"/>
    <mergeCell ref="B87:C87"/>
    <mergeCell ref="K87:L87"/>
    <mergeCell ref="B96:C96"/>
    <mergeCell ref="K96:L96"/>
    <mergeCell ref="B98:E98"/>
    <mergeCell ref="K98:N98"/>
    <mergeCell ref="B99:C99"/>
    <mergeCell ref="K99:L99"/>
    <mergeCell ref="B93:C93"/>
    <mergeCell ref="K93:L93"/>
    <mergeCell ref="B94:C94"/>
    <mergeCell ref="K94:L94"/>
    <mergeCell ref="B95:C95"/>
    <mergeCell ref="K95:L95"/>
    <mergeCell ref="A106:A107"/>
    <mergeCell ref="B106:C107"/>
    <mergeCell ref="J106:J107"/>
    <mergeCell ref="K106:L107"/>
    <mergeCell ref="B100:C100"/>
    <mergeCell ref="K100:L100"/>
    <mergeCell ref="B101:C101"/>
    <mergeCell ref="K101:L101"/>
    <mergeCell ref="B102:C102"/>
    <mergeCell ref="K102:L102"/>
    <mergeCell ref="B108:C108"/>
    <mergeCell ref="D108:F108"/>
    <mergeCell ref="K108:L108"/>
    <mergeCell ref="M108:O108"/>
    <mergeCell ref="B120:C120"/>
    <mergeCell ref="D120:F120"/>
    <mergeCell ref="K120:L120"/>
    <mergeCell ref="M120:O120"/>
    <mergeCell ref="B103:C103"/>
    <mergeCell ref="K103:L103"/>
  </mergeCells>
  <dataValidations count="5">
    <dataValidation type="list" allowBlank="1" showInputMessage="1" showErrorMessage="1" sqref="F121:F133 F109:F119 O109:O119 O121:O133" xr:uid="{00000000-0002-0000-0600-000000000000}">
      <formula1>"0,1,4,2,8,4,2"</formula1>
    </dataValidation>
    <dataValidation type="list" allowBlank="1" showInputMessage="1" showErrorMessage="1" sqref="F70:F73 F78:F81 O70:O73 O78:O81" xr:uid="{00000000-0002-0000-0600-000001000000}">
      <formula1>"0,1,2,3,4,5"</formula1>
    </dataValidation>
    <dataValidation type="list" allowBlank="1" showInputMessage="1" showErrorMessage="1" sqref="D109:D119 E9:E11 N44 E13:E27 M109:M119 N9:N11 D121:D133 N13:N27 N32:N39 E44 N51:N57 E32:E39 E51:E57 M121:M133" xr:uid="{00000000-0002-0000-0600-000002000000}">
      <formula1>"Ya,Tidak"</formula1>
    </dataValidation>
    <dataValidation type="list" allowBlank="1" showDropDown="1" showInputMessage="1" showErrorMessage="1" sqref="E45:E46 N45:N46" xr:uid="{00000000-0002-0000-0600-000003000000}">
      <formula1>"Ya,Tidak"</formula1>
    </dataValidation>
    <dataValidation type="list" allowBlank="1" showInputMessage="1" showErrorMessage="1" sqref="E86 N86" xr:uid="{00000000-0002-0000-0600-000004000000}">
      <formula1>"0,100"</formula1>
    </dataValidation>
  </dataValidation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Z150"/>
  <sheetViews>
    <sheetView topLeftCell="A96" zoomScale="38" zoomScaleNormal="60" workbookViewId="0">
      <selection activeCell="M121" sqref="M121"/>
    </sheetView>
  </sheetViews>
  <sheetFormatPr defaultColWidth="9.21875" defaultRowHeight="19.5" customHeight="1" x14ac:dyDescent="0.3"/>
  <cols>
    <col min="1" max="1" width="7" style="84" customWidth="1"/>
    <col min="2" max="2" width="5.5546875" style="92" customWidth="1"/>
    <col min="3" max="3" width="87.5546875" style="81" customWidth="1"/>
    <col min="4" max="4" width="24.5546875" style="85" customWidth="1"/>
    <col min="5" max="5" width="21.5546875" style="83" bestFit="1" customWidth="1"/>
    <col min="6" max="6" width="18.77734375" style="83" customWidth="1"/>
    <col min="7" max="8" width="16.21875" style="84" customWidth="1"/>
    <col min="9" max="9" width="13.5546875" style="85" customWidth="1"/>
    <col min="10" max="10" width="4.77734375" style="85" bestFit="1" customWidth="1"/>
    <col min="11" max="11" width="5.5546875" style="91" customWidth="1"/>
    <col min="12" max="12" width="87.44140625" style="91" customWidth="1"/>
    <col min="13" max="13" width="26" style="85" customWidth="1"/>
    <col min="14" max="14" width="21.5546875" style="85" bestFit="1" customWidth="1"/>
    <col min="15" max="15" width="22.5546875" style="85" bestFit="1" customWidth="1"/>
    <col min="16" max="16" width="18.21875" style="85" customWidth="1"/>
    <col min="17" max="17" width="15.21875" style="85" customWidth="1"/>
    <col min="18" max="18" width="9.21875" style="107"/>
    <col min="19" max="19" width="5.5546875" style="85" bestFit="1" customWidth="1"/>
    <col min="20" max="20" width="9.21875" style="85"/>
    <col min="21" max="21" width="97.77734375" style="85" customWidth="1"/>
    <col min="22" max="22" width="32.21875" style="85" customWidth="1"/>
    <col min="23" max="23" width="16.21875" style="85" bestFit="1" customWidth="1"/>
    <col min="24" max="24" width="9.5546875" style="85" customWidth="1"/>
    <col min="25" max="16384" width="9.21875" style="85"/>
  </cols>
  <sheetData>
    <row r="1" spans="1:24" ht="19.5" customHeight="1" x14ac:dyDescent="0.3">
      <c r="A1" s="217" t="s">
        <v>188</v>
      </c>
      <c r="B1" s="105"/>
      <c r="C1" s="106"/>
      <c r="D1" s="82"/>
      <c r="H1" s="82"/>
    </row>
    <row r="2" spans="1:24" ht="19.5" customHeight="1" x14ac:dyDescent="0.3">
      <c r="A2" s="217" t="s">
        <v>2</v>
      </c>
      <c r="B2" s="105" t="s">
        <v>187</v>
      </c>
      <c r="C2" s="253"/>
      <c r="D2" s="82"/>
      <c r="H2" s="82"/>
    </row>
    <row r="3" spans="1:24" s="107" customFormat="1" ht="19.5" customHeight="1" x14ac:dyDescent="0.3">
      <c r="A3" s="254" t="s">
        <v>191</v>
      </c>
      <c r="B3" s="218"/>
      <c r="C3" s="219"/>
      <c r="D3" s="101"/>
      <c r="E3" s="108"/>
      <c r="F3" s="108"/>
      <c r="G3" s="94"/>
      <c r="H3" s="101"/>
      <c r="K3" s="220"/>
      <c r="L3" s="220"/>
      <c r="R3" s="154"/>
      <c r="S3" s="154"/>
      <c r="T3" s="154"/>
      <c r="U3" s="154"/>
      <c r="V3" s="154"/>
      <c r="W3" s="154"/>
      <c r="X3" s="154"/>
    </row>
    <row r="4" spans="1:24" s="107" customFormat="1" ht="19.5" customHeight="1" thickBot="1" x14ac:dyDescent="0.35">
      <c r="A4" s="221"/>
      <c r="B4" s="105"/>
      <c r="C4" s="106"/>
      <c r="D4" s="101"/>
      <c r="E4" s="108"/>
      <c r="F4" s="108"/>
      <c r="G4" s="94"/>
      <c r="H4" s="101"/>
      <c r="K4" s="220"/>
      <c r="L4" s="220"/>
      <c r="R4" s="154"/>
      <c r="S4" s="154"/>
      <c r="T4" s="154"/>
      <c r="U4" s="154"/>
      <c r="V4" s="154"/>
      <c r="W4" s="154"/>
      <c r="X4" s="154"/>
    </row>
    <row r="5" spans="1:24" s="107" customFormat="1" ht="19.5" customHeight="1" x14ac:dyDescent="0.3">
      <c r="A5" s="537" t="s">
        <v>185</v>
      </c>
      <c r="B5" s="538"/>
      <c r="C5" s="538"/>
      <c r="D5" s="538"/>
      <c r="E5" s="538"/>
      <c r="F5" s="538"/>
      <c r="G5" s="538"/>
      <c r="H5" s="539"/>
      <c r="I5" s="85"/>
      <c r="J5" s="537" t="s">
        <v>192</v>
      </c>
      <c r="K5" s="538"/>
      <c r="L5" s="538"/>
      <c r="M5" s="538"/>
      <c r="N5" s="538"/>
      <c r="O5" s="538"/>
      <c r="P5" s="538"/>
      <c r="Q5" s="539"/>
      <c r="R5" s="310"/>
      <c r="S5" s="310"/>
      <c r="T5" s="310"/>
      <c r="U5" s="310"/>
      <c r="V5" s="310"/>
      <c r="W5" s="310"/>
      <c r="X5" s="310"/>
    </row>
    <row r="6" spans="1:24" s="107" customFormat="1" ht="19.5" customHeight="1" thickBot="1" x14ac:dyDescent="0.35">
      <c r="A6" s="540"/>
      <c r="B6" s="541"/>
      <c r="C6" s="541"/>
      <c r="D6" s="541"/>
      <c r="E6" s="541"/>
      <c r="F6" s="541"/>
      <c r="G6" s="541"/>
      <c r="H6" s="542"/>
      <c r="I6" s="85"/>
      <c r="J6" s="540"/>
      <c r="K6" s="541"/>
      <c r="L6" s="541"/>
      <c r="M6" s="541"/>
      <c r="N6" s="541"/>
      <c r="O6" s="541"/>
      <c r="P6" s="541"/>
      <c r="Q6" s="542"/>
      <c r="R6" s="310"/>
      <c r="S6" s="310"/>
      <c r="T6" s="310"/>
      <c r="U6" s="310"/>
      <c r="V6" s="310"/>
      <c r="W6" s="310"/>
      <c r="X6" s="310"/>
    </row>
    <row r="7" spans="1:24" s="329" customFormat="1" ht="19.5" customHeight="1" x14ac:dyDescent="0.25">
      <c r="A7" s="326" t="s">
        <v>20</v>
      </c>
      <c r="B7" s="327" t="s">
        <v>101</v>
      </c>
      <c r="C7" s="330" t="s">
        <v>225</v>
      </c>
      <c r="D7" s="327"/>
      <c r="E7" s="327"/>
      <c r="F7" s="328"/>
      <c r="G7" s="282"/>
      <c r="H7" s="295"/>
      <c r="J7" s="326" t="s">
        <v>20</v>
      </c>
      <c r="K7" s="327" t="s">
        <v>101</v>
      </c>
      <c r="L7" s="330" t="s">
        <v>225</v>
      </c>
      <c r="M7" s="327"/>
      <c r="N7" s="327"/>
      <c r="O7" s="328"/>
      <c r="P7" s="282"/>
      <c r="Q7" s="295"/>
      <c r="R7" s="195"/>
      <c r="S7" s="282"/>
      <c r="T7" s="282"/>
      <c r="U7" s="282"/>
      <c r="V7" s="282"/>
      <c r="W7" s="282"/>
      <c r="X7" s="282"/>
    </row>
    <row r="8" spans="1:24" ht="19.5" customHeight="1" x14ac:dyDescent="0.3">
      <c r="A8" s="131" t="s">
        <v>1</v>
      </c>
      <c r="B8" s="534" t="s">
        <v>99</v>
      </c>
      <c r="C8" s="534"/>
      <c r="D8" s="86" t="s">
        <v>25</v>
      </c>
      <c r="E8" s="87" t="s">
        <v>100</v>
      </c>
      <c r="F8" s="66" t="s">
        <v>23</v>
      </c>
      <c r="G8" s="201"/>
      <c r="H8" s="130"/>
      <c r="J8" s="131" t="s">
        <v>1</v>
      </c>
      <c r="K8" s="534" t="s">
        <v>99</v>
      </c>
      <c r="L8" s="534"/>
      <c r="M8" s="86" t="s">
        <v>25</v>
      </c>
      <c r="N8" s="87" t="s">
        <v>100</v>
      </c>
      <c r="O8" s="66" t="s">
        <v>23</v>
      </c>
      <c r="P8" s="201"/>
      <c r="Q8" s="130"/>
      <c r="R8" s="156"/>
      <c r="S8" s="132"/>
      <c r="T8" s="132"/>
      <c r="U8" s="132"/>
      <c r="V8" s="132"/>
      <c r="W8" s="132"/>
      <c r="X8" s="132"/>
    </row>
    <row r="9" spans="1:24" ht="19.5" customHeight="1" x14ac:dyDescent="0.3">
      <c r="A9" s="141" t="s">
        <v>101</v>
      </c>
      <c r="B9" s="543" t="s">
        <v>3</v>
      </c>
      <c r="C9" s="543"/>
      <c r="D9" s="255"/>
      <c r="E9" s="256" t="s">
        <v>72</v>
      </c>
      <c r="F9" s="67">
        <f>IF(E9="Ya",100,0)</f>
        <v>0</v>
      </c>
      <c r="G9" s="208"/>
      <c r="H9" s="130"/>
      <c r="J9" s="141" t="s">
        <v>101</v>
      </c>
      <c r="K9" s="543" t="s">
        <v>3</v>
      </c>
      <c r="L9" s="543"/>
      <c r="M9" s="268"/>
      <c r="N9" s="269" t="s">
        <v>72</v>
      </c>
      <c r="O9" s="67">
        <f>IF(N9="Ya",100,0)</f>
        <v>0</v>
      </c>
      <c r="P9" s="208"/>
      <c r="Q9" s="130"/>
      <c r="R9" s="156"/>
      <c r="S9" s="132"/>
      <c r="T9" s="132"/>
      <c r="U9" s="132"/>
      <c r="V9" s="132"/>
      <c r="W9" s="132"/>
      <c r="X9" s="132"/>
    </row>
    <row r="10" spans="1:24" ht="19.5" customHeight="1" x14ac:dyDescent="0.3">
      <c r="A10" s="141" t="s">
        <v>102</v>
      </c>
      <c r="B10" s="543" t="s">
        <v>4</v>
      </c>
      <c r="C10" s="543"/>
      <c r="D10" s="222"/>
      <c r="E10" s="256" t="s">
        <v>72</v>
      </c>
      <c r="F10" s="67">
        <f t="shared" ref="F10:F27" si="0">IF(E10="Ya",100,0)</f>
        <v>0</v>
      </c>
      <c r="G10" s="208"/>
      <c r="H10" s="130"/>
      <c r="J10" s="141" t="s">
        <v>102</v>
      </c>
      <c r="K10" s="543" t="s">
        <v>4</v>
      </c>
      <c r="L10" s="543"/>
      <c r="M10" s="222"/>
      <c r="N10" s="269" t="s">
        <v>72</v>
      </c>
      <c r="O10" s="67">
        <f t="shared" ref="O10:O27" si="1">IF(N10="Ya",100,0)</f>
        <v>0</v>
      </c>
      <c r="P10" s="208"/>
      <c r="Q10" s="130"/>
      <c r="R10" s="156"/>
      <c r="S10" s="132"/>
      <c r="T10" s="132"/>
      <c r="U10" s="132"/>
      <c r="V10" s="132"/>
      <c r="W10" s="132"/>
      <c r="X10" s="132"/>
    </row>
    <row r="11" spans="1:24" ht="19.5" customHeight="1" x14ac:dyDescent="0.3">
      <c r="A11" s="141" t="s">
        <v>103</v>
      </c>
      <c r="B11" s="543" t="s">
        <v>206</v>
      </c>
      <c r="C11" s="543"/>
      <c r="D11" s="222"/>
      <c r="E11" s="256" t="s">
        <v>72</v>
      </c>
      <c r="F11" s="67">
        <f t="shared" si="0"/>
        <v>0</v>
      </c>
      <c r="G11" s="208"/>
      <c r="H11" s="130"/>
      <c r="J11" s="141" t="s">
        <v>103</v>
      </c>
      <c r="K11" s="543" t="s">
        <v>206</v>
      </c>
      <c r="L11" s="543"/>
      <c r="M11" s="222"/>
      <c r="N11" s="269" t="s">
        <v>72</v>
      </c>
      <c r="O11" s="67">
        <f t="shared" si="1"/>
        <v>0</v>
      </c>
      <c r="P11" s="208"/>
      <c r="Q11" s="130"/>
      <c r="R11" s="156"/>
    </row>
    <row r="12" spans="1:24" ht="19.5" customHeight="1" x14ac:dyDescent="0.3">
      <c r="A12" s="550" t="s">
        <v>104</v>
      </c>
      <c r="B12" s="543" t="s">
        <v>105</v>
      </c>
      <c r="C12" s="543"/>
      <c r="D12" s="223"/>
      <c r="E12" s="223"/>
      <c r="F12" s="67"/>
      <c r="G12" s="208"/>
      <c r="H12" s="130"/>
      <c r="J12" s="550" t="s">
        <v>104</v>
      </c>
      <c r="K12" s="543" t="s">
        <v>105</v>
      </c>
      <c r="L12" s="543"/>
      <c r="M12" s="223"/>
      <c r="N12" s="223"/>
      <c r="O12" s="67"/>
      <c r="P12" s="208"/>
      <c r="Q12" s="130"/>
      <c r="R12" s="156"/>
    </row>
    <row r="13" spans="1:24" ht="34.049999999999997" customHeight="1" x14ac:dyDescent="0.3">
      <c r="A13" s="551"/>
      <c r="B13" s="89" t="s">
        <v>106</v>
      </c>
      <c r="C13" s="257" t="s">
        <v>189</v>
      </c>
      <c r="D13" s="222"/>
      <c r="E13" s="256" t="s">
        <v>72</v>
      </c>
      <c r="F13" s="67">
        <f t="shared" si="0"/>
        <v>0</v>
      </c>
      <c r="G13" s="208"/>
      <c r="H13" s="130"/>
      <c r="J13" s="551"/>
      <c r="K13" s="89" t="s">
        <v>106</v>
      </c>
      <c r="L13" s="270" t="s">
        <v>189</v>
      </c>
      <c r="M13" s="222"/>
      <c r="N13" s="269" t="s">
        <v>72</v>
      </c>
      <c r="O13" s="67">
        <f t="shared" si="1"/>
        <v>0</v>
      </c>
      <c r="P13" s="208"/>
      <c r="Q13" s="130"/>
      <c r="R13" s="156"/>
    </row>
    <row r="14" spans="1:24" ht="34.049999999999997" customHeight="1" x14ac:dyDescent="0.3">
      <c r="A14" s="551"/>
      <c r="B14" s="89" t="s">
        <v>107</v>
      </c>
      <c r="C14" s="90" t="s">
        <v>108</v>
      </c>
      <c r="D14" s="222"/>
      <c r="E14" s="256" t="s">
        <v>72</v>
      </c>
      <c r="F14" s="67">
        <f t="shared" si="0"/>
        <v>0</v>
      </c>
      <c r="G14" s="208"/>
      <c r="H14" s="130"/>
      <c r="J14" s="551"/>
      <c r="K14" s="89" t="s">
        <v>107</v>
      </c>
      <c r="L14" s="90" t="s">
        <v>108</v>
      </c>
      <c r="M14" s="222"/>
      <c r="N14" s="269" t="s">
        <v>72</v>
      </c>
      <c r="O14" s="67">
        <f t="shared" si="1"/>
        <v>0</v>
      </c>
      <c r="P14" s="208"/>
      <c r="Q14" s="130"/>
      <c r="R14" s="156"/>
    </row>
    <row r="15" spans="1:24" ht="19.5" customHeight="1" x14ac:dyDescent="0.3">
      <c r="A15" s="551"/>
      <c r="B15" s="89" t="s">
        <v>109</v>
      </c>
      <c r="C15" s="90" t="s">
        <v>110</v>
      </c>
      <c r="D15" s="222"/>
      <c r="E15" s="256" t="s">
        <v>72</v>
      </c>
      <c r="F15" s="67">
        <f t="shared" si="0"/>
        <v>0</v>
      </c>
      <c r="G15" s="208"/>
      <c r="H15" s="130"/>
      <c r="J15" s="551"/>
      <c r="K15" s="89" t="s">
        <v>109</v>
      </c>
      <c r="L15" s="90" t="s">
        <v>110</v>
      </c>
      <c r="M15" s="222"/>
      <c r="N15" s="269" t="s">
        <v>72</v>
      </c>
      <c r="O15" s="67">
        <f t="shared" si="1"/>
        <v>0</v>
      </c>
      <c r="P15" s="208"/>
      <c r="Q15" s="130"/>
      <c r="R15" s="156"/>
    </row>
    <row r="16" spans="1:24" ht="34.049999999999997" customHeight="1" x14ac:dyDescent="0.3">
      <c r="A16" s="551"/>
      <c r="B16" s="89" t="s">
        <v>111</v>
      </c>
      <c r="C16" s="90" t="s">
        <v>112</v>
      </c>
      <c r="D16" s="222"/>
      <c r="E16" s="256" t="s">
        <v>72</v>
      </c>
      <c r="F16" s="67">
        <f t="shared" si="0"/>
        <v>0</v>
      </c>
      <c r="G16" s="208"/>
      <c r="H16" s="130"/>
      <c r="J16" s="551"/>
      <c r="K16" s="89" t="s">
        <v>111</v>
      </c>
      <c r="L16" s="90" t="s">
        <v>112</v>
      </c>
      <c r="M16" s="222"/>
      <c r="N16" s="269" t="s">
        <v>72</v>
      </c>
      <c r="O16" s="67">
        <f t="shared" si="1"/>
        <v>0</v>
      </c>
      <c r="P16" s="208"/>
      <c r="Q16" s="130"/>
      <c r="R16" s="156"/>
    </row>
    <row r="17" spans="1:26" ht="34.049999999999997" customHeight="1" x14ac:dyDescent="0.3">
      <c r="A17" s="551"/>
      <c r="B17" s="89" t="s">
        <v>113</v>
      </c>
      <c r="C17" s="90" t="s">
        <v>157</v>
      </c>
      <c r="D17" s="222"/>
      <c r="E17" s="256" t="s">
        <v>72</v>
      </c>
      <c r="F17" s="67">
        <f t="shared" si="0"/>
        <v>0</v>
      </c>
      <c r="G17" s="208"/>
      <c r="H17" s="130"/>
      <c r="J17" s="551"/>
      <c r="K17" s="89" t="s">
        <v>113</v>
      </c>
      <c r="L17" s="90" t="s">
        <v>157</v>
      </c>
      <c r="M17" s="222"/>
      <c r="N17" s="269" t="s">
        <v>72</v>
      </c>
      <c r="O17" s="67">
        <f t="shared" si="1"/>
        <v>0</v>
      </c>
      <c r="P17" s="208"/>
      <c r="Q17" s="130"/>
      <c r="R17" s="156"/>
    </row>
    <row r="18" spans="1:26" ht="50.1" customHeight="1" x14ac:dyDescent="0.3">
      <c r="A18" s="551"/>
      <c r="B18" s="89" t="s">
        <v>114</v>
      </c>
      <c r="C18" s="90" t="s">
        <v>158</v>
      </c>
      <c r="D18" s="224"/>
      <c r="E18" s="256" t="s">
        <v>72</v>
      </c>
      <c r="F18" s="67">
        <f t="shared" si="0"/>
        <v>0</v>
      </c>
      <c r="G18" s="208"/>
      <c r="H18" s="130"/>
      <c r="J18" s="551"/>
      <c r="K18" s="89" t="s">
        <v>114</v>
      </c>
      <c r="L18" s="90" t="s">
        <v>158</v>
      </c>
      <c r="M18" s="224"/>
      <c r="N18" s="269" t="s">
        <v>72</v>
      </c>
      <c r="O18" s="67">
        <f t="shared" si="1"/>
        <v>0</v>
      </c>
      <c r="P18" s="208"/>
      <c r="Q18" s="130"/>
      <c r="R18" s="156"/>
    </row>
    <row r="19" spans="1:26" ht="19.5" customHeight="1" x14ac:dyDescent="0.3">
      <c r="A19" s="552"/>
      <c r="B19" s="89" t="s">
        <v>115</v>
      </c>
      <c r="C19" s="90" t="s">
        <v>116</v>
      </c>
      <c r="D19" s="224"/>
      <c r="E19" s="256" t="s">
        <v>72</v>
      </c>
      <c r="F19" s="67">
        <f t="shared" si="0"/>
        <v>0</v>
      </c>
      <c r="G19" s="208"/>
      <c r="H19" s="130"/>
      <c r="J19" s="552"/>
      <c r="K19" s="89" t="s">
        <v>115</v>
      </c>
      <c r="L19" s="90" t="s">
        <v>116</v>
      </c>
      <c r="M19" s="224"/>
      <c r="N19" s="269" t="s">
        <v>72</v>
      </c>
      <c r="O19" s="67">
        <f t="shared" si="1"/>
        <v>0</v>
      </c>
      <c r="P19" s="208"/>
      <c r="Q19" s="130"/>
      <c r="R19" s="156"/>
    </row>
    <row r="20" spans="1:26" ht="19.5" customHeight="1" x14ac:dyDescent="0.3">
      <c r="A20" s="141" t="s">
        <v>117</v>
      </c>
      <c r="B20" s="543" t="s">
        <v>118</v>
      </c>
      <c r="C20" s="543"/>
      <c r="D20" s="258"/>
      <c r="E20" s="256" t="s">
        <v>72</v>
      </c>
      <c r="F20" s="67">
        <f t="shared" si="0"/>
        <v>0</v>
      </c>
      <c r="G20" s="208"/>
      <c r="H20" s="130"/>
      <c r="J20" s="141" t="s">
        <v>117</v>
      </c>
      <c r="K20" s="543" t="s">
        <v>118</v>
      </c>
      <c r="L20" s="543"/>
      <c r="M20" s="271"/>
      <c r="N20" s="269" t="s">
        <v>72</v>
      </c>
      <c r="O20" s="67">
        <f t="shared" si="1"/>
        <v>0</v>
      </c>
      <c r="P20" s="208"/>
      <c r="Q20" s="130"/>
      <c r="R20" s="156"/>
    </row>
    <row r="21" spans="1:26" ht="19.5" customHeight="1" x14ac:dyDescent="0.3">
      <c r="A21" s="141" t="s">
        <v>119</v>
      </c>
      <c r="B21" s="543" t="s">
        <v>159</v>
      </c>
      <c r="C21" s="543"/>
      <c r="D21" s="258"/>
      <c r="E21" s="256" t="s">
        <v>72</v>
      </c>
      <c r="F21" s="67">
        <f t="shared" si="0"/>
        <v>0</v>
      </c>
      <c r="G21" s="208"/>
      <c r="H21" s="130"/>
      <c r="J21" s="141" t="s">
        <v>119</v>
      </c>
      <c r="K21" s="543" t="s">
        <v>159</v>
      </c>
      <c r="L21" s="543"/>
      <c r="M21" s="271"/>
      <c r="N21" s="269" t="s">
        <v>72</v>
      </c>
      <c r="O21" s="67">
        <f t="shared" si="1"/>
        <v>0</v>
      </c>
      <c r="P21" s="208"/>
      <c r="Q21" s="130"/>
      <c r="R21" s="156"/>
    </row>
    <row r="22" spans="1:26" ht="19.5" customHeight="1" x14ac:dyDescent="0.3">
      <c r="A22" s="141" t="s">
        <v>120</v>
      </c>
      <c r="B22" s="543" t="s">
        <v>121</v>
      </c>
      <c r="C22" s="543"/>
      <c r="D22" s="258"/>
      <c r="E22" s="256" t="s">
        <v>72</v>
      </c>
      <c r="F22" s="67">
        <f t="shared" si="0"/>
        <v>0</v>
      </c>
      <c r="G22" s="208"/>
      <c r="H22" s="130"/>
      <c r="J22" s="141" t="s">
        <v>120</v>
      </c>
      <c r="K22" s="543" t="s">
        <v>121</v>
      </c>
      <c r="L22" s="543"/>
      <c r="M22" s="271"/>
      <c r="N22" s="269" t="s">
        <v>72</v>
      </c>
      <c r="O22" s="67">
        <f t="shared" si="1"/>
        <v>0</v>
      </c>
      <c r="P22" s="208"/>
      <c r="Q22" s="130"/>
      <c r="R22" s="156"/>
    </row>
    <row r="23" spans="1:26" ht="19.5" customHeight="1" x14ac:dyDescent="0.3">
      <c r="A23" s="141" t="s">
        <v>122</v>
      </c>
      <c r="B23" s="543" t="s">
        <v>123</v>
      </c>
      <c r="C23" s="543"/>
      <c r="D23" s="258"/>
      <c r="E23" s="256" t="s">
        <v>72</v>
      </c>
      <c r="F23" s="67">
        <f t="shared" si="0"/>
        <v>0</v>
      </c>
      <c r="G23" s="208"/>
      <c r="H23" s="130"/>
      <c r="J23" s="141" t="s">
        <v>122</v>
      </c>
      <c r="K23" s="543" t="s">
        <v>123</v>
      </c>
      <c r="L23" s="543"/>
      <c r="M23" s="271"/>
      <c r="N23" s="269" t="s">
        <v>72</v>
      </c>
      <c r="O23" s="67">
        <f t="shared" si="1"/>
        <v>0</v>
      </c>
      <c r="P23" s="208"/>
      <c r="Q23" s="130"/>
      <c r="R23" s="156"/>
    </row>
    <row r="24" spans="1:26" ht="19.5" customHeight="1" x14ac:dyDescent="0.3">
      <c r="A24" s="141" t="s">
        <v>124</v>
      </c>
      <c r="B24" s="543" t="s">
        <v>125</v>
      </c>
      <c r="C24" s="543"/>
      <c r="D24" s="258"/>
      <c r="E24" s="256" t="s">
        <v>72</v>
      </c>
      <c r="F24" s="67">
        <f t="shared" si="0"/>
        <v>0</v>
      </c>
      <c r="G24" s="208"/>
      <c r="H24" s="130"/>
      <c r="J24" s="141" t="s">
        <v>124</v>
      </c>
      <c r="K24" s="543" t="s">
        <v>125</v>
      </c>
      <c r="L24" s="543"/>
      <c r="M24" s="271"/>
      <c r="N24" s="269" t="s">
        <v>72</v>
      </c>
      <c r="O24" s="67">
        <f t="shared" si="1"/>
        <v>0</v>
      </c>
      <c r="P24" s="208"/>
      <c r="Q24" s="130"/>
      <c r="R24" s="156"/>
      <c r="U24" s="132"/>
    </row>
    <row r="25" spans="1:26" ht="34.5" customHeight="1" x14ac:dyDescent="0.3">
      <c r="A25" s="141" t="s">
        <v>126</v>
      </c>
      <c r="B25" s="543" t="s">
        <v>127</v>
      </c>
      <c r="C25" s="543"/>
      <c r="D25" s="258"/>
      <c r="E25" s="256" t="s">
        <v>72</v>
      </c>
      <c r="F25" s="67">
        <f t="shared" si="0"/>
        <v>0</v>
      </c>
      <c r="G25" s="208"/>
      <c r="H25" s="130"/>
      <c r="J25" s="141" t="s">
        <v>126</v>
      </c>
      <c r="K25" s="543" t="s">
        <v>127</v>
      </c>
      <c r="L25" s="543"/>
      <c r="M25" s="271"/>
      <c r="N25" s="269" t="s">
        <v>72</v>
      </c>
      <c r="O25" s="67">
        <f t="shared" si="1"/>
        <v>0</v>
      </c>
      <c r="P25" s="208"/>
      <c r="Q25" s="130"/>
      <c r="R25" s="156"/>
    </row>
    <row r="26" spans="1:26" ht="19.5" customHeight="1" x14ac:dyDescent="0.3">
      <c r="A26" s="141" t="s">
        <v>128</v>
      </c>
      <c r="B26" s="555" t="s">
        <v>190</v>
      </c>
      <c r="C26" s="556"/>
      <c r="D26" s="224"/>
      <c r="E26" s="256" t="s">
        <v>72</v>
      </c>
      <c r="F26" s="67">
        <f t="shared" si="0"/>
        <v>0</v>
      </c>
      <c r="G26" s="208"/>
      <c r="H26" s="130"/>
      <c r="J26" s="141" t="s">
        <v>128</v>
      </c>
      <c r="K26" s="586" t="s">
        <v>190</v>
      </c>
      <c r="L26" s="587"/>
      <c r="M26" s="224"/>
      <c r="N26" s="269" t="s">
        <v>72</v>
      </c>
      <c r="O26" s="67">
        <f t="shared" si="1"/>
        <v>0</v>
      </c>
      <c r="P26" s="208"/>
      <c r="Q26" s="130"/>
      <c r="R26" s="156"/>
    </row>
    <row r="27" spans="1:26" ht="19.5" customHeight="1" x14ac:dyDescent="0.3">
      <c r="A27" s="323" t="s">
        <v>230</v>
      </c>
      <c r="B27" s="532" t="s">
        <v>232</v>
      </c>
      <c r="C27" s="533"/>
      <c r="D27" s="224"/>
      <c r="E27" s="256" t="s">
        <v>72</v>
      </c>
      <c r="F27" s="67">
        <f t="shared" si="0"/>
        <v>0</v>
      </c>
      <c r="G27" s="208"/>
      <c r="H27" s="130"/>
      <c r="J27" s="141" t="s">
        <v>230</v>
      </c>
      <c r="K27" s="532" t="s">
        <v>231</v>
      </c>
      <c r="L27" s="533"/>
      <c r="M27" s="224"/>
      <c r="N27" s="269" t="s">
        <v>72</v>
      </c>
      <c r="O27" s="67">
        <f t="shared" si="1"/>
        <v>0</v>
      </c>
      <c r="P27" s="208"/>
      <c r="Q27" s="130"/>
      <c r="R27" s="156"/>
    </row>
    <row r="28" spans="1:26" ht="19.5" customHeight="1" x14ac:dyDescent="0.3">
      <c r="A28" s="557" t="s">
        <v>129</v>
      </c>
      <c r="B28" s="557"/>
      <c r="C28" s="557"/>
      <c r="D28" s="315"/>
      <c r="E28" s="316" t="s">
        <v>223</v>
      </c>
      <c r="F28" s="93">
        <f>AVERAGE(F9:F27)</f>
        <v>0</v>
      </c>
      <c r="G28" s="187"/>
      <c r="H28" s="130"/>
      <c r="J28" s="573" t="s">
        <v>207</v>
      </c>
      <c r="K28" s="574"/>
      <c r="L28" s="574"/>
      <c r="M28" s="315"/>
      <c r="N28" s="316" t="s">
        <v>223</v>
      </c>
      <c r="O28" s="291">
        <f>AVERAGE(O9:O27)</f>
        <v>0</v>
      </c>
      <c r="P28" s="187"/>
      <c r="Q28" s="130"/>
      <c r="R28" s="156"/>
    </row>
    <row r="29" spans="1:26" ht="19.5" customHeight="1" x14ac:dyDescent="0.3">
      <c r="A29" s="309"/>
      <c r="B29" s="309"/>
      <c r="C29" s="309"/>
      <c r="D29" s="132"/>
      <c r="E29" s="133"/>
      <c r="F29" s="187"/>
      <c r="G29" s="187"/>
      <c r="H29" s="130"/>
      <c r="J29" s="308"/>
      <c r="K29" s="309"/>
      <c r="L29" s="309"/>
      <c r="M29" s="132"/>
      <c r="N29" s="282"/>
      <c r="O29" s="296"/>
      <c r="P29" s="187"/>
      <c r="Q29" s="130"/>
      <c r="R29" s="156"/>
    </row>
    <row r="30" spans="1:26" s="329" customFormat="1" ht="19.5" customHeight="1" x14ac:dyDescent="0.25">
      <c r="A30" s="293" t="s">
        <v>20</v>
      </c>
      <c r="B30" s="329" t="s">
        <v>102</v>
      </c>
      <c r="C30" s="331" t="s">
        <v>193</v>
      </c>
      <c r="D30" s="282"/>
      <c r="E30" s="282"/>
      <c r="F30" s="282"/>
      <c r="G30" s="296"/>
      <c r="H30" s="145"/>
      <c r="J30" s="293" t="s">
        <v>20</v>
      </c>
      <c r="K30" s="282" t="s">
        <v>102</v>
      </c>
      <c r="L30" s="331" t="s">
        <v>193</v>
      </c>
      <c r="M30" s="282"/>
      <c r="N30" s="282"/>
      <c r="O30" s="282"/>
      <c r="P30" s="296"/>
      <c r="Q30" s="145"/>
      <c r="R30" s="195"/>
    </row>
    <row r="31" spans="1:26" ht="19.5" customHeight="1" x14ac:dyDescent="0.3">
      <c r="A31" s="131" t="s">
        <v>1</v>
      </c>
      <c r="B31" s="534" t="s">
        <v>99</v>
      </c>
      <c r="C31" s="534"/>
      <c r="D31" s="86" t="s">
        <v>25</v>
      </c>
      <c r="E31" s="87" t="s">
        <v>100</v>
      </c>
      <c r="F31" s="66" t="s">
        <v>23</v>
      </c>
      <c r="G31" s="187"/>
      <c r="H31" s="130"/>
      <c r="J31" s="131" t="s">
        <v>1</v>
      </c>
      <c r="K31" s="534" t="s">
        <v>99</v>
      </c>
      <c r="L31" s="534"/>
      <c r="M31" s="86" t="s">
        <v>25</v>
      </c>
      <c r="N31" s="87" t="s">
        <v>100</v>
      </c>
      <c r="O31" s="66" t="s">
        <v>23</v>
      </c>
      <c r="P31" s="187"/>
      <c r="Q31" s="130"/>
      <c r="R31" s="156"/>
      <c r="U31" s="132"/>
      <c r="V31" s="132"/>
      <c r="W31" s="132"/>
      <c r="X31" s="132"/>
      <c r="Y31" s="132"/>
      <c r="Z31" s="132"/>
    </row>
    <row r="32" spans="1:26" ht="19.5" customHeight="1" x14ac:dyDescent="0.3">
      <c r="A32" s="141" t="s">
        <v>101</v>
      </c>
      <c r="B32" s="531" t="s">
        <v>208</v>
      </c>
      <c r="C32" s="531"/>
      <c r="D32" s="321"/>
      <c r="E32" s="256" t="s">
        <v>72</v>
      </c>
      <c r="F32" s="67">
        <f>IF(E32="Ya",100,0)</f>
        <v>0</v>
      </c>
      <c r="G32" s="187"/>
      <c r="H32" s="130"/>
      <c r="J32" s="141" t="s">
        <v>101</v>
      </c>
      <c r="K32" s="531" t="s">
        <v>208</v>
      </c>
      <c r="L32" s="531"/>
      <c r="M32" s="286"/>
      <c r="N32" s="269" t="s">
        <v>72</v>
      </c>
      <c r="O32" s="67">
        <f>IF(N32="Ya",100,0)</f>
        <v>0</v>
      </c>
      <c r="P32" s="187"/>
      <c r="Q32" s="130"/>
      <c r="R32" s="156"/>
      <c r="U32" s="132"/>
      <c r="V32" s="132"/>
      <c r="W32" s="132"/>
      <c r="X32" s="132"/>
      <c r="Y32" s="132"/>
      <c r="Z32" s="132"/>
    </row>
    <row r="33" spans="1:26" ht="19.5" customHeight="1" x14ac:dyDescent="0.3">
      <c r="A33" s="141" t="s">
        <v>102</v>
      </c>
      <c r="B33" s="535" t="s">
        <v>209</v>
      </c>
      <c r="C33" s="535"/>
      <c r="D33" s="321"/>
      <c r="E33" s="256" t="s">
        <v>72</v>
      </c>
      <c r="F33" s="67">
        <f t="shared" ref="F33:F39" si="2">IF(E33="Ya",100,0)</f>
        <v>0</v>
      </c>
      <c r="G33" s="187"/>
      <c r="H33" s="130"/>
      <c r="J33" s="141" t="s">
        <v>102</v>
      </c>
      <c r="K33" s="535" t="s">
        <v>209</v>
      </c>
      <c r="L33" s="535"/>
      <c r="M33" s="286"/>
      <c r="N33" s="269" t="s">
        <v>72</v>
      </c>
      <c r="O33" s="67">
        <f t="shared" ref="O33:O39" si="3">IF(N33="Ya",100,0)</f>
        <v>0</v>
      </c>
      <c r="P33" s="187"/>
      <c r="Q33" s="130"/>
      <c r="R33" s="156"/>
      <c r="U33" s="132"/>
      <c r="V33" s="132"/>
      <c r="W33" s="132"/>
      <c r="X33" s="132"/>
      <c r="Y33" s="132"/>
      <c r="Z33" s="132"/>
    </row>
    <row r="34" spans="1:26" ht="19.5" customHeight="1" x14ac:dyDescent="0.3">
      <c r="A34" s="141" t="s">
        <v>103</v>
      </c>
      <c r="B34" s="531" t="s">
        <v>210</v>
      </c>
      <c r="C34" s="531"/>
      <c r="D34" s="321"/>
      <c r="E34" s="256" t="s">
        <v>72</v>
      </c>
      <c r="F34" s="67">
        <f t="shared" si="2"/>
        <v>0</v>
      </c>
      <c r="G34" s="187"/>
      <c r="H34" s="130"/>
      <c r="J34" s="141" t="s">
        <v>103</v>
      </c>
      <c r="K34" s="531" t="s">
        <v>210</v>
      </c>
      <c r="L34" s="531"/>
      <c r="M34" s="286"/>
      <c r="N34" s="269" t="s">
        <v>72</v>
      </c>
      <c r="O34" s="67">
        <f t="shared" si="3"/>
        <v>0</v>
      </c>
      <c r="P34" s="187"/>
      <c r="Q34" s="130"/>
      <c r="R34" s="156"/>
      <c r="U34" s="132"/>
      <c r="V34" s="132"/>
      <c r="W34" s="132"/>
      <c r="X34" s="132"/>
      <c r="Y34" s="132"/>
      <c r="Z34" s="132"/>
    </row>
    <row r="35" spans="1:26" ht="19.5" customHeight="1" x14ac:dyDescent="0.3">
      <c r="A35" s="141" t="s">
        <v>104</v>
      </c>
      <c r="B35" s="535" t="s">
        <v>211</v>
      </c>
      <c r="C35" s="535"/>
      <c r="D35" s="321"/>
      <c r="E35" s="256" t="s">
        <v>72</v>
      </c>
      <c r="F35" s="67">
        <f t="shared" si="2"/>
        <v>0</v>
      </c>
      <c r="G35" s="187"/>
      <c r="H35" s="130"/>
      <c r="J35" s="141" t="s">
        <v>104</v>
      </c>
      <c r="K35" s="535" t="s">
        <v>211</v>
      </c>
      <c r="L35" s="535"/>
      <c r="M35" s="286"/>
      <c r="N35" s="269" t="s">
        <v>72</v>
      </c>
      <c r="O35" s="67">
        <f t="shared" si="3"/>
        <v>0</v>
      </c>
      <c r="P35" s="187"/>
      <c r="Q35" s="130"/>
      <c r="R35" s="151"/>
      <c r="S35" s="132"/>
      <c r="T35" s="132"/>
      <c r="U35" s="132"/>
      <c r="V35" s="132"/>
      <c r="W35" s="132"/>
      <c r="X35" s="132"/>
      <c r="Y35" s="132"/>
      <c r="Z35" s="132"/>
    </row>
    <row r="36" spans="1:26" ht="19.5" customHeight="1" x14ac:dyDescent="0.3">
      <c r="A36" s="141" t="s">
        <v>117</v>
      </c>
      <c r="B36" s="535" t="s">
        <v>212</v>
      </c>
      <c r="C36" s="535"/>
      <c r="D36" s="321"/>
      <c r="E36" s="256" t="s">
        <v>72</v>
      </c>
      <c r="F36" s="67">
        <f t="shared" si="2"/>
        <v>0</v>
      </c>
      <c r="G36" s="187"/>
      <c r="H36" s="130"/>
      <c r="J36" s="141" t="s">
        <v>117</v>
      </c>
      <c r="K36" s="535" t="s">
        <v>212</v>
      </c>
      <c r="L36" s="535"/>
      <c r="M36" s="286"/>
      <c r="N36" s="269" t="s">
        <v>72</v>
      </c>
      <c r="O36" s="67">
        <f t="shared" si="3"/>
        <v>0</v>
      </c>
      <c r="P36" s="187"/>
      <c r="Q36" s="130"/>
      <c r="R36" s="156"/>
      <c r="S36" s="132"/>
      <c r="U36" s="132"/>
      <c r="V36" s="132"/>
      <c r="W36" s="132"/>
      <c r="X36" s="132"/>
      <c r="Y36" s="132"/>
      <c r="Z36" s="132"/>
    </row>
    <row r="37" spans="1:26" s="192" customFormat="1" ht="19.5" customHeight="1" x14ac:dyDescent="0.3">
      <c r="A37" s="141" t="s">
        <v>119</v>
      </c>
      <c r="B37" s="535" t="s">
        <v>213</v>
      </c>
      <c r="C37" s="535"/>
      <c r="D37" s="321"/>
      <c r="E37" s="256" t="s">
        <v>72</v>
      </c>
      <c r="F37" s="67">
        <f t="shared" si="2"/>
        <v>0</v>
      </c>
      <c r="G37" s="187"/>
      <c r="H37" s="130"/>
      <c r="J37" s="141" t="s">
        <v>119</v>
      </c>
      <c r="K37" s="535" t="s">
        <v>213</v>
      </c>
      <c r="L37" s="535"/>
      <c r="M37" s="286"/>
      <c r="N37" s="269" t="s">
        <v>72</v>
      </c>
      <c r="O37" s="67">
        <f t="shared" si="3"/>
        <v>0</v>
      </c>
      <c r="P37" s="187"/>
      <c r="Q37" s="130"/>
      <c r="R37" s="199"/>
      <c r="U37" s="288"/>
      <c r="V37" s="288"/>
      <c r="W37" s="288"/>
      <c r="X37" s="288"/>
      <c r="Y37" s="288"/>
      <c r="Z37" s="288"/>
    </row>
    <row r="38" spans="1:26" ht="19.5" customHeight="1" x14ac:dyDescent="0.3">
      <c r="A38" s="141" t="s">
        <v>120</v>
      </c>
      <c r="B38" s="535" t="s">
        <v>214</v>
      </c>
      <c r="C38" s="535"/>
      <c r="D38" s="321"/>
      <c r="E38" s="256" t="s">
        <v>72</v>
      </c>
      <c r="F38" s="67">
        <f t="shared" si="2"/>
        <v>0</v>
      </c>
      <c r="G38" s="187"/>
      <c r="H38" s="130"/>
      <c r="J38" s="141" t="s">
        <v>120</v>
      </c>
      <c r="K38" s="535" t="s">
        <v>214</v>
      </c>
      <c r="L38" s="535"/>
      <c r="M38" s="286"/>
      <c r="N38" s="269" t="s">
        <v>72</v>
      </c>
      <c r="O38" s="67">
        <f t="shared" si="3"/>
        <v>0</v>
      </c>
      <c r="P38" s="187"/>
      <c r="Q38" s="130"/>
      <c r="R38" s="195"/>
      <c r="U38" s="132"/>
      <c r="V38" s="132"/>
      <c r="W38" s="132"/>
      <c r="X38" s="132"/>
      <c r="Y38" s="132"/>
      <c r="Z38" s="132"/>
    </row>
    <row r="39" spans="1:26" ht="19.5" customHeight="1" x14ac:dyDescent="0.3">
      <c r="A39" s="141" t="s">
        <v>122</v>
      </c>
      <c r="B39" s="535" t="s">
        <v>215</v>
      </c>
      <c r="C39" s="535"/>
      <c r="D39" s="321"/>
      <c r="E39" s="256" t="s">
        <v>72</v>
      </c>
      <c r="F39" s="67">
        <f t="shared" si="2"/>
        <v>0</v>
      </c>
      <c r="G39" s="187"/>
      <c r="H39" s="130"/>
      <c r="J39" s="141" t="s">
        <v>122</v>
      </c>
      <c r="K39" s="535" t="s">
        <v>215</v>
      </c>
      <c r="L39" s="535"/>
      <c r="M39" s="286"/>
      <c r="N39" s="269" t="s">
        <v>72</v>
      </c>
      <c r="O39" s="67">
        <f t="shared" si="3"/>
        <v>0</v>
      </c>
      <c r="P39" s="187"/>
      <c r="Q39" s="130"/>
      <c r="R39" s="117"/>
    </row>
    <row r="40" spans="1:26" ht="19.5" customHeight="1" x14ac:dyDescent="0.3">
      <c r="A40" s="134"/>
      <c r="B40" s="132"/>
      <c r="C40" s="132"/>
      <c r="D40" s="132"/>
      <c r="E40" s="282" t="s">
        <v>220</v>
      </c>
      <c r="F40" s="282">
        <f>AVERAGE(F32:F39)</f>
        <v>0</v>
      </c>
      <c r="G40" s="187"/>
      <c r="H40" s="130"/>
      <c r="J40" s="134"/>
      <c r="K40" s="132"/>
      <c r="L40" s="132"/>
      <c r="M40" s="132"/>
      <c r="N40" s="282" t="s">
        <v>220</v>
      </c>
      <c r="O40" s="282">
        <f>AVERAGE(O32:O39)</f>
        <v>0</v>
      </c>
      <c r="P40" s="187"/>
      <c r="Q40" s="130"/>
      <c r="R40" s="117"/>
    </row>
    <row r="41" spans="1:26" ht="19.5" customHeight="1" x14ac:dyDescent="0.3">
      <c r="A41" s="134"/>
      <c r="B41" s="132"/>
      <c r="C41" s="132"/>
      <c r="D41" s="132"/>
      <c r="E41" s="282"/>
      <c r="F41" s="282"/>
      <c r="G41" s="187"/>
      <c r="H41" s="130"/>
      <c r="J41" s="134"/>
      <c r="K41" s="132"/>
      <c r="L41" s="132"/>
      <c r="M41" s="132"/>
      <c r="N41" s="282"/>
      <c r="O41" s="282"/>
      <c r="P41" s="187"/>
      <c r="Q41" s="130"/>
      <c r="R41" s="117"/>
    </row>
    <row r="42" spans="1:26" s="84" customFormat="1" ht="19.5" customHeight="1" x14ac:dyDescent="0.3">
      <c r="A42" s="293" t="s">
        <v>20</v>
      </c>
      <c r="B42" s="282" t="s">
        <v>103</v>
      </c>
      <c r="C42" s="331" t="s">
        <v>198</v>
      </c>
      <c r="D42" s="190"/>
      <c r="E42" s="190"/>
      <c r="F42" s="190"/>
      <c r="G42" s="187"/>
      <c r="H42" s="130"/>
      <c r="J42" s="293" t="s">
        <v>20</v>
      </c>
      <c r="K42" s="282" t="s">
        <v>103</v>
      </c>
      <c r="L42" s="331" t="s">
        <v>198</v>
      </c>
      <c r="M42" s="190"/>
      <c r="N42" s="190"/>
      <c r="O42" s="190"/>
      <c r="P42" s="187"/>
      <c r="Q42" s="130"/>
      <c r="R42" s="117"/>
    </row>
    <row r="43" spans="1:26" ht="19.5" customHeight="1" x14ac:dyDescent="0.3">
      <c r="A43" s="131" t="s">
        <v>1</v>
      </c>
      <c r="B43" s="534" t="s">
        <v>99</v>
      </c>
      <c r="C43" s="534"/>
      <c r="D43" s="86" t="s">
        <v>25</v>
      </c>
      <c r="E43" s="87" t="s">
        <v>100</v>
      </c>
      <c r="F43" s="66" t="s">
        <v>23</v>
      </c>
      <c r="G43" s="187"/>
      <c r="H43" s="130"/>
      <c r="I43" s="107"/>
      <c r="J43" s="131" t="s">
        <v>1</v>
      </c>
      <c r="K43" s="534" t="s">
        <v>99</v>
      </c>
      <c r="L43" s="534"/>
      <c r="M43" s="86" t="s">
        <v>25</v>
      </c>
      <c r="N43" s="87" t="s">
        <v>100</v>
      </c>
      <c r="O43" s="66" t="s">
        <v>23</v>
      </c>
      <c r="P43" s="187"/>
      <c r="Q43" s="130"/>
      <c r="R43" s="195"/>
    </row>
    <row r="44" spans="1:26" ht="19.5" customHeight="1" x14ac:dyDescent="0.3">
      <c r="A44" s="141" t="s">
        <v>101</v>
      </c>
      <c r="B44" s="531" t="s">
        <v>194</v>
      </c>
      <c r="C44" s="531"/>
      <c r="D44" s="321" t="s">
        <v>301</v>
      </c>
      <c r="E44" s="256" t="s">
        <v>72</v>
      </c>
      <c r="F44" s="67">
        <f>IF(E44="Ya",100,0)</f>
        <v>0</v>
      </c>
      <c r="G44" s="187"/>
      <c r="H44" s="130"/>
      <c r="I44" s="107"/>
      <c r="J44" s="141" t="s">
        <v>101</v>
      </c>
      <c r="K44" s="531" t="s">
        <v>194</v>
      </c>
      <c r="L44" s="531"/>
      <c r="M44" s="286" t="s">
        <v>301</v>
      </c>
      <c r="N44" s="269" t="s">
        <v>72</v>
      </c>
      <c r="O44" s="67">
        <f>IF(N44="Ya",100,0)</f>
        <v>0</v>
      </c>
      <c r="P44" s="187"/>
      <c r="Q44" s="130"/>
      <c r="R44" s="117"/>
    </row>
    <row r="45" spans="1:26" s="192" customFormat="1" ht="19.5" customHeight="1" x14ac:dyDescent="0.3">
      <c r="A45" s="141" t="s">
        <v>102</v>
      </c>
      <c r="B45" s="535" t="s">
        <v>195</v>
      </c>
      <c r="C45" s="535"/>
      <c r="D45" s="321"/>
      <c r="E45" s="336" t="str">
        <f>IF(E96=0,"Tidak",IF(E96&lt;=D96,"Ya","Tidak"))</f>
        <v>Tidak</v>
      </c>
      <c r="F45" s="67">
        <f t="shared" ref="F45:F46" si="4">IF(E45="Ya",100,0)</f>
        <v>0</v>
      </c>
      <c r="G45" s="187"/>
      <c r="H45" s="130"/>
      <c r="J45" s="141" t="s">
        <v>102</v>
      </c>
      <c r="K45" s="535" t="s">
        <v>195</v>
      </c>
      <c r="L45" s="535"/>
      <c r="M45" s="286"/>
      <c r="N45" s="336" t="str">
        <f>IF(N96=0,"Tidak",IF(N96&lt;=M96,"Ya","Tidak"))</f>
        <v>Tidak</v>
      </c>
      <c r="O45" s="67">
        <f t="shared" ref="O45:O46" si="5">IF(N45="Ya",100,0)</f>
        <v>0</v>
      </c>
      <c r="P45" s="187"/>
      <c r="Q45" s="130"/>
      <c r="R45" s="195"/>
    </row>
    <row r="46" spans="1:26" ht="19.5" customHeight="1" x14ac:dyDescent="0.3">
      <c r="A46" s="141" t="s">
        <v>103</v>
      </c>
      <c r="B46" s="535" t="s">
        <v>196</v>
      </c>
      <c r="C46" s="535"/>
      <c r="D46" s="321"/>
      <c r="E46" s="336" t="str">
        <f>IF(E96=0,"Tidak",IF(E94&lt;=25%*E93,"Ya","Tidak"))</f>
        <v>Tidak</v>
      </c>
      <c r="F46" s="67">
        <f t="shared" si="4"/>
        <v>0</v>
      </c>
      <c r="G46" s="187"/>
      <c r="H46" s="130"/>
      <c r="J46" s="141" t="s">
        <v>103</v>
      </c>
      <c r="K46" s="535" t="s">
        <v>196</v>
      </c>
      <c r="L46" s="535"/>
      <c r="M46" s="286"/>
      <c r="N46" s="336" t="str">
        <f>IF(N96=0,"Tidak",IF(N94&lt;=25%*N93,"Ya","Tidak"))</f>
        <v>Tidak</v>
      </c>
      <c r="O46" s="67">
        <f t="shared" si="5"/>
        <v>0</v>
      </c>
      <c r="P46" s="187"/>
      <c r="Q46" s="130"/>
      <c r="R46" s="195"/>
    </row>
    <row r="47" spans="1:26" ht="19.5" customHeight="1" x14ac:dyDescent="0.3">
      <c r="A47" s="134"/>
      <c r="B47" s="132"/>
      <c r="C47" s="132"/>
      <c r="D47" s="132"/>
      <c r="E47" s="282" t="s">
        <v>221</v>
      </c>
      <c r="F47" s="282">
        <f>AVERAGE(F44:F46)</f>
        <v>0</v>
      </c>
      <c r="G47" s="187"/>
      <c r="H47" s="130"/>
      <c r="J47" s="134"/>
      <c r="K47" s="132"/>
      <c r="L47" s="132"/>
      <c r="M47" s="132"/>
      <c r="N47" s="282" t="s">
        <v>221</v>
      </c>
      <c r="O47" s="282">
        <f>AVERAGE(O44:O46)</f>
        <v>0</v>
      </c>
      <c r="P47" s="187"/>
      <c r="Q47" s="130"/>
      <c r="R47" s="117"/>
    </row>
    <row r="48" spans="1:26" ht="19.5" customHeight="1" x14ac:dyDescent="0.3">
      <c r="A48" s="134"/>
      <c r="B48" s="132"/>
      <c r="C48" s="132"/>
      <c r="D48" s="132"/>
      <c r="E48" s="282"/>
      <c r="F48" s="282"/>
      <c r="G48" s="187"/>
      <c r="H48" s="130"/>
      <c r="J48" s="134"/>
      <c r="K48" s="132"/>
      <c r="L48" s="132"/>
      <c r="M48" s="132"/>
      <c r="N48" s="282"/>
      <c r="O48" s="282"/>
      <c r="P48" s="187"/>
      <c r="Q48" s="130"/>
      <c r="R48" s="117"/>
    </row>
    <row r="49" spans="1:18" s="82" customFormat="1" ht="19.5" customHeight="1" x14ac:dyDescent="0.25">
      <c r="A49" s="293" t="s">
        <v>20</v>
      </c>
      <c r="B49" s="282" t="s">
        <v>104</v>
      </c>
      <c r="C49" s="331" t="s">
        <v>197</v>
      </c>
      <c r="D49" s="282"/>
      <c r="E49" s="282"/>
      <c r="F49" s="332"/>
      <c r="G49" s="296"/>
      <c r="H49" s="145"/>
      <c r="J49" s="293" t="s">
        <v>20</v>
      </c>
      <c r="K49" s="282" t="s">
        <v>104</v>
      </c>
      <c r="L49" s="331" t="s">
        <v>197</v>
      </c>
      <c r="M49" s="282"/>
      <c r="N49" s="282"/>
      <c r="O49" s="332"/>
      <c r="P49" s="296"/>
      <c r="Q49" s="145"/>
      <c r="R49" s="117"/>
    </row>
    <row r="50" spans="1:18" ht="19.5" customHeight="1" x14ac:dyDescent="0.3">
      <c r="A50" s="146" t="s">
        <v>1</v>
      </c>
      <c r="B50" s="536" t="s">
        <v>99</v>
      </c>
      <c r="C50" s="536"/>
      <c r="D50" s="95" t="s">
        <v>25</v>
      </c>
      <c r="E50" s="95" t="s">
        <v>100</v>
      </c>
      <c r="F50" s="314" t="s">
        <v>23</v>
      </c>
      <c r="G50" s="187"/>
      <c r="H50" s="130"/>
      <c r="J50" s="146" t="s">
        <v>1</v>
      </c>
      <c r="K50" s="536" t="s">
        <v>99</v>
      </c>
      <c r="L50" s="536"/>
      <c r="M50" s="95" t="s">
        <v>25</v>
      </c>
      <c r="N50" s="95" t="s">
        <v>100</v>
      </c>
      <c r="O50" s="314" t="s">
        <v>23</v>
      </c>
      <c r="P50" s="187"/>
      <c r="Q50" s="130"/>
      <c r="R50" s="117"/>
    </row>
    <row r="51" spans="1:18" ht="38.1" customHeight="1" x14ac:dyDescent="0.3">
      <c r="A51" s="141" t="s">
        <v>101</v>
      </c>
      <c r="B51" s="531" t="s">
        <v>199</v>
      </c>
      <c r="C51" s="531"/>
      <c r="D51" s="322" t="s">
        <v>216</v>
      </c>
      <c r="E51" s="256" t="s">
        <v>72</v>
      </c>
      <c r="F51" s="67">
        <f>IF(E51="Ya",100,0)</f>
        <v>0</v>
      </c>
      <c r="G51" s="187"/>
      <c r="H51" s="130"/>
      <c r="J51" s="141" t="s">
        <v>101</v>
      </c>
      <c r="K51" s="531" t="s">
        <v>199</v>
      </c>
      <c r="L51" s="531"/>
      <c r="M51" s="320" t="s">
        <v>216</v>
      </c>
      <c r="N51" s="269" t="s">
        <v>72</v>
      </c>
      <c r="O51" s="67">
        <f>IF(N51="Ya",100,0)</f>
        <v>0</v>
      </c>
      <c r="P51" s="187"/>
      <c r="Q51" s="130"/>
      <c r="R51" s="117"/>
    </row>
    <row r="52" spans="1:18" ht="39" customHeight="1" x14ac:dyDescent="0.3">
      <c r="A52" s="141" t="s">
        <v>102</v>
      </c>
      <c r="B52" s="531" t="s">
        <v>200</v>
      </c>
      <c r="C52" s="531"/>
      <c r="D52" s="322"/>
      <c r="E52" s="256" t="s">
        <v>72</v>
      </c>
      <c r="F52" s="67">
        <f t="shared" ref="F52:F57" si="6">IF(E52="Ya",100,0)</f>
        <v>0</v>
      </c>
      <c r="G52" s="187"/>
      <c r="H52" s="130"/>
      <c r="I52" s="107"/>
      <c r="J52" s="141" t="s">
        <v>102</v>
      </c>
      <c r="K52" s="531" t="s">
        <v>200</v>
      </c>
      <c r="L52" s="531"/>
      <c r="M52" s="320"/>
      <c r="N52" s="269" t="s">
        <v>72</v>
      </c>
      <c r="O52" s="67">
        <f t="shared" ref="O52:O57" si="7">IF(N52="Ya",100,0)</f>
        <v>0</v>
      </c>
      <c r="P52" s="187"/>
      <c r="Q52" s="130"/>
      <c r="R52" s="195"/>
    </row>
    <row r="53" spans="1:18" ht="36.6" customHeight="1" x14ac:dyDescent="0.3">
      <c r="A53" s="141" t="s">
        <v>103</v>
      </c>
      <c r="B53" s="531" t="s">
        <v>201</v>
      </c>
      <c r="C53" s="531"/>
      <c r="D53" s="322"/>
      <c r="E53" s="256" t="s">
        <v>72</v>
      </c>
      <c r="F53" s="67">
        <f t="shared" si="6"/>
        <v>0</v>
      </c>
      <c r="G53" s="187"/>
      <c r="H53" s="130"/>
      <c r="J53" s="141" t="s">
        <v>103</v>
      </c>
      <c r="K53" s="531" t="s">
        <v>201</v>
      </c>
      <c r="L53" s="531"/>
      <c r="M53" s="320"/>
      <c r="N53" s="269" t="s">
        <v>72</v>
      </c>
      <c r="O53" s="67">
        <f t="shared" si="7"/>
        <v>0</v>
      </c>
      <c r="P53" s="187"/>
      <c r="Q53" s="130"/>
      <c r="R53" s="156"/>
    </row>
    <row r="54" spans="1:18" s="192" customFormat="1" ht="48" customHeight="1" x14ac:dyDescent="0.3">
      <c r="A54" s="141" t="s">
        <v>104</v>
      </c>
      <c r="B54" s="531" t="s">
        <v>202</v>
      </c>
      <c r="C54" s="531"/>
      <c r="D54" s="322"/>
      <c r="E54" s="256" t="s">
        <v>72</v>
      </c>
      <c r="F54" s="67">
        <f t="shared" si="6"/>
        <v>0</v>
      </c>
      <c r="G54" s="187"/>
      <c r="H54" s="130"/>
      <c r="J54" s="141" t="s">
        <v>104</v>
      </c>
      <c r="K54" s="531" t="s">
        <v>202</v>
      </c>
      <c r="L54" s="531"/>
      <c r="M54" s="320"/>
      <c r="N54" s="269" t="s">
        <v>72</v>
      </c>
      <c r="O54" s="67">
        <f t="shared" si="7"/>
        <v>0</v>
      </c>
      <c r="P54" s="187"/>
      <c r="Q54" s="130"/>
      <c r="R54" s="199"/>
    </row>
    <row r="55" spans="1:18" ht="39.6" customHeight="1" x14ac:dyDescent="0.3">
      <c r="A55" s="141" t="s">
        <v>117</v>
      </c>
      <c r="B55" s="531" t="s">
        <v>203</v>
      </c>
      <c r="C55" s="531"/>
      <c r="D55" s="322" t="s">
        <v>217</v>
      </c>
      <c r="E55" s="256" t="s">
        <v>72</v>
      </c>
      <c r="F55" s="67">
        <f t="shared" si="6"/>
        <v>0</v>
      </c>
      <c r="G55" s="187"/>
      <c r="H55" s="130"/>
      <c r="J55" s="141" t="s">
        <v>117</v>
      </c>
      <c r="K55" s="531" t="s">
        <v>203</v>
      </c>
      <c r="L55" s="531"/>
      <c r="M55" s="320" t="s">
        <v>217</v>
      </c>
      <c r="N55" s="269" t="s">
        <v>72</v>
      </c>
      <c r="O55" s="67">
        <f t="shared" si="7"/>
        <v>0</v>
      </c>
      <c r="P55" s="187"/>
      <c r="Q55" s="130"/>
      <c r="R55" s="156"/>
    </row>
    <row r="56" spans="1:18" ht="37.5" customHeight="1" x14ac:dyDescent="0.3">
      <c r="A56" s="141" t="s">
        <v>119</v>
      </c>
      <c r="B56" s="531" t="s">
        <v>204</v>
      </c>
      <c r="C56" s="531"/>
      <c r="D56" s="322" t="s">
        <v>218</v>
      </c>
      <c r="E56" s="256" t="s">
        <v>72</v>
      </c>
      <c r="F56" s="67">
        <f t="shared" si="6"/>
        <v>0</v>
      </c>
      <c r="G56" s="187"/>
      <c r="H56" s="130"/>
      <c r="J56" s="141" t="s">
        <v>119</v>
      </c>
      <c r="K56" s="531" t="s">
        <v>204</v>
      </c>
      <c r="L56" s="531"/>
      <c r="M56" s="320" t="s">
        <v>218</v>
      </c>
      <c r="N56" s="269" t="s">
        <v>72</v>
      </c>
      <c r="O56" s="67">
        <f t="shared" si="7"/>
        <v>0</v>
      </c>
      <c r="P56" s="187"/>
      <c r="Q56" s="130"/>
      <c r="R56" s="156"/>
    </row>
    <row r="57" spans="1:18" ht="39" customHeight="1" x14ac:dyDescent="0.3">
      <c r="A57" s="141" t="s">
        <v>120</v>
      </c>
      <c r="B57" s="531" t="s">
        <v>205</v>
      </c>
      <c r="C57" s="531"/>
      <c r="D57" s="322" t="s">
        <v>219</v>
      </c>
      <c r="E57" s="256" t="s">
        <v>72</v>
      </c>
      <c r="F57" s="67">
        <f t="shared" si="6"/>
        <v>0</v>
      </c>
      <c r="G57" s="187"/>
      <c r="H57" s="130"/>
      <c r="J57" s="141" t="s">
        <v>120</v>
      </c>
      <c r="K57" s="531" t="s">
        <v>205</v>
      </c>
      <c r="L57" s="531"/>
      <c r="M57" s="320" t="s">
        <v>219</v>
      </c>
      <c r="N57" s="269" t="s">
        <v>72</v>
      </c>
      <c r="O57" s="67">
        <f t="shared" si="7"/>
        <v>0</v>
      </c>
      <c r="P57" s="187"/>
      <c r="Q57" s="130"/>
      <c r="R57" s="156"/>
    </row>
    <row r="58" spans="1:18" ht="19.5" customHeight="1" x14ac:dyDescent="0.3">
      <c r="A58" s="134"/>
      <c r="B58" s="132"/>
      <c r="C58" s="132"/>
      <c r="D58" s="132"/>
      <c r="E58" s="190" t="s">
        <v>222</v>
      </c>
      <c r="F58" s="187">
        <f>AVERAGE(F51:F57)</f>
        <v>0</v>
      </c>
      <c r="G58" s="187"/>
      <c r="H58" s="130"/>
      <c r="J58" s="134"/>
      <c r="K58" s="132"/>
      <c r="L58" s="132"/>
      <c r="M58" s="132"/>
      <c r="N58" s="190" t="s">
        <v>222</v>
      </c>
      <c r="O58" s="187">
        <f>AVERAGE(O51:O57)</f>
        <v>0</v>
      </c>
      <c r="P58" s="187"/>
      <c r="Q58" s="130"/>
      <c r="R58" s="156"/>
    </row>
    <row r="59" spans="1:18" ht="19.5" customHeight="1" x14ac:dyDescent="0.3">
      <c r="A59" s="134"/>
      <c r="B59" s="135"/>
      <c r="C59" s="135"/>
      <c r="D59" s="132"/>
      <c r="E59" s="189" t="s">
        <v>224</v>
      </c>
      <c r="F59" s="296">
        <f>(SUM(F9:F27)+SUM(F32:F39)+SUM(F44:F46)+SUM(F51:F57))/36</f>
        <v>0</v>
      </c>
      <c r="G59" s="187"/>
      <c r="H59" s="130"/>
      <c r="J59" s="134"/>
      <c r="K59" s="135"/>
      <c r="L59" s="135"/>
      <c r="M59" s="132"/>
      <c r="N59" s="189" t="s">
        <v>224</v>
      </c>
      <c r="O59" s="296">
        <f>(SUM(O9:O27)+SUM(O32:O39)+SUM(O44:O46)+SUM(O51:O57))/36</f>
        <v>0</v>
      </c>
      <c r="P59" s="187"/>
      <c r="Q59" s="130"/>
      <c r="R59" s="156"/>
    </row>
    <row r="60" spans="1:18" ht="19.5" customHeight="1" x14ac:dyDescent="0.3">
      <c r="A60" s="134"/>
      <c r="B60" s="135"/>
      <c r="C60" s="135"/>
      <c r="D60" s="132"/>
      <c r="E60" s="133"/>
      <c r="F60" s="133"/>
      <c r="G60" s="129"/>
      <c r="H60" s="130"/>
      <c r="J60" s="134"/>
      <c r="K60" s="135"/>
      <c r="L60" s="135"/>
      <c r="M60" s="132"/>
      <c r="N60" s="189"/>
      <c r="O60" s="296"/>
      <c r="P60" s="187"/>
      <c r="Q60" s="130"/>
      <c r="R60" s="156"/>
    </row>
    <row r="61" spans="1:18" s="203" customFormat="1" ht="19.5" customHeight="1" x14ac:dyDescent="0.3">
      <c r="A61" s="293" t="s">
        <v>28</v>
      </c>
      <c r="B61" s="294" t="s">
        <v>101</v>
      </c>
      <c r="C61" s="558" t="s">
        <v>130</v>
      </c>
      <c r="D61" s="558"/>
      <c r="E61" s="282"/>
      <c r="F61" s="189"/>
      <c r="G61" s="190"/>
      <c r="H61" s="191"/>
      <c r="I61" s="225"/>
      <c r="J61" s="293" t="s">
        <v>28</v>
      </c>
      <c r="K61" s="294" t="s">
        <v>101</v>
      </c>
      <c r="L61" s="558" t="s">
        <v>130</v>
      </c>
      <c r="M61" s="558"/>
      <c r="N61" s="282"/>
      <c r="O61" s="282"/>
      <c r="P61" s="187"/>
      <c r="Q61" s="130"/>
      <c r="R61" s="283"/>
    </row>
    <row r="62" spans="1:18" s="227" customFormat="1" ht="19.5" customHeight="1" x14ac:dyDescent="0.3">
      <c r="A62" s="146" t="s">
        <v>1</v>
      </c>
      <c r="B62" s="536" t="s">
        <v>99</v>
      </c>
      <c r="C62" s="536"/>
      <c r="D62" s="95" t="s">
        <v>95</v>
      </c>
      <c r="E62" s="95" t="s">
        <v>23</v>
      </c>
      <c r="F62" s="95" t="s">
        <v>24</v>
      </c>
      <c r="G62" s="195"/>
      <c r="H62" s="130"/>
      <c r="I62" s="226"/>
      <c r="J62" s="146" t="s">
        <v>1</v>
      </c>
      <c r="K62" s="536" t="s">
        <v>99</v>
      </c>
      <c r="L62" s="536"/>
      <c r="M62" s="95" t="s">
        <v>95</v>
      </c>
      <c r="N62" s="95" t="s">
        <v>23</v>
      </c>
      <c r="O62" s="95" t="s">
        <v>24</v>
      </c>
      <c r="P62" s="187"/>
      <c r="Q62" s="130"/>
      <c r="R62" s="284"/>
    </row>
    <row r="63" spans="1:18" s="228" customFormat="1" ht="19.5" customHeight="1" x14ac:dyDescent="0.3">
      <c r="A63" s="141" t="s">
        <v>101</v>
      </c>
      <c r="B63" s="553" t="s">
        <v>22</v>
      </c>
      <c r="C63" s="554"/>
      <c r="D63" s="96">
        <v>0.3</v>
      </c>
      <c r="E63" s="88">
        <f>H74</f>
        <v>0</v>
      </c>
      <c r="F63" s="289">
        <f>E63*D63</f>
        <v>0</v>
      </c>
      <c r="G63" s="285"/>
      <c r="H63" s="130"/>
      <c r="I63" s="68"/>
      <c r="J63" s="141" t="s">
        <v>101</v>
      </c>
      <c r="K63" s="553" t="s">
        <v>22</v>
      </c>
      <c r="L63" s="554"/>
      <c r="M63" s="96">
        <v>0.3</v>
      </c>
      <c r="N63" s="88">
        <f>Q74</f>
        <v>0</v>
      </c>
      <c r="O63" s="289">
        <f>N63*M63</f>
        <v>0</v>
      </c>
      <c r="P63" s="187"/>
      <c r="Q63" s="130"/>
      <c r="R63" s="284"/>
    </row>
    <row r="64" spans="1:18" s="228" customFormat="1" ht="19.5" customHeight="1" x14ac:dyDescent="0.3">
      <c r="A64" s="141" t="s">
        <v>102</v>
      </c>
      <c r="B64" s="553" t="s">
        <v>131</v>
      </c>
      <c r="C64" s="554"/>
      <c r="D64" s="96">
        <v>0.3</v>
      </c>
      <c r="E64" s="88">
        <f>H82</f>
        <v>0</v>
      </c>
      <c r="F64" s="289">
        <f t="shared" ref="F64:F65" si="8">E64*D64</f>
        <v>0</v>
      </c>
      <c r="G64" s="285"/>
      <c r="H64" s="130"/>
      <c r="I64" s="68"/>
      <c r="J64" s="141" t="s">
        <v>102</v>
      </c>
      <c r="K64" s="553" t="s">
        <v>131</v>
      </c>
      <c r="L64" s="554"/>
      <c r="M64" s="96">
        <v>0.3</v>
      </c>
      <c r="N64" s="88">
        <f>Q82</f>
        <v>0</v>
      </c>
      <c r="O64" s="289">
        <f t="shared" ref="O64:O65" si="9">N64*M64</f>
        <v>0</v>
      </c>
      <c r="P64" s="187"/>
      <c r="Q64" s="130"/>
      <c r="R64" s="284"/>
    </row>
    <row r="65" spans="1:18" s="228" customFormat="1" ht="19.5" customHeight="1" x14ac:dyDescent="0.3">
      <c r="A65" s="141" t="s">
        <v>103</v>
      </c>
      <c r="B65" s="553" t="s">
        <v>132</v>
      </c>
      <c r="C65" s="554"/>
      <c r="D65" s="96">
        <v>0.4</v>
      </c>
      <c r="E65" s="289">
        <f>F89</f>
        <v>0</v>
      </c>
      <c r="F65" s="289">
        <f t="shared" si="8"/>
        <v>0</v>
      </c>
      <c r="G65" s="285"/>
      <c r="H65" s="130"/>
      <c r="I65" s="68"/>
      <c r="J65" s="141" t="s">
        <v>103</v>
      </c>
      <c r="K65" s="553" t="s">
        <v>132</v>
      </c>
      <c r="L65" s="554"/>
      <c r="M65" s="96">
        <v>0.4</v>
      </c>
      <c r="N65" s="289">
        <f>O89</f>
        <v>0</v>
      </c>
      <c r="O65" s="289">
        <f t="shared" si="9"/>
        <v>0</v>
      </c>
      <c r="P65" s="187"/>
      <c r="Q65" s="130"/>
      <c r="R65" s="284"/>
    </row>
    <row r="66" spans="1:18" s="228" customFormat="1" ht="19.5" customHeight="1" x14ac:dyDescent="0.3">
      <c r="A66" s="141"/>
      <c r="B66" s="559" t="s">
        <v>94</v>
      </c>
      <c r="C66" s="559"/>
      <c r="D66" s="290"/>
      <c r="E66" s="291"/>
      <c r="F66" s="291">
        <f>F65+F64+F63</f>
        <v>0</v>
      </c>
      <c r="G66" s="292"/>
      <c r="H66" s="138"/>
      <c r="I66" s="68"/>
      <c r="J66" s="141"/>
      <c r="K66" s="559" t="s">
        <v>94</v>
      </c>
      <c r="L66" s="559"/>
      <c r="M66" s="290"/>
      <c r="N66" s="291"/>
      <c r="O66" s="291">
        <f>O65+O64+O63</f>
        <v>0</v>
      </c>
      <c r="P66" s="187"/>
      <c r="Q66" s="130"/>
      <c r="R66" s="284"/>
    </row>
    <row r="67" spans="1:18" s="228" customFormat="1" ht="19.5" customHeight="1" x14ac:dyDescent="0.3">
      <c r="A67" s="136"/>
      <c r="B67" s="137"/>
      <c r="C67" s="139"/>
      <c r="D67" s="132"/>
      <c r="E67" s="133"/>
      <c r="F67" s="133"/>
      <c r="G67" s="129"/>
      <c r="H67" s="130"/>
      <c r="I67" s="68"/>
      <c r="J67" s="136"/>
      <c r="K67" s="137"/>
      <c r="L67" s="139"/>
      <c r="M67" s="132"/>
      <c r="N67" s="133"/>
      <c r="O67" s="133"/>
      <c r="P67" s="129"/>
      <c r="Q67" s="130"/>
      <c r="R67" s="284"/>
    </row>
    <row r="68" spans="1:18" s="228" customFormat="1" ht="19.5" customHeight="1" x14ac:dyDescent="0.3">
      <c r="A68" s="128" t="s">
        <v>28</v>
      </c>
      <c r="B68" s="188" t="s">
        <v>133</v>
      </c>
      <c r="C68" s="560" t="s">
        <v>134</v>
      </c>
      <c r="D68" s="560"/>
      <c r="E68" s="560"/>
      <c r="F68" s="204"/>
      <c r="G68" s="190"/>
      <c r="H68" s="191"/>
      <c r="I68" s="68"/>
      <c r="J68" s="128" t="s">
        <v>28</v>
      </c>
      <c r="K68" s="188" t="s">
        <v>133</v>
      </c>
      <c r="L68" s="560" t="s">
        <v>134</v>
      </c>
      <c r="M68" s="560"/>
      <c r="N68" s="560"/>
      <c r="O68" s="204"/>
      <c r="P68" s="190"/>
      <c r="Q68" s="191"/>
      <c r="R68" s="284"/>
    </row>
    <row r="69" spans="1:18" s="227" customFormat="1" ht="19.5" customHeight="1" x14ac:dyDescent="0.3">
      <c r="A69" s="131" t="s">
        <v>1</v>
      </c>
      <c r="B69" s="536" t="s">
        <v>99</v>
      </c>
      <c r="C69" s="536"/>
      <c r="D69" s="95" t="s">
        <v>135</v>
      </c>
      <c r="E69" s="95" t="s">
        <v>95</v>
      </c>
      <c r="F69" s="95" t="s">
        <v>186</v>
      </c>
      <c r="G69" s="95" t="s">
        <v>23</v>
      </c>
      <c r="H69" s="140" t="s">
        <v>24</v>
      </c>
      <c r="I69" s="226"/>
      <c r="J69" s="131" t="s">
        <v>1</v>
      </c>
      <c r="K69" s="536" t="s">
        <v>99</v>
      </c>
      <c r="L69" s="536"/>
      <c r="M69" s="95" t="s">
        <v>135</v>
      </c>
      <c r="N69" s="95" t="s">
        <v>95</v>
      </c>
      <c r="O69" s="95" t="s">
        <v>186</v>
      </c>
      <c r="P69" s="95" t="s">
        <v>23</v>
      </c>
      <c r="Q69" s="140" t="s">
        <v>24</v>
      </c>
      <c r="R69" s="284"/>
    </row>
    <row r="70" spans="1:18" s="228" customFormat="1" ht="19.5" customHeight="1" x14ac:dyDescent="0.3">
      <c r="A70" s="141" t="s">
        <v>101</v>
      </c>
      <c r="B70" s="561" t="s">
        <v>136</v>
      </c>
      <c r="C70" s="561"/>
      <c r="D70" s="259"/>
      <c r="E70" s="96">
        <v>0.4</v>
      </c>
      <c r="F70" s="260">
        <v>0</v>
      </c>
      <c r="G70" s="102">
        <f t="shared" ref="G70:G73" si="10">IF(F70=0,0,IF(F70=1,20,IF(F70=2,40,IF(F70=3,60,IF(F70=4,80,100)))))</f>
        <v>0</v>
      </c>
      <c r="H70" s="142">
        <f>G70*E70</f>
        <v>0</v>
      </c>
      <c r="I70" s="68"/>
      <c r="J70" s="141" t="s">
        <v>101</v>
      </c>
      <c r="K70" s="561" t="s">
        <v>136</v>
      </c>
      <c r="L70" s="561"/>
      <c r="M70" s="272"/>
      <c r="N70" s="96">
        <v>0.4</v>
      </c>
      <c r="O70" s="273">
        <v>0</v>
      </c>
      <c r="P70" s="102">
        <f t="shared" ref="P70:P73" si="11">IF(O70=0,0,IF(O70=1,20,IF(O70=2,40,IF(O70=3,60,IF(O70=4,80,100)))))</f>
        <v>0</v>
      </c>
      <c r="Q70" s="142">
        <f>P70*N70</f>
        <v>0</v>
      </c>
      <c r="R70" s="284"/>
    </row>
    <row r="71" spans="1:18" s="228" customFormat="1" ht="19.5" customHeight="1" x14ac:dyDescent="0.3">
      <c r="A71" s="141" t="s">
        <v>102</v>
      </c>
      <c r="B71" s="561" t="s">
        <v>137</v>
      </c>
      <c r="C71" s="561"/>
      <c r="D71" s="259"/>
      <c r="E71" s="96">
        <v>0.3</v>
      </c>
      <c r="F71" s="260">
        <v>0</v>
      </c>
      <c r="G71" s="102">
        <f t="shared" si="10"/>
        <v>0</v>
      </c>
      <c r="H71" s="142">
        <f>G71*E71</f>
        <v>0</v>
      </c>
      <c r="I71" s="68"/>
      <c r="J71" s="141" t="s">
        <v>102</v>
      </c>
      <c r="K71" s="561" t="s">
        <v>137</v>
      </c>
      <c r="L71" s="561"/>
      <c r="M71" s="272"/>
      <c r="N71" s="96">
        <v>0.3</v>
      </c>
      <c r="O71" s="273">
        <v>0</v>
      </c>
      <c r="P71" s="102">
        <f t="shared" si="11"/>
        <v>0</v>
      </c>
      <c r="Q71" s="142">
        <f>P71*N71</f>
        <v>0</v>
      </c>
      <c r="R71" s="284"/>
    </row>
    <row r="72" spans="1:18" s="228" customFormat="1" ht="19.5" customHeight="1" x14ac:dyDescent="0.3">
      <c r="A72" s="141" t="s">
        <v>103</v>
      </c>
      <c r="B72" s="561" t="s">
        <v>138</v>
      </c>
      <c r="C72" s="561"/>
      <c r="D72" s="259"/>
      <c r="E72" s="96">
        <v>0.2</v>
      </c>
      <c r="F72" s="260">
        <v>0</v>
      </c>
      <c r="G72" s="102">
        <f t="shared" si="10"/>
        <v>0</v>
      </c>
      <c r="H72" s="142">
        <f>G72*E72</f>
        <v>0</v>
      </c>
      <c r="I72" s="68"/>
      <c r="J72" s="141" t="s">
        <v>103</v>
      </c>
      <c r="K72" s="561" t="s">
        <v>138</v>
      </c>
      <c r="L72" s="561"/>
      <c r="M72" s="272"/>
      <c r="N72" s="96">
        <v>0.2</v>
      </c>
      <c r="O72" s="273">
        <v>0</v>
      </c>
      <c r="P72" s="102">
        <f t="shared" si="11"/>
        <v>0</v>
      </c>
      <c r="Q72" s="142">
        <f>P72*N72</f>
        <v>0</v>
      </c>
      <c r="R72" s="284"/>
    </row>
    <row r="73" spans="1:18" s="228" customFormat="1" ht="19.5" customHeight="1" x14ac:dyDescent="0.3">
      <c r="A73" s="141" t="s">
        <v>104</v>
      </c>
      <c r="B73" s="561" t="s">
        <v>139</v>
      </c>
      <c r="C73" s="561"/>
      <c r="D73" s="259"/>
      <c r="E73" s="96">
        <v>0.1</v>
      </c>
      <c r="F73" s="260">
        <v>0</v>
      </c>
      <c r="G73" s="102">
        <f t="shared" si="10"/>
        <v>0</v>
      </c>
      <c r="H73" s="142">
        <f>G73*E73</f>
        <v>0</v>
      </c>
      <c r="I73" s="68"/>
      <c r="J73" s="141" t="s">
        <v>104</v>
      </c>
      <c r="K73" s="561" t="s">
        <v>139</v>
      </c>
      <c r="L73" s="561"/>
      <c r="M73" s="272"/>
      <c r="N73" s="96">
        <v>0.1</v>
      </c>
      <c r="O73" s="273">
        <v>0</v>
      </c>
      <c r="P73" s="102">
        <f t="shared" si="11"/>
        <v>0</v>
      </c>
      <c r="Q73" s="142">
        <f>P73*N73</f>
        <v>0</v>
      </c>
      <c r="R73" s="284"/>
    </row>
    <row r="74" spans="1:18" ht="19.5" customHeight="1" x14ac:dyDescent="0.3">
      <c r="A74" s="141"/>
      <c r="B74" s="559" t="s">
        <v>94</v>
      </c>
      <c r="C74" s="559"/>
      <c r="D74" s="287"/>
      <c r="E74" s="88"/>
      <c r="F74" s="88"/>
      <c r="G74" s="88"/>
      <c r="H74" s="143">
        <f>SUM(H70:H73)</f>
        <v>0</v>
      </c>
      <c r="J74" s="141"/>
      <c r="K74" s="559" t="s">
        <v>94</v>
      </c>
      <c r="L74" s="559"/>
      <c r="M74" s="287"/>
      <c r="N74" s="88"/>
      <c r="O74" s="88"/>
      <c r="P74" s="88"/>
      <c r="Q74" s="143">
        <f>SUM(Q70:Q73)</f>
        <v>0</v>
      </c>
      <c r="R74" s="156"/>
    </row>
    <row r="75" spans="1:18" ht="19.5" customHeight="1" x14ac:dyDescent="0.3">
      <c r="A75" s="144"/>
      <c r="B75" s="99"/>
      <c r="C75" s="99"/>
      <c r="D75" s="100"/>
      <c r="E75" s="98"/>
      <c r="F75" s="98"/>
      <c r="G75" s="98"/>
      <c r="H75" s="145"/>
      <c r="J75" s="144"/>
      <c r="K75" s="99"/>
      <c r="L75" s="99"/>
      <c r="M75" s="100"/>
      <c r="N75" s="98"/>
      <c r="O75" s="98"/>
      <c r="P75" s="98"/>
      <c r="Q75" s="145"/>
      <c r="R75" s="117"/>
    </row>
    <row r="76" spans="1:18" s="82" customFormat="1" ht="19.5" customHeight="1" x14ac:dyDescent="0.25">
      <c r="A76" s="193" t="s">
        <v>28</v>
      </c>
      <c r="B76" s="194" t="s">
        <v>140</v>
      </c>
      <c r="C76" s="562" t="s">
        <v>141</v>
      </c>
      <c r="D76" s="562"/>
      <c r="E76" s="562"/>
      <c r="F76" s="205"/>
      <c r="G76" s="195"/>
      <c r="H76" s="196"/>
      <c r="J76" s="193" t="s">
        <v>28</v>
      </c>
      <c r="K76" s="194" t="s">
        <v>140</v>
      </c>
      <c r="L76" s="562" t="s">
        <v>141</v>
      </c>
      <c r="M76" s="562"/>
      <c r="N76" s="562"/>
      <c r="O76" s="205"/>
      <c r="P76" s="195"/>
      <c r="Q76" s="196"/>
      <c r="R76" s="117"/>
    </row>
    <row r="77" spans="1:18" s="82" customFormat="1" ht="19.5" customHeight="1" x14ac:dyDescent="0.25">
      <c r="A77" s="146" t="s">
        <v>1</v>
      </c>
      <c r="B77" s="536" t="s">
        <v>99</v>
      </c>
      <c r="C77" s="536"/>
      <c r="D77" s="95" t="s">
        <v>135</v>
      </c>
      <c r="E77" s="95" t="s">
        <v>95</v>
      </c>
      <c r="F77" s="95" t="s">
        <v>186</v>
      </c>
      <c r="G77" s="95" t="s">
        <v>23</v>
      </c>
      <c r="H77" s="140" t="s">
        <v>24</v>
      </c>
      <c r="J77" s="146" t="s">
        <v>1</v>
      </c>
      <c r="K77" s="536" t="s">
        <v>99</v>
      </c>
      <c r="L77" s="536"/>
      <c r="M77" s="95" t="s">
        <v>135</v>
      </c>
      <c r="N77" s="95" t="s">
        <v>95</v>
      </c>
      <c r="O77" s="95" t="s">
        <v>186</v>
      </c>
      <c r="P77" s="95" t="s">
        <v>23</v>
      </c>
      <c r="Q77" s="140" t="s">
        <v>24</v>
      </c>
      <c r="R77" s="117"/>
    </row>
    <row r="78" spans="1:18" ht="19.5" customHeight="1" x14ac:dyDescent="0.3">
      <c r="A78" s="147" t="s">
        <v>101</v>
      </c>
      <c r="B78" s="580" t="s">
        <v>136</v>
      </c>
      <c r="C78" s="580"/>
      <c r="D78" s="260"/>
      <c r="E78" s="103">
        <v>0.4</v>
      </c>
      <c r="F78" s="260">
        <v>0</v>
      </c>
      <c r="G78" s="102">
        <f t="shared" ref="G78:G81" si="12">IF(F78=0,0,IF(F78=1,20,IF(F78=2,40,IF(F78=3,60,IF(F78=4,80,100)))))</f>
        <v>0</v>
      </c>
      <c r="H78" s="148">
        <f>G78*E78</f>
        <v>0</v>
      </c>
      <c r="J78" s="147" t="s">
        <v>101</v>
      </c>
      <c r="K78" s="580" t="s">
        <v>136</v>
      </c>
      <c r="L78" s="580"/>
      <c r="M78" s="273"/>
      <c r="N78" s="103">
        <v>0.4</v>
      </c>
      <c r="O78" s="273">
        <v>0</v>
      </c>
      <c r="P78" s="102">
        <f t="shared" ref="P78:P81" si="13">IF(O78=0,0,IF(O78=1,20,IF(O78=2,40,IF(O78=3,60,IF(O78=4,80,100)))))</f>
        <v>0</v>
      </c>
      <c r="Q78" s="148">
        <f>P78*N78</f>
        <v>0</v>
      </c>
      <c r="R78" s="117"/>
    </row>
    <row r="79" spans="1:18" ht="19.5" customHeight="1" x14ac:dyDescent="0.3">
      <c r="A79" s="147" t="s">
        <v>102</v>
      </c>
      <c r="B79" s="580" t="s">
        <v>137</v>
      </c>
      <c r="C79" s="580"/>
      <c r="D79" s="260"/>
      <c r="E79" s="103">
        <v>0.3</v>
      </c>
      <c r="F79" s="260">
        <v>0</v>
      </c>
      <c r="G79" s="102">
        <f t="shared" si="12"/>
        <v>0</v>
      </c>
      <c r="H79" s="148">
        <f>G79*E79</f>
        <v>0</v>
      </c>
      <c r="J79" s="147" t="s">
        <v>102</v>
      </c>
      <c r="K79" s="580" t="s">
        <v>137</v>
      </c>
      <c r="L79" s="580"/>
      <c r="M79" s="273"/>
      <c r="N79" s="103">
        <v>0.3</v>
      </c>
      <c r="O79" s="273">
        <v>0</v>
      </c>
      <c r="P79" s="102">
        <f t="shared" si="13"/>
        <v>0</v>
      </c>
      <c r="Q79" s="148">
        <f>P79*N79</f>
        <v>0</v>
      </c>
      <c r="R79" s="117"/>
    </row>
    <row r="80" spans="1:18" ht="19.5" customHeight="1" x14ac:dyDescent="0.3">
      <c r="A80" s="149" t="s">
        <v>103</v>
      </c>
      <c r="B80" s="580" t="s">
        <v>138</v>
      </c>
      <c r="C80" s="580"/>
      <c r="D80" s="260"/>
      <c r="E80" s="103">
        <v>0.2</v>
      </c>
      <c r="F80" s="260">
        <v>0</v>
      </c>
      <c r="G80" s="102">
        <f t="shared" si="12"/>
        <v>0</v>
      </c>
      <c r="H80" s="148">
        <f>G80*E80</f>
        <v>0</v>
      </c>
      <c r="J80" s="149" t="s">
        <v>103</v>
      </c>
      <c r="K80" s="580" t="s">
        <v>138</v>
      </c>
      <c r="L80" s="580"/>
      <c r="M80" s="273"/>
      <c r="N80" s="103">
        <v>0.2</v>
      </c>
      <c r="O80" s="273">
        <v>0</v>
      </c>
      <c r="P80" s="102">
        <f t="shared" si="13"/>
        <v>0</v>
      </c>
      <c r="Q80" s="148">
        <f>P80*N80</f>
        <v>0</v>
      </c>
      <c r="R80" s="117"/>
    </row>
    <row r="81" spans="1:18" ht="19.5" customHeight="1" x14ac:dyDescent="0.3">
      <c r="A81" s="149" t="s">
        <v>104</v>
      </c>
      <c r="B81" s="580" t="s">
        <v>139</v>
      </c>
      <c r="C81" s="580"/>
      <c r="D81" s="259"/>
      <c r="E81" s="103">
        <v>0.1</v>
      </c>
      <c r="F81" s="260">
        <v>0</v>
      </c>
      <c r="G81" s="102">
        <f t="shared" si="12"/>
        <v>0</v>
      </c>
      <c r="H81" s="148">
        <f>G81*E81</f>
        <v>0</v>
      </c>
      <c r="J81" s="149" t="s">
        <v>104</v>
      </c>
      <c r="K81" s="580" t="s">
        <v>139</v>
      </c>
      <c r="L81" s="580"/>
      <c r="M81" s="272"/>
      <c r="N81" s="103">
        <v>0.1</v>
      </c>
      <c r="O81" s="273">
        <v>0</v>
      </c>
      <c r="P81" s="102">
        <f t="shared" si="13"/>
        <v>0</v>
      </c>
      <c r="Q81" s="148">
        <f>P81*N81</f>
        <v>0</v>
      </c>
      <c r="R81" s="117"/>
    </row>
    <row r="82" spans="1:18" ht="19.5" customHeight="1" x14ac:dyDescent="0.3">
      <c r="A82" s="149"/>
      <c r="B82" s="581" t="s">
        <v>94</v>
      </c>
      <c r="C82" s="581"/>
      <c r="D82" s="104"/>
      <c r="E82" s="102"/>
      <c r="F82" s="102"/>
      <c r="G82" s="102"/>
      <c r="H82" s="150">
        <f>SUM(H78:H81)</f>
        <v>0</v>
      </c>
      <c r="J82" s="149"/>
      <c r="K82" s="581" t="s">
        <v>94</v>
      </c>
      <c r="L82" s="581"/>
      <c r="M82" s="104"/>
      <c r="N82" s="102"/>
      <c r="O82" s="102"/>
      <c r="P82" s="102"/>
      <c r="Q82" s="150">
        <f>SUM(Q78:Q81)</f>
        <v>0</v>
      </c>
      <c r="R82" s="117"/>
    </row>
    <row r="83" spans="1:18" ht="19.5" customHeight="1" x14ac:dyDescent="0.3">
      <c r="A83" s="151"/>
      <c r="B83" s="152"/>
      <c r="C83" s="153"/>
      <c r="D83" s="154"/>
      <c r="E83" s="155"/>
      <c r="F83" s="155"/>
      <c r="G83" s="156"/>
      <c r="H83" s="138"/>
      <c r="J83" s="151"/>
      <c r="K83" s="152"/>
      <c r="L83" s="153"/>
      <c r="M83" s="154"/>
      <c r="N83" s="155"/>
      <c r="O83" s="155"/>
      <c r="P83" s="156"/>
      <c r="Q83" s="138"/>
      <c r="R83" s="117"/>
    </row>
    <row r="84" spans="1:18" ht="19.5" customHeight="1" x14ac:dyDescent="0.3">
      <c r="A84" s="197" t="s">
        <v>28</v>
      </c>
      <c r="B84" s="317" t="s">
        <v>142</v>
      </c>
      <c r="C84" s="582" t="s">
        <v>143</v>
      </c>
      <c r="D84" s="582"/>
      <c r="E84" s="582"/>
      <c r="F84" s="206"/>
      <c r="G84" s="199"/>
      <c r="H84" s="200"/>
      <c r="J84" s="197" t="s">
        <v>28</v>
      </c>
      <c r="K84" s="198" t="s">
        <v>142</v>
      </c>
      <c r="L84" s="585" t="s">
        <v>143</v>
      </c>
      <c r="M84" s="585"/>
      <c r="N84" s="585"/>
      <c r="O84" s="206"/>
      <c r="P84" s="199"/>
      <c r="Q84" s="200"/>
      <c r="R84" s="117"/>
    </row>
    <row r="85" spans="1:18" ht="19.5" customHeight="1" x14ac:dyDescent="0.3">
      <c r="A85" s="146" t="s">
        <v>1</v>
      </c>
      <c r="B85" s="536" t="s">
        <v>99</v>
      </c>
      <c r="C85" s="536"/>
      <c r="D85" s="95" t="s">
        <v>95</v>
      </c>
      <c r="E85" s="95" t="s">
        <v>23</v>
      </c>
      <c r="F85" s="95" t="s">
        <v>24</v>
      </c>
      <c r="G85" s="85"/>
      <c r="H85" s="138"/>
      <c r="J85" s="131" t="s">
        <v>1</v>
      </c>
      <c r="K85" s="534" t="s">
        <v>99</v>
      </c>
      <c r="L85" s="534"/>
      <c r="M85" s="86" t="s">
        <v>95</v>
      </c>
      <c r="N85" s="87" t="s">
        <v>23</v>
      </c>
      <c r="O85" s="86" t="s">
        <v>24</v>
      </c>
      <c r="P85" s="132"/>
      <c r="Q85" s="138"/>
      <c r="R85" s="117"/>
    </row>
    <row r="86" spans="1:18" ht="19.5" customHeight="1" x14ac:dyDescent="0.3">
      <c r="A86" s="147" t="s">
        <v>101</v>
      </c>
      <c r="B86" s="580" t="s">
        <v>144</v>
      </c>
      <c r="C86" s="580"/>
      <c r="D86" s="103">
        <v>0.2</v>
      </c>
      <c r="E86" s="256">
        <v>0</v>
      </c>
      <c r="F86" s="318">
        <f>E86*D86</f>
        <v>0</v>
      </c>
      <c r="G86" s="85"/>
      <c r="H86" s="138"/>
      <c r="J86" s="149" t="s">
        <v>101</v>
      </c>
      <c r="K86" s="583" t="s">
        <v>144</v>
      </c>
      <c r="L86" s="583"/>
      <c r="M86" s="109">
        <v>0.2</v>
      </c>
      <c r="N86" s="269">
        <v>0</v>
      </c>
      <c r="O86" s="110">
        <f>N86*M86</f>
        <v>0</v>
      </c>
      <c r="P86" s="132"/>
      <c r="Q86" s="138"/>
      <c r="R86" s="117"/>
    </row>
    <row r="87" spans="1:18" ht="19.5" customHeight="1" x14ac:dyDescent="0.3">
      <c r="A87" s="147" t="s">
        <v>102</v>
      </c>
      <c r="B87" s="580" t="s">
        <v>145</v>
      </c>
      <c r="C87" s="580"/>
      <c r="D87" s="103">
        <v>0.4</v>
      </c>
      <c r="E87" s="318">
        <f>E134</f>
        <v>0</v>
      </c>
      <c r="F87" s="318">
        <f>E87*D87</f>
        <v>0</v>
      </c>
      <c r="G87" s="85"/>
      <c r="H87" s="138"/>
      <c r="J87" s="149" t="s">
        <v>102</v>
      </c>
      <c r="K87" s="583" t="s">
        <v>145</v>
      </c>
      <c r="L87" s="583"/>
      <c r="M87" s="109">
        <v>0.4</v>
      </c>
      <c r="N87" s="110">
        <f>N134</f>
        <v>0</v>
      </c>
      <c r="O87" s="110">
        <f>N87*M87</f>
        <v>0</v>
      </c>
      <c r="P87" s="132"/>
      <c r="Q87" s="138"/>
      <c r="R87" s="117"/>
    </row>
    <row r="88" spans="1:18" ht="19.5" customHeight="1" x14ac:dyDescent="0.3">
      <c r="A88" s="147" t="s">
        <v>103</v>
      </c>
      <c r="B88" s="580" t="s">
        <v>146</v>
      </c>
      <c r="C88" s="580"/>
      <c r="D88" s="103">
        <v>0.4</v>
      </c>
      <c r="E88" s="318">
        <f>F134</f>
        <v>0</v>
      </c>
      <c r="F88" s="318">
        <f>E88*D88</f>
        <v>0</v>
      </c>
      <c r="G88" s="85"/>
      <c r="H88" s="138"/>
      <c r="J88" s="149" t="s">
        <v>103</v>
      </c>
      <c r="K88" s="583" t="s">
        <v>146</v>
      </c>
      <c r="L88" s="583"/>
      <c r="M88" s="109">
        <v>0.4</v>
      </c>
      <c r="N88" s="110">
        <f>O134</f>
        <v>0</v>
      </c>
      <c r="O88" s="110">
        <f>N88*M88</f>
        <v>0</v>
      </c>
      <c r="P88" s="132"/>
      <c r="Q88" s="138"/>
      <c r="R88" s="117"/>
    </row>
    <row r="89" spans="1:18" ht="19.5" customHeight="1" x14ac:dyDescent="0.3">
      <c r="A89" s="147"/>
      <c r="B89" s="581" t="s">
        <v>94</v>
      </c>
      <c r="C89" s="581"/>
      <c r="D89" s="104"/>
      <c r="E89" s="318"/>
      <c r="F89" s="319">
        <f>SUM(F86:F88)</f>
        <v>0</v>
      </c>
      <c r="G89" s="85"/>
      <c r="H89" s="138"/>
      <c r="J89" s="149"/>
      <c r="K89" s="584" t="s">
        <v>94</v>
      </c>
      <c r="L89" s="584"/>
      <c r="M89" s="111"/>
      <c r="N89" s="110"/>
      <c r="O89" s="112">
        <f>SUM(O86:O88)</f>
        <v>0</v>
      </c>
      <c r="P89" s="132"/>
      <c r="Q89" s="138"/>
      <c r="R89" s="117"/>
    </row>
    <row r="90" spans="1:18" ht="19.5" customHeight="1" x14ac:dyDescent="0.3">
      <c r="A90" s="151"/>
      <c r="B90" s="152"/>
      <c r="C90" s="153"/>
      <c r="D90" s="154"/>
      <c r="E90" s="155"/>
      <c r="F90" s="155"/>
      <c r="G90" s="156"/>
      <c r="H90" s="138"/>
      <c r="J90" s="151"/>
      <c r="K90" s="152"/>
      <c r="L90" s="153"/>
      <c r="M90" s="154"/>
      <c r="N90" s="155"/>
      <c r="O90" s="155"/>
      <c r="P90" s="156"/>
      <c r="Q90" s="138"/>
      <c r="R90" s="117"/>
    </row>
    <row r="91" spans="1:18" ht="19.5" customHeight="1" x14ac:dyDescent="0.3">
      <c r="A91" s="167" t="s">
        <v>30</v>
      </c>
      <c r="B91" s="325" t="s">
        <v>147</v>
      </c>
      <c r="C91" s="85"/>
      <c r="D91" s="324"/>
      <c r="E91" s="324"/>
      <c r="F91" s="207"/>
      <c r="G91" s="201"/>
      <c r="H91" s="202"/>
      <c r="J91" s="167" t="s">
        <v>30</v>
      </c>
      <c r="K91" s="325" t="s">
        <v>147</v>
      </c>
      <c r="L91" s="324"/>
      <c r="M91" s="324"/>
      <c r="N91" s="324"/>
      <c r="O91" s="207"/>
      <c r="P91" s="201"/>
      <c r="Q91" s="202"/>
      <c r="R91" s="117"/>
    </row>
    <row r="92" spans="1:18" ht="19.5" customHeight="1" x14ac:dyDescent="0.3">
      <c r="A92" s="161" t="s">
        <v>1</v>
      </c>
      <c r="B92" s="572" t="s">
        <v>99</v>
      </c>
      <c r="C92" s="572"/>
      <c r="D92" s="69" t="s">
        <v>40</v>
      </c>
      <c r="E92" s="70" t="s">
        <v>39</v>
      </c>
      <c r="F92" s="69" t="s">
        <v>148</v>
      </c>
      <c r="G92" s="283"/>
      <c r="H92" s="160"/>
      <c r="J92" s="161" t="s">
        <v>1</v>
      </c>
      <c r="K92" s="572" t="s">
        <v>99</v>
      </c>
      <c r="L92" s="572"/>
      <c r="M92" s="69" t="s">
        <v>40</v>
      </c>
      <c r="N92" s="70" t="s">
        <v>39</v>
      </c>
      <c r="O92" s="69" t="s">
        <v>148</v>
      </c>
      <c r="P92" s="283"/>
      <c r="Q92" s="160"/>
      <c r="R92" s="117"/>
    </row>
    <row r="93" spans="1:18" ht="19.5" customHeight="1" x14ac:dyDescent="0.3">
      <c r="A93" s="162" t="s">
        <v>101</v>
      </c>
      <c r="B93" s="569" t="s">
        <v>35</v>
      </c>
      <c r="C93" s="569"/>
      <c r="D93" s="71">
        <f>HPS!F30</f>
        <v>70057500</v>
      </c>
      <c r="E93" s="261">
        <v>0</v>
      </c>
      <c r="F93" s="72">
        <f>D93-E93</f>
        <v>70057500</v>
      </c>
      <c r="G93" s="429"/>
      <c r="H93" s="160"/>
      <c r="J93" s="162" t="s">
        <v>101</v>
      </c>
      <c r="K93" s="569" t="s">
        <v>35</v>
      </c>
      <c r="L93" s="569"/>
      <c r="M93" s="71">
        <f>HPS!F30</f>
        <v>70057500</v>
      </c>
      <c r="N93" s="274">
        <v>0</v>
      </c>
      <c r="O93" s="72">
        <f>M93-N93</f>
        <v>70057500</v>
      </c>
      <c r="P93" s="429"/>
      <c r="Q93" s="160"/>
      <c r="R93" s="117"/>
    </row>
    <row r="94" spans="1:18" ht="19.5" customHeight="1" x14ac:dyDescent="0.3">
      <c r="A94" s="162" t="s">
        <v>102</v>
      </c>
      <c r="B94" s="569" t="s">
        <v>36</v>
      </c>
      <c r="C94" s="569"/>
      <c r="D94" s="73">
        <f>HPS!F31</f>
        <v>17514375</v>
      </c>
      <c r="E94" s="262">
        <v>0</v>
      </c>
      <c r="F94" s="72">
        <f>D94-E94</f>
        <v>17514375</v>
      </c>
      <c r="G94" s="429"/>
      <c r="H94" s="160"/>
      <c r="J94" s="162" t="s">
        <v>102</v>
      </c>
      <c r="K94" s="569" t="s">
        <v>36</v>
      </c>
      <c r="L94" s="569"/>
      <c r="M94" s="71">
        <f>HPS!F31</f>
        <v>17514375</v>
      </c>
      <c r="N94" s="275">
        <v>0</v>
      </c>
      <c r="O94" s="72">
        <f>M94-N94</f>
        <v>17514375</v>
      </c>
      <c r="P94" s="429"/>
      <c r="Q94" s="160"/>
      <c r="R94" s="117"/>
    </row>
    <row r="95" spans="1:18" ht="19.5" customHeight="1" x14ac:dyDescent="0.3">
      <c r="A95" s="162" t="s">
        <v>103</v>
      </c>
      <c r="B95" s="569" t="s">
        <v>37</v>
      </c>
      <c r="C95" s="569"/>
      <c r="D95" s="73">
        <f>HPS!F33</f>
        <v>8757187.5</v>
      </c>
      <c r="E95" s="262">
        <v>0</v>
      </c>
      <c r="F95" s="72">
        <f>D95-E95</f>
        <v>8757187.5</v>
      </c>
      <c r="G95" s="429"/>
      <c r="H95" s="160"/>
      <c r="J95" s="162" t="s">
        <v>103</v>
      </c>
      <c r="K95" s="569" t="s">
        <v>37</v>
      </c>
      <c r="L95" s="569"/>
      <c r="M95" s="71">
        <f>HPS!F33</f>
        <v>8757187.5</v>
      </c>
      <c r="N95" s="275">
        <v>0</v>
      </c>
      <c r="O95" s="72">
        <f>M95-N95</f>
        <v>8757187.5</v>
      </c>
      <c r="P95" s="429"/>
      <c r="Q95" s="160"/>
      <c r="R95" s="117"/>
    </row>
    <row r="96" spans="1:18" ht="19.5" customHeight="1" x14ac:dyDescent="0.3">
      <c r="A96" s="163" t="s">
        <v>104</v>
      </c>
      <c r="B96" s="570" t="s">
        <v>38</v>
      </c>
      <c r="C96" s="570"/>
      <c r="D96" s="120">
        <f>SUM(D93:D95)</f>
        <v>96329062.5</v>
      </c>
      <c r="E96" s="120">
        <f>SUM(E93:E95)</f>
        <v>0</v>
      </c>
      <c r="F96" s="120">
        <f>SUM(F93:F95)</f>
        <v>96329062.5</v>
      </c>
      <c r="G96" s="120">
        <f>IF(E96&lt;=D96,50,0)</f>
        <v>50</v>
      </c>
      <c r="H96" s="160"/>
      <c r="J96" s="163" t="s">
        <v>104</v>
      </c>
      <c r="K96" s="570" t="s">
        <v>38</v>
      </c>
      <c r="L96" s="570"/>
      <c r="M96" s="120">
        <f>SUM(M93:M95)</f>
        <v>96329062.5</v>
      </c>
      <c r="N96" s="120">
        <f>SUM(N93:N95)</f>
        <v>0</v>
      </c>
      <c r="O96" s="120">
        <f>SUM(O93:O95)</f>
        <v>96329062.5</v>
      </c>
      <c r="P96" s="120">
        <f>IF(N96&lt;=M96,50,0)</f>
        <v>50</v>
      </c>
      <c r="Q96" s="160"/>
      <c r="R96" s="117"/>
    </row>
    <row r="97" spans="1:18" ht="19.5" customHeight="1" x14ac:dyDescent="0.3">
      <c r="A97" s="157"/>
      <c r="B97" s="158"/>
      <c r="C97" s="164"/>
      <c r="D97" s="165"/>
      <c r="E97" s="166"/>
      <c r="F97" s="166"/>
      <c r="G97" s="159"/>
      <c r="H97" s="160"/>
      <c r="J97" s="157"/>
      <c r="K97" s="158"/>
      <c r="L97" s="164"/>
      <c r="M97" s="165"/>
      <c r="N97" s="166"/>
      <c r="O97" s="166"/>
      <c r="P97" s="159"/>
      <c r="Q97" s="160"/>
      <c r="R97" s="117"/>
    </row>
    <row r="98" spans="1:18" ht="19.5" customHeight="1" x14ac:dyDescent="0.3">
      <c r="A98" s="167" t="s">
        <v>33</v>
      </c>
      <c r="B98" s="571" t="s">
        <v>149</v>
      </c>
      <c r="C98" s="571"/>
      <c r="D98" s="571"/>
      <c r="E98" s="571"/>
      <c r="F98" s="207"/>
      <c r="G98" s="159"/>
      <c r="H98" s="160"/>
      <c r="J98" s="167" t="s">
        <v>33</v>
      </c>
      <c r="K98" s="571" t="s">
        <v>149</v>
      </c>
      <c r="L98" s="571"/>
      <c r="M98" s="571"/>
      <c r="N98" s="571"/>
      <c r="O98" s="207"/>
      <c r="P98" s="159"/>
      <c r="Q98" s="160"/>
      <c r="R98" s="117"/>
    </row>
    <row r="99" spans="1:18" ht="19.5" customHeight="1" x14ac:dyDescent="0.3">
      <c r="A99" s="161" t="s">
        <v>1</v>
      </c>
      <c r="B99" s="572" t="s">
        <v>99</v>
      </c>
      <c r="C99" s="572"/>
      <c r="D99" s="69" t="s">
        <v>95</v>
      </c>
      <c r="E99" s="70" t="s">
        <v>23</v>
      </c>
      <c r="F99" s="69" t="s">
        <v>24</v>
      </c>
      <c r="G99" s="227"/>
      <c r="H99" s="168"/>
      <c r="J99" s="161" t="s">
        <v>1</v>
      </c>
      <c r="K99" s="572" t="s">
        <v>99</v>
      </c>
      <c r="L99" s="572"/>
      <c r="M99" s="69" t="s">
        <v>95</v>
      </c>
      <c r="N99" s="70" t="s">
        <v>23</v>
      </c>
      <c r="O99" s="69" t="s">
        <v>24</v>
      </c>
      <c r="P99" s="311"/>
      <c r="Q99" s="168"/>
      <c r="R99" s="117"/>
    </row>
    <row r="100" spans="1:18" ht="19.5" customHeight="1" x14ac:dyDescent="0.3">
      <c r="A100" s="162" t="s">
        <v>101</v>
      </c>
      <c r="B100" s="569" t="s">
        <v>48</v>
      </c>
      <c r="C100" s="569"/>
      <c r="D100" s="74">
        <v>0.3</v>
      </c>
      <c r="E100" s="75">
        <f>F59</f>
        <v>0</v>
      </c>
      <c r="F100" s="76">
        <f>E100*D100</f>
        <v>0</v>
      </c>
      <c r="G100" s="228"/>
      <c r="H100" s="160"/>
      <c r="J100" s="162" t="s">
        <v>101</v>
      </c>
      <c r="K100" s="569" t="s">
        <v>48</v>
      </c>
      <c r="L100" s="569"/>
      <c r="M100" s="74">
        <v>0.3</v>
      </c>
      <c r="N100" s="75">
        <f>O59</f>
        <v>0</v>
      </c>
      <c r="O100" s="76">
        <f>N100*M100</f>
        <v>0</v>
      </c>
      <c r="P100" s="312"/>
      <c r="Q100" s="160"/>
      <c r="R100" s="117"/>
    </row>
    <row r="101" spans="1:18" ht="19.5" customHeight="1" x14ac:dyDescent="0.3">
      <c r="A101" s="162" t="s">
        <v>102</v>
      </c>
      <c r="B101" s="569" t="s">
        <v>49</v>
      </c>
      <c r="C101" s="569"/>
      <c r="D101" s="74">
        <v>0.35</v>
      </c>
      <c r="E101" s="75">
        <f>F66</f>
        <v>0</v>
      </c>
      <c r="F101" s="76">
        <f>E101*D101</f>
        <v>0</v>
      </c>
      <c r="G101" s="228"/>
      <c r="H101" s="160"/>
      <c r="J101" s="162" t="s">
        <v>102</v>
      </c>
      <c r="K101" s="569" t="s">
        <v>49</v>
      </c>
      <c r="L101" s="569"/>
      <c r="M101" s="74">
        <v>0.35</v>
      </c>
      <c r="N101" s="75">
        <f>O66</f>
        <v>0</v>
      </c>
      <c r="O101" s="76">
        <f>N101*M101</f>
        <v>0</v>
      </c>
      <c r="P101" s="312"/>
      <c r="Q101" s="160"/>
      <c r="R101" s="117"/>
    </row>
    <row r="102" spans="1:18" ht="19.5" customHeight="1" x14ac:dyDescent="0.3">
      <c r="A102" s="162" t="s">
        <v>103</v>
      </c>
      <c r="B102" s="569" t="s">
        <v>50</v>
      </c>
      <c r="C102" s="569"/>
      <c r="D102" s="74">
        <v>0.35</v>
      </c>
      <c r="E102" s="77">
        <f>'Rekap Penilaian KAP'!E60</f>
        <v>0</v>
      </c>
      <c r="F102" s="76">
        <f>E102*D102</f>
        <v>0</v>
      </c>
      <c r="G102" s="228"/>
      <c r="H102" s="160"/>
      <c r="J102" s="162" t="s">
        <v>103</v>
      </c>
      <c r="K102" s="569" t="s">
        <v>50</v>
      </c>
      <c r="L102" s="569"/>
      <c r="M102" s="74">
        <v>0.35</v>
      </c>
      <c r="N102" s="77">
        <f>'Rekap Penilaian KAP'!E69</f>
        <v>0</v>
      </c>
      <c r="O102" s="76">
        <f>N102*M102</f>
        <v>0</v>
      </c>
      <c r="P102" s="312"/>
      <c r="Q102" s="160"/>
      <c r="R102" s="117"/>
    </row>
    <row r="103" spans="1:18" ht="19.5" customHeight="1" x14ac:dyDescent="0.3">
      <c r="A103" s="162"/>
      <c r="B103" s="579" t="s">
        <v>150</v>
      </c>
      <c r="C103" s="579"/>
      <c r="D103" s="78"/>
      <c r="E103" s="79"/>
      <c r="F103" s="80">
        <f>SUM(F100:F102)</f>
        <v>0</v>
      </c>
      <c r="G103" s="228"/>
      <c r="H103" s="160"/>
      <c r="J103" s="162"/>
      <c r="K103" s="579" t="s">
        <v>150</v>
      </c>
      <c r="L103" s="579"/>
      <c r="M103" s="78"/>
      <c r="N103" s="79"/>
      <c r="O103" s="80">
        <f>SUM(O100:O102)</f>
        <v>0</v>
      </c>
      <c r="P103" s="312"/>
      <c r="Q103" s="160"/>
      <c r="R103" s="117"/>
    </row>
    <row r="104" spans="1:18" s="116" customFormat="1" ht="19.5" customHeight="1" x14ac:dyDescent="0.3">
      <c r="A104" s="136"/>
      <c r="B104" s="137"/>
      <c r="C104" s="139"/>
      <c r="D104" s="132"/>
      <c r="E104" s="133"/>
      <c r="F104" s="133"/>
      <c r="G104" s="129"/>
      <c r="H104" s="130"/>
      <c r="J104" s="136"/>
      <c r="K104" s="137"/>
      <c r="L104" s="139"/>
      <c r="M104" s="132"/>
      <c r="N104" s="133"/>
      <c r="O104" s="133"/>
      <c r="P104" s="129"/>
      <c r="Q104" s="130"/>
      <c r="R104" s="285"/>
    </row>
    <row r="105" spans="1:18" ht="19.5" customHeight="1" x14ac:dyDescent="0.3">
      <c r="A105" s="169" t="s">
        <v>60</v>
      </c>
      <c r="B105" s="137"/>
      <c r="C105" s="139"/>
      <c r="D105" s="98"/>
      <c r="E105" s="133"/>
      <c r="F105" s="133"/>
      <c r="G105" s="129"/>
      <c r="H105" s="145"/>
      <c r="J105" s="169" t="s">
        <v>60</v>
      </c>
      <c r="K105" s="137"/>
      <c r="L105" s="139"/>
      <c r="M105" s="98"/>
      <c r="N105" s="133"/>
      <c r="O105" s="133"/>
      <c r="P105" s="129"/>
      <c r="Q105" s="145"/>
      <c r="R105" s="156"/>
    </row>
    <row r="106" spans="1:18" ht="19.5" customHeight="1" x14ac:dyDescent="0.3">
      <c r="A106" s="563" t="s">
        <v>1</v>
      </c>
      <c r="B106" s="565" t="s">
        <v>61</v>
      </c>
      <c r="C106" s="566"/>
      <c r="D106" s="95" t="s">
        <v>62</v>
      </c>
      <c r="E106" s="95" t="s">
        <v>62</v>
      </c>
      <c r="F106" s="95" t="s">
        <v>63</v>
      </c>
      <c r="G106" s="82"/>
      <c r="H106" s="145"/>
      <c r="I106" s="232"/>
      <c r="J106" s="563" t="s">
        <v>1</v>
      </c>
      <c r="K106" s="565" t="s">
        <v>61</v>
      </c>
      <c r="L106" s="566"/>
      <c r="M106" s="95" t="s">
        <v>62</v>
      </c>
      <c r="N106" s="95" t="s">
        <v>62</v>
      </c>
      <c r="O106" s="95" t="s">
        <v>63</v>
      </c>
      <c r="P106" s="98"/>
      <c r="Q106" s="145"/>
      <c r="R106" s="117"/>
    </row>
    <row r="107" spans="1:18" ht="19.5" customHeight="1" x14ac:dyDescent="0.3">
      <c r="A107" s="564"/>
      <c r="B107" s="567"/>
      <c r="C107" s="568"/>
      <c r="D107" s="95" t="s">
        <v>64</v>
      </c>
      <c r="E107" s="95" t="s">
        <v>65</v>
      </c>
      <c r="F107" s="95" t="s">
        <v>66</v>
      </c>
      <c r="G107" s="82"/>
      <c r="H107" s="145"/>
      <c r="J107" s="564"/>
      <c r="K107" s="567"/>
      <c r="L107" s="568"/>
      <c r="M107" s="95" t="s">
        <v>64</v>
      </c>
      <c r="N107" s="95" t="s">
        <v>65</v>
      </c>
      <c r="O107" s="95" t="s">
        <v>66</v>
      </c>
      <c r="P107" s="98"/>
      <c r="Q107" s="145"/>
      <c r="R107" s="117"/>
    </row>
    <row r="108" spans="1:18" ht="19.5" customHeight="1" x14ac:dyDescent="0.3">
      <c r="A108" s="170"/>
      <c r="B108" s="575" t="s">
        <v>67</v>
      </c>
      <c r="C108" s="576"/>
      <c r="D108" s="544"/>
      <c r="E108" s="545"/>
      <c r="F108" s="546"/>
      <c r="G108" s="209"/>
      <c r="H108" s="145"/>
      <c r="J108" s="170"/>
      <c r="K108" s="575" t="s">
        <v>67</v>
      </c>
      <c r="L108" s="576"/>
      <c r="M108" s="544"/>
      <c r="N108" s="545"/>
      <c r="O108" s="546"/>
      <c r="P108" s="209"/>
      <c r="Q108" s="145"/>
      <c r="R108" s="117"/>
    </row>
    <row r="109" spans="1:18" ht="19.5" customHeight="1" x14ac:dyDescent="0.3">
      <c r="A109" s="171">
        <v>1</v>
      </c>
      <c r="B109" s="113" t="s">
        <v>68</v>
      </c>
      <c r="C109" s="114"/>
      <c r="D109" s="263" t="s">
        <v>72</v>
      </c>
      <c r="E109" s="229">
        <f t="shared" ref="E109:E119" si="14">IF(D109="Ya",4.2,0)</f>
        <v>0</v>
      </c>
      <c r="F109" s="266">
        <v>0</v>
      </c>
      <c r="G109" s="85"/>
      <c r="H109" s="145"/>
      <c r="J109" s="171">
        <v>1</v>
      </c>
      <c r="K109" s="113" t="s">
        <v>68</v>
      </c>
      <c r="L109" s="114"/>
      <c r="M109" s="276" t="s">
        <v>72</v>
      </c>
      <c r="N109" s="229">
        <f t="shared" ref="N109:N119" si="15">IF(M109="Ya",4.2,0)</f>
        <v>0</v>
      </c>
      <c r="O109" s="279">
        <v>0</v>
      </c>
      <c r="P109" s="132"/>
      <c r="Q109" s="145"/>
      <c r="R109" s="117"/>
    </row>
    <row r="110" spans="1:18" ht="19.5" customHeight="1" x14ac:dyDescent="0.3">
      <c r="A110" s="171">
        <v>2</v>
      </c>
      <c r="B110" s="113" t="s">
        <v>273</v>
      </c>
      <c r="C110" s="442"/>
      <c r="D110" s="264" t="s">
        <v>72</v>
      </c>
      <c r="E110" s="230">
        <f t="shared" si="14"/>
        <v>0</v>
      </c>
      <c r="F110" s="267">
        <v>0</v>
      </c>
      <c r="G110" s="85"/>
      <c r="H110" s="145"/>
      <c r="J110" s="171">
        <v>2</v>
      </c>
      <c r="K110" s="113" t="s">
        <v>273</v>
      </c>
      <c r="L110" s="442"/>
      <c r="M110" s="277" t="s">
        <v>72</v>
      </c>
      <c r="N110" s="230">
        <f t="shared" si="15"/>
        <v>0</v>
      </c>
      <c r="O110" s="280">
        <v>0</v>
      </c>
      <c r="P110" s="132"/>
      <c r="Q110" s="145"/>
      <c r="R110" s="117"/>
    </row>
    <row r="111" spans="1:18" ht="19.5" customHeight="1" x14ac:dyDescent="0.3">
      <c r="A111" s="171">
        <v>3</v>
      </c>
      <c r="B111" s="113" t="s">
        <v>274</v>
      </c>
      <c r="C111" s="442"/>
      <c r="D111" s="264" t="s">
        <v>72</v>
      </c>
      <c r="E111" s="230">
        <f t="shared" si="14"/>
        <v>0</v>
      </c>
      <c r="F111" s="267">
        <v>0</v>
      </c>
      <c r="G111" s="85"/>
      <c r="H111" s="145"/>
      <c r="J111" s="171">
        <v>3</v>
      </c>
      <c r="K111" s="113" t="s">
        <v>274</v>
      </c>
      <c r="L111" s="442"/>
      <c r="M111" s="277" t="s">
        <v>72</v>
      </c>
      <c r="N111" s="230">
        <f t="shared" si="15"/>
        <v>0</v>
      </c>
      <c r="O111" s="280">
        <v>0</v>
      </c>
      <c r="P111" s="132"/>
      <c r="Q111" s="145"/>
      <c r="R111" s="156"/>
    </row>
    <row r="112" spans="1:18" ht="19.5" customHeight="1" x14ac:dyDescent="0.3">
      <c r="A112" s="171">
        <v>4</v>
      </c>
      <c r="B112" s="113" t="s">
        <v>71</v>
      </c>
      <c r="C112" s="114"/>
      <c r="D112" s="264" t="s">
        <v>72</v>
      </c>
      <c r="E112" s="230">
        <f t="shared" si="14"/>
        <v>0</v>
      </c>
      <c r="F112" s="267">
        <v>0</v>
      </c>
      <c r="G112" s="85"/>
      <c r="H112" s="145"/>
      <c r="J112" s="171">
        <v>4</v>
      </c>
      <c r="K112" s="113" t="s">
        <v>71</v>
      </c>
      <c r="L112" s="114"/>
      <c r="M112" s="277" t="s">
        <v>72</v>
      </c>
      <c r="N112" s="230">
        <f t="shared" si="15"/>
        <v>0</v>
      </c>
      <c r="O112" s="280">
        <v>0</v>
      </c>
      <c r="P112" s="132"/>
      <c r="Q112" s="145"/>
    </row>
    <row r="113" spans="1:17" ht="19.5" customHeight="1" x14ac:dyDescent="0.3">
      <c r="A113" s="171">
        <v>5</v>
      </c>
      <c r="B113" s="113" t="s">
        <v>73</v>
      </c>
      <c r="C113" s="114"/>
      <c r="D113" s="264" t="s">
        <v>72</v>
      </c>
      <c r="E113" s="230">
        <f t="shared" si="14"/>
        <v>0</v>
      </c>
      <c r="F113" s="267">
        <v>0</v>
      </c>
      <c r="G113" s="85"/>
      <c r="H113" s="145"/>
      <c r="J113" s="171">
        <v>5</v>
      </c>
      <c r="K113" s="113" t="s">
        <v>73</v>
      </c>
      <c r="L113" s="114"/>
      <c r="M113" s="277" t="s">
        <v>72</v>
      </c>
      <c r="N113" s="230">
        <f t="shared" si="15"/>
        <v>0</v>
      </c>
      <c r="O113" s="280">
        <v>0</v>
      </c>
      <c r="P113" s="132"/>
      <c r="Q113" s="145"/>
    </row>
    <row r="114" spans="1:17" ht="19.5" customHeight="1" x14ac:dyDescent="0.3">
      <c r="A114" s="171">
        <v>6</v>
      </c>
      <c r="B114" s="113" t="s">
        <v>275</v>
      </c>
      <c r="C114" s="114"/>
      <c r="D114" s="264" t="s">
        <v>72</v>
      </c>
      <c r="E114" s="230">
        <f t="shared" si="14"/>
        <v>0</v>
      </c>
      <c r="F114" s="267">
        <v>0</v>
      </c>
      <c r="G114" s="85"/>
      <c r="H114" s="145"/>
      <c r="J114" s="171">
        <v>6</v>
      </c>
      <c r="K114" s="113" t="s">
        <v>275</v>
      </c>
      <c r="L114" s="114"/>
      <c r="M114" s="277" t="s">
        <v>72</v>
      </c>
      <c r="N114" s="230">
        <f t="shared" si="15"/>
        <v>0</v>
      </c>
      <c r="O114" s="280">
        <v>0</v>
      </c>
      <c r="P114" s="132"/>
      <c r="Q114" s="145"/>
    </row>
    <row r="115" spans="1:17" ht="19.5" customHeight="1" x14ac:dyDescent="0.3">
      <c r="A115" s="171">
        <v>7</v>
      </c>
      <c r="B115" s="113" t="s">
        <v>276</v>
      </c>
      <c r="C115" s="114"/>
      <c r="D115" s="264" t="s">
        <v>72</v>
      </c>
      <c r="E115" s="230">
        <f t="shared" si="14"/>
        <v>0</v>
      </c>
      <c r="F115" s="267">
        <v>0</v>
      </c>
      <c r="G115" s="85"/>
      <c r="H115" s="145"/>
      <c r="J115" s="171">
        <v>7</v>
      </c>
      <c r="K115" s="113" t="s">
        <v>276</v>
      </c>
      <c r="L115" s="114"/>
      <c r="M115" s="277" t="s">
        <v>72</v>
      </c>
      <c r="N115" s="230">
        <f t="shared" si="15"/>
        <v>0</v>
      </c>
      <c r="O115" s="280">
        <v>0</v>
      </c>
      <c r="P115" s="132"/>
      <c r="Q115" s="145"/>
    </row>
    <row r="116" spans="1:17" ht="19.5" customHeight="1" x14ac:dyDescent="0.3">
      <c r="A116" s="171">
        <v>8</v>
      </c>
      <c r="B116" s="113" t="s">
        <v>277</v>
      </c>
      <c r="C116" s="114"/>
      <c r="D116" s="264" t="s">
        <v>72</v>
      </c>
      <c r="E116" s="230">
        <f t="shared" si="14"/>
        <v>0</v>
      </c>
      <c r="F116" s="267">
        <v>0</v>
      </c>
      <c r="G116" s="85"/>
      <c r="H116" s="145"/>
      <c r="J116" s="171">
        <v>8</v>
      </c>
      <c r="K116" s="113" t="s">
        <v>277</v>
      </c>
      <c r="L116" s="114"/>
      <c r="M116" s="277" t="s">
        <v>72</v>
      </c>
      <c r="N116" s="230">
        <f t="shared" si="15"/>
        <v>0</v>
      </c>
      <c r="O116" s="280">
        <v>0</v>
      </c>
      <c r="P116" s="132"/>
      <c r="Q116" s="145"/>
    </row>
    <row r="117" spans="1:17" ht="19.5" customHeight="1" x14ac:dyDescent="0.3">
      <c r="A117" s="171">
        <v>9</v>
      </c>
      <c r="B117" s="113" t="s">
        <v>278</v>
      </c>
      <c r="C117" s="114"/>
      <c r="D117" s="264" t="s">
        <v>72</v>
      </c>
      <c r="E117" s="230">
        <f t="shared" si="14"/>
        <v>0</v>
      </c>
      <c r="F117" s="267">
        <v>0</v>
      </c>
      <c r="G117" s="85"/>
      <c r="H117" s="145"/>
      <c r="J117" s="171">
        <v>9</v>
      </c>
      <c r="K117" s="113" t="s">
        <v>278</v>
      </c>
      <c r="L117" s="114"/>
      <c r="M117" s="277" t="s">
        <v>72</v>
      </c>
      <c r="N117" s="230">
        <f t="shared" si="15"/>
        <v>0</v>
      </c>
      <c r="O117" s="280">
        <v>0</v>
      </c>
      <c r="P117" s="132"/>
      <c r="Q117" s="145"/>
    </row>
    <row r="118" spans="1:17" ht="19.5" customHeight="1" x14ac:dyDescent="0.3">
      <c r="A118" s="171">
        <v>10</v>
      </c>
      <c r="B118" s="113" t="s">
        <v>279</v>
      </c>
      <c r="C118" s="114"/>
      <c r="D118" s="264" t="s">
        <v>72</v>
      </c>
      <c r="E118" s="230">
        <f t="shared" si="14"/>
        <v>0</v>
      </c>
      <c r="F118" s="267">
        <v>0</v>
      </c>
      <c r="G118" s="85"/>
      <c r="H118" s="145"/>
      <c r="J118" s="171">
        <v>10</v>
      </c>
      <c r="K118" s="113" t="s">
        <v>279</v>
      </c>
      <c r="L118" s="114"/>
      <c r="M118" s="277" t="s">
        <v>72</v>
      </c>
      <c r="N118" s="230">
        <f t="shared" si="15"/>
        <v>0</v>
      </c>
      <c r="O118" s="280">
        <v>0</v>
      </c>
      <c r="P118" s="132"/>
      <c r="Q118" s="145"/>
    </row>
    <row r="119" spans="1:17" ht="19.5" customHeight="1" x14ac:dyDescent="0.3">
      <c r="A119" s="171">
        <v>11</v>
      </c>
      <c r="B119" s="113" t="s">
        <v>280</v>
      </c>
      <c r="C119" s="114"/>
      <c r="D119" s="265" t="s">
        <v>72</v>
      </c>
      <c r="E119" s="230">
        <f t="shared" si="14"/>
        <v>0</v>
      </c>
      <c r="F119" s="267">
        <v>0</v>
      </c>
      <c r="G119" s="85"/>
      <c r="H119" s="145"/>
      <c r="J119" s="171">
        <v>11</v>
      </c>
      <c r="K119" s="113" t="s">
        <v>280</v>
      </c>
      <c r="L119" s="114"/>
      <c r="M119" s="278" t="s">
        <v>72</v>
      </c>
      <c r="N119" s="230">
        <f t="shared" si="15"/>
        <v>0</v>
      </c>
      <c r="O119" s="280">
        <v>0</v>
      </c>
      <c r="P119" s="313"/>
      <c r="Q119" s="145"/>
    </row>
    <row r="120" spans="1:17" ht="19.5" customHeight="1" x14ac:dyDescent="0.3">
      <c r="A120" s="170"/>
      <c r="B120" s="577" t="s">
        <v>81</v>
      </c>
      <c r="C120" s="578"/>
      <c r="D120" s="547"/>
      <c r="E120" s="548"/>
      <c r="F120" s="549"/>
      <c r="G120" s="231"/>
      <c r="H120" s="145"/>
      <c r="J120" s="170"/>
      <c r="K120" s="577" t="s">
        <v>81</v>
      </c>
      <c r="L120" s="578"/>
      <c r="M120" s="547"/>
      <c r="N120" s="548"/>
      <c r="O120" s="549"/>
      <c r="P120" s="231"/>
      <c r="Q120" s="145"/>
    </row>
    <row r="121" spans="1:17" ht="19.5" customHeight="1" x14ac:dyDescent="0.3">
      <c r="A121" s="171">
        <v>12</v>
      </c>
      <c r="B121" s="113" t="s">
        <v>281</v>
      </c>
      <c r="C121" s="113"/>
      <c r="D121" s="263" t="s">
        <v>72</v>
      </c>
      <c r="E121" s="229">
        <f t="shared" ref="E121:E133" si="16">IF(D121="Ya",4.2,0)</f>
        <v>0</v>
      </c>
      <c r="F121" s="266">
        <v>0</v>
      </c>
      <c r="G121" s="85"/>
      <c r="H121" s="145"/>
      <c r="J121" s="171">
        <v>12</v>
      </c>
      <c r="K121" s="113" t="s">
        <v>281</v>
      </c>
      <c r="L121" s="113"/>
      <c r="M121" s="276" t="s">
        <v>72</v>
      </c>
      <c r="N121" s="229">
        <f t="shared" ref="N121:N133" si="17">IF(M121="Ya",4.2,0)</f>
        <v>0</v>
      </c>
      <c r="O121" s="279">
        <v>0</v>
      </c>
      <c r="P121" s="132"/>
      <c r="Q121" s="145"/>
    </row>
    <row r="122" spans="1:17" ht="19.5" customHeight="1" x14ac:dyDescent="0.3">
      <c r="A122" s="171">
        <v>13</v>
      </c>
      <c r="B122" s="113" t="s">
        <v>256</v>
      </c>
      <c r="C122" s="113"/>
      <c r="D122" s="264" t="s">
        <v>72</v>
      </c>
      <c r="E122" s="230">
        <f t="shared" si="16"/>
        <v>0</v>
      </c>
      <c r="F122" s="267">
        <v>0</v>
      </c>
      <c r="G122" s="85"/>
      <c r="H122" s="145"/>
      <c r="J122" s="171">
        <v>13</v>
      </c>
      <c r="K122" s="113" t="s">
        <v>256</v>
      </c>
      <c r="L122" s="113"/>
      <c r="M122" s="277" t="s">
        <v>72</v>
      </c>
      <c r="N122" s="230">
        <f t="shared" si="17"/>
        <v>0</v>
      </c>
      <c r="O122" s="280">
        <v>0</v>
      </c>
      <c r="P122" s="132"/>
      <c r="Q122" s="145"/>
    </row>
    <row r="123" spans="1:17" ht="19.5" customHeight="1" x14ac:dyDescent="0.3">
      <c r="A123" s="171">
        <v>14</v>
      </c>
      <c r="B123" s="113" t="s">
        <v>70</v>
      </c>
      <c r="C123" s="113"/>
      <c r="D123" s="264" t="s">
        <v>72</v>
      </c>
      <c r="E123" s="230">
        <f t="shared" ref="E123:E124" si="18">IF(D123="Ya",4.2,0)</f>
        <v>0</v>
      </c>
      <c r="F123" s="267">
        <v>0</v>
      </c>
      <c r="G123" s="85"/>
      <c r="H123" s="145"/>
      <c r="J123" s="171">
        <v>14</v>
      </c>
      <c r="K123" s="113" t="s">
        <v>70</v>
      </c>
      <c r="L123" s="113"/>
      <c r="M123" s="277" t="s">
        <v>72</v>
      </c>
      <c r="N123" s="230">
        <f t="shared" si="17"/>
        <v>0</v>
      </c>
      <c r="O123" s="280">
        <v>0</v>
      </c>
      <c r="P123" s="132"/>
      <c r="Q123" s="145"/>
    </row>
    <row r="124" spans="1:17" ht="19.5" customHeight="1" x14ac:dyDescent="0.3">
      <c r="A124" s="171">
        <v>15</v>
      </c>
      <c r="B124" s="113" t="s">
        <v>282</v>
      </c>
      <c r="C124" s="113"/>
      <c r="D124" s="264" t="s">
        <v>72</v>
      </c>
      <c r="E124" s="230">
        <f t="shared" si="18"/>
        <v>0</v>
      </c>
      <c r="F124" s="267">
        <v>0</v>
      </c>
      <c r="G124" s="85"/>
      <c r="H124" s="145"/>
      <c r="J124" s="171">
        <v>15</v>
      </c>
      <c r="K124" s="113" t="s">
        <v>282</v>
      </c>
      <c r="L124" s="113"/>
      <c r="M124" s="277" t="s">
        <v>72</v>
      </c>
      <c r="N124" s="230">
        <f t="shared" ref="N124" si="19">IF(M124="Ya",4.2,0)</f>
        <v>0</v>
      </c>
      <c r="O124" s="280">
        <v>0</v>
      </c>
      <c r="P124" s="132"/>
      <c r="Q124" s="145"/>
    </row>
    <row r="125" spans="1:17" ht="19.5" customHeight="1" x14ac:dyDescent="0.3">
      <c r="A125" s="171">
        <v>16</v>
      </c>
      <c r="B125" s="113" t="s">
        <v>287</v>
      </c>
      <c r="C125" s="113"/>
      <c r="D125" s="264" t="s">
        <v>72</v>
      </c>
      <c r="E125" s="230">
        <f t="shared" si="16"/>
        <v>0</v>
      </c>
      <c r="F125" s="267">
        <v>0</v>
      </c>
      <c r="G125" s="85"/>
      <c r="H125" s="145"/>
      <c r="J125" s="171">
        <v>16</v>
      </c>
      <c r="K125" s="113" t="s">
        <v>287</v>
      </c>
      <c r="L125" s="113"/>
      <c r="M125" s="277" t="s">
        <v>72</v>
      </c>
      <c r="N125" s="230">
        <f t="shared" si="17"/>
        <v>0</v>
      </c>
      <c r="O125" s="280">
        <v>0</v>
      </c>
      <c r="P125" s="132"/>
      <c r="Q125" s="145"/>
    </row>
    <row r="126" spans="1:17" ht="19.5" customHeight="1" x14ac:dyDescent="0.3">
      <c r="A126" s="171">
        <v>17</v>
      </c>
      <c r="B126" s="113" t="s">
        <v>257</v>
      </c>
      <c r="C126" s="113"/>
      <c r="D126" s="264" t="s">
        <v>72</v>
      </c>
      <c r="E126" s="230">
        <f t="shared" si="16"/>
        <v>0</v>
      </c>
      <c r="F126" s="267">
        <v>0</v>
      </c>
      <c r="G126" s="85"/>
      <c r="H126" s="145"/>
      <c r="J126" s="171">
        <v>17</v>
      </c>
      <c r="K126" s="113" t="s">
        <v>257</v>
      </c>
      <c r="L126" s="113"/>
      <c r="M126" s="277" t="s">
        <v>72</v>
      </c>
      <c r="N126" s="230">
        <f t="shared" si="17"/>
        <v>0</v>
      </c>
      <c r="O126" s="280">
        <v>0</v>
      </c>
      <c r="P126" s="132"/>
      <c r="Q126" s="145"/>
    </row>
    <row r="127" spans="1:17" ht="19.5" customHeight="1" x14ac:dyDescent="0.3">
      <c r="A127" s="171">
        <v>18</v>
      </c>
      <c r="B127" s="113" t="s">
        <v>288</v>
      </c>
      <c r="C127" s="113"/>
      <c r="D127" s="264" t="s">
        <v>72</v>
      </c>
      <c r="E127" s="230">
        <f t="shared" si="16"/>
        <v>0</v>
      </c>
      <c r="F127" s="267">
        <v>0</v>
      </c>
      <c r="G127" s="85"/>
      <c r="H127" s="145"/>
      <c r="J127" s="171">
        <v>18</v>
      </c>
      <c r="K127" s="113" t="s">
        <v>288</v>
      </c>
      <c r="L127" s="113"/>
      <c r="M127" s="277" t="s">
        <v>72</v>
      </c>
      <c r="N127" s="230">
        <f t="shared" si="17"/>
        <v>0</v>
      </c>
      <c r="O127" s="280">
        <v>0</v>
      </c>
      <c r="P127" s="132"/>
      <c r="Q127" s="145"/>
    </row>
    <row r="128" spans="1:17" ht="19.5" customHeight="1" x14ac:dyDescent="0.3">
      <c r="A128" s="171">
        <v>19</v>
      </c>
      <c r="B128" s="113" t="s">
        <v>289</v>
      </c>
      <c r="C128" s="113"/>
      <c r="D128" s="264" t="s">
        <v>72</v>
      </c>
      <c r="E128" s="230">
        <f t="shared" si="16"/>
        <v>0</v>
      </c>
      <c r="F128" s="267">
        <v>0</v>
      </c>
      <c r="G128" s="85"/>
      <c r="H128" s="145"/>
      <c r="J128" s="171">
        <v>19</v>
      </c>
      <c r="K128" s="113" t="s">
        <v>289</v>
      </c>
      <c r="L128" s="113"/>
      <c r="M128" s="277" t="s">
        <v>72</v>
      </c>
      <c r="N128" s="230">
        <f t="shared" si="17"/>
        <v>0</v>
      </c>
      <c r="O128" s="280">
        <v>0</v>
      </c>
      <c r="P128" s="132"/>
      <c r="Q128" s="145"/>
    </row>
    <row r="129" spans="1:17" ht="19.5" customHeight="1" x14ac:dyDescent="0.3">
      <c r="A129" s="171">
        <v>20</v>
      </c>
      <c r="B129" s="113" t="s">
        <v>283</v>
      </c>
      <c r="C129" s="113"/>
      <c r="D129" s="264" t="s">
        <v>72</v>
      </c>
      <c r="E129" s="230">
        <f t="shared" si="16"/>
        <v>0</v>
      </c>
      <c r="F129" s="267">
        <v>0</v>
      </c>
      <c r="G129" s="85"/>
      <c r="H129" s="145"/>
      <c r="J129" s="171">
        <v>20</v>
      </c>
      <c r="K129" s="113" t="s">
        <v>283</v>
      </c>
      <c r="L129" s="113"/>
      <c r="M129" s="277" t="s">
        <v>72</v>
      </c>
      <c r="N129" s="230">
        <f t="shared" si="17"/>
        <v>0</v>
      </c>
      <c r="O129" s="280">
        <v>0</v>
      </c>
      <c r="P129" s="132"/>
      <c r="Q129" s="145"/>
    </row>
    <row r="130" spans="1:17" ht="19.5" customHeight="1" x14ac:dyDescent="0.3">
      <c r="A130" s="171">
        <v>21</v>
      </c>
      <c r="B130" s="113" t="s">
        <v>258</v>
      </c>
      <c r="C130" s="113"/>
      <c r="D130" s="264" t="s">
        <v>72</v>
      </c>
      <c r="E130" s="230">
        <f t="shared" si="16"/>
        <v>0</v>
      </c>
      <c r="F130" s="267">
        <v>0</v>
      </c>
      <c r="G130" s="85"/>
      <c r="H130" s="145"/>
      <c r="J130" s="171">
        <v>21</v>
      </c>
      <c r="K130" s="113" t="s">
        <v>258</v>
      </c>
      <c r="L130" s="113"/>
      <c r="M130" s="277" t="s">
        <v>72</v>
      </c>
      <c r="N130" s="230">
        <f t="shared" si="17"/>
        <v>0</v>
      </c>
      <c r="O130" s="280">
        <v>0</v>
      </c>
      <c r="P130" s="132"/>
      <c r="Q130" s="145"/>
    </row>
    <row r="131" spans="1:17" ht="19.5" customHeight="1" x14ac:dyDescent="0.3">
      <c r="A131" s="171">
        <v>22</v>
      </c>
      <c r="B131" s="113" t="s">
        <v>284</v>
      </c>
      <c r="C131" s="113"/>
      <c r="D131" s="264" t="s">
        <v>72</v>
      </c>
      <c r="E131" s="230">
        <f t="shared" si="16"/>
        <v>0</v>
      </c>
      <c r="F131" s="267">
        <v>0</v>
      </c>
      <c r="G131" s="85"/>
      <c r="H131" s="145"/>
      <c r="J131" s="171">
        <v>22</v>
      </c>
      <c r="K131" s="113" t="s">
        <v>284</v>
      </c>
      <c r="L131" s="113"/>
      <c r="M131" s="277" t="s">
        <v>72</v>
      </c>
      <c r="N131" s="230">
        <f t="shared" si="17"/>
        <v>0</v>
      </c>
      <c r="O131" s="280">
        <v>0</v>
      </c>
      <c r="P131" s="132"/>
      <c r="Q131" s="145"/>
    </row>
    <row r="132" spans="1:17" ht="19.5" customHeight="1" x14ac:dyDescent="0.3">
      <c r="A132" s="171">
        <v>23</v>
      </c>
      <c r="B132" s="113" t="s">
        <v>285</v>
      </c>
      <c r="C132" s="113"/>
      <c r="D132" s="264" t="s">
        <v>72</v>
      </c>
      <c r="E132" s="230">
        <f t="shared" si="16"/>
        <v>0</v>
      </c>
      <c r="F132" s="267">
        <v>0</v>
      </c>
      <c r="G132" s="85"/>
      <c r="H132" s="145"/>
      <c r="J132" s="171">
        <v>23</v>
      </c>
      <c r="K132" s="113" t="s">
        <v>285</v>
      </c>
      <c r="L132" s="113"/>
      <c r="M132" s="277" t="s">
        <v>72</v>
      </c>
      <c r="N132" s="230">
        <f t="shared" si="17"/>
        <v>0</v>
      </c>
      <c r="O132" s="280">
        <v>0</v>
      </c>
      <c r="P132" s="132"/>
      <c r="Q132" s="145"/>
    </row>
    <row r="133" spans="1:17" ht="19.5" customHeight="1" x14ac:dyDescent="0.3">
      <c r="A133" s="171">
        <v>24</v>
      </c>
      <c r="B133" s="113" t="s">
        <v>286</v>
      </c>
      <c r="C133" s="113"/>
      <c r="D133" s="265" t="s">
        <v>72</v>
      </c>
      <c r="E133" s="230">
        <f t="shared" si="16"/>
        <v>0</v>
      </c>
      <c r="F133" s="267">
        <v>0</v>
      </c>
      <c r="G133" s="85"/>
      <c r="H133" s="145"/>
      <c r="J133" s="171">
        <v>24</v>
      </c>
      <c r="K133" s="113" t="s">
        <v>286</v>
      </c>
      <c r="L133" s="113"/>
      <c r="M133" s="278" t="s">
        <v>72</v>
      </c>
      <c r="N133" s="230">
        <f t="shared" si="17"/>
        <v>0</v>
      </c>
      <c r="O133" s="280">
        <v>0</v>
      </c>
      <c r="P133" s="132"/>
      <c r="Q133" s="145"/>
    </row>
    <row r="134" spans="1:17" ht="19.5" customHeight="1" x14ac:dyDescent="0.3">
      <c r="A134" s="172"/>
      <c r="B134" s="281"/>
      <c r="C134" s="121" t="s">
        <v>94</v>
      </c>
      <c r="D134" s="210"/>
      <c r="E134" s="122">
        <f>ROUNDDOWN(SUM(E109:E133),0)</f>
        <v>0</v>
      </c>
      <c r="F134" s="122">
        <f>ROUNDDOWN(SUM(F109:F133),0)</f>
        <v>0</v>
      </c>
      <c r="G134" s="116"/>
      <c r="H134" s="173"/>
      <c r="J134" s="172"/>
      <c r="K134" s="281"/>
      <c r="L134" s="121" t="s">
        <v>94</v>
      </c>
      <c r="M134" s="210"/>
      <c r="N134" s="122">
        <f>ROUNDDOWN(SUM(N109:N133),0)</f>
        <v>0</v>
      </c>
      <c r="O134" s="122">
        <f>ROUNDDOWN(SUM(O109:O133),0)</f>
        <v>0</v>
      </c>
      <c r="P134" s="100"/>
      <c r="Q134" s="173"/>
    </row>
    <row r="135" spans="1:17" ht="19.5" customHeight="1" x14ac:dyDescent="0.3">
      <c r="A135" s="174"/>
      <c r="B135" s="175"/>
      <c r="C135" s="175"/>
      <c r="D135" s="100"/>
      <c r="E135" s="133"/>
      <c r="F135" s="133"/>
      <c r="G135" s="129"/>
      <c r="H135" s="130"/>
      <c r="J135" s="174"/>
      <c r="K135" s="175"/>
      <c r="L135" s="175"/>
      <c r="M135" s="100"/>
      <c r="N135" s="133"/>
      <c r="O135" s="133"/>
      <c r="P135" s="129"/>
      <c r="Q135" s="130"/>
    </row>
    <row r="136" spans="1:17" ht="19.5" customHeight="1" x14ac:dyDescent="0.3">
      <c r="A136" s="144"/>
      <c r="B136" s="137"/>
      <c r="C136" s="139"/>
      <c r="D136" s="117" t="s">
        <v>151</v>
      </c>
      <c r="E136" s="176">
        <v>4.2</v>
      </c>
      <c r="F136" s="177" t="s">
        <v>152</v>
      </c>
      <c r="G136" s="85"/>
      <c r="H136" s="145"/>
      <c r="J136" s="144"/>
      <c r="K136" s="137"/>
      <c r="L136" s="139"/>
      <c r="M136" s="117" t="s">
        <v>151</v>
      </c>
      <c r="N136" s="176">
        <v>4.2</v>
      </c>
      <c r="O136" s="177" t="s">
        <v>152</v>
      </c>
      <c r="P136" s="132"/>
      <c r="Q136" s="145"/>
    </row>
    <row r="137" spans="1:17" ht="19.5" customHeight="1" x14ac:dyDescent="0.3">
      <c r="A137" s="144"/>
      <c r="B137" s="137"/>
      <c r="C137" s="139"/>
      <c r="D137" s="98"/>
      <c r="E137" s="176">
        <f>E138*2</f>
        <v>2.78</v>
      </c>
      <c r="F137" s="177" t="s">
        <v>153</v>
      </c>
      <c r="G137" s="85"/>
      <c r="H137" s="145"/>
      <c r="J137" s="144"/>
      <c r="K137" s="137"/>
      <c r="L137" s="139"/>
      <c r="M137" s="98"/>
      <c r="N137" s="176">
        <f>N138*2</f>
        <v>2.78</v>
      </c>
      <c r="O137" s="177" t="s">
        <v>153</v>
      </c>
      <c r="P137" s="132"/>
      <c r="Q137" s="145"/>
    </row>
    <row r="138" spans="1:17" ht="19.5" customHeight="1" x14ac:dyDescent="0.3">
      <c r="A138" s="144"/>
      <c r="B138" s="137"/>
      <c r="C138" s="139"/>
      <c r="D138" s="98"/>
      <c r="E138" s="176">
        <v>1.39</v>
      </c>
      <c r="F138" s="177" t="s">
        <v>154</v>
      </c>
      <c r="G138" s="85"/>
      <c r="H138" s="145"/>
      <c r="J138" s="144"/>
      <c r="K138" s="137"/>
      <c r="L138" s="139"/>
      <c r="M138" s="98"/>
      <c r="N138" s="176">
        <v>1.39</v>
      </c>
      <c r="O138" s="177" t="s">
        <v>154</v>
      </c>
      <c r="P138" s="132"/>
      <c r="Q138" s="145"/>
    </row>
    <row r="139" spans="1:17" ht="19.5" customHeight="1" x14ac:dyDescent="0.3">
      <c r="A139" s="144"/>
      <c r="B139" s="137"/>
      <c r="C139" s="139"/>
      <c r="D139" s="98"/>
      <c r="E139" s="178">
        <v>0</v>
      </c>
      <c r="F139" s="177" t="s">
        <v>155</v>
      </c>
      <c r="G139" s="85"/>
      <c r="H139" s="145"/>
      <c r="J139" s="144"/>
      <c r="K139" s="137"/>
      <c r="L139" s="139"/>
      <c r="M139" s="98"/>
      <c r="N139" s="178">
        <v>0</v>
      </c>
      <c r="O139" s="177" t="s">
        <v>155</v>
      </c>
      <c r="P139" s="132"/>
      <c r="Q139" s="145"/>
    </row>
    <row r="140" spans="1:17" ht="19.5" customHeight="1" x14ac:dyDescent="0.3">
      <c r="A140" s="144"/>
      <c r="B140" s="137"/>
      <c r="C140" s="179" t="s">
        <v>156</v>
      </c>
      <c r="D140" s="129"/>
      <c r="E140" s="180"/>
      <c r="F140" s="180"/>
      <c r="G140" s="129"/>
      <c r="H140" s="145"/>
      <c r="J140" s="144"/>
      <c r="K140" s="137"/>
      <c r="L140" s="179" t="s">
        <v>156</v>
      </c>
      <c r="M140" s="129"/>
      <c r="N140" s="180"/>
      <c r="O140" s="180"/>
      <c r="P140" s="129"/>
      <c r="Q140" s="145"/>
    </row>
    <row r="141" spans="1:17" ht="19.5" customHeight="1" thickBot="1" x14ac:dyDescent="0.35">
      <c r="A141" s="181"/>
      <c r="B141" s="182"/>
      <c r="C141" s="182"/>
      <c r="D141" s="183"/>
      <c r="E141" s="184"/>
      <c r="F141" s="184"/>
      <c r="G141" s="185"/>
      <c r="H141" s="186"/>
      <c r="J141" s="181"/>
      <c r="K141" s="182"/>
      <c r="L141" s="182"/>
      <c r="M141" s="183"/>
      <c r="N141" s="184"/>
      <c r="O141" s="184"/>
      <c r="P141" s="185"/>
      <c r="Q141" s="186"/>
    </row>
    <row r="142" spans="1:17" ht="19.5" customHeight="1" x14ac:dyDescent="0.3">
      <c r="A142" s="118"/>
      <c r="B142" s="115"/>
      <c r="C142" s="115"/>
    </row>
    <row r="143" spans="1:17" ht="19.5" customHeight="1" x14ac:dyDescent="0.3">
      <c r="A143" s="118"/>
      <c r="B143" s="115"/>
      <c r="C143" s="115"/>
    </row>
    <row r="144" spans="1:17" ht="19.5" customHeight="1" x14ac:dyDescent="0.3">
      <c r="A144" s="118"/>
      <c r="B144" s="115"/>
      <c r="C144" s="115"/>
    </row>
    <row r="145" spans="1:3" ht="19.5" customHeight="1" x14ac:dyDescent="0.3">
      <c r="A145" s="118"/>
      <c r="B145" s="115"/>
      <c r="C145" s="115"/>
    </row>
    <row r="146" spans="1:3" ht="19.5" customHeight="1" x14ac:dyDescent="0.3">
      <c r="A146" s="118"/>
      <c r="B146" s="115"/>
      <c r="C146" s="115"/>
    </row>
    <row r="147" spans="1:3" ht="19.5" customHeight="1" x14ac:dyDescent="0.3">
      <c r="A147" s="118"/>
      <c r="B147" s="115"/>
      <c r="C147" s="115"/>
    </row>
    <row r="148" spans="1:3" ht="19.5" customHeight="1" x14ac:dyDescent="0.3">
      <c r="A148" s="118"/>
      <c r="B148" s="115"/>
      <c r="C148" s="115"/>
    </row>
    <row r="149" spans="1:3" ht="19.5" customHeight="1" x14ac:dyDescent="0.3">
      <c r="A149" s="118"/>
      <c r="B149" s="115"/>
      <c r="C149" s="115"/>
    </row>
    <row r="150" spans="1:3" ht="19.5" customHeight="1" x14ac:dyDescent="0.3">
      <c r="A150" s="118"/>
      <c r="B150" s="115"/>
      <c r="C150" s="115"/>
    </row>
  </sheetData>
  <sheetProtection algorithmName="SHA-512" hashValue="rVj7aGLh3SyhjmUK3zaqmIoMPur6KYlXv/sieV3mHVCDsdCclPx+geiWh6fnm3tBpateJXkPsWcgxKSGfm1zOA==" saltValue="gS0ENnZNYZ6+nxX9/dbQOA==" spinCount="100000" sheet="1" selectLockedCells="1"/>
  <mergeCells count="160">
    <mergeCell ref="A12:A19"/>
    <mergeCell ref="B12:C12"/>
    <mergeCell ref="J12:J19"/>
    <mergeCell ref="K12:L12"/>
    <mergeCell ref="A5:H6"/>
    <mergeCell ref="J5:Q6"/>
    <mergeCell ref="B8:C8"/>
    <mergeCell ref="K8:L8"/>
    <mergeCell ref="B9:C9"/>
    <mergeCell ref="K9:L9"/>
    <mergeCell ref="B20:C20"/>
    <mergeCell ref="K20:L20"/>
    <mergeCell ref="B21:C21"/>
    <mergeCell ref="K21:L21"/>
    <mergeCell ref="B22:C22"/>
    <mergeCell ref="K22:L22"/>
    <mergeCell ref="B10:C10"/>
    <mergeCell ref="K10:L10"/>
    <mergeCell ref="B11:C11"/>
    <mergeCell ref="K11:L11"/>
    <mergeCell ref="B26:C26"/>
    <mergeCell ref="K26:L26"/>
    <mergeCell ref="B27:C27"/>
    <mergeCell ref="K27:L27"/>
    <mergeCell ref="A28:C28"/>
    <mergeCell ref="J28:L28"/>
    <mergeCell ref="B23:C23"/>
    <mergeCell ref="K23:L23"/>
    <mergeCell ref="B24:C24"/>
    <mergeCell ref="K24:L24"/>
    <mergeCell ref="B25:C25"/>
    <mergeCell ref="K25:L25"/>
    <mergeCell ref="B34:C34"/>
    <mergeCell ref="K34:L34"/>
    <mergeCell ref="B35:C35"/>
    <mergeCell ref="K35:L35"/>
    <mergeCell ref="B36:C36"/>
    <mergeCell ref="K36:L36"/>
    <mergeCell ref="B31:C31"/>
    <mergeCell ref="K31:L31"/>
    <mergeCell ref="B32:C32"/>
    <mergeCell ref="K32:L32"/>
    <mergeCell ref="B33:C33"/>
    <mergeCell ref="K33:L33"/>
    <mergeCell ref="B43:C43"/>
    <mergeCell ref="K43:L43"/>
    <mergeCell ref="B44:C44"/>
    <mergeCell ref="K44:L44"/>
    <mergeCell ref="B45:C45"/>
    <mergeCell ref="K45:L45"/>
    <mergeCell ref="B37:C37"/>
    <mergeCell ref="K37:L37"/>
    <mergeCell ref="B38:C38"/>
    <mergeCell ref="K38:L38"/>
    <mergeCell ref="B39:C39"/>
    <mergeCell ref="K39:L39"/>
    <mergeCell ref="B52:C52"/>
    <mergeCell ref="K52:L52"/>
    <mergeCell ref="B53:C53"/>
    <mergeCell ref="K53:L53"/>
    <mergeCell ref="B54:C54"/>
    <mergeCell ref="K54:L54"/>
    <mergeCell ref="B46:C46"/>
    <mergeCell ref="K46:L46"/>
    <mergeCell ref="B50:C50"/>
    <mergeCell ref="K50:L50"/>
    <mergeCell ref="B51:C51"/>
    <mergeCell ref="K51:L51"/>
    <mergeCell ref="C61:D61"/>
    <mergeCell ref="L61:M61"/>
    <mergeCell ref="B62:C62"/>
    <mergeCell ref="K62:L62"/>
    <mergeCell ref="B63:C63"/>
    <mergeCell ref="K63:L63"/>
    <mergeCell ref="B55:C55"/>
    <mergeCell ref="K55:L55"/>
    <mergeCell ref="B56:C56"/>
    <mergeCell ref="K56:L56"/>
    <mergeCell ref="B57:C57"/>
    <mergeCell ref="K57:L57"/>
    <mergeCell ref="C68:E68"/>
    <mergeCell ref="L68:N68"/>
    <mergeCell ref="B69:C69"/>
    <mergeCell ref="K69:L69"/>
    <mergeCell ref="B70:C70"/>
    <mergeCell ref="K70:L70"/>
    <mergeCell ref="B64:C64"/>
    <mergeCell ref="K64:L64"/>
    <mergeCell ref="B65:C65"/>
    <mergeCell ref="K65:L65"/>
    <mergeCell ref="B66:C66"/>
    <mergeCell ref="K66:L66"/>
    <mergeCell ref="B74:C74"/>
    <mergeCell ref="K74:L74"/>
    <mergeCell ref="C76:E76"/>
    <mergeCell ref="L76:N76"/>
    <mergeCell ref="B77:C77"/>
    <mergeCell ref="K77:L77"/>
    <mergeCell ref="B71:C71"/>
    <mergeCell ref="K71:L71"/>
    <mergeCell ref="B72:C72"/>
    <mergeCell ref="K72:L72"/>
    <mergeCell ref="B73:C73"/>
    <mergeCell ref="K73:L73"/>
    <mergeCell ref="B81:C81"/>
    <mergeCell ref="K81:L81"/>
    <mergeCell ref="B82:C82"/>
    <mergeCell ref="K82:L82"/>
    <mergeCell ref="C84:E84"/>
    <mergeCell ref="L84:N84"/>
    <mergeCell ref="B78:C78"/>
    <mergeCell ref="K78:L78"/>
    <mergeCell ref="B79:C79"/>
    <mergeCell ref="K79:L79"/>
    <mergeCell ref="B80:C80"/>
    <mergeCell ref="K80:L80"/>
    <mergeCell ref="B88:C88"/>
    <mergeCell ref="K88:L88"/>
    <mergeCell ref="B89:C89"/>
    <mergeCell ref="K89:L89"/>
    <mergeCell ref="B92:C92"/>
    <mergeCell ref="K92:L92"/>
    <mergeCell ref="B85:C85"/>
    <mergeCell ref="K85:L85"/>
    <mergeCell ref="B86:C86"/>
    <mergeCell ref="K86:L86"/>
    <mergeCell ref="B87:C87"/>
    <mergeCell ref="K87:L87"/>
    <mergeCell ref="B96:C96"/>
    <mergeCell ref="K96:L96"/>
    <mergeCell ref="B98:E98"/>
    <mergeCell ref="K98:N98"/>
    <mergeCell ref="B99:C99"/>
    <mergeCell ref="K99:L99"/>
    <mergeCell ref="B93:C93"/>
    <mergeCell ref="K93:L93"/>
    <mergeCell ref="B94:C94"/>
    <mergeCell ref="K94:L94"/>
    <mergeCell ref="B95:C95"/>
    <mergeCell ref="K95:L95"/>
    <mergeCell ref="A106:A107"/>
    <mergeCell ref="B106:C107"/>
    <mergeCell ref="J106:J107"/>
    <mergeCell ref="K106:L107"/>
    <mergeCell ref="B100:C100"/>
    <mergeCell ref="K100:L100"/>
    <mergeCell ref="B101:C101"/>
    <mergeCell ref="K101:L101"/>
    <mergeCell ref="B102:C102"/>
    <mergeCell ref="K102:L102"/>
    <mergeCell ref="B108:C108"/>
    <mergeCell ref="D108:F108"/>
    <mergeCell ref="K108:L108"/>
    <mergeCell ref="M108:O108"/>
    <mergeCell ref="B120:C120"/>
    <mergeCell ref="D120:F120"/>
    <mergeCell ref="K120:L120"/>
    <mergeCell ref="M120:O120"/>
    <mergeCell ref="B103:C103"/>
    <mergeCell ref="K103:L103"/>
  </mergeCells>
  <dataValidations count="5">
    <dataValidation type="list" allowBlank="1" showInputMessage="1" showErrorMessage="1" sqref="E9:E11 M121:M133 E13:E27 N9:N11 D109:D119 N13:N27 N32:N39 E44 N51:N57 E32:E39 E51:E57 N44 M109:M119 D121:D133" xr:uid="{00000000-0002-0000-0700-000000000000}">
      <formula1>"Ya,Tidak"</formula1>
    </dataValidation>
    <dataValidation type="list" allowBlank="1" showInputMessage="1" showErrorMessage="1" sqref="F70:F73 F78:F81 O70:O73 O78:O81" xr:uid="{00000000-0002-0000-0700-000001000000}">
      <formula1>"0,1,2,3,4,5"</formula1>
    </dataValidation>
    <dataValidation type="list" allowBlank="1" showInputMessage="1" showErrorMessage="1" sqref="O121:O133 F109:F119 O109:O119 F121:F133" xr:uid="{00000000-0002-0000-0700-000002000000}">
      <formula1>"0,1,4,2,8,4,2"</formula1>
    </dataValidation>
    <dataValidation type="list" allowBlank="1" showDropDown="1" showInputMessage="1" showErrorMessage="1" sqref="E45:E46 N45:N46" xr:uid="{00000000-0002-0000-0700-000003000000}">
      <formula1>"Ya,Tidak"</formula1>
    </dataValidation>
    <dataValidation type="list" allowBlank="1" showInputMessage="1" showErrorMessage="1" sqref="E86 N86" xr:uid="{00000000-0002-0000-0700-000004000000}">
      <formula1>"0,100"</formula1>
    </dataValidation>
  </dataValidations>
  <pageMargins left="0.7" right="0.7" top="0.75" bottom="0.75" header="0.3" footer="0.3"/>
  <pageSetup paperSize="9" orientation="portrait" r:id="rId1"/>
  <customProperties>
    <customPr name="EpmWorksheetKeyString_GUID" r:id="rId2"/>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L34"/>
  <sheetViews>
    <sheetView showGridLines="0" zoomScale="63" zoomScaleNormal="100" workbookViewId="0">
      <pane xSplit="2" ySplit="4" topLeftCell="C5" activePane="bottomRight" state="frozen"/>
      <selection pane="topRight" activeCell="C1" sqref="C1"/>
      <selection pane="bottomLeft" activeCell="A5" sqref="A5"/>
      <selection pane="bottomRight" activeCell="D1" sqref="D1"/>
    </sheetView>
  </sheetViews>
  <sheetFormatPr defaultColWidth="9.21875" defaultRowHeight="14.4" x14ac:dyDescent="0.3"/>
  <cols>
    <col min="1" max="1" width="6.5546875" style="367" customWidth="1"/>
    <col min="2" max="2" width="69.77734375" style="349" bestFit="1" customWidth="1"/>
    <col min="3" max="3" width="9.21875" style="349"/>
    <col min="4" max="4" width="21.5546875" style="350" bestFit="1" customWidth="1"/>
    <col min="5" max="5" width="16.5546875" style="350" customWidth="1"/>
    <col min="6" max="6" width="21.5546875" style="350" bestFit="1" customWidth="1"/>
    <col min="7" max="7" width="38.44140625" style="350" customWidth="1"/>
    <col min="8" max="8" width="21.5546875" style="350" customWidth="1"/>
    <col min="9" max="9" width="30.21875" style="350" customWidth="1"/>
    <col min="10" max="16384" width="9.21875" style="349"/>
  </cols>
  <sheetData>
    <row r="1" spans="1:12" x14ac:dyDescent="0.3">
      <c r="A1" s="348"/>
      <c r="B1" s="348"/>
      <c r="C1" s="348"/>
      <c r="D1" s="439" t="s">
        <v>316</v>
      </c>
    </row>
    <row r="2" spans="1:12" x14ac:dyDescent="0.3">
      <c r="A2" s="348"/>
      <c r="B2" s="348"/>
      <c r="C2" s="348"/>
      <c r="D2" s="439" t="s">
        <v>268</v>
      </c>
      <c r="E2" s="351"/>
      <c r="F2" s="351"/>
      <c r="G2" s="351"/>
      <c r="H2" s="351"/>
    </row>
    <row r="3" spans="1:12" x14ac:dyDescent="0.3">
      <c r="A3" s="348"/>
      <c r="B3" s="348"/>
      <c r="C3" s="348"/>
      <c r="D3" s="439" t="s">
        <v>317</v>
      </c>
      <c r="E3" s="352"/>
    </row>
    <row r="4" spans="1:12" x14ac:dyDescent="0.3">
      <c r="A4" s="353" t="s">
        <v>238</v>
      </c>
      <c r="B4" s="354" t="s">
        <v>239</v>
      </c>
      <c r="C4" s="355"/>
      <c r="D4" s="356" t="s">
        <v>240</v>
      </c>
      <c r="E4" s="357" t="s">
        <v>241</v>
      </c>
      <c r="F4" s="358" t="s">
        <v>242</v>
      </c>
      <c r="G4" s="359"/>
      <c r="H4" s="357" t="s">
        <v>243</v>
      </c>
      <c r="I4" s="360" t="s">
        <v>244</v>
      </c>
    </row>
    <row r="5" spans="1:12" x14ac:dyDescent="0.3">
      <c r="A5" s="395">
        <v>1</v>
      </c>
      <c r="B5" s="396" t="s">
        <v>68</v>
      </c>
      <c r="C5" s="397"/>
      <c r="D5" s="410">
        <v>2391800</v>
      </c>
      <c r="E5" s="411"/>
      <c r="F5" s="398">
        <f>D5+E5</f>
        <v>2391800</v>
      </c>
      <c r="G5" s="399" t="s">
        <v>245</v>
      </c>
      <c r="H5" s="417">
        <v>1</v>
      </c>
      <c r="I5" s="401">
        <f>IF(F5=0,0,H5)</f>
        <v>1</v>
      </c>
      <c r="K5" s="349" t="s">
        <v>246</v>
      </c>
    </row>
    <row r="6" spans="1:12" x14ac:dyDescent="0.3">
      <c r="A6" s="395">
        <v>2</v>
      </c>
      <c r="B6" s="396" t="s">
        <v>273</v>
      </c>
      <c r="C6" s="397"/>
      <c r="D6" s="412">
        <v>0</v>
      </c>
      <c r="E6" s="411"/>
      <c r="F6" s="398">
        <f t="shared" ref="F6:F15" si="0">D6+E6</f>
        <v>0</v>
      </c>
      <c r="G6" s="399"/>
      <c r="H6" s="400"/>
      <c r="I6" s="401"/>
      <c r="K6" s="394"/>
      <c r="L6" s="349" t="s">
        <v>263</v>
      </c>
    </row>
    <row r="7" spans="1:12" x14ac:dyDescent="0.3">
      <c r="A7" s="395">
        <v>3</v>
      </c>
      <c r="B7" s="396" t="s">
        <v>274</v>
      </c>
      <c r="C7" s="397"/>
      <c r="D7" s="412">
        <v>110456216</v>
      </c>
      <c r="E7" s="411"/>
      <c r="F7" s="398">
        <f t="shared" si="0"/>
        <v>110456216</v>
      </c>
      <c r="G7" s="399" t="s">
        <v>247</v>
      </c>
      <c r="H7" s="417">
        <v>3</v>
      </c>
      <c r="I7" s="401">
        <f>IF(D2="Neraca Penutupan",IF(F7=0,0,IF(H7/H5&lt;4,H5,H5+((H7-(H5*4))/4))),IF(F7=0,0,IF(H7/H5&lt;8,H5,H5+((H7-(H5*8))/8))))</f>
        <v>1</v>
      </c>
      <c r="K7" s="393"/>
    </row>
    <row r="8" spans="1:12" x14ac:dyDescent="0.3">
      <c r="A8" s="395" t="s">
        <v>290</v>
      </c>
      <c r="B8" s="396" t="s">
        <v>71</v>
      </c>
      <c r="C8" s="402"/>
      <c r="D8" s="412">
        <v>0</v>
      </c>
      <c r="E8" s="411"/>
      <c r="F8" s="398">
        <f t="shared" si="0"/>
        <v>0</v>
      </c>
      <c r="G8" s="399"/>
      <c r="H8" s="400"/>
      <c r="I8" s="401">
        <f t="shared" ref="I8" si="1">IF(F8=0,0,1)</f>
        <v>0</v>
      </c>
    </row>
    <row r="9" spans="1:12" x14ac:dyDescent="0.3">
      <c r="A9" s="395" t="s">
        <v>291</v>
      </c>
      <c r="B9" s="396" t="s">
        <v>248</v>
      </c>
      <c r="C9" s="402"/>
      <c r="D9" s="412">
        <v>0</v>
      </c>
      <c r="E9" s="411"/>
      <c r="F9" s="398">
        <f t="shared" si="0"/>
        <v>0</v>
      </c>
      <c r="G9" s="399" t="s">
        <v>249</v>
      </c>
      <c r="H9" s="417">
        <v>120</v>
      </c>
      <c r="I9" s="401">
        <f>IF(D2="Neraca Penutupan",IF(H9&lt;7200,H9/10,IF(AND(7200&lt;H9,H9&lt;14400),(H9/10)*70%,(H9/10)*35%)),IF(H9&lt;7200,H9/20,IF(AND(7200&lt;H9,H9&lt;14400),(H9/20)*70%,(H9/20)*35%)))</f>
        <v>12</v>
      </c>
    </row>
    <row r="10" spans="1:12" x14ac:dyDescent="0.3">
      <c r="A10" s="395" t="s">
        <v>292</v>
      </c>
      <c r="B10" s="396" t="s">
        <v>275</v>
      </c>
      <c r="C10" s="397"/>
      <c r="D10" s="412">
        <v>0</v>
      </c>
      <c r="E10" s="411"/>
      <c r="F10" s="398">
        <f t="shared" si="0"/>
        <v>0</v>
      </c>
      <c r="G10" s="399"/>
      <c r="H10" s="400"/>
      <c r="I10" s="401">
        <f>IF(F10=0,0,1)</f>
        <v>0</v>
      </c>
    </row>
    <row r="11" spans="1:12" x14ac:dyDescent="0.3">
      <c r="A11" s="395" t="s">
        <v>293</v>
      </c>
      <c r="B11" s="396" t="s">
        <v>276</v>
      </c>
      <c r="C11" s="397"/>
      <c r="D11" s="412">
        <v>0</v>
      </c>
      <c r="E11" s="411"/>
      <c r="F11" s="398">
        <f t="shared" si="0"/>
        <v>0</v>
      </c>
      <c r="G11" s="399"/>
      <c r="H11" s="400"/>
      <c r="I11" s="401">
        <f t="shared" ref="I11" si="2">IF(F11=0,0,1)</f>
        <v>0</v>
      </c>
    </row>
    <row r="12" spans="1:12" x14ac:dyDescent="0.3">
      <c r="A12" s="395" t="s">
        <v>294</v>
      </c>
      <c r="B12" s="396" t="s">
        <v>250</v>
      </c>
      <c r="C12" s="397"/>
      <c r="D12" s="412">
        <v>149962100</v>
      </c>
      <c r="E12" s="411"/>
      <c r="F12" s="398">
        <f t="shared" si="0"/>
        <v>149962100</v>
      </c>
      <c r="G12" s="399" t="s">
        <v>251</v>
      </c>
      <c r="H12" s="417">
        <v>1</v>
      </c>
      <c r="I12" s="401">
        <f>IF(D2="Neraca Penutupan",IF(F12=0,0,H12*3),IF(F12=0,0,H12*2))</f>
        <v>3</v>
      </c>
    </row>
    <row r="13" spans="1:12" x14ac:dyDescent="0.3">
      <c r="A13" s="403">
        <v>9</v>
      </c>
      <c r="B13" s="396" t="s">
        <v>252</v>
      </c>
      <c r="C13" s="404"/>
      <c r="D13" s="412">
        <v>-145249473</v>
      </c>
      <c r="E13" s="411"/>
      <c r="F13" s="398">
        <f t="shared" si="0"/>
        <v>-145249473</v>
      </c>
      <c r="G13" s="399"/>
      <c r="H13" s="400"/>
      <c r="I13" s="401"/>
    </row>
    <row r="14" spans="1:12" x14ac:dyDescent="0.3">
      <c r="A14" s="395" t="s">
        <v>295</v>
      </c>
      <c r="B14" s="396" t="s">
        <v>279</v>
      </c>
      <c r="C14" s="402"/>
      <c r="D14" s="412">
        <v>0</v>
      </c>
      <c r="E14" s="411"/>
      <c r="F14" s="398">
        <f t="shared" si="0"/>
        <v>0</v>
      </c>
      <c r="G14" s="399"/>
      <c r="H14" s="400"/>
      <c r="I14" s="401">
        <f t="shared" ref="I14" si="3">IF(F14=0,0,1)</f>
        <v>0</v>
      </c>
    </row>
    <row r="15" spans="1:12" x14ac:dyDescent="0.3">
      <c r="A15" s="395" t="s">
        <v>296</v>
      </c>
      <c r="B15" s="396" t="s">
        <v>253</v>
      </c>
      <c r="C15" s="397"/>
      <c r="D15" s="413">
        <v>0</v>
      </c>
      <c r="E15" s="414"/>
      <c r="F15" s="398">
        <f t="shared" si="0"/>
        <v>0</v>
      </c>
      <c r="G15" s="399"/>
      <c r="H15" s="400"/>
      <c r="I15" s="401">
        <f>IF(F15=0,0,H15)</f>
        <v>0</v>
      </c>
    </row>
    <row r="16" spans="1:12" x14ac:dyDescent="0.3">
      <c r="A16" s="361"/>
      <c r="B16" s="362" t="s">
        <v>254</v>
      </c>
      <c r="C16" s="363"/>
      <c r="D16" s="364">
        <f>SUM(D5:D15)</f>
        <v>117560643</v>
      </c>
      <c r="E16" s="364">
        <f>SUM(E5:E15)</f>
        <v>0</v>
      </c>
      <c r="F16" s="364">
        <f>SUM(F5:F15)</f>
        <v>117560643</v>
      </c>
      <c r="G16" s="365"/>
      <c r="H16" s="366"/>
      <c r="I16" s="364">
        <f>SUM(I5:I15)</f>
        <v>17</v>
      </c>
    </row>
    <row r="17" spans="1:9" x14ac:dyDescent="0.3">
      <c r="D17" s="368"/>
      <c r="F17" s="369"/>
      <c r="G17" s="369"/>
      <c r="H17" s="369"/>
    </row>
    <row r="18" spans="1:9" x14ac:dyDescent="0.3">
      <c r="A18" s="370"/>
      <c r="D18" s="368"/>
      <c r="F18" s="369"/>
      <c r="G18" s="369"/>
      <c r="H18" s="369"/>
    </row>
    <row r="19" spans="1:9" x14ac:dyDescent="0.3">
      <c r="A19" s="371" t="s">
        <v>238</v>
      </c>
      <c r="B19" s="371" t="s">
        <v>255</v>
      </c>
      <c r="C19" s="372"/>
      <c r="D19" s="356" t="s">
        <v>240</v>
      </c>
      <c r="E19" s="357" t="s">
        <v>241</v>
      </c>
      <c r="F19" s="358" t="s">
        <v>242</v>
      </c>
      <c r="G19" s="357"/>
      <c r="H19" s="357" t="s">
        <v>243</v>
      </c>
      <c r="I19" s="360" t="s">
        <v>244</v>
      </c>
    </row>
    <row r="20" spans="1:9" x14ac:dyDescent="0.3">
      <c r="A20" s="405" t="s">
        <v>297</v>
      </c>
      <c r="B20" s="406" t="s">
        <v>281</v>
      </c>
      <c r="C20" s="407"/>
      <c r="D20" s="410">
        <v>507050173</v>
      </c>
      <c r="E20" s="415"/>
      <c r="F20" s="398">
        <f t="shared" ref="F20:F32" si="4">D20+E20</f>
        <v>507050173</v>
      </c>
      <c r="G20" s="399"/>
      <c r="H20" s="400"/>
      <c r="I20" s="401">
        <f t="shared" ref="I20" si="5">IF(F20=0,0,1)</f>
        <v>1</v>
      </c>
    </row>
    <row r="21" spans="1:9" x14ac:dyDescent="0.3">
      <c r="A21" s="405" t="s">
        <v>298</v>
      </c>
      <c r="B21" s="406" t="s">
        <v>256</v>
      </c>
      <c r="C21" s="407"/>
      <c r="D21" s="412">
        <v>201484392</v>
      </c>
      <c r="E21" s="411"/>
      <c r="F21" s="398">
        <f t="shared" si="4"/>
        <v>201484392</v>
      </c>
      <c r="G21" s="399"/>
      <c r="H21" s="400"/>
      <c r="I21" s="401"/>
    </row>
    <row r="22" spans="1:9" x14ac:dyDescent="0.3">
      <c r="A22" s="405" t="s">
        <v>299</v>
      </c>
      <c r="B22" s="406" t="s">
        <v>70</v>
      </c>
      <c r="C22" s="407"/>
      <c r="D22" s="412">
        <v>100000000</v>
      </c>
      <c r="E22" s="411"/>
      <c r="F22" s="398">
        <f t="shared" si="4"/>
        <v>100000000</v>
      </c>
      <c r="G22" s="399"/>
      <c r="H22" s="400"/>
      <c r="I22" s="401"/>
    </row>
    <row r="23" spans="1:9" x14ac:dyDescent="0.3">
      <c r="A23" s="405" t="s">
        <v>300</v>
      </c>
      <c r="B23" s="406" t="s">
        <v>282</v>
      </c>
      <c r="C23" s="408"/>
      <c r="D23" s="412"/>
      <c r="E23" s="416"/>
      <c r="F23" s="398">
        <f t="shared" si="4"/>
        <v>0</v>
      </c>
      <c r="G23" s="399"/>
      <c r="H23" s="400"/>
      <c r="I23" s="401">
        <f t="shared" ref="I23" si="6">IF(F23=0,0,1)</f>
        <v>0</v>
      </c>
    </row>
    <row r="24" spans="1:9" x14ac:dyDescent="0.3">
      <c r="A24" s="405" t="s">
        <v>302</v>
      </c>
      <c r="B24" s="406" t="s">
        <v>287</v>
      </c>
      <c r="C24" s="407"/>
      <c r="D24" s="412"/>
      <c r="E24" s="411"/>
      <c r="F24" s="398">
        <f t="shared" si="4"/>
        <v>0</v>
      </c>
      <c r="G24" s="399"/>
      <c r="H24" s="400"/>
      <c r="I24" s="401">
        <f>IF(F24=0,0,1)</f>
        <v>0</v>
      </c>
    </row>
    <row r="25" spans="1:9" x14ac:dyDescent="0.3">
      <c r="A25" s="405" t="s">
        <v>303</v>
      </c>
      <c r="B25" s="406" t="s">
        <v>257</v>
      </c>
      <c r="C25" s="407"/>
      <c r="D25" s="412"/>
      <c r="E25" s="411"/>
      <c r="F25" s="398">
        <f t="shared" si="4"/>
        <v>0</v>
      </c>
      <c r="G25" s="399"/>
      <c r="H25" s="400"/>
      <c r="I25" s="401">
        <f t="shared" ref="I25:I28" si="7">IF(F25=0,0,1)</f>
        <v>0</v>
      </c>
    </row>
    <row r="26" spans="1:9" x14ac:dyDescent="0.3">
      <c r="A26" s="405" t="s">
        <v>304</v>
      </c>
      <c r="B26" s="406" t="s">
        <v>288</v>
      </c>
      <c r="C26" s="407"/>
      <c r="D26" s="412"/>
      <c r="E26" s="411"/>
      <c r="F26" s="398">
        <f t="shared" si="4"/>
        <v>0</v>
      </c>
      <c r="G26" s="399"/>
      <c r="H26" s="400"/>
      <c r="I26" s="401">
        <f t="shared" si="7"/>
        <v>0</v>
      </c>
    </row>
    <row r="27" spans="1:9" x14ac:dyDescent="0.3">
      <c r="A27" s="405" t="s">
        <v>305</v>
      </c>
      <c r="B27" s="406" t="s">
        <v>289</v>
      </c>
      <c r="C27" s="409"/>
      <c r="D27" s="412">
        <v>1042422</v>
      </c>
      <c r="E27" s="416"/>
      <c r="F27" s="398">
        <f t="shared" si="4"/>
        <v>1042422</v>
      </c>
      <c r="G27" s="399"/>
      <c r="H27" s="400"/>
      <c r="I27" s="401">
        <f t="shared" si="7"/>
        <v>1</v>
      </c>
    </row>
    <row r="28" spans="1:9" x14ac:dyDescent="0.3">
      <c r="A28" s="405" t="s">
        <v>306</v>
      </c>
      <c r="B28" s="406" t="s">
        <v>283</v>
      </c>
      <c r="C28" s="407"/>
      <c r="D28" s="412">
        <v>4821160700</v>
      </c>
      <c r="E28" s="416"/>
      <c r="F28" s="398">
        <f t="shared" si="4"/>
        <v>4821160700</v>
      </c>
      <c r="G28" s="399"/>
      <c r="H28" s="400"/>
      <c r="I28" s="401">
        <f t="shared" si="7"/>
        <v>1</v>
      </c>
    </row>
    <row r="29" spans="1:9" x14ac:dyDescent="0.3">
      <c r="A29" s="405" t="s">
        <v>307</v>
      </c>
      <c r="B29" s="406" t="s">
        <v>258</v>
      </c>
      <c r="C29" s="407"/>
      <c r="D29" s="412">
        <v>42188307</v>
      </c>
      <c r="E29" s="416"/>
      <c r="F29" s="398">
        <f t="shared" si="4"/>
        <v>42188307</v>
      </c>
      <c r="G29" s="399"/>
      <c r="H29" s="400"/>
      <c r="I29" s="401"/>
    </row>
    <row r="30" spans="1:9" x14ac:dyDescent="0.3">
      <c r="A30" s="405" t="s">
        <v>308</v>
      </c>
      <c r="B30" s="406" t="s">
        <v>284</v>
      </c>
      <c r="C30" s="408"/>
      <c r="D30" s="412">
        <v>-5152444602</v>
      </c>
      <c r="E30" s="416"/>
      <c r="F30" s="398">
        <f t="shared" si="4"/>
        <v>-5152444602</v>
      </c>
      <c r="G30" s="399"/>
      <c r="H30" s="400"/>
      <c r="I30" s="401"/>
    </row>
    <row r="31" spans="1:9" x14ac:dyDescent="0.3">
      <c r="A31" s="405" t="s">
        <v>309</v>
      </c>
      <c r="B31" s="406" t="s">
        <v>285</v>
      </c>
      <c r="C31" s="409"/>
      <c r="D31" s="412">
        <v>-402920749</v>
      </c>
      <c r="E31" s="416"/>
      <c r="F31" s="398">
        <f t="shared" si="4"/>
        <v>-402920749</v>
      </c>
      <c r="G31" s="399"/>
      <c r="H31" s="400"/>
      <c r="I31" s="401"/>
    </row>
    <row r="32" spans="1:9" x14ac:dyDescent="0.3">
      <c r="A32" s="405" t="s">
        <v>310</v>
      </c>
      <c r="B32" s="406" t="s">
        <v>286</v>
      </c>
      <c r="C32" s="407"/>
      <c r="D32" s="412"/>
      <c r="E32" s="411"/>
      <c r="F32" s="398">
        <f t="shared" si="4"/>
        <v>0</v>
      </c>
      <c r="G32" s="399"/>
      <c r="H32" s="400"/>
      <c r="I32" s="401"/>
    </row>
    <row r="33" spans="1:9" x14ac:dyDescent="0.3">
      <c r="A33" s="374"/>
      <c r="B33" s="375" t="s">
        <v>259</v>
      </c>
      <c r="C33" s="376"/>
      <c r="D33" s="364">
        <f>SUM(D20:D32)</f>
        <v>117560643</v>
      </c>
      <c r="E33" s="364">
        <f>SUM(E20:E32)</f>
        <v>0</v>
      </c>
      <c r="F33" s="364">
        <f>SUM(F20:F32)</f>
        <v>117560643</v>
      </c>
      <c r="G33" s="364"/>
      <c r="H33" s="364"/>
      <c r="I33" s="364">
        <f>SUM(I20:I32)</f>
        <v>3</v>
      </c>
    </row>
    <row r="34" spans="1:9" x14ac:dyDescent="0.3">
      <c r="A34" s="377"/>
      <c r="B34" s="378" t="s">
        <v>260</v>
      </c>
      <c r="C34" s="379"/>
      <c r="D34" s="373"/>
      <c r="E34" s="373"/>
      <c r="F34" s="373"/>
      <c r="G34" s="373"/>
      <c r="H34" s="373"/>
      <c r="I34" s="373">
        <f>I16+I33</f>
        <v>20</v>
      </c>
    </row>
  </sheetData>
  <sheetProtection algorithmName="SHA-512" hashValue="g5Ozzje3B2aAMkFSowLg7veAbIPH7XmbL8muKwuvvS+VQhXXimfNZCsjHIBonG4YxAvfRV1UX1fR/wb9/b4pxQ==" saltValue="Dg9lzzsWaHtdUjlw/Nbxng==" spinCount="100000" sheet="1" selectLockedCells="1"/>
  <dataValidations count="1">
    <dataValidation type="list" allowBlank="1" showInputMessage="1" showErrorMessage="1" sqref="D2" xr:uid="{00000000-0002-0000-0800-000000000000}">
      <formula1>"Neraca Penutupan,Laporan Aset Neto Awal Periode,Laporan Aset Neto Perubahan Selama Periode"</formula1>
    </dataValidation>
  </dataValidations>
  <pageMargins left="0.7" right="0.7" top="0.75" bottom="0.75" header="0.3" footer="0.3"/>
  <pageSetup paperSize="9" orientation="portrait" r:id="rId1"/>
  <customProperties>
    <customPr name="EpmWorksheetKeyString_GUID" r:id="rId2"/>
  </customProperties>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N102"/>
  <sheetViews>
    <sheetView topLeftCell="A19" zoomScale="72" zoomScaleNormal="55" workbookViewId="0">
      <selection activeCell="B38" sqref="B38:H38"/>
    </sheetView>
  </sheetViews>
  <sheetFormatPr defaultColWidth="9.21875" defaultRowHeight="15.6" x14ac:dyDescent="0.25"/>
  <cols>
    <col min="1" max="1" width="9.21875" style="234"/>
    <col min="2" max="2" width="5.21875" style="234" customWidth="1"/>
    <col min="3" max="3" width="5.77734375" style="234" customWidth="1"/>
    <col min="4" max="4" width="46.21875" style="234" customWidth="1"/>
    <col min="5" max="5" width="7.44140625" style="235" customWidth="1"/>
    <col min="6" max="6" width="19.21875" style="234" bestFit="1" customWidth="1"/>
    <col min="7" max="7" width="18.21875" style="234" customWidth="1"/>
    <col min="8" max="8" width="19.21875" style="234" customWidth="1"/>
    <col min="9" max="9" width="9.21875" style="234"/>
    <col min="10" max="10" width="7" style="235" customWidth="1"/>
    <col min="11" max="11" width="4.77734375" style="234" customWidth="1"/>
    <col min="12" max="12" width="9.21875" style="234"/>
    <col min="13" max="13" width="13.77734375" style="234" customWidth="1"/>
    <col min="14" max="14" width="8" style="234" customWidth="1"/>
    <col min="15" max="16384" width="9.21875" style="234"/>
  </cols>
  <sheetData>
    <row r="1" spans="2:14" x14ac:dyDescent="0.25">
      <c r="B1" s="233" t="s">
        <v>160</v>
      </c>
    </row>
    <row r="2" spans="2:14" x14ac:dyDescent="0.25">
      <c r="B2" s="608" t="s">
        <v>161</v>
      </c>
      <c r="C2" s="608"/>
      <c r="D2" s="608"/>
      <c r="E2" s="604" t="s">
        <v>162</v>
      </c>
      <c r="F2" s="608" t="s">
        <v>163</v>
      </c>
      <c r="G2" s="608" t="s">
        <v>164</v>
      </c>
      <c r="H2" s="608" t="s">
        <v>165</v>
      </c>
    </row>
    <row r="3" spans="2:14" x14ac:dyDescent="0.25">
      <c r="B3" s="608"/>
      <c r="C3" s="608"/>
      <c r="D3" s="608"/>
      <c r="E3" s="606"/>
      <c r="F3" s="608"/>
      <c r="G3" s="608"/>
      <c r="H3" s="608"/>
      <c r="J3" s="380" t="s">
        <v>166</v>
      </c>
      <c r="K3" s="383"/>
      <c r="L3" s="383"/>
    </row>
    <row r="4" spans="2:14" x14ac:dyDescent="0.25">
      <c r="B4" s="236"/>
      <c r="C4" s="236" t="s">
        <v>167</v>
      </c>
      <c r="D4" s="236"/>
      <c r="E4" s="237"/>
      <c r="F4" s="382">
        <f>ROUND(IF(G4/5&lt;1,1,G4/5),0)</f>
        <v>1</v>
      </c>
      <c r="G4" s="382">
        <f>ROUND(IF(H4/5&lt;1,1,H4/5),0)</f>
        <v>1</v>
      </c>
      <c r="H4" s="382">
        <f>ROUND(IF(Neraca!D2="Neraca Penutupan",IF(Neraca!I34&lt;48,1,IF(OR(Neraca!I9&gt;96,Neraca!I10&gt;96),Neraca!I34/72,Neraca!I34/48)),IF(Neraca!I34&lt;24,1,IF(OR(Neraca!I9&gt;48,Neraca!I10&gt;48),Neraca!I34/48,Neraca!I34/24))),0)</f>
        <v>1</v>
      </c>
      <c r="J4" s="381" t="s">
        <v>101</v>
      </c>
      <c r="K4" s="380" t="s">
        <v>311</v>
      </c>
      <c r="L4" s="380"/>
      <c r="M4" s="238"/>
      <c r="N4" s="238"/>
    </row>
    <row r="5" spans="2:14" x14ac:dyDescent="0.25">
      <c r="B5" s="236"/>
      <c r="C5" s="239" t="s">
        <v>168</v>
      </c>
      <c r="D5" s="240"/>
      <c r="E5" s="237"/>
      <c r="F5" s="392">
        <v>35850000</v>
      </c>
      <c r="G5" s="392">
        <v>21950000</v>
      </c>
      <c r="H5" s="392">
        <v>13950000</v>
      </c>
      <c r="J5" s="381"/>
      <c r="K5" s="381" t="s">
        <v>170</v>
      </c>
      <c r="L5" s="380" t="s">
        <v>312</v>
      </c>
    </row>
    <row r="6" spans="2:14" x14ac:dyDescent="0.25">
      <c r="B6" s="236"/>
      <c r="C6" s="239" t="s">
        <v>169</v>
      </c>
      <c r="D6" s="240"/>
      <c r="E6" s="237"/>
      <c r="F6" s="241">
        <f t="shared" ref="F6:H6" si="0">(F5/22)*1.1</f>
        <v>1792500.0000000002</v>
      </c>
      <c r="G6" s="241">
        <f t="shared" si="0"/>
        <v>1097500</v>
      </c>
      <c r="H6" s="241">
        <f t="shared" si="0"/>
        <v>697500</v>
      </c>
      <c r="J6" s="381"/>
      <c r="K6" s="381" t="s">
        <v>107</v>
      </c>
      <c r="L6" s="380" t="s">
        <v>313</v>
      </c>
    </row>
    <row r="7" spans="2:14" x14ac:dyDescent="0.25">
      <c r="B7" s="236"/>
      <c r="C7" s="239"/>
      <c r="D7" s="240"/>
      <c r="E7" s="237"/>
      <c r="F7" s="236"/>
      <c r="G7" s="236"/>
      <c r="H7" s="236"/>
      <c r="J7" s="381"/>
      <c r="K7" s="381" t="s">
        <v>109</v>
      </c>
      <c r="L7" s="380" t="s">
        <v>314</v>
      </c>
    </row>
    <row r="8" spans="2:14" x14ac:dyDescent="0.25">
      <c r="B8" s="236"/>
      <c r="C8" s="242" t="s">
        <v>171</v>
      </c>
      <c r="D8" s="240"/>
      <c r="E8" s="237"/>
      <c r="F8" s="236"/>
      <c r="G8" s="236"/>
      <c r="H8" s="236"/>
      <c r="J8" s="381" t="s">
        <v>102</v>
      </c>
      <c r="K8" s="380" t="s">
        <v>261</v>
      </c>
      <c r="L8" s="380"/>
    </row>
    <row r="9" spans="2:14" x14ac:dyDescent="0.25">
      <c r="B9" s="236"/>
      <c r="C9" s="239" t="s">
        <v>172</v>
      </c>
      <c r="D9" s="240"/>
      <c r="E9" s="384">
        <f>ROUND(10%*$E$12,0)</f>
        <v>6</v>
      </c>
      <c r="F9" s="386">
        <v>0.45</v>
      </c>
      <c r="G9" s="386">
        <v>0.3</v>
      </c>
      <c r="H9" s="386">
        <v>0.1</v>
      </c>
      <c r="J9" s="381" t="s">
        <v>103</v>
      </c>
      <c r="K9" s="380" t="s">
        <v>262</v>
      </c>
      <c r="L9" s="380"/>
    </row>
    <row r="10" spans="2:14" x14ac:dyDescent="0.25">
      <c r="B10" s="236"/>
      <c r="C10" s="239" t="s">
        <v>173</v>
      </c>
      <c r="D10" s="240"/>
      <c r="E10" s="384">
        <f>ROUND(70%*$E$12,0)</f>
        <v>42</v>
      </c>
      <c r="F10" s="386">
        <v>0.1</v>
      </c>
      <c r="G10" s="386">
        <v>0.4</v>
      </c>
      <c r="H10" s="386">
        <v>0.75</v>
      </c>
    </row>
    <row r="11" spans="2:14" x14ac:dyDescent="0.25">
      <c r="B11" s="236"/>
      <c r="C11" s="239" t="s">
        <v>174</v>
      </c>
      <c r="D11" s="240"/>
      <c r="E11" s="384">
        <f>ROUND(20%*$E$12,0)</f>
        <v>12</v>
      </c>
      <c r="F11" s="386">
        <v>0.45</v>
      </c>
      <c r="G11" s="386">
        <v>0.3</v>
      </c>
      <c r="H11" s="386">
        <v>0.15</v>
      </c>
    </row>
    <row r="12" spans="2:14" x14ac:dyDescent="0.25">
      <c r="B12" s="236"/>
      <c r="C12" s="239"/>
      <c r="D12" s="243" t="s">
        <v>24</v>
      </c>
      <c r="E12" s="387">
        <f>IF(Neraca!D2="Neraca Penutupan",IF(OR(Neraca!I9&gt;96,Neraca!I10&gt;96),90,60),IF(OR(Neraca!I9&gt;48,Neraca!I10&gt;48),60,30))</f>
        <v>60</v>
      </c>
      <c r="F12" s="245">
        <f t="shared" ref="F12:H12" si="1">F11+F10+F9</f>
        <v>1</v>
      </c>
      <c r="G12" s="245">
        <f t="shared" si="1"/>
        <v>1</v>
      </c>
      <c r="H12" s="245">
        <f t="shared" si="1"/>
        <v>1</v>
      </c>
    </row>
    <row r="13" spans="2:14" x14ac:dyDescent="0.25">
      <c r="B13" s="236"/>
      <c r="C13" s="239"/>
      <c r="D13" s="240"/>
      <c r="E13" s="237"/>
      <c r="F13" s="236"/>
      <c r="G13" s="236"/>
      <c r="H13" s="236"/>
    </row>
    <row r="14" spans="2:14" x14ac:dyDescent="0.25">
      <c r="B14" s="236"/>
      <c r="C14" s="242" t="s">
        <v>175</v>
      </c>
      <c r="D14" s="240"/>
      <c r="E14" s="237"/>
      <c r="F14" s="236"/>
      <c r="G14" s="236"/>
      <c r="H14" s="236"/>
    </row>
    <row r="15" spans="2:14" x14ac:dyDescent="0.25">
      <c r="B15" s="236"/>
      <c r="C15" s="239" t="s">
        <v>172</v>
      </c>
      <c r="D15" s="240"/>
      <c r="E15" s="237"/>
      <c r="F15" s="388">
        <f>1*F9*E9</f>
        <v>2.7</v>
      </c>
      <c r="G15" s="388">
        <f>1*G9*E9</f>
        <v>1.7999999999999998</v>
      </c>
      <c r="H15" s="388">
        <f>1*H9*E9</f>
        <v>0.60000000000000009</v>
      </c>
    </row>
    <row r="16" spans="2:14" x14ac:dyDescent="0.25">
      <c r="B16" s="236"/>
      <c r="C16" s="239" t="s">
        <v>173</v>
      </c>
      <c r="D16" s="240"/>
      <c r="E16" s="237"/>
      <c r="F16" s="388">
        <f>1*F10*E10</f>
        <v>4.2</v>
      </c>
      <c r="G16" s="388">
        <f>1*G10*E10</f>
        <v>16.8</v>
      </c>
      <c r="H16" s="388">
        <f>1*H10*E10</f>
        <v>31.5</v>
      </c>
    </row>
    <row r="17" spans="2:8" s="234" customFormat="1" x14ac:dyDescent="0.25">
      <c r="B17" s="236"/>
      <c r="C17" s="239" t="s">
        <v>174</v>
      </c>
      <c r="D17" s="240"/>
      <c r="E17" s="237"/>
      <c r="F17" s="388">
        <f>1*F11*E11</f>
        <v>5.4</v>
      </c>
      <c r="G17" s="388">
        <f>1*G11*E11</f>
        <v>3.5999999999999996</v>
      </c>
      <c r="H17" s="388">
        <f>1*H11*E11</f>
        <v>1.7999999999999998</v>
      </c>
    </row>
    <row r="18" spans="2:8" s="234" customFormat="1" x14ac:dyDescent="0.25">
      <c r="B18" s="236"/>
      <c r="C18" s="239"/>
      <c r="D18" s="240"/>
      <c r="E18" s="237"/>
      <c r="F18" s="246"/>
      <c r="G18" s="246"/>
      <c r="H18" s="246"/>
    </row>
    <row r="19" spans="2:8" s="234" customFormat="1" x14ac:dyDescent="0.25">
      <c r="B19" s="236"/>
      <c r="C19" s="242" t="s">
        <v>176</v>
      </c>
      <c r="D19" s="240"/>
      <c r="E19" s="237"/>
      <c r="F19" s="246"/>
      <c r="G19" s="246"/>
      <c r="H19" s="246"/>
    </row>
    <row r="20" spans="2:8" s="234" customFormat="1" x14ac:dyDescent="0.25">
      <c r="B20" s="236"/>
      <c r="C20" s="239" t="s">
        <v>172</v>
      </c>
      <c r="D20" s="240"/>
      <c r="E20" s="237"/>
      <c r="F20" s="388">
        <f>$F$4*F9*E9</f>
        <v>2.7</v>
      </c>
      <c r="G20" s="388">
        <f>$G$4*G9*E9</f>
        <v>1.7999999999999998</v>
      </c>
      <c r="H20" s="388">
        <f>$H$4*H9*E9</f>
        <v>0.60000000000000009</v>
      </c>
    </row>
    <row r="21" spans="2:8" s="234" customFormat="1" x14ac:dyDescent="0.25">
      <c r="B21" s="236"/>
      <c r="C21" s="239" t="s">
        <v>173</v>
      </c>
      <c r="D21" s="240"/>
      <c r="E21" s="237"/>
      <c r="F21" s="388">
        <f>$F$4*F10*E10</f>
        <v>4.2</v>
      </c>
      <c r="G21" s="388">
        <f>$G$4*G10*E10</f>
        <v>16.8</v>
      </c>
      <c r="H21" s="388">
        <f>$H$4*H10*E10</f>
        <v>31.5</v>
      </c>
    </row>
    <row r="22" spans="2:8" s="234" customFormat="1" x14ac:dyDescent="0.25">
      <c r="B22" s="236"/>
      <c r="C22" s="239" t="s">
        <v>174</v>
      </c>
      <c r="D22" s="240"/>
      <c r="E22" s="237"/>
      <c r="F22" s="388">
        <f>$F$4*F11*E11</f>
        <v>5.4</v>
      </c>
      <c r="G22" s="388">
        <f>$G$4*G11*E11</f>
        <v>3.5999999999999996</v>
      </c>
      <c r="H22" s="388">
        <f>$H$4*H11*E11</f>
        <v>1.7999999999999998</v>
      </c>
    </row>
    <row r="23" spans="2:8" s="234" customFormat="1" x14ac:dyDescent="0.25">
      <c r="B23" s="236"/>
      <c r="C23" s="239"/>
      <c r="D23" s="240"/>
      <c r="E23" s="237"/>
      <c r="F23" s="236"/>
      <c r="G23" s="236"/>
      <c r="H23" s="236"/>
    </row>
    <row r="24" spans="2:8" s="234" customFormat="1" x14ac:dyDescent="0.25">
      <c r="B24" s="236"/>
      <c r="C24" s="242" t="s">
        <v>177</v>
      </c>
      <c r="D24" s="240"/>
      <c r="E24" s="237"/>
      <c r="F24" s="236"/>
      <c r="G24" s="236"/>
      <c r="H24" s="236"/>
    </row>
    <row r="25" spans="2:8" s="234" customFormat="1" x14ac:dyDescent="0.25">
      <c r="B25" s="236"/>
      <c r="C25" s="239" t="s">
        <v>172</v>
      </c>
      <c r="D25" s="240"/>
      <c r="E25" s="237"/>
      <c r="F25" s="385">
        <f>F20*$F$6</f>
        <v>4839750.0000000009</v>
      </c>
      <c r="G25" s="385">
        <f>G20*$G$6</f>
        <v>1975499.9999999998</v>
      </c>
      <c r="H25" s="385">
        <f>H20*$H$6</f>
        <v>418500.00000000006</v>
      </c>
    </row>
    <row r="26" spans="2:8" s="234" customFormat="1" x14ac:dyDescent="0.25">
      <c r="B26" s="236"/>
      <c r="C26" s="239" t="s">
        <v>173</v>
      </c>
      <c r="D26" s="240"/>
      <c r="E26" s="237"/>
      <c r="F26" s="385">
        <f>F21*$F$6</f>
        <v>7528500.0000000009</v>
      </c>
      <c r="G26" s="385">
        <f>G21*$G$6</f>
        <v>18438000</v>
      </c>
      <c r="H26" s="385">
        <f>H21*$H$6</f>
        <v>21971250</v>
      </c>
    </row>
    <row r="27" spans="2:8" s="234" customFormat="1" x14ac:dyDescent="0.25">
      <c r="B27" s="236"/>
      <c r="C27" s="239" t="s">
        <v>174</v>
      </c>
      <c r="D27" s="240"/>
      <c r="E27" s="237"/>
      <c r="F27" s="385">
        <f>F22*$F$6</f>
        <v>9679500.0000000019</v>
      </c>
      <c r="G27" s="385">
        <f>G22*$G$6</f>
        <v>3950999.9999999995</v>
      </c>
      <c r="H27" s="385">
        <f>H22*$H$6</f>
        <v>1255499.9999999998</v>
      </c>
    </row>
    <row r="28" spans="2:8" s="234" customFormat="1" x14ac:dyDescent="0.25">
      <c r="B28" s="236"/>
      <c r="C28" s="239"/>
      <c r="D28" s="243" t="s">
        <v>24</v>
      </c>
      <c r="E28" s="244"/>
      <c r="F28" s="247">
        <f t="shared" ref="F28:H28" si="2">SUM(F25:F27)</f>
        <v>22047750.000000004</v>
      </c>
      <c r="G28" s="247">
        <f t="shared" si="2"/>
        <v>24364500</v>
      </c>
      <c r="H28" s="247">
        <f t="shared" si="2"/>
        <v>23645250</v>
      </c>
    </row>
    <row r="29" spans="2:8" s="234" customFormat="1" x14ac:dyDescent="0.25">
      <c r="E29" s="235"/>
    </row>
    <row r="30" spans="2:8" s="234" customFormat="1" x14ac:dyDescent="0.25">
      <c r="B30" s="609" t="s">
        <v>177</v>
      </c>
      <c r="C30" s="609"/>
      <c r="D30" s="609"/>
      <c r="E30" s="237"/>
      <c r="F30" s="389">
        <f>F28+G28+H28</f>
        <v>70057500</v>
      </c>
    </row>
    <row r="31" spans="2:8" s="234" customFormat="1" x14ac:dyDescent="0.25">
      <c r="B31" s="609" t="s">
        <v>178</v>
      </c>
      <c r="C31" s="609"/>
      <c r="D31" s="609"/>
      <c r="E31" s="248">
        <v>0.25</v>
      </c>
      <c r="F31" s="390">
        <f>F30*E31</f>
        <v>17514375</v>
      </c>
    </row>
    <row r="32" spans="2:8" s="234" customFormat="1" x14ac:dyDescent="0.25">
      <c r="B32" s="609" t="s">
        <v>179</v>
      </c>
      <c r="C32" s="609"/>
      <c r="D32" s="609"/>
      <c r="E32" s="237"/>
      <c r="F32" s="389">
        <f>F31+F30</f>
        <v>87571875</v>
      </c>
    </row>
    <row r="33" spans="2:10" x14ac:dyDescent="0.25">
      <c r="B33" s="609" t="s">
        <v>180</v>
      </c>
      <c r="C33" s="609"/>
      <c r="D33" s="609"/>
      <c r="E33" s="249">
        <v>0.1</v>
      </c>
      <c r="F33" s="389">
        <f>F32*E33</f>
        <v>8757187.5</v>
      </c>
      <c r="J33" s="234"/>
    </row>
    <row r="34" spans="2:10" x14ac:dyDescent="0.25">
      <c r="B34" s="609" t="s">
        <v>181</v>
      </c>
      <c r="C34" s="609"/>
      <c r="D34" s="609"/>
      <c r="E34" s="237"/>
      <c r="F34" s="389">
        <f>F33+F32</f>
        <v>96329062.5</v>
      </c>
      <c r="G34" s="250"/>
      <c r="J34" s="234"/>
    </row>
    <row r="35" spans="2:10" x14ac:dyDescent="0.25">
      <c r="B35" s="607" t="s">
        <v>182</v>
      </c>
      <c r="C35" s="607"/>
      <c r="D35" s="607"/>
      <c r="E35" s="237"/>
      <c r="F35" s="391">
        <f>ROUND(F34,-3)</f>
        <v>96329000</v>
      </c>
      <c r="J35" s="234"/>
    </row>
    <row r="36" spans="2:10" x14ac:dyDescent="0.25">
      <c r="J36" s="234"/>
    </row>
    <row r="37" spans="2:10" x14ac:dyDescent="0.25">
      <c r="B37" s="588" t="s">
        <v>336</v>
      </c>
      <c r="C37" s="588"/>
      <c r="D37" s="588"/>
      <c r="E37" s="588"/>
      <c r="F37" s="588"/>
      <c r="G37" s="588"/>
      <c r="H37" s="588"/>
      <c r="J37" s="234"/>
    </row>
    <row r="38" spans="2:10" x14ac:dyDescent="0.25">
      <c r="B38" s="588" t="s">
        <v>315</v>
      </c>
      <c r="C38" s="588"/>
      <c r="D38" s="588"/>
      <c r="E38" s="588"/>
      <c r="F38" s="588"/>
      <c r="G38" s="588"/>
      <c r="H38" s="588"/>
      <c r="J38" s="234"/>
    </row>
    <row r="39" spans="2:10" x14ac:dyDescent="0.25">
      <c r="B39" s="592"/>
      <c r="C39" s="593"/>
      <c r="D39" s="593"/>
      <c r="E39" s="593"/>
      <c r="F39" s="593"/>
      <c r="G39" s="593"/>
      <c r="H39" s="594"/>
      <c r="J39" s="234"/>
    </row>
    <row r="40" spans="2:10" x14ac:dyDescent="0.25">
      <c r="B40" s="592" t="s">
        <v>271</v>
      </c>
      <c r="C40" s="593"/>
      <c r="D40" s="594"/>
      <c r="E40" s="604"/>
      <c r="F40" s="592" t="s">
        <v>272</v>
      </c>
      <c r="G40" s="593"/>
      <c r="H40" s="594"/>
      <c r="J40" s="234"/>
    </row>
    <row r="41" spans="2:10" x14ac:dyDescent="0.25">
      <c r="B41" s="595"/>
      <c r="C41" s="596"/>
      <c r="D41" s="597"/>
      <c r="E41" s="605"/>
      <c r="F41" s="595"/>
      <c r="G41" s="596"/>
      <c r="H41" s="597"/>
      <c r="J41" s="234"/>
    </row>
    <row r="42" spans="2:10" x14ac:dyDescent="0.25">
      <c r="B42" s="598"/>
      <c r="C42" s="599"/>
      <c r="D42" s="600"/>
      <c r="E42" s="605"/>
      <c r="F42" s="598"/>
      <c r="G42" s="599"/>
      <c r="H42" s="600"/>
      <c r="J42" s="234"/>
    </row>
    <row r="43" spans="2:10" x14ac:dyDescent="0.25">
      <c r="B43" s="598"/>
      <c r="C43" s="599"/>
      <c r="D43" s="600"/>
      <c r="E43" s="605"/>
      <c r="F43" s="598"/>
      <c r="G43" s="599"/>
      <c r="H43" s="600"/>
      <c r="J43" s="234"/>
    </row>
    <row r="44" spans="2:10" x14ac:dyDescent="0.25">
      <c r="B44" s="598"/>
      <c r="C44" s="599"/>
      <c r="D44" s="600"/>
      <c r="E44" s="605"/>
      <c r="F44" s="598"/>
      <c r="G44" s="599"/>
      <c r="H44" s="600"/>
      <c r="J44" s="234"/>
    </row>
    <row r="45" spans="2:10" x14ac:dyDescent="0.25">
      <c r="B45" s="601"/>
      <c r="C45" s="602"/>
      <c r="D45" s="603"/>
      <c r="E45" s="605"/>
      <c r="F45" s="601"/>
      <c r="G45" s="602"/>
      <c r="H45" s="603"/>
      <c r="J45" s="234"/>
    </row>
    <row r="46" spans="2:10" x14ac:dyDescent="0.25">
      <c r="B46" s="589" t="s">
        <v>318</v>
      </c>
      <c r="C46" s="590"/>
      <c r="D46" s="591"/>
      <c r="E46" s="606"/>
      <c r="F46" s="589" t="s">
        <v>319</v>
      </c>
      <c r="G46" s="590"/>
      <c r="H46" s="591"/>
      <c r="J46" s="234"/>
    </row>
    <row r="47" spans="2:10" x14ac:dyDescent="0.25">
      <c r="J47" s="234"/>
    </row>
    <row r="48" spans="2:10" x14ac:dyDescent="0.25">
      <c r="J48" s="234"/>
    </row>
    <row r="49" spans="5:10" x14ac:dyDescent="0.25">
      <c r="J49" s="234"/>
    </row>
    <row r="50" spans="5:10" x14ac:dyDescent="0.25">
      <c r="J50" s="234"/>
    </row>
    <row r="51" spans="5:10" x14ac:dyDescent="0.25">
      <c r="J51" s="234"/>
    </row>
    <row r="52" spans="5:10" x14ac:dyDescent="0.25">
      <c r="E52" s="234"/>
      <c r="J52" s="234"/>
    </row>
    <row r="53" spans="5:10" x14ac:dyDescent="0.25">
      <c r="E53" s="234"/>
      <c r="J53" s="234"/>
    </row>
    <row r="54" spans="5:10" x14ac:dyDescent="0.25">
      <c r="E54" s="234"/>
      <c r="J54" s="234"/>
    </row>
    <row r="55" spans="5:10" x14ac:dyDescent="0.25">
      <c r="E55" s="234"/>
      <c r="J55" s="234"/>
    </row>
    <row r="56" spans="5:10" x14ac:dyDescent="0.25">
      <c r="E56" s="234"/>
      <c r="J56" s="234"/>
    </row>
    <row r="57" spans="5:10" x14ac:dyDescent="0.25">
      <c r="E57" s="234"/>
      <c r="J57" s="234"/>
    </row>
    <row r="58" spans="5:10" x14ac:dyDescent="0.25">
      <c r="E58" s="234"/>
      <c r="J58" s="234"/>
    </row>
    <row r="59" spans="5:10" x14ac:dyDescent="0.25">
      <c r="E59" s="234"/>
      <c r="J59" s="234"/>
    </row>
    <row r="60" spans="5:10" x14ac:dyDescent="0.25">
      <c r="E60" s="234"/>
      <c r="J60" s="234"/>
    </row>
    <row r="61" spans="5:10" x14ac:dyDescent="0.25">
      <c r="E61" s="234"/>
      <c r="J61" s="234"/>
    </row>
    <row r="62" spans="5:10" x14ac:dyDescent="0.25">
      <c r="E62" s="234"/>
      <c r="J62" s="234"/>
    </row>
    <row r="63" spans="5:10" x14ac:dyDescent="0.25">
      <c r="E63" s="234"/>
      <c r="J63" s="234"/>
    </row>
    <row r="64" spans="5:10" x14ac:dyDescent="0.25">
      <c r="E64" s="234"/>
      <c r="J64" s="234"/>
    </row>
    <row r="65" spans="5:10" x14ac:dyDescent="0.25">
      <c r="E65" s="234"/>
      <c r="J65" s="234"/>
    </row>
    <row r="66" spans="5:10" x14ac:dyDescent="0.25">
      <c r="E66" s="234"/>
      <c r="J66" s="234"/>
    </row>
    <row r="67" spans="5:10" x14ac:dyDescent="0.25">
      <c r="E67" s="234"/>
      <c r="J67" s="234"/>
    </row>
    <row r="68" spans="5:10" x14ac:dyDescent="0.25">
      <c r="E68" s="234"/>
      <c r="J68" s="234"/>
    </row>
    <row r="69" spans="5:10" x14ac:dyDescent="0.25">
      <c r="E69" s="234"/>
      <c r="J69" s="234"/>
    </row>
    <row r="70" spans="5:10" x14ac:dyDescent="0.25">
      <c r="E70" s="234"/>
      <c r="J70" s="234"/>
    </row>
    <row r="71" spans="5:10" x14ac:dyDescent="0.25">
      <c r="E71" s="234"/>
      <c r="J71" s="234"/>
    </row>
    <row r="72" spans="5:10" x14ac:dyDescent="0.25">
      <c r="E72" s="234"/>
      <c r="J72" s="234"/>
    </row>
    <row r="73" spans="5:10" x14ac:dyDescent="0.25">
      <c r="E73" s="234"/>
      <c r="J73" s="234"/>
    </row>
    <row r="74" spans="5:10" x14ac:dyDescent="0.25">
      <c r="E74" s="234"/>
      <c r="J74" s="234"/>
    </row>
    <row r="75" spans="5:10" x14ac:dyDescent="0.25">
      <c r="E75" s="234"/>
      <c r="J75" s="234"/>
    </row>
    <row r="76" spans="5:10" x14ac:dyDescent="0.25">
      <c r="E76" s="234"/>
      <c r="J76" s="234"/>
    </row>
    <row r="77" spans="5:10" x14ac:dyDescent="0.25">
      <c r="E77" s="234"/>
      <c r="J77" s="234"/>
    </row>
    <row r="78" spans="5:10" x14ac:dyDescent="0.25">
      <c r="E78" s="234"/>
      <c r="J78" s="234"/>
    </row>
    <row r="79" spans="5:10" x14ac:dyDescent="0.25">
      <c r="E79" s="234"/>
      <c r="J79" s="234"/>
    </row>
    <row r="80" spans="5:10" x14ac:dyDescent="0.25">
      <c r="E80" s="234"/>
      <c r="J80" s="234"/>
    </row>
    <row r="81" spans="5:10" x14ac:dyDescent="0.25">
      <c r="E81" s="234"/>
      <c r="J81" s="234"/>
    </row>
    <row r="82" spans="5:10" x14ac:dyDescent="0.25">
      <c r="E82" s="234"/>
      <c r="J82" s="234"/>
    </row>
    <row r="83" spans="5:10" x14ac:dyDescent="0.25">
      <c r="E83" s="234"/>
      <c r="J83" s="234"/>
    </row>
    <row r="84" spans="5:10" x14ac:dyDescent="0.25">
      <c r="E84" s="234"/>
      <c r="J84" s="234"/>
    </row>
    <row r="85" spans="5:10" x14ac:dyDescent="0.25">
      <c r="E85" s="234"/>
      <c r="J85" s="234"/>
    </row>
    <row r="86" spans="5:10" x14ac:dyDescent="0.25">
      <c r="E86" s="234"/>
      <c r="J86" s="234"/>
    </row>
    <row r="87" spans="5:10" x14ac:dyDescent="0.25">
      <c r="E87" s="234"/>
      <c r="J87" s="234"/>
    </row>
    <row r="88" spans="5:10" x14ac:dyDescent="0.25">
      <c r="E88" s="234"/>
      <c r="J88" s="234"/>
    </row>
    <row r="89" spans="5:10" x14ac:dyDescent="0.25">
      <c r="E89" s="234"/>
      <c r="J89" s="234"/>
    </row>
    <row r="90" spans="5:10" x14ac:dyDescent="0.25">
      <c r="E90" s="234"/>
      <c r="J90" s="234"/>
    </row>
    <row r="91" spans="5:10" x14ac:dyDescent="0.25">
      <c r="E91" s="234"/>
      <c r="J91" s="234"/>
    </row>
    <row r="92" spans="5:10" x14ac:dyDescent="0.25">
      <c r="E92" s="234"/>
      <c r="J92" s="234"/>
    </row>
    <row r="93" spans="5:10" x14ac:dyDescent="0.25">
      <c r="E93" s="234"/>
      <c r="J93" s="234"/>
    </row>
    <row r="94" spans="5:10" x14ac:dyDescent="0.25">
      <c r="E94" s="234"/>
      <c r="J94" s="234"/>
    </row>
    <row r="95" spans="5:10" x14ac:dyDescent="0.25">
      <c r="E95" s="234"/>
      <c r="J95" s="234"/>
    </row>
    <row r="96" spans="5:10" x14ac:dyDescent="0.25">
      <c r="E96" s="234"/>
      <c r="J96" s="234"/>
    </row>
    <row r="97" spans="5:10" x14ac:dyDescent="0.25">
      <c r="E97" s="234"/>
      <c r="J97" s="234"/>
    </row>
    <row r="98" spans="5:10" x14ac:dyDescent="0.25">
      <c r="E98" s="234"/>
      <c r="J98" s="234"/>
    </row>
    <row r="99" spans="5:10" x14ac:dyDescent="0.25">
      <c r="E99" s="234"/>
      <c r="J99" s="234"/>
    </row>
    <row r="100" spans="5:10" x14ac:dyDescent="0.25">
      <c r="E100" s="234"/>
      <c r="J100" s="234"/>
    </row>
    <row r="101" spans="5:10" x14ac:dyDescent="0.25">
      <c r="E101" s="234"/>
      <c r="J101" s="234"/>
    </row>
    <row r="102" spans="5:10" x14ac:dyDescent="0.25">
      <c r="E102" s="234"/>
      <c r="J102" s="234"/>
    </row>
  </sheetData>
  <sheetProtection algorithmName="SHA-512" hashValue="P6J1i4AmsglJQTSmmrgZJouvnLlT8JytIpgwIlj3j9kEyCGauOdHgkrC7vyxWAzjf2q2TiF95Tej8HkYuTg0qA==" saltValue="JW+3zSucJ6KxLEEE2TDOiw==" spinCount="100000" sheet="1" selectLockedCells="1"/>
  <mergeCells count="21">
    <mergeCell ref="B35:D35"/>
    <mergeCell ref="H2:H3"/>
    <mergeCell ref="B31:D31"/>
    <mergeCell ref="B32:D32"/>
    <mergeCell ref="B33:D33"/>
    <mergeCell ref="B34:D34"/>
    <mergeCell ref="B30:D30"/>
    <mergeCell ref="B2:D3"/>
    <mergeCell ref="E2:E3"/>
    <mergeCell ref="F2:F3"/>
    <mergeCell ref="G2:G3"/>
    <mergeCell ref="B38:H38"/>
    <mergeCell ref="B37:H37"/>
    <mergeCell ref="B46:D46"/>
    <mergeCell ref="B40:D40"/>
    <mergeCell ref="F40:H40"/>
    <mergeCell ref="F46:H46"/>
    <mergeCell ref="B41:D45"/>
    <mergeCell ref="F41:H45"/>
    <mergeCell ref="B39:H39"/>
    <mergeCell ref="E40:E46"/>
  </mergeCells>
  <printOptions horizontalCentered="1"/>
  <pageMargins left="0.118110236220472" right="0.74803149606299202" top="0.43307086614173201" bottom="0.39370078740157499" header="0.23622047244094499" footer="0.35433070866141703"/>
  <pageSetup paperSize="9" scale="43" fitToHeight="2" orientation="portrait" r:id="rId1"/>
  <headerFooter alignWithMargins="0"/>
  <customProperties>
    <customPr name="EpmWorksheetKeyString_GUID" r:id="rId2"/>
  </customProperties>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BC747F347A034FA0018CAF7D99052D" ma:contentTypeVersion="8" ma:contentTypeDescription="Create a new document." ma:contentTypeScope="" ma:versionID="f062dc1f9491f3faec7cf0ae28391ea9">
  <xsd:schema xmlns:xsd="http://www.w3.org/2001/XMLSchema" xmlns:xs="http://www.w3.org/2001/XMLSchema" xmlns:p="http://schemas.microsoft.com/office/2006/metadata/properties" xmlns:ns2="1c9ab29b-20bf-44a4-a666-f4222d918f76" targetNamespace="http://schemas.microsoft.com/office/2006/metadata/properties" ma:root="true" ma:fieldsID="78db0b84c272b9d2637594810e5a6fb9" ns2:_="">
    <xsd:import namespace="1c9ab29b-20bf-44a4-a666-f4222d918f7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9ab29b-20bf-44a4-a666-f4222d918f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C6A9C7-1165-4EEE-9C22-ED6E68174216}"/>
</file>

<file path=customXml/itemProps2.xml><?xml version="1.0" encoding="utf-8"?>
<ds:datastoreItem xmlns:ds="http://schemas.openxmlformats.org/officeDocument/2006/customXml" ds:itemID="{83247117-F554-4359-AD97-56A98C219D0B}"/>
</file>

<file path=customXml/itemProps3.xml><?xml version="1.0" encoding="utf-8"?>
<ds:datastoreItem xmlns:ds="http://schemas.openxmlformats.org/officeDocument/2006/customXml" ds:itemID="{372B61D8-05DE-4E06-B8EC-A69DA4FE96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Draft</vt:lpstr>
      <vt:lpstr>Revised</vt:lpstr>
      <vt:lpstr>Rekap Penilaian KAP</vt:lpstr>
      <vt:lpstr>Aspek Penilaian KAP Yaniswar</vt:lpstr>
      <vt:lpstr>Aspek Penilaian KAP DEF</vt:lpstr>
      <vt:lpstr>Aspek Penilaian KAP GHI</vt:lpstr>
      <vt:lpstr>Aspek Penilaian KAP JKL</vt:lpstr>
      <vt:lpstr>Aspek Penilaian KAP MNO</vt:lpstr>
      <vt:lpstr>Neraca</vt:lpstr>
      <vt:lpstr>HPS</vt:lpstr>
      <vt:lpstr>Draft!Print_Area</vt:lpstr>
      <vt:lpstr>'Rekap Penilaian KAP'!Print_Area</vt:lpstr>
      <vt:lpstr>Revised!Print_Area</vt:lpstr>
      <vt:lpstr>Draft!Print_Titles</vt:lpstr>
      <vt:lpstr>'Rekap Penilaian KAP'!Print_Titles</vt:lpstr>
      <vt:lpstr>Revised!Print_Titles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Iona Hiroshi Yuki Rombot</dc:creator>
  <cp:lastModifiedBy>Kahfiendra Nugrahsatya</cp:lastModifiedBy>
  <cp:lastPrinted>2020-03-05T09:15:58Z</cp:lastPrinted>
  <dcterms:created xsi:type="dcterms:W3CDTF">2019-10-16T02:16:25Z</dcterms:created>
  <dcterms:modified xsi:type="dcterms:W3CDTF">2021-03-15T14:06:24Z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0x010100AEBC747F347A034FA0018CAF7D99052D</vt:lpwstr>
  </property>
</Properties>
</file>
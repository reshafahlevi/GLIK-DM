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HairCut Hareukat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1" l="1"/>
  <c r="N5" i="1"/>
  <c r="P8" i="1"/>
  <c r="O8" i="1"/>
  <c r="N8" i="1"/>
  <c r="M8" i="1"/>
  <c r="I8" i="1"/>
  <c r="P7" i="1"/>
  <c r="O7" i="1"/>
  <c r="M7" i="1"/>
  <c r="I7" i="1"/>
  <c r="P6" i="1"/>
  <c r="O6" i="1"/>
  <c r="N6" i="1"/>
  <c r="M6" i="1"/>
  <c r="I6" i="1"/>
  <c r="P5" i="1"/>
  <c r="O5" i="1"/>
  <c r="I5" i="1"/>
  <c r="M9" i="1"/>
  <c r="N9" i="1"/>
  <c r="O9" i="1"/>
  <c r="P9" i="1"/>
  <c r="I9" i="1"/>
  <c r="O4" i="1"/>
  <c r="P4" i="1"/>
  <c r="N4" i="1"/>
  <c r="Q4" i="1" s="1"/>
  <c r="M4" i="1"/>
  <c r="I4" i="1"/>
  <c r="M5" i="1" l="1"/>
  <c r="Q6" i="1"/>
  <c r="R4" i="1"/>
  <c r="Q5" i="1"/>
  <c r="R5" i="1" s="1"/>
  <c r="Q7" i="1"/>
  <c r="R7" i="1" s="1"/>
  <c r="Q9" i="1"/>
  <c r="R9" i="1" s="1"/>
  <c r="R6" i="1"/>
  <c r="Q8" i="1"/>
  <c r="R8" i="1"/>
</calcChain>
</file>

<file path=xl/comments1.xml><?xml version="1.0" encoding="utf-8"?>
<comments xmlns="http://schemas.openxmlformats.org/spreadsheetml/2006/main">
  <authors>
    <author>didik.isw</author>
  </authors>
  <commentList>
    <comment ref="T5" authorId="0" shapeId="0">
      <text>
        <r>
          <rPr>
            <b/>
            <sz val="9"/>
            <color indexed="81"/>
            <rFont val="Tahoma"/>
            <family val="2"/>
          </rPr>
          <t>didik.isw:</t>
        </r>
        <r>
          <rPr>
            <sz val="9"/>
            <color indexed="81"/>
            <rFont val="Tahoma"/>
            <family val="2"/>
          </rPr>
          <t xml:space="preserve">
Surat dari Direktur Grup dan Penanganan Klaim Nomor: S-299/GPKL/2019 </t>
        </r>
      </text>
    </comment>
    <comment ref="T7" authorId="0" shapeId="0">
      <text>
        <r>
          <rPr>
            <b/>
            <sz val="9"/>
            <color indexed="81"/>
            <rFont val="Tahoma"/>
            <family val="2"/>
          </rPr>
          <t>didik.isw:</t>
        </r>
        <r>
          <rPr>
            <sz val="9"/>
            <color indexed="81"/>
            <rFont val="Tahoma"/>
            <family val="2"/>
          </rPr>
          <t xml:space="preserve">
Surat dari Direktur Grup dan Penanganan Klaim Nomor: S-299/GPKL/2019 </t>
        </r>
      </text>
    </comment>
  </commentList>
</comments>
</file>

<file path=xl/sharedStrings.xml><?xml version="1.0" encoding="utf-8"?>
<sst xmlns="http://schemas.openxmlformats.org/spreadsheetml/2006/main" count="130" uniqueCount="89">
  <si>
    <t>No</t>
  </si>
  <si>
    <t>Nama</t>
  </si>
  <si>
    <t>No akad</t>
  </si>
  <si>
    <t>Pokok</t>
  </si>
  <si>
    <t>Denda</t>
  </si>
  <si>
    <t>Total</t>
  </si>
  <si>
    <t>Bunga</t>
  </si>
  <si>
    <t>Jaminan</t>
  </si>
  <si>
    <t>Pengikatan Jaminan</t>
  </si>
  <si>
    <t>SKPPH</t>
  </si>
  <si>
    <t>LHEP3H</t>
  </si>
  <si>
    <t>Surat Keterangan Lunas</t>
  </si>
  <si>
    <t>Tanggal SKL</t>
  </si>
  <si>
    <t>Dokumen Pendukung Haircut</t>
  </si>
  <si>
    <t>(1)</t>
  </si>
  <si>
    <t>(2)</t>
  </si>
  <si>
    <t>(3)</t>
  </si>
  <si>
    <t>(4)</t>
  </si>
  <si>
    <t>(5)</t>
  </si>
  <si>
    <t>(6)</t>
  </si>
  <si>
    <t>(7)</t>
  </si>
  <si>
    <t>(8)</t>
  </si>
  <si>
    <t>(9=6+7+8)</t>
  </si>
  <si>
    <t>(10)</t>
  </si>
  <si>
    <t>(11)</t>
  </si>
  <si>
    <t>(12)</t>
  </si>
  <si>
    <t>(13=10+11+12)</t>
  </si>
  <si>
    <t>(14=6-10)</t>
  </si>
  <si>
    <t>(15=7-11)</t>
  </si>
  <si>
    <t>(16=8-12)</t>
  </si>
  <si>
    <t>(17=14+15+16)</t>
  </si>
  <si>
    <t>(18=9-(13+17)</t>
  </si>
  <si>
    <t>Sisa Kewajiban</t>
  </si>
  <si>
    <t>Haircut</t>
  </si>
  <si>
    <t>Pembayaran</t>
  </si>
  <si>
    <t>Kewajiban</t>
  </si>
  <si>
    <t>(19)</t>
  </si>
  <si>
    <t>(20)</t>
  </si>
  <si>
    <t>(21)</t>
  </si>
  <si>
    <t>(22)</t>
  </si>
  <si>
    <t>(23)</t>
  </si>
  <si>
    <t>Keterangan:</t>
  </si>
  <si>
    <t>6. Sisa hutang pokok pada saat pelunasan</t>
  </si>
  <si>
    <t>8. Sisa hutang denda pada saat pelunasan</t>
  </si>
  <si>
    <t>7. Sisa hutang bunga pada saat pelunasan</t>
  </si>
  <si>
    <t>16. Sisa hutang denda pada saat pelunasan dikurangi pembayaran denda adalah potongan hutang denda</t>
  </si>
  <si>
    <t>14. Sisa hutang pokok pada saat pelunasan dikurangi pembayaran pokok adalah potongan hutang pokok</t>
  </si>
  <si>
    <t>15. Sisa hutang bunga pada saat pelunasan dikurangi pembayaran bunga adalah potongan hutang bunga</t>
  </si>
  <si>
    <t>18. Sisa kewajiban (9) dikurangi (13) dan dikurangi haircut (17) harus nihil</t>
  </si>
  <si>
    <t>Debitur Memiliki Simpanan</t>
  </si>
  <si>
    <t>Ya/Tidak</t>
  </si>
  <si>
    <t>(24)</t>
  </si>
  <si>
    <t>(25)</t>
  </si>
  <si>
    <t>(26)</t>
  </si>
  <si>
    <t>Surat Pernyataan</t>
  </si>
  <si>
    <t>19. verifikasi debitur apakah memiliki simpanan</t>
  </si>
  <si>
    <t>20. diisi tanggal penetepan rekonver simpanan nasabah</t>
  </si>
  <si>
    <t>21. Surat Permohonan Potongan Hutang (Lampiran 2 PLPS Likuidasi Bank)</t>
  </si>
  <si>
    <t>22. Surat Pernyataan Debitur (Lampiran 3 PLPS Likuidasi bank)</t>
  </si>
  <si>
    <t>23. Laporan Hasil Evaluasi Permohonan Pemberian Potongan Hutang (Lampiran 4 PLPS Likuidasi bank)</t>
  </si>
  <si>
    <t>24. Surat Ketetapan Pemberian Potongan Hutang (Lampiran 5 PLPS Likuidasi bank)</t>
  </si>
  <si>
    <t>25. Surat Keterangan Lunas</t>
  </si>
  <si>
    <t>26. Tanggal Surat Keterangan Lunas</t>
  </si>
  <si>
    <t>Tanggal Penetapan Rekonver</t>
  </si>
  <si>
    <t>dst</t>
  </si>
  <si>
    <t>10. Pembayaran sisa hutang pokok pada saat pelunasan</t>
  </si>
  <si>
    <t>11. Pembayaran sisa hutang bunga pada saat pelunasan</t>
  </si>
  <si>
    <t>12. Pembayaran sisa hutang denda pada saat pelunasan</t>
  </si>
  <si>
    <t>NUZULUL RAHMAH</t>
  </si>
  <si>
    <t>009/MBA-02/3953/II/2017</t>
  </si>
  <si>
    <t>BPKB</t>
  </si>
  <si>
    <t>Tidak Ada Pengikatan</t>
  </si>
  <si>
    <t>Tidak</t>
  </si>
  <si>
    <t>-</t>
  </si>
  <si>
    <t>Ada</t>
  </si>
  <si>
    <t>151 /TL/BPRS-HRKT/DL/II/2020</t>
  </si>
  <si>
    <t>BETHSEBA</t>
  </si>
  <si>
    <t>091/MBA-02/4035/IX/2017</t>
  </si>
  <si>
    <t>DEWI MUSTIKA</t>
  </si>
  <si>
    <t>191/MBA-02/3487/IX/2014</t>
  </si>
  <si>
    <t>ERI KURNIADI</t>
  </si>
  <si>
    <t>116/MBA-02/4060/XI/2017</t>
  </si>
  <si>
    <t>NUAIMAN</t>
  </si>
  <si>
    <t>005/MDA-01/013/III/2010</t>
  </si>
  <si>
    <t>745/TL/BPRS-HRKT/DL/III/2020</t>
  </si>
  <si>
    <t>385 /TL/BPRS-HRKT/DL/II/2020</t>
  </si>
  <si>
    <t>387/TL/BPRS-HRKT/DL/II/2020</t>
  </si>
  <si>
    <t>729/TL/BPRS-HRKT/DL/II/2020</t>
  </si>
  <si>
    <t>SHM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</si>
</sst>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sz val="11"/>
      <name val="Book Antiqua"/>
      <family val="1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Book Antiqua"/>
      <family val="1"/>
    </font>
    <font>
      <b/>
      <sz val="10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3" fillId="0" borderId="1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1" fillId="0" borderId="1" xfId="1" applyFont="1" applyBorder="1" applyAlignment="1">
      <alignment horizontal="center"/>
    </xf>
    <xf numFmtId="41" fontId="3" fillId="0" borderId="1" xfId="1" quotePrefix="1" applyFont="1" applyBorder="1" applyAlignment="1">
      <alignment horizontal="center" vertical="center"/>
    </xf>
    <xf numFmtId="41" fontId="1" fillId="0" borderId="0" xfId="1" applyFont="1"/>
    <xf numFmtId="41" fontId="1" fillId="2" borderId="1" xfId="1" applyFont="1" applyFill="1" applyBorder="1" applyAlignment="1">
      <alignment horizontal="center"/>
    </xf>
    <xf numFmtId="41" fontId="1" fillId="0" borderId="1" xfId="1" applyFont="1" applyFill="1" applyBorder="1" applyAlignment="1">
      <alignment horizontal="center"/>
    </xf>
    <xf numFmtId="41" fontId="1" fillId="0" borderId="1" xfId="1" applyFont="1" applyFill="1" applyBorder="1"/>
    <xf numFmtId="41" fontId="3" fillId="2" borderId="1" xfId="1" applyFont="1" applyFill="1" applyBorder="1" applyAlignment="1">
      <alignment horizontal="center" vertical="center"/>
    </xf>
    <xf numFmtId="164" fontId="3" fillId="0" borderId="1" xfId="0" quotePrefix="1" applyNumberFormat="1" applyFont="1" applyBorder="1" applyAlignment="1">
      <alignment horizontal="center" vertical="center"/>
    </xf>
    <xf numFmtId="164" fontId="1" fillId="0" borderId="0" xfId="0" applyNumberFormat="1" applyFont="1"/>
    <xf numFmtId="164" fontId="5" fillId="0" borderId="1" xfId="0" applyNumberFormat="1" applyFont="1" applyFill="1" applyBorder="1" applyAlignment="1">
      <alignment horizontal="right"/>
    </xf>
    <xf numFmtId="0" fontId="1" fillId="0" borderId="1" xfId="0" quotePrefix="1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left" vertical="center"/>
    </xf>
    <xf numFmtId="41" fontId="1" fillId="0" borderId="1" xfId="1" quotePrefix="1" applyFont="1" applyFill="1" applyBorder="1" applyAlignment="1">
      <alignment horizontal="center" vertical="center"/>
    </xf>
    <xf numFmtId="41" fontId="1" fillId="0" borderId="1" xfId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quotePrefix="1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/>
    <xf numFmtId="164" fontId="4" fillId="0" borderId="1" xfId="0" applyNumberFormat="1" applyFont="1" applyFill="1" applyBorder="1"/>
    <xf numFmtId="0" fontId="1" fillId="0" borderId="0" xfId="0" applyFont="1" applyFill="1"/>
    <xf numFmtId="41" fontId="9" fillId="2" borderId="1" xfId="1" applyFont="1" applyFill="1" applyBorder="1" applyAlignment="1">
      <alignment horizontal="center" vertical="center"/>
    </xf>
    <xf numFmtId="41" fontId="8" fillId="0" borderId="1" xfId="1" applyFont="1" applyFill="1" applyBorder="1" applyAlignment="1">
      <alignment horizontal="center" vertical="center"/>
    </xf>
    <xf numFmtId="41" fontId="8" fillId="0" borderId="0" xfId="1" applyFont="1"/>
    <xf numFmtId="0" fontId="1" fillId="0" borderId="0" xfId="0" applyFont="1" applyAlignment="1">
      <alignment horizontal="center"/>
    </xf>
    <xf numFmtId="41" fontId="1" fillId="0" borderId="1" xfId="1" applyFont="1" applyBorder="1" applyAlignment="1">
      <alignment horizontal="center"/>
    </xf>
    <xf numFmtId="41" fontId="8" fillId="2" borderId="1" xfId="1" applyFont="1" applyFill="1" applyBorder="1" applyAlignment="1">
      <alignment horizontal="center"/>
    </xf>
    <xf numFmtId="41" fontId="1" fillId="2" borderId="1" xfId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29"/>
  <sheetViews>
    <sheetView tabSelected="1" workbookViewId="0">
      <selection activeCell="R15" sqref="R15"/>
    </sheetView>
  </sheetViews>
  <sheetFormatPr defaultColWidth="8.7109375" defaultRowHeight="16.5" x14ac:dyDescent="0.3"/>
  <cols>
    <col min="1" max="1" width="8.7109375" style="1"/>
    <col min="2" max="2" width="23.140625" style="1" bestFit="1" customWidth="1"/>
    <col min="3" max="3" width="28.7109375" style="1" bestFit="1" customWidth="1"/>
    <col min="4" max="4" width="8.7109375" style="1"/>
    <col min="5" max="5" width="22.85546875" style="1" bestFit="1" customWidth="1"/>
    <col min="6" max="7" width="12.7109375" style="10" bestFit="1" customWidth="1"/>
    <col min="8" max="8" width="8.7109375" style="10"/>
    <col min="9" max="9" width="12.7109375" style="30" bestFit="1" customWidth="1"/>
    <col min="10" max="10" width="12.7109375" style="10" bestFit="1" customWidth="1"/>
    <col min="11" max="11" width="11.5703125" style="10" bestFit="1" customWidth="1"/>
    <col min="12" max="12" width="8.85546875" style="10" bestFit="1" customWidth="1"/>
    <col min="13" max="13" width="13.7109375" style="30" bestFit="1" customWidth="1"/>
    <col min="14" max="14" width="11.5703125" style="10" bestFit="1" customWidth="1"/>
    <col min="15" max="15" width="12.7109375" style="10" bestFit="1" customWidth="1"/>
    <col min="16" max="16" width="8.7109375" style="10"/>
    <col min="17" max="17" width="13.7109375" style="30" bestFit="1" customWidth="1"/>
    <col min="18" max="18" width="14.28515625" style="10" bestFit="1" customWidth="1"/>
    <col min="19" max="19" width="9.42578125" style="1" bestFit="1" customWidth="1"/>
    <col min="20" max="20" width="19.140625" style="1" bestFit="1" customWidth="1"/>
    <col min="21" max="21" width="7.42578125" style="1" bestFit="1" customWidth="1"/>
    <col min="22" max="22" width="16.28515625" style="1" bestFit="1" customWidth="1"/>
    <col min="23" max="23" width="8.5703125" style="1" bestFit="1" customWidth="1"/>
    <col min="24" max="24" width="7.42578125" style="1" bestFit="1" customWidth="1"/>
    <col min="25" max="25" width="35.7109375" style="1" bestFit="1" customWidth="1"/>
    <col min="26" max="26" width="16.42578125" style="16" bestFit="1" customWidth="1"/>
    <col min="27" max="16384" width="8.7109375" style="1"/>
  </cols>
  <sheetData>
    <row r="1" spans="1:26" s="31" customFormat="1" x14ac:dyDescent="0.3">
      <c r="A1" s="4" t="s">
        <v>0</v>
      </c>
      <c r="B1" s="4" t="s">
        <v>1</v>
      </c>
      <c r="C1" s="4" t="s">
        <v>2</v>
      </c>
      <c r="D1" s="4" t="s">
        <v>7</v>
      </c>
      <c r="E1" s="5" t="s">
        <v>8</v>
      </c>
      <c r="F1" s="8" t="s">
        <v>35</v>
      </c>
      <c r="G1" s="8"/>
      <c r="H1" s="8"/>
      <c r="I1" s="8"/>
      <c r="J1" s="8" t="s">
        <v>34</v>
      </c>
      <c r="K1" s="8"/>
      <c r="L1" s="8"/>
      <c r="M1" s="8"/>
      <c r="N1" s="12" t="s">
        <v>33</v>
      </c>
      <c r="O1" s="12"/>
      <c r="P1" s="12"/>
      <c r="Q1" s="12"/>
      <c r="R1" s="11" t="s">
        <v>32</v>
      </c>
      <c r="S1" s="4" t="s">
        <v>49</v>
      </c>
      <c r="T1" s="4"/>
      <c r="U1" s="4" t="s">
        <v>13</v>
      </c>
      <c r="V1" s="4"/>
      <c r="W1" s="4"/>
      <c r="X1" s="4"/>
      <c r="Y1" s="4"/>
      <c r="Z1" s="4"/>
    </row>
    <row r="2" spans="1:26" s="31" customFormat="1" ht="49.5" x14ac:dyDescent="0.3">
      <c r="A2" s="4"/>
      <c r="B2" s="4"/>
      <c r="C2" s="4"/>
      <c r="D2" s="4"/>
      <c r="E2" s="5"/>
      <c r="F2" s="32" t="s">
        <v>3</v>
      </c>
      <c r="G2" s="32" t="s">
        <v>6</v>
      </c>
      <c r="H2" s="32" t="s">
        <v>4</v>
      </c>
      <c r="I2" s="33" t="s">
        <v>5</v>
      </c>
      <c r="J2" s="32" t="s">
        <v>3</v>
      </c>
      <c r="K2" s="32" t="s">
        <v>6</v>
      </c>
      <c r="L2" s="32" t="s">
        <v>4</v>
      </c>
      <c r="M2" s="33" t="s">
        <v>5</v>
      </c>
      <c r="N2" s="34" t="s">
        <v>3</v>
      </c>
      <c r="O2" s="34" t="s">
        <v>6</v>
      </c>
      <c r="P2" s="34" t="s">
        <v>4</v>
      </c>
      <c r="Q2" s="33" t="s">
        <v>5</v>
      </c>
      <c r="R2" s="11"/>
      <c r="S2" s="2" t="s">
        <v>50</v>
      </c>
      <c r="T2" s="3" t="s">
        <v>63</v>
      </c>
      <c r="U2" s="2" t="s">
        <v>9</v>
      </c>
      <c r="V2" s="2" t="s">
        <v>54</v>
      </c>
      <c r="W2" s="2" t="s">
        <v>10</v>
      </c>
      <c r="X2" s="2" t="s">
        <v>9</v>
      </c>
      <c r="Y2" s="3" t="s">
        <v>11</v>
      </c>
      <c r="Z2" s="35" t="s">
        <v>12</v>
      </c>
    </row>
    <row r="3" spans="1:26" s="7" customFormat="1" ht="15" x14ac:dyDescent="0.25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9" t="s">
        <v>19</v>
      </c>
      <c r="G3" s="9" t="s">
        <v>20</v>
      </c>
      <c r="H3" s="9" t="s">
        <v>21</v>
      </c>
      <c r="I3" s="28" t="s">
        <v>22</v>
      </c>
      <c r="J3" s="9" t="s">
        <v>23</v>
      </c>
      <c r="K3" s="9" t="s">
        <v>24</v>
      </c>
      <c r="L3" s="9" t="s">
        <v>25</v>
      </c>
      <c r="M3" s="28" t="s">
        <v>26</v>
      </c>
      <c r="N3" s="14" t="s">
        <v>27</v>
      </c>
      <c r="O3" s="14" t="s">
        <v>28</v>
      </c>
      <c r="P3" s="14" t="s">
        <v>29</v>
      </c>
      <c r="Q3" s="28" t="s">
        <v>30</v>
      </c>
      <c r="R3" s="14" t="s">
        <v>31</v>
      </c>
      <c r="S3" s="6" t="s">
        <v>36</v>
      </c>
      <c r="T3" s="6" t="s">
        <v>37</v>
      </c>
      <c r="U3" s="6" t="s">
        <v>38</v>
      </c>
      <c r="V3" s="6" t="s">
        <v>39</v>
      </c>
      <c r="W3" s="6" t="s">
        <v>40</v>
      </c>
      <c r="X3" s="6" t="s">
        <v>51</v>
      </c>
      <c r="Y3" s="6" t="s">
        <v>52</v>
      </c>
      <c r="Z3" s="15" t="s">
        <v>53</v>
      </c>
    </row>
    <row r="4" spans="1:26" s="22" customFormat="1" x14ac:dyDescent="0.2">
      <c r="A4" s="18">
        <v>1</v>
      </c>
      <c r="B4" s="19" t="s">
        <v>68</v>
      </c>
      <c r="C4" s="18" t="s">
        <v>69</v>
      </c>
      <c r="D4" s="18" t="s">
        <v>70</v>
      </c>
      <c r="E4" s="18" t="s">
        <v>71</v>
      </c>
      <c r="F4" s="20">
        <v>2252018</v>
      </c>
      <c r="G4" s="20">
        <v>927982</v>
      </c>
      <c r="H4" s="20">
        <v>0</v>
      </c>
      <c r="I4" s="29">
        <f>F4+G4+H4</f>
        <v>3180000</v>
      </c>
      <c r="J4" s="20">
        <v>2252018</v>
      </c>
      <c r="K4" s="20">
        <v>183982</v>
      </c>
      <c r="L4" s="20">
        <v>0</v>
      </c>
      <c r="M4" s="29">
        <f>J4+K4+L4</f>
        <v>2436000</v>
      </c>
      <c r="N4" s="21">
        <f>F4-J4</f>
        <v>0</v>
      </c>
      <c r="O4" s="21">
        <f t="shared" ref="O4:P8" si="0">G4-K4</f>
        <v>744000</v>
      </c>
      <c r="P4" s="21">
        <f t="shared" si="0"/>
        <v>0</v>
      </c>
      <c r="Q4" s="29">
        <f>N4+O4+P4</f>
        <v>744000</v>
      </c>
      <c r="R4" s="21">
        <f>I4-(M4+Q4)</f>
        <v>0</v>
      </c>
      <c r="S4" s="18" t="s">
        <v>72</v>
      </c>
      <c r="T4" s="18" t="s">
        <v>73</v>
      </c>
      <c r="U4" s="18" t="s">
        <v>74</v>
      </c>
      <c r="V4" s="18" t="s">
        <v>74</v>
      </c>
      <c r="W4" s="18" t="s">
        <v>74</v>
      </c>
      <c r="X4" s="18" t="s">
        <v>74</v>
      </c>
      <c r="Y4" s="18" t="s">
        <v>75</v>
      </c>
      <c r="Z4" s="17">
        <v>43871</v>
      </c>
    </row>
    <row r="5" spans="1:26" s="22" customFormat="1" x14ac:dyDescent="0.2">
      <c r="A5" s="18">
        <v>2</v>
      </c>
      <c r="B5" s="19" t="s">
        <v>76</v>
      </c>
      <c r="C5" s="18" t="s">
        <v>77</v>
      </c>
      <c r="D5" s="18" t="s">
        <v>88</v>
      </c>
      <c r="E5" s="18" t="s">
        <v>71</v>
      </c>
      <c r="F5" s="20">
        <v>65047917</v>
      </c>
      <c r="G5" s="20">
        <v>11640576</v>
      </c>
      <c r="H5" s="20">
        <v>0</v>
      </c>
      <c r="I5" s="29">
        <f t="shared" ref="I5:I8" si="1">F5+G5+H5</f>
        <v>76688493</v>
      </c>
      <c r="J5" s="20">
        <v>65047917</v>
      </c>
      <c r="K5" s="20">
        <v>6640576</v>
      </c>
      <c r="L5" s="20">
        <v>0</v>
      </c>
      <c r="M5" s="29">
        <f t="shared" ref="M5:M8" si="2">J5+K5+L5</f>
        <v>71688493</v>
      </c>
      <c r="N5" s="21">
        <f t="shared" ref="N5:N8" si="3">F5-J5</f>
        <v>0</v>
      </c>
      <c r="O5" s="21">
        <f t="shared" si="0"/>
        <v>5000000</v>
      </c>
      <c r="P5" s="21">
        <f t="shared" si="0"/>
        <v>0</v>
      </c>
      <c r="Q5" s="29">
        <f t="shared" ref="Q5:Q8" si="4">N5+O5+P5</f>
        <v>5000000</v>
      </c>
      <c r="R5" s="21">
        <f t="shared" ref="R5:R8" si="5">I5-(M5+Q5)</f>
        <v>0</v>
      </c>
      <c r="S5" s="18" t="s">
        <v>74</v>
      </c>
      <c r="T5" s="23">
        <v>43790</v>
      </c>
      <c r="U5" s="18" t="s">
        <v>74</v>
      </c>
      <c r="V5" s="18" t="s">
        <v>74</v>
      </c>
      <c r="W5" s="18" t="s">
        <v>74</v>
      </c>
      <c r="X5" s="18" t="s">
        <v>74</v>
      </c>
      <c r="Y5" s="18" t="s">
        <v>85</v>
      </c>
      <c r="Z5" s="17">
        <v>43880</v>
      </c>
    </row>
    <row r="6" spans="1:26" s="22" customFormat="1" x14ac:dyDescent="0.2">
      <c r="A6" s="18">
        <v>3</v>
      </c>
      <c r="B6" s="19" t="s">
        <v>78</v>
      </c>
      <c r="C6" s="18" t="s">
        <v>79</v>
      </c>
      <c r="D6" s="18" t="s">
        <v>70</v>
      </c>
      <c r="E6" s="18" t="s">
        <v>71</v>
      </c>
      <c r="F6" s="20">
        <v>0</v>
      </c>
      <c r="G6" s="20">
        <v>4010000</v>
      </c>
      <c r="H6" s="20">
        <v>0</v>
      </c>
      <c r="I6" s="29">
        <f t="shared" si="1"/>
        <v>4010000</v>
      </c>
      <c r="J6" s="20">
        <v>0</v>
      </c>
      <c r="K6" s="20">
        <v>250000</v>
      </c>
      <c r="L6" s="20">
        <v>0</v>
      </c>
      <c r="M6" s="29">
        <f t="shared" si="2"/>
        <v>250000</v>
      </c>
      <c r="N6" s="21">
        <f t="shared" si="3"/>
        <v>0</v>
      </c>
      <c r="O6" s="21">
        <f t="shared" si="0"/>
        <v>3760000</v>
      </c>
      <c r="P6" s="21">
        <f t="shared" si="0"/>
        <v>0</v>
      </c>
      <c r="Q6" s="29">
        <f t="shared" si="4"/>
        <v>3760000</v>
      </c>
      <c r="R6" s="21">
        <f t="shared" si="5"/>
        <v>0</v>
      </c>
      <c r="S6" s="18" t="s">
        <v>72</v>
      </c>
      <c r="T6" s="18" t="s">
        <v>73</v>
      </c>
      <c r="U6" s="18" t="s">
        <v>74</v>
      </c>
      <c r="V6" s="18" t="s">
        <v>74</v>
      </c>
      <c r="W6" s="18" t="s">
        <v>74</v>
      </c>
      <c r="X6" s="18" t="s">
        <v>74</v>
      </c>
      <c r="Y6" s="18" t="s">
        <v>86</v>
      </c>
      <c r="Z6" s="17">
        <v>43881</v>
      </c>
    </row>
    <row r="7" spans="1:26" s="22" customFormat="1" x14ac:dyDescent="0.2">
      <c r="A7" s="18">
        <v>4</v>
      </c>
      <c r="B7" s="19" t="s">
        <v>80</v>
      </c>
      <c r="C7" s="18" t="s">
        <v>81</v>
      </c>
      <c r="D7" s="18" t="s">
        <v>70</v>
      </c>
      <c r="E7" s="18" t="s">
        <v>71</v>
      </c>
      <c r="F7" s="20">
        <v>31554468</v>
      </c>
      <c r="G7" s="20">
        <v>16239814</v>
      </c>
      <c r="H7" s="20">
        <v>0</v>
      </c>
      <c r="I7" s="29">
        <f t="shared" si="1"/>
        <v>47794282</v>
      </c>
      <c r="J7" s="20">
        <v>31554468</v>
      </c>
      <c r="K7" s="20">
        <v>1850532</v>
      </c>
      <c r="L7" s="20">
        <v>0</v>
      </c>
      <c r="M7" s="29">
        <f t="shared" si="2"/>
        <v>33405000</v>
      </c>
      <c r="N7" s="21">
        <f t="shared" si="3"/>
        <v>0</v>
      </c>
      <c r="O7" s="21">
        <f t="shared" si="0"/>
        <v>14389282</v>
      </c>
      <c r="P7" s="21">
        <f t="shared" si="0"/>
        <v>0</v>
      </c>
      <c r="Q7" s="29">
        <f t="shared" si="4"/>
        <v>14389282</v>
      </c>
      <c r="R7" s="21">
        <f t="shared" si="5"/>
        <v>0</v>
      </c>
      <c r="S7" s="18" t="s">
        <v>74</v>
      </c>
      <c r="T7" s="23">
        <v>43790</v>
      </c>
      <c r="U7" s="18" t="s">
        <v>74</v>
      </c>
      <c r="V7" s="18" t="s">
        <v>74</v>
      </c>
      <c r="W7" s="18" t="s">
        <v>74</v>
      </c>
      <c r="X7" s="18" t="s">
        <v>74</v>
      </c>
      <c r="Y7" s="18" t="s">
        <v>87</v>
      </c>
      <c r="Z7" s="17">
        <v>43888</v>
      </c>
    </row>
    <row r="8" spans="1:26" s="22" customFormat="1" x14ac:dyDescent="0.2">
      <c r="A8" s="18">
        <v>5</v>
      </c>
      <c r="B8" s="19" t="s">
        <v>82</v>
      </c>
      <c r="C8" s="18" t="s">
        <v>83</v>
      </c>
      <c r="D8" s="18" t="s">
        <v>70</v>
      </c>
      <c r="E8" s="18" t="s">
        <v>71</v>
      </c>
      <c r="F8" s="20">
        <v>7000000</v>
      </c>
      <c r="G8" s="20">
        <v>4000000</v>
      </c>
      <c r="H8" s="20">
        <v>0</v>
      </c>
      <c r="I8" s="29">
        <f t="shared" si="1"/>
        <v>11000000</v>
      </c>
      <c r="J8" s="20">
        <v>7000000</v>
      </c>
      <c r="K8" s="20">
        <v>0</v>
      </c>
      <c r="L8" s="20">
        <v>0</v>
      </c>
      <c r="M8" s="29">
        <f t="shared" si="2"/>
        <v>7000000</v>
      </c>
      <c r="N8" s="21">
        <f t="shared" si="3"/>
        <v>0</v>
      </c>
      <c r="O8" s="21">
        <f t="shared" si="0"/>
        <v>4000000</v>
      </c>
      <c r="P8" s="21">
        <f t="shared" si="0"/>
        <v>0</v>
      </c>
      <c r="Q8" s="29">
        <f t="shared" si="4"/>
        <v>4000000</v>
      </c>
      <c r="R8" s="21">
        <f t="shared" si="5"/>
        <v>0</v>
      </c>
      <c r="S8" s="18" t="s">
        <v>72</v>
      </c>
      <c r="T8" s="18" t="s">
        <v>73</v>
      </c>
      <c r="U8" s="18" t="s">
        <v>74</v>
      </c>
      <c r="V8" s="18" t="s">
        <v>74</v>
      </c>
      <c r="W8" s="18" t="s">
        <v>74</v>
      </c>
      <c r="X8" s="18" t="s">
        <v>74</v>
      </c>
      <c r="Y8" s="18" t="s">
        <v>84</v>
      </c>
      <c r="Z8" s="17">
        <v>43917</v>
      </c>
    </row>
    <row r="9" spans="1:26" s="27" customFormat="1" x14ac:dyDescent="0.3">
      <c r="A9" s="18" t="s">
        <v>64</v>
      </c>
      <c r="B9" s="24"/>
      <c r="C9" s="25"/>
      <c r="D9" s="25"/>
      <c r="E9" s="25"/>
      <c r="F9" s="13"/>
      <c r="G9" s="13"/>
      <c r="H9" s="13"/>
      <c r="I9" s="29">
        <f t="shared" ref="I9" si="6">F9+G9+H9</f>
        <v>0</v>
      </c>
      <c r="J9" s="13"/>
      <c r="K9" s="13"/>
      <c r="L9" s="13"/>
      <c r="M9" s="29">
        <f t="shared" ref="M9" si="7">J9+K9+L9</f>
        <v>0</v>
      </c>
      <c r="N9" s="21">
        <f t="shared" ref="N9" si="8">F9-J9</f>
        <v>0</v>
      </c>
      <c r="O9" s="21">
        <f t="shared" ref="O9" si="9">G9-K9</f>
        <v>0</v>
      </c>
      <c r="P9" s="21">
        <f t="shared" ref="P9" si="10">H9-L9</f>
        <v>0</v>
      </c>
      <c r="Q9" s="29">
        <f t="shared" ref="Q9" si="11">N9+O9+P9</f>
        <v>0</v>
      </c>
      <c r="R9" s="21">
        <f t="shared" ref="R9" si="12">I9-(M9+Q9)</f>
        <v>0</v>
      </c>
      <c r="S9" s="25"/>
      <c r="T9" s="25"/>
      <c r="U9" s="25"/>
      <c r="V9" s="25"/>
      <c r="W9" s="25"/>
      <c r="X9" s="25"/>
      <c r="Y9" s="25"/>
      <c r="Z9" s="26"/>
    </row>
    <row r="11" spans="1:26" x14ac:dyDescent="0.3">
      <c r="A11" s="1" t="s">
        <v>41</v>
      </c>
    </row>
    <row r="12" spans="1:26" x14ac:dyDescent="0.3">
      <c r="A12" s="1" t="s">
        <v>42</v>
      </c>
    </row>
    <row r="13" spans="1:26" x14ac:dyDescent="0.3">
      <c r="A13" s="1" t="s">
        <v>44</v>
      </c>
    </row>
    <row r="14" spans="1:26" x14ac:dyDescent="0.3">
      <c r="A14" s="1" t="s">
        <v>43</v>
      </c>
    </row>
    <row r="15" spans="1:26" x14ac:dyDescent="0.3">
      <c r="A15" s="1" t="s">
        <v>65</v>
      </c>
    </row>
    <row r="16" spans="1:26" x14ac:dyDescent="0.3">
      <c r="A16" s="1" t="s">
        <v>66</v>
      </c>
    </row>
    <row r="17" spans="1:1" x14ac:dyDescent="0.3">
      <c r="A17" s="1" t="s">
        <v>67</v>
      </c>
    </row>
    <row r="18" spans="1:1" x14ac:dyDescent="0.3">
      <c r="A18" s="1" t="s">
        <v>46</v>
      </c>
    </row>
    <row r="19" spans="1:1" x14ac:dyDescent="0.3">
      <c r="A19" s="1" t="s">
        <v>47</v>
      </c>
    </row>
    <row r="20" spans="1:1" x14ac:dyDescent="0.3">
      <c r="A20" s="1" t="s">
        <v>45</v>
      </c>
    </row>
    <row r="21" spans="1:1" x14ac:dyDescent="0.3">
      <c r="A21" s="1" t="s">
        <v>48</v>
      </c>
    </row>
    <row r="22" spans="1:1" x14ac:dyDescent="0.3">
      <c r="A22" s="1" t="s">
        <v>55</v>
      </c>
    </row>
    <row r="23" spans="1:1" x14ac:dyDescent="0.3">
      <c r="A23" s="1" t="s">
        <v>56</v>
      </c>
    </row>
    <row r="24" spans="1:1" x14ac:dyDescent="0.3">
      <c r="A24" s="1" t="s">
        <v>57</v>
      </c>
    </row>
    <row r="25" spans="1:1" x14ac:dyDescent="0.3">
      <c r="A25" s="1" t="s">
        <v>58</v>
      </c>
    </row>
    <row r="26" spans="1:1" x14ac:dyDescent="0.3">
      <c r="A26" s="1" t="s">
        <v>59</v>
      </c>
    </row>
    <row r="27" spans="1:1" x14ac:dyDescent="0.3">
      <c r="A27" s="1" t="s">
        <v>60</v>
      </c>
    </row>
    <row r="28" spans="1:1" x14ac:dyDescent="0.3">
      <c r="A28" s="1" t="s">
        <v>61</v>
      </c>
    </row>
    <row r="29" spans="1:1" x14ac:dyDescent="0.3">
      <c r="A29" s="1" t="s">
        <v>62</v>
      </c>
    </row>
  </sheetData>
  <mergeCells count="11">
    <mergeCell ref="A1:A2"/>
    <mergeCell ref="B1:B2"/>
    <mergeCell ref="C1:C2"/>
    <mergeCell ref="D1:D2"/>
    <mergeCell ref="F1:I1"/>
    <mergeCell ref="N1:Q1"/>
    <mergeCell ref="E1:E2"/>
    <mergeCell ref="U1:Z1"/>
    <mergeCell ref="R1:R2"/>
    <mergeCell ref="S1:T1"/>
    <mergeCell ref="J1:M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BC747F347A034FA0018CAF7D99052D" ma:contentTypeVersion="8" ma:contentTypeDescription="Create a new document." ma:contentTypeScope="" ma:versionID="f062dc1f9491f3faec7cf0ae28391ea9">
  <xsd:schema xmlns:xsd="http://www.w3.org/2001/XMLSchema" xmlns:xs="http://www.w3.org/2001/XMLSchema" xmlns:p="http://schemas.microsoft.com/office/2006/metadata/properties" xmlns:ns2="1c9ab29b-20bf-44a4-a666-f4222d918f76" targetNamespace="http://schemas.microsoft.com/office/2006/metadata/properties" ma:root="true" ma:fieldsID="78db0b84c272b9d2637594810e5a6fb9" ns2:_="">
    <xsd:import namespace="1c9ab29b-20bf-44a4-a666-f4222d918f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ab29b-20bf-44a4-a666-f4222d918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FB7F69-0ABB-4091-AA40-483854A1D96D}"/>
</file>

<file path=customXml/itemProps2.xml><?xml version="1.0" encoding="utf-8"?>
<ds:datastoreItem xmlns:ds="http://schemas.openxmlformats.org/officeDocument/2006/customXml" ds:itemID="{2E65F08A-91FB-4E60-88B2-2A505FA762A3}"/>
</file>

<file path=customXml/itemProps3.xml><?xml version="1.0" encoding="utf-8"?>
<ds:datastoreItem xmlns:ds="http://schemas.openxmlformats.org/officeDocument/2006/customXml" ds:itemID="{986D70D6-3997-4AFD-833C-8E6DE0F720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Dida Juanda</dc:creator>
  <cp:lastModifiedBy>didik.isw</cp:lastModifiedBy>
  <dcterms:created xsi:type="dcterms:W3CDTF">2020-05-03T04:17:04Z</dcterms:created>
  <dcterms:modified xsi:type="dcterms:W3CDTF">2020-05-08T08:04:13Z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0x010100AEBC747F347A034FA0018CAF7D99052D</vt:lpwstr>
  </property>
</Properties>
</file>
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7.bin" ContentType="application/vnd.openxmlformats-officedocument.spreadsheetml.customProperty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customProperty3.bin" ContentType="application/vnd.openxmlformats-officedocument.spreadsheetml.customProperty"/>
  <Override PartName="/xl/tables/table2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6.bin" ContentType="application/vnd.openxmlformats-officedocument.spreadsheetml.customProperty"/>
  <Override PartName="/xl/tables/table5.xml" ContentType="application/vnd.openxmlformats-officedocument.spreadsheetml.table+xml"/>
  <Override PartName="/xl/customProperty5.bin" ContentType="application/vnd.openxmlformats-officedocument.spreadsheetml.customProperty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ahfiendra.n\Downloads\"/>
    </mc:Choice>
  </mc:AlternateContent>
  <xr:revisionPtr revIDLastSave="0" documentId="13_ncr:1_{E3D8A42B-1E42-47E9-8E8B-60594BBAADFB}" xr6:coauthVersionLast="36" xr6:coauthVersionMax="36" xr10:uidLastSave="{00000000-0000-0000-0000-000000000000}"/>
  <bookViews>
    <workbookView xWindow="0" yWindow="0" windowWidth="23040" windowHeight="9060" xr2:uid="{77CBDD58-DCAB-44FD-910A-258D9028485F}"/>
  </bookViews>
  <sheets>
    <sheet name="1. Perhitungan Pesangon" sheetId="1" r:id="rId1"/>
    <sheet name="2. Historis Gaji Pokok" sheetId="4" r:id="rId2"/>
    <sheet name="3. Historis Tunjangan 1" sheetId="6" r:id="rId3"/>
    <sheet name="4. Historis Tunjangan 2" sheetId="7" r:id="rId4"/>
    <sheet name="5. Historis Tunjangan 3" sheetId="8" r:id="rId5"/>
    <sheet name="6. Historis Tunjangan 4" sheetId="9" r:id="rId6"/>
    <sheet name="7. Kewajiban Pegawai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1" i="1" l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2" i="9" l="1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Q25" i="1" l="1"/>
  <c r="Q26" i="1"/>
  <c r="Q27" i="1"/>
  <c r="Q28" i="1"/>
  <c r="Q29" i="1"/>
  <c r="Q30" i="1"/>
  <c r="Q31" i="1"/>
  <c r="I15" i="1"/>
  <c r="L20" i="1"/>
  <c r="L19" i="1"/>
  <c r="L18" i="1"/>
  <c r="L17" i="1"/>
  <c r="L16" i="1"/>
  <c r="L15" i="1"/>
  <c r="L14" i="1"/>
  <c r="L13" i="1"/>
  <c r="L12" i="1"/>
  <c r="L31" i="1"/>
  <c r="L30" i="1"/>
  <c r="L29" i="1"/>
  <c r="L28" i="1"/>
  <c r="L27" i="1"/>
  <c r="L26" i="1"/>
  <c r="L25" i="1"/>
  <c r="L24" i="1"/>
  <c r="L23" i="1"/>
  <c r="L22" i="1"/>
  <c r="L21" i="1"/>
  <c r="K16" i="1"/>
  <c r="K15" i="1"/>
  <c r="K14" i="1"/>
  <c r="K13" i="1"/>
  <c r="K1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J13" i="1"/>
  <c r="J1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I19" i="1"/>
  <c r="I18" i="1"/>
  <c r="I17" i="1"/>
  <c r="I16" i="1"/>
  <c r="I14" i="1"/>
  <c r="I13" i="1"/>
  <c r="I12" i="1"/>
  <c r="I31" i="1"/>
  <c r="I30" i="1"/>
  <c r="I29" i="1"/>
  <c r="I28" i="1"/>
  <c r="I27" i="1"/>
  <c r="I26" i="1"/>
  <c r="I25" i="1"/>
  <c r="I24" i="1"/>
  <c r="I23" i="1"/>
  <c r="I22" i="1"/>
  <c r="I21" i="1"/>
  <c r="I2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M31" i="1" s="1"/>
  <c r="B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A4" i="11"/>
  <c r="R32" i="9"/>
  <c r="O32" i="9"/>
  <c r="N32" i="9"/>
  <c r="M32" i="9"/>
  <c r="L32" i="9"/>
  <c r="K32" i="9"/>
  <c r="J32" i="9"/>
  <c r="I32" i="9"/>
  <c r="H32" i="9"/>
  <c r="G32" i="9"/>
  <c r="F32" i="9"/>
  <c r="E32" i="9"/>
  <c r="D32" i="9"/>
  <c r="B32" i="9"/>
  <c r="Q31" i="9"/>
  <c r="C31" i="9"/>
  <c r="Q30" i="9"/>
  <c r="C30" i="9"/>
  <c r="Q29" i="9"/>
  <c r="C29" i="9"/>
  <c r="Q28" i="9"/>
  <c r="C28" i="9"/>
  <c r="Q27" i="9"/>
  <c r="C27" i="9"/>
  <c r="Q26" i="9"/>
  <c r="C26" i="9"/>
  <c r="Q25" i="9"/>
  <c r="C25" i="9"/>
  <c r="Q24" i="9"/>
  <c r="C24" i="9"/>
  <c r="Q23" i="9"/>
  <c r="C23" i="9"/>
  <c r="Q22" i="9"/>
  <c r="C22" i="9"/>
  <c r="Q21" i="9"/>
  <c r="C21" i="9"/>
  <c r="Q20" i="9"/>
  <c r="C20" i="9"/>
  <c r="Q19" i="9"/>
  <c r="C19" i="9"/>
  <c r="Q18" i="9"/>
  <c r="C18" i="9"/>
  <c r="Q17" i="9"/>
  <c r="C17" i="9"/>
  <c r="Q16" i="9"/>
  <c r="C16" i="9"/>
  <c r="Q15" i="9"/>
  <c r="C15" i="9"/>
  <c r="Q14" i="9"/>
  <c r="C14" i="9"/>
  <c r="Q13" i="9"/>
  <c r="C13" i="9"/>
  <c r="Q12" i="9"/>
  <c r="C12" i="9"/>
  <c r="O10" i="9"/>
  <c r="N10" i="9"/>
  <c r="M10" i="9"/>
  <c r="L10" i="9"/>
  <c r="K10" i="9"/>
  <c r="J10" i="9"/>
  <c r="I10" i="9"/>
  <c r="H10" i="9"/>
  <c r="G10" i="9"/>
  <c r="F10" i="9"/>
  <c r="E10" i="9"/>
  <c r="D10" i="9"/>
  <c r="A5" i="9"/>
  <c r="A4" i="9"/>
  <c r="R32" i="8"/>
  <c r="O32" i="8"/>
  <c r="N32" i="8"/>
  <c r="M32" i="8"/>
  <c r="L32" i="8"/>
  <c r="K32" i="8"/>
  <c r="J32" i="8"/>
  <c r="I32" i="8"/>
  <c r="H32" i="8"/>
  <c r="G32" i="8"/>
  <c r="F32" i="8"/>
  <c r="E32" i="8"/>
  <c r="D32" i="8"/>
  <c r="B32" i="8"/>
  <c r="Q31" i="8"/>
  <c r="C31" i="8"/>
  <c r="Q30" i="8"/>
  <c r="C30" i="8"/>
  <c r="Q29" i="8"/>
  <c r="C29" i="8"/>
  <c r="Q28" i="8"/>
  <c r="C28" i="8"/>
  <c r="Q27" i="8"/>
  <c r="C27" i="8"/>
  <c r="Q26" i="8"/>
  <c r="C26" i="8"/>
  <c r="Q25" i="8"/>
  <c r="C25" i="8"/>
  <c r="Q24" i="8"/>
  <c r="C24" i="8"/>
  <c r="Q23" i="8"/>
  <c r="C23" i="8"/>
  <c r="Q22" i="8"/>
  <c r="C22" i="8"/>
  <c r="Q21" i="8"/>
  <c r="C21" i="8"/>
  <c r="Q20" i="8"/>
  <c r="C20" i="8"/>
  <c r="Q19" i="8"/>
  <c r="C19" i="8"/>
  <c r="Q18" i="8"/>
  <c r="C18" i="8"/>
  <c r="Q17" i="8"/>
  <c r="C17" i="8"/>
  <c r="Q16" i="8"/>
  <c r="C16" i="8"/>
  <c r="Q15" i="8"/>
  <c r="C15" i="8"/>
  <c r="Q14" i="8"/>
  <c r="C14" i="8"/>
  <c r="Q13" i="8"/>
  <c r="C13" i="8"/>
  <c r="Q12" i="8"/>
  <c r="C12" i="8"/>
  <c r="O10" i="8"/>
  <c r="N10" i="8"/>
  <c r="M10" i="8"/>
  <c r="L10" i="8"/>
  <c r="K10" i="8"/>
  <c r="J10" i="8"/>
  <c r="I10" i="8"/>
  <c r="H10" i="8"/>
  <c r="G10" i="8"/>
  <c r="F10" i="8"/>
  <c r="E10" i="8"/>
  <c r="D10" i="8"/>
  <c r="A5" i="8"/>
  <c r="A4" i="8"/>
  <c r="R32" i="7"/>
  <c r="O32" i="7"/>
  <c r="N32" i="7"/>
  <c r="M32" i="7"/>
  <c r="L32" i="7"/>
  <c r="K32" i="7"/>
  <c r="J32" i="7"/>
  <c r="I32" i="7"/>
  <c r="H32" i="7"/>
  <c r="G32" i="7"/>
  <c r="F32" i="7"/>
  <c r="E32" i="7"/>
  <c r="D32" i="7"/>
  <c r="B32" i="7"/>
  <c r="Q31" i="7"/>
  <c r="C31" i="7"/>
  <c r="Q30" i="7"/>
  <c r="C30" i="7"/>
  <c r="Q29" i="7"/>
  <c r="C29" i="7"/>
  <c r="Q28" i="7"/>
  <c r="C28" i="7"/>
  <c r="Q27" i="7"/>
  <c r="C27" i="7"/>
  <c r="Q26" i="7"/>
  <c r="C26" i="7"/>
  <c r="Q25" i="7"/>
  <c r="C25" i="7"/>
  <c r="Q24" i="7"/>
  <c r="C24" i="7"/>
  <c r="Q23" i="7"/>
  <c r="C23" i="7"/>
  <c r="Q22" i="7"/>
  <c r="C22" i="7"/>
  <c r="Q21" i="7"/>
  <c r="C21" i="7"/>
  <c r="Q20" i="7"/>
  <c r="C20" i="7"/>
  <c r="Q19" i="7"/>
  <c r="C19" i="7"/>
  <c r="Q18" i="7"/>
  <c r="C18" i="7"/>
  <c r="Q17" i="7"/>
  <c r="C17" i="7"/>
  <c r="Q16" i="7"/>
  <c r="C16" i="7"/>
  <c r="Q15" i="7"/>
  <c r="C15" i="7"/>
  <c r="Q14" i="7"/>
  <c r="C14" i="7"/>
  <c r="Q13" i="7"/>
  <c r="C13" i="7"/>
  <c r="Q12" i="7"/>
  <c r="C12" i="7"/>
  <c r="O10" i="7"/>
  <c r="N10" i="7"/>
  <c r="M10" i="7"/>
  <c r="L10" i="7"/>
  <c r="K10" i="7"/>
  <c r="J10" i="7"/>
  <c r="I10" i="7"/>
  <c r="H10" i="7"/>
  <c r="G10" i="7"/>
  <c r="F10" i="7"/>
  <c r="E10" i="7"/>
  <c r="D10" i="7"/>
  <c r="A5" i="7"/>
  <c r="A4" i="7"/>
  <c r="A5" i="6"/>
  <c r="R32" i="6"/>
  <c r="O32" i="6"/>
  <c r="N32" i="6"/>
  <c r="M32" i="6"/>
  <c r="L32" i="6"/>
  <c r="K32" i="6"/>
  <c r="J32" i="6"/>
  <c r="I32" i="6"/>
  <c r="H32" i="6"/>
  <c r="G32" i="6"/>
  <c r="F32" i="6"/>
  <c r="E32" i="6"/>
  <c r="D32" i="6"/>
  <c r="B32" i="6"/>
  <c r="Q31" i="6"/>
  <c r="C31" i="6"/>
  <c r="Q30" i="6"/>
  <c r="C30" i="6"/>
  <c r="Q29" i="6"/>
  <c r="C29" i="6"/>
  <c r="Q28" i="6"/>
  <c r="C28" i="6"/>
  <c r="Q27" i="6"/>
  <c r="C27" i="6"/>
  <c r="Q26" i="6"/>
  <c r="C26" i="6"/>
  <c r="Q25" i="6"/>
  <c r="C25" i="6"/>
  <c r="Q24" i="6"/>
  <c r="C24" i="6"/>
  <c r="Q23" i="6"/>
  <c r="C23" i="6"/>
  <c r="Q22" i="6"/>
  <c r="C22" i="6"/>
  <c r="Q21" i="6"/>
  <c r="C21" i="6"/>
  <c r="Q20" i="6"/>
  <c r="C20" i="6"/>
  <c r="Q19" i="6"/>
  <c r="C19" i="6"/>
  <c r="Q18" i="6"/>
  <c r="C18" i="6"/>
  <c r="Q17" i="6"/>
  <c r="C17" i="6"/>
  <c r="Q16" i="6"/>
  <c r="C16" i="6"/>
  <c r="Q15" i="6"/>
  <c r="C15" i="6"/>
  <c r="Q14" i="6"/>
  <c r="C14" i="6"/>
  <c r="Q13" i="6"/>
  <c r="C13" i="6"/>
  <c r="Q12" i="6"/>
  <c r="C12" i="6"/>
  <c r="O10" i="6"/>
  <c r="N10" i="6"/>
  <c r="M10" i="6"/>
  <c r="L10" i="6"/>
  <c r="K10" i="6"/>
  <c r="J10" i="6"/>
  <c r="I10" i="6"/>
  <c r="H10" i="6"/>
  <c r="G10" i="6"/>
  <c r="F10" i="6"/>
  <c r="E10" i="6"/>
  <c r="D10" i="6"/>
  <c r="A4" i="6"/>
  <c r="R30" i="4"/>
  <c r="K30" i="4"/>
  <c r="L30" i="4"/>
  <c r="M30" i="4"/>
  <c r="N30" i="4"/>
  <c r="O30" i="4"/>
  <c r="H30" i="4"/>
  <c r="I30" i="4"/>
  <c r="J30" i="4"/>
  <c r="C23" i="4"/>
  <c r="C24" i="4"/>
  <c r="C25" i="4"/>
  <c r="C26" i="4"/>
  <c r="C27" i="4"/>
  <c r="C28" i="4"/>
  <c r="C29" i="4"/>
  <c r="Q23" i="4"/>
  <c r="Q24" i="4"/>
  <c r="Q25" i="4"/>
  <c r="Q26" i="4"/>
  <c r="Q27" i="4"/>
  <c r="Q28" i="4"/>
  <c r="Q29" i="4"/>
  <c r="G25" i="1"/>
  <c r="N25" i="1" s="1"/>
  <c r="G26" i="1"/>
  <c r="G27" i="1"/>
  <c r="N27" i="1" s="1"/>
  <c r="G28" i="1"/>
  <c r="N26" i="1"/>
  <c r="N28" i="1"/>
  <c r="G29" i="1"/>
  <c r="N29" i="1" s="1"/>
  <c r="G30" i="1"/>
  <c r="N30" i="1" s="1"/>
  <c r="G31" i="1"/>
  <c r="N31" i="1" s="1"/>
  <c r="C19" i="4"/>
  <c r="C11" i="4"/>
  <c r="C12" i="4"/>
  <c r="C13" i="4"/>
  <c r="C14" i="4"/>
  <c r="C15" i="4"/>
  <c r="C16" i="4"/>
  <c r="C17" i="4"/>
  <c r="C18" i="4"/>
  <c r="C20" i="4"/>
  <c r="C21" i="4"/>
  <c r="C22" i="4"/>
  <c r="C10" i="4"/>
  <c r="O8" i="4"/>
  <c r="N8" i="4"/>
  <c r="M8" i="4"/>
  <c r="L8" i="4"/>
  <c r="K8" i="4"/>
  <c r="J8" i="4"/>
  <c r="I8" i="4"/>
  <c r="H8" i="4"/>
  <c r="G8" i="4"/>
  <c r="F8" i="4"/>
  <c r="E8" i="4"/>
  <c r="D8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A4" i="1"/>
  <c r="A4" i="4"/>
  <c r="G30" i="4"/>
  <c r="F30" i="4"/>
  <c r="E30" i="4"/>
  <c r="D30" i="4"/>
  <c r="B30" i="4"/>
  <c r="R22" i="11" l="1"/>
  <c r="R14" i="11"/>
  <c r="Q17" i="1" s="1"/>
  <c r="R28" i="11"/>
  <c r="R20" i="11"/>
  <c r="Q23" i="1" s="1"/>
  <c r="R12" i="11"/>
  <c r="Q15" i="1" s="1"/>
  <c r="R24" i="11"/>
  <c r="R16" i="11"/>
  <c r="Q19" i="1" s="1"/>
  <c r="R23" i="11"/>
  <c r="R15" i="11"/>
  <c r="Q18" i="1" s="1"/>
  <c r="R21" i="11"/>
  <c r="Q24" i="1" s="1"/>
  <c r="R13" i="11"/>
  <c r="Q16" i="1" s="1"/>
  <c r="R25" i="11"/>
  <c r="R17" i="11"/>
  <c r="Q20" i="1" s="1"/>
  <c r="R9" i="11"/>
  <c r="R26" i="11"/>
  <c r="R18" i="11"/>
  <c r="Q21" i="1" s="1"/>
  <c r="R10" i="11"/>
  <c r="Q13" i="1" s="1"/>
  <c r="R27" i="11"/>
  <c r="R19" i="11"/>
  <c r="Q22" i="1" s="1"/>
  <c r="R11" i="11"/>
  <c r="Q14" i="1" s="1"/>
  <c r="M25" i="1"/>
  <c r="S25" i="1" s="1"/>
  <c r="M27" i="1"/>
  <c r="S27" i="1" s="1"/>
  <c r="M26" i="1"/>
  <c r="S26" i="1" s="1"/>
  <c r="M30" i="1"/>
  <c r="R30" i="1" s="1"/>
  <c r="M29" i="1"/>
  <c r="R29" i="1" s="1"/>
  <c r="M28" i="1"/>
  <c r="S31" i="1"/>
  <c r="B32" i="1"/>
  <c r="L32" i="1"/>
  <c r="K32" i="1"/>
  <c r="J32" i="1"/>
  <c r="I32" i="1"/>
  <c r="H32" i="1"/>
  <c r="G24" i="1"/>
  <c r="N24" i="1" s="1"/>
  <c r="G23" i="1"/>
  <c r="N23" i="1" s="1"/>
  <c r="G22" i="1"/>
  <c r="N22" i="1" s="1"/>
  <c r="G21" i="1"/>
  <c r="N21" i="1" s="1"/>
  <c r="G20" i="1"/>
  <c r="N20" i="1" s="1"/>
  <c r="G19" i="1"/>
  <c r="N19" i="1" s="1"/>
  <c r="G18" i="1"/>
  <c r="N18" i="1" s="1"/>
  <c r="G17" i="1"/>
  <c r="N17" i="1" s="1"/>
  <c r="G16" i="1"/>
  <c r="N16" i="1" s="1"/>
  <c r="G15" i="1"/>
  <c r="N15" i="1" s="1"/>
  <c r="G14" i="1"/>
  <c r="N14" i="1" s="1"/>
  <c r="G13" i="1"/>
  <c r="N13" i="1" s="1"/>
  <c r="G12" i="1"/>
  <c r="N12" i="1" s="1"/>
  <c r="Q12" i="1" l="1"/>
  <c r="Q32" i="1" s="1"/>
  <c r="R29" i="11"/>
  <c r="R31" i="1"/>
  <c r="R25" i="1"/>
  <c r="R26" i="1"/>
  <c r="S30" i="1"/>
  <c r="R27" i="1"/>
  <c r="S29" i="1"/>
  <c r="S28" i="1"/>
  <c r="R28" i="1"/>
  <c r="M18" i="1"/>
  <c r="M20" i="1"/>
  <c r="M24" i="1"/>
  <c r="M17" i="1"/>
  <c r="M15" i="1"/>
  <c r="M16" i="1"/>
  <c r="M21" i="1"/>
  <c r="M12" i="1"/>
  <c r="M14" i="1"/>
  <c r="M23" i="1"/>
  <c r="M19" i="1"/>
  <c r="M13" i="1"/>
  <c r="M22" i="1"/>
  <c r="P32" i="1" l="1"/>
  <c r="M32" i="1"/>
  <c r="R16" i="1"/>
  <c r="S16" i="1"/>
  <c r="S13" i="1"/>
  <c r="R13" i="1"/>
  <c r="R24" i="1"/>
  <c r="S24" i="1"/>
  <c r="R15" i="1"/>
  <c r="S15" i="1"/>
  <c r="R22" i="1"/>
  <c r="S22" i="1"/>
  <c r="R17" i="1"/>
  <c r="S17" i="1"/>
  <c r="S19" i="1"/>
  <c r="R19" i="1"/>
  <c r="R18" i="1"/>
  <c r="S18" i="1"/>
  <c r="S20" i="1"/>
  <c r="R20" i="1"/>
  <c r="S12" i="1"/>
  <c r="R12" i="1"/>
  <c r="R23" i="1"/>
  <c r="S23" i="1"/>
  <c r="S21" i="1"/>
  <c r="R21" i="1"/>
  <c r="R14" i="1" l="1"/>
  <c r="R32" i="1" s="1"/>
  <c r="S14" i="1"/>
  <c r="S32" i="1" s="1"/>
</calcChain>
</file>

<file path=xl/sharedStrings.xml><?xml version="1.0" encoding="utf-8"?>
<sst xmlns="http://schemas.openxmlformats.org/spreadsheetml/2006/main" count="310" uniqueCount="97">
  <si>
    <t>KERTAS KERJA</t>
  </si>
  <si>
    <t>ANALISA PEMBERIAN PESANGON PEGAWAI</t>
  </si>
  <si>
    <t>No.</t>
  </si>
  <si>
    <t>Nama</t>
  </si>
  <si>
    <t>Jabatan</t>
  </si>
  <si>
    <t>THP</t>
  </si>
  <si>
    <t>Kabag Operasional</t>
  </si>
  <si>
    <t>A/O Loan</t>
  </si>
  <si>
    <t>Funding</t>
  </si>
  <si>
    <t>ADM Pelaporan</t>
  </si>
  <si>
    <t>ADM Pembiayaan</t>
  </si>
  <si>
    <t>Teller</t>
  </si>
  <si>
    <t>Bag.Umum</t>
  </si>
  <si>
    <t>Satpam</t>
  </si>
  <si>
    <t>Masa Kerja (tahun)</t>
  </si>
  <si>
    <t>Gaji Pokok</t>
  </si>
  <si>
    <t>Tanggal Mulai Kerja</t>
  </si>
  <si>
    <t>Tanggal PHK</t>
  </si>
  <si>
    <t>Multiplier Pesangon</t>
  </si>
  <si>
    <t>Gross Pesangon</t>
  </si>
  <si>
    <t>Kewajiban Pegawai</t>
  </si>
  <si>
    <t>Nett Pesangon</t>
  </si>
  <si>
    <t>Sisa Kewajiban</t>
  </si>
  <si>
    <t>Perhitungan Pesangon</t>
  </si>
  <si>
    <t>Kabag Pembiayaan</t>
  </si>
  <si>
    <t>Tunj. 1</t>
  </si>
  <si>
    <t>Tunj. 2</t>
  </si>
  <si>
    <t>Tunj. 3</t>
  </si>
  <si>
    <t>Tunj. 4</t>
  </si>
  <si>
    <t>Total</t>
  </si>
  <si>
    <r>
      <t xml:space="preserve">Rincian </t>
    </r>
    <r>
      <rPr>
        <i/>
        <sz val="11"/>
        <color theme="1"/>
        <rFont val="Book Antiqua"/>
        <family val="1"/>
      </rPr>
      <t>Take Home Pay</t>
    </r>
  </si>
  <si>
    <t>Nama BDL</t>
  </si>
  <si>
    <t>Tanggal Cabut Izin Usaha</t>
  </si>
  <si>
    <t>PT BPRS Hareukat (DL)</t>
  </si>
  <si>
    <t>Status Pegawai</t>
  </si>
  <si>
    <t>Pegawai Tetap (PKWTT)</t>
  </si>
  <si>
    <t>Historis Gaji Pokok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</si>
  <si>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</si>
  <si>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</si>
  <si>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</si>
  <si>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</si>
  <si>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</si>
  <si>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</si>
  <si>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</si>
  <si>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</si>
  <si>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</si>
  <si>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</si>
  <si>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</si>
  <si>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</si>
  <si>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Avg.</t>
  </si>
  <si>
    <t>Keterangan</t>
  </si>
  <si>
    <t>Terdapat perubahan historis gaji dari bulan sebelumnya</t>
  </si>
  <si>
    <t>Keterangan:</t>
  </si>
  <si>
    <t>Angka yang Digunakan</t>
  </si>
  <si>
    <t>Angka Terakhir</t>
  </si>
  <si>
    <t>Pegawai 1</t>
  </si>
  <si>
    <t>Pegawai 2</t>
  </si>
  <si>
    <t>Pegawai 3</t>
  </si>
  <si>
    <t>Pegawai 4</t>
  </si>
  <si>
    <t>Pegawai 5</t>
  </si>
  <si>
    <t>Pegawai 6</t>
  </si>
  <si>
    <t>Pegawai 7</t>
  </si>
  <si>
    <t>Pegawai 8</t>
  </si>
  <si>
    <t>Pegawai 9</t>
  </si>
  <si>
    <t>Pegawai 10</t>
  </si>
  <si>
    <t>Pegawai 11</t>
  </si>
  <si>
    <t>Pegawai 12</t>
  </si>
  <si>
    <t>Pegawai 13</t>
  </si>
  <si>
    <t>Jenis Tunjangan</t>
  </si>
  <si>
    <t>Tunjangan Transportasi</t>
  </si>
  <si>
    <t>Historis Tunjangan</t>
  </si>
  <si>
    <t>Tunjangan Jabatan</t>
  </si>
  <si>
    <t>Daftar Kewajiban Pegawai</t>
  </si>
  <si>
    <t>No. PK</t>
  </si>
  <si>
    <t>Pokok NP</t>
  </si>
  <si>
    <t>Bunga/Margin NP</t>
  </si>
  <si>
    <t>Denda NP</t>
  </si>
  <si>
    <t>Kewajiban Menurut NP</t>
  </si>
  <si>
    <t>Pencairan</t>
  </si>
  <si>
    <t>Pencairan Pokok</t>
  </si>
  <si>
    <t>Pencairan Bunga/Margin</t>
  </si>
  <si>
    <t>Pencairan Denda</t>
  </si>
  <si>
    <t>Sisa Pokok</t>
  </si>
  <si>
    <t>Sisa Bunga/Margin</t>
  </si>
  <si>
    <t>Sisa Denda</t>
  </si>
  <si>
    <t>Sisa Kewajiban sebelum Pesangon</t>
  </si>
  <si>
    <t>Angsuran Sesuai PK</t>
  </si>
  <si>
    <t>Setoff Simpanan</t>
  </si>
  <si>
    <t>Setoff Pokok</t>
  </si>
  <si>
    <t>Setoff Bunga/Margin</t>
  </si>
  <si>
    <t>Setoff Denda</t>
  </si>
  <si>
    <t>Tunjangan Wanita</t>
  </si>
  <si>
    <t>Tunjangan Istri/Anak</t>
  </si>
  <si>
    <t>Catatan:</t>
  </si>
  <si>
    <t>Faktor pengali berdasarkan Pasal 44 PP No. 35 Tahun 2021</t>
  </si>
  <si>
    <t>"Perusahaan tutup yang disebabkan Perusahaan mengalami kerugian secara terus menerus selama 2 (dua) tahun atau mengalami kerugian tidak secara terus menerus selama 2 (dua) tahun"</t>
  </si>
  <si>
    <t>Multiplier Jenis PHK*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</si>
</sst>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[$-409]dd\-mmm\-yyyy;@"/>
    <numFmt numFmtId="165" formatCode="[$-421]dd\ mmm\ yyyy;@"/>
    <numFmt numFmtId="166" formatCode="#\ &quot;pegawai&quot;"/>
    <numFmt numFmtId="167" formatCode="[$-421]dd\ mmmm\ yyyy;@"/>
    <numFmt numFmtId="168" formatCode="[$-421]mmm\-yy;@"/>
    <numFmt numFmtId="169" formatCode="_(* #,##0.0_);_(* \(#,##0.0\);_(* &quot;-&quot;_);_(@_)"/>
  </numFmts>
  <fonts count="11" x14ac:knownFonts="1">
    <font>
      <sz val="11"/>
      <color theme="1"/>
      <name val="Calibri"/>
      <family val="2"/>
      <scheme val="minor"/>
    </font>
    <font>
      <i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theme="1"/>
      <name val="Calibri"/>
      <family val="2"/>
      <charset val="1"/>
      <scheme val="minor"/>
    </font>
    <font>
      <sz val="10"/>
      <name val="Book Antiqua"/>
      <family val="1"/>
    </font>
    <font>
      <sz val="10"/>
      <color theme="1"/>
      <name val="Book Antiqua"/>
      <family val="1"/>
    </font>
    <font>
      <b/>
      <sz val="12"/>
      <color theme="1"/>
      <name val="Book Antiqua"/>
      <family val="1"/>
    </font>
    <font>
      <i/>
      <sz val="12"/>
      <color theme="1"/>
      <name val="Book Antiqua"/>
      <family val="1"/>
    </font>
    <font>
      <b/>
      <sz val="10"/>
      <color theme="0"/>
      <name val="Book Antiqua"/>
      <family val="1"/>
    </font>
    <font>
      <b/>
      <sz val="11"/>
      <color theme="1"/>
      <name val="Book Antiqua"/>
      <family val="1"/>
    </font>
    <font>
      <b/>
      <u/>
      <sz val="11"/>
      <color theme="1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Protection="1"/>
    <xf numFmtId="0" fontId="1" fillId="0" borderId="0" xfId="0" applyFont="1" applyAlignment="1" applyProtection="1">
      <alignment horizontal="center" vertical="center"/>
    </xf>
    <xf numFmtId="164" fontId="2" fillId="0" borderId="0" xfId="0" applyNumberFormat="1" applyFont="1" applyAlignment="1" applyProtection="1">
      <alignment horizontal="right"/>
    </xf>
    <xf numFmtId="0" fontId="5" fillId="0" borderId="0" xfId="0" applyFont="1" applyBorder="1" applyAlignment="1" applyProtection="1">
      <alignment horizontal="center" vertical="center" wrapText="1"/>
    </xf>
    <xf numFmtId="0" fontId="4" fillId="4" borderId="0" xfId="0" applyNumberFormat="1" applyFont="1" applyFill="1" applyBorder="1" applyAlignment="1" applyProtection="1">
      <alignment horizontal="center" vertical="center"/>
    </xf>
    <xf numFmtId="166" fontId="4" fillId="4" borderId="0" xfId="0" applyNumberFormat="1" applyFont="1" applyFill="1" applyBorder="1" applyAlignment="1" applyProtection="1">
      <alignment vertical="center"/>
    </xf>
    <xf numFmtId="0" fontId="4" fillId="4" borderId="0" xfId="0" applyNumberFormat="1" applyFont="1" applyFill="1" applyBorder="1" applyAlignment="1" applyProtection="1">
      <alignment horizontal="right" vertical="center"/>
    </xf>
    <xf numFmtId="0" fontId="4" fillId="4" borderId="0" xfId="0" applyNumberFormat="1" applyFont="1" applyFill="1" applyBorder="1" applyAlignment="1" applyProtection="1">
      <alignment horizontal="center"/>
    </xf>
    <xf numFmtId="41" fontId="4" fillId="4" borderId="0" xfId="0" applyNumberFormat="1" applyFont="1" applyFill="1" applyBorder="1" applyAlignment="1" applyProtection="1">
      <alignment horizontal="center" vertical="center"/>
    </xf>
    <xf numFmtId="41" fontId="4" fillId="4" borderId="0" xfId="0" applyNumberFormat="1" applyFont="1" applyFill="1" applyBorder="1" applyAlignment="1" applyProtection="1">
      <alignment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Protection="1">
      <protection locked="0"/>
    </xf>
    <xf numFmtId="165" fontId="5" fillId="0" borderId="0" xfId="0" applyNumberFormat="1" applyFont="1" applyBorder="1" applyProtection="1">
      <protection locked="0"/>
    </xf>
    <xf numFmtId="41" fontId="4" fillId="0" borderId="0" xfId="2" applyNumberFormat="1" applyFont="1" applyFill="1" applyBorder="1" applyAlignment="1" applyProtection="1">
      <alignment horizontal="center" vertical="center"/>
      <protection locked="0"/>
    </xf>
    <xf numFmtId="0" fontId="4" fillId="0" borderId="0" xfId="1" applyFont="1" applyFill="1" applyAlignment="1" applyProtection="1">
      <alignment horizontal="center" vertical="center"/>
      <protection locked="0"/>
    </xf>
    <xf numFmtId="0" fontId="4" fillId="0" borderId="0" xfId="1" applyFont="1" applyFill="1" applyAlignment="1" applyProtection="1">
      <alignment vertical="center"/>
      <protection locked="0"/>
    </xf>
    <xf numFmtId="165" fontId="4" fillId="0" borderId="0" xfId="1" applyNumberFormat="1" applyFont="1" applyFill="1" applyAlignment="1" applyProtection="1">
      <alignment horizontal="right" vertical="center"/>
      <protection locked="0"/>
    </xf>
    <xf numFmtId="41" fontId="5" fillId="0" borderId="0" xfId="0" applyNumberFormat="1" applyFont="1" applyBorder="1" applyProtection="1">
      <protection locked="0"/>
    </xf>
    <xf numFmtId="0" fontId="2" fillId="6" borderId="0" xfId="0" applyFont="1" applyFill="1" applyProtection="1"/>
    <xf numFmtId="0" fontId="9" fillId="0" borderId="0" xfId="0" applyFont="1" applyProtection="1"/>
    <xf numFmtId="0" fontId="5" fillId="0" borderId="0" xfId="0" applyNumberFormat="1" applyFont="1" applyBorder="1" applyProtection="1">
      <protection locked="0"/>
    </xf>
    <xf numFmtId="0" fontId="5" fillId="7" borderId="0" xfId="0" applyFont="1" applyFill="1" applyBorder="1" applyProtection="1"/>
    <xf numFmtId="41" fontId="5" fillId="7" borderId="0" xfId="0" applyNumberFormat="1" applyFont="1" applyFill="1" applyBorder="1" applyProtection="1"/>
    <xf numFmtId="0" fontId="5" fillId="7" borderId="0" xfId="0" applyFont="1" applyFill="1" applyBorder="1" applyAlignment="1" applyProtection="1">
      <alignment horizontal="center"/>
    </xf>
    <xf numFmtId="41" fontId="4" fillId="7" borderId="0" xfId="2" applyNumberFormat="1" applyFont="1" applyFill="1" applyBorder="1" applyAlignment="1" applyProtection="1">
      <alignment horizontal="center" vertical="center"/>
    </xf>
    <xf numFmtId="0" fontId="4" fillId="7" borderId="0" xfId="1" applyNumberFormat="1" applyFont="1" applyFill="1" applyAlignment="1" applyProtection="1">
      <alignment horizontal="center"/>
    </xf>
    <xf numFmtId="41" fontId="4" fillId="7" borderId="0" xfId="2" applyNumberFormat="1" applyFont="1" applyFill="1" applyBorder="1" applyAlignment="1" applyProtection="1">
      <alignment vertical="center"/>
    </xf>
    <xf numFmtId="41" fontId="4" fillId="7" borderId="0" xfId="3" applyNumberFormat="1" applyFont="1" applyFill="1" applyBorder="1" applyAlignment="1" applyProtection="1">
      <alignment vertical="center"/>
    </xf>
    <xf numFmtId="0" fontId="4" fillId="7" borderId="0" xfId="1" applyFont="1" applyFill="1" applyAlignment="1" applyProtection="1">
      <alignment horizontal="center" vertical="center"/>
    </xf>
    <xf numFmtId="168" fontId="8" fillId="5" borderId="1" xfId="0" applyNumberFormat="1" applyFont="1" applyFill="1" applyBorder="1" applyAlignment="1" applyProtection="1">
      <alignment horizontal="center" vertical="center" wrapText="1"/>
    </xf>
    <xf numFmtId="0" fontId="4" fillId="0" borderId="0" xfId="3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0" fontId="7" fillId="0" borderId="0" xfId="0" applyFont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167" fontId="2" fillId="0" borderId="2" xfId="0" applyNumberFormat="1" applyFont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 vertical="center"/>
    </xf>
    <xf numFmtId="0" fontId="2" fillId="9" borderId="0" xfId="0" applyFont="1" applyFill="1" applyAlignment="1" applyProtection="1">
      <alignment horizontal="center"/>
    </xf>
    <xf numFmtId="0" fontId="2" fillId="8" borderId="0" xfId="0" applyFont="1" applyFill="1" applyAlignment="1" applyProtection="1">
      <alignment horizontal="center"/>
    </xf>
    <xf numFmtId="169" fontId="4" fillId="7" borderId="0" xfId="2" applyNumberFormat="1" applyFont="1" applyFill="1" applyBorder="1" applyAlignment="1" applyProtection="1">
      <alignment horizontal="center" vertical="center"/>
    </xf>
    <xf numFmtId="0" fontId="10" fillId="0" borderId="0" xfId="0" applyFont="1" applyProtection="1"/>
  </cellXfs>
  <cellStyles count="4">
    <cellStyle name="Comma [0] 4 2" xfId="2" xr:uid="{17E13348-9FCD-44FF-9307-155F6C0BECF1}"/>
    <cellStyle name="Comma 12" xfId="3" xr:uid="{550B9969-AC7E-4B85-B9C9-363D758A102C}"/>
    <cellStyle name="Normal" xfId="0" builtinId="0"/>
    <cellStyle name="Normal 2" xfId="1" xr:uid="{A5D11190-505E-4141-9041-EF2E5FEB0816}"/>
  </cellStyles>
  <dxfs count="2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9" formatCode="_(* #,##0.0_);_(* \(#,##0.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5" formatCode="[$-421]dd\ mmm\ yyyy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5" formatCode="[$-421]dd\ mmm\ yyyy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3" formatCode="_(* #,##0_);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166" formatCode="#\ &quot;pegawai&quot;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rgb="FF000000"/>
          <bgColor rgb="FFD9D9D9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B4407-57A0-48A9-8B99-77ECFC367799}" name="Data_Pegawai" displayName="Data_Pegawai" ref="A11:S32" totalsRowCount="1" headerRowDxfId="294" dataDxfId="293" totalsRowDxfId="292" dataCellStyle="Comma [0] 4 2">
  <autoFilter ref="A11:S31" xr:uid="{A3318C9F-B032-4FBE-83AB-68F922BE94EE}"/>
  <tableColumns count="19">
    <tableColumn id="1" xr3:uid="{4E36FF63-94B6-407C-A201-EEF7B9B4DEF1}" name="No." totalsRowLabel="Total" dataDxfId="37" totalsRowDxfId="19" dataCellStyle="Normal 2"/>
    <tableColumn id="2" xr3:uid="{91B8F55F-08C3-405A-A6EA-CB21BDD6A334}" name="Nama" totalsRowFunction="count" dataDxfId="36" totalsRowDxfId="18" dataCellStyle="Normal 2"/>
    <tableColumn id="3" xr3:uid="{576C6581-E3A5-4A1F-943D-1DE03EE3ABAE}" name="Jabatan" dataDxfId="35" totalsRowDxfId="17" dataCellStyle="Normal 2"/>
    <tableColumn id="14" xr3:uid="{C2E56D05-CF41-4F6D-883F-16454188AD87}" name="Status Pegawai" dataDxfId="34" totalsRowDxfId="16"/>
    <tableColumn id="4" xr3:uid="{190BDD28-A98C-471A-B46C-2A6932876EB4}" name="Tanggal Mulai Kerja" dataDxfId="33" totalsRowDxfId="15" dataCellStyle="Normal 2"/>
    <tableColumn id="5" xr3:uid="{80CE0B61-96FA-4EEE-934C-B2DAB0AB9259}" name="Tanggal PHK" dataDxfId="32" totalsRowDxfId="14" dataCellStyle="Normal 2"/>
    <tableColumn id="6" xr3:uid="{89A8597C-09C3-4A7D-AD7E-F7C44474EA73}" name="Masa Kerja (tahun)" dataDxfId="31" totalsRowDxfId="13" dataCellStyle="Normal 2">
      <calculatedColumnFormula>DATEDIF(E12,F12,"Y")</calculatedColumnFormula>
    </tableColumn>
    <tableColumn id="7" xr3:uid="{90E933E0-6807-4FA9-AD49-5F427FCCFB69}" name="Gaji Pokok" totalsRowFunction="sum" dataDxfId="30" totalsRowDxfId="12" dataCellStyle="Comma [0] 4 2">
      <calculatedColumnFormula>IF(ISNUMBER(INDEX(Historis_Gaji[Angka yang Digunakan],MATCH(Data_Pegawai[[#This Row],[Nama]],Historis_Gaji[Nama],0))),INDEX(Historis_Gaji[Angka yang Digunakan],MATCH(Data_Pegawai[[#This Row],[Nama]],Historis_Gaji[Nama],0)),0)</calculatedColumnFormula>
    </tableColumn>
    <tableColumn id="8" xr3:uid="{2F4C45C8-C0AE-4B82-AE5D-362E8DD31520}" name="Tunj. 1" totalsRowFunction="sum" dataDxfId="29" totalsRowDxfId="11" dataCellStyle="Comma [0] 4 2">
      <calculatedColumnFormula>IF(ISNUMBER(INDEX(Historis_Gaji[Angka yang Digunakan],MATCH(Data_Pegawai[[#This Row],[Nama]],Historis_Gaji[Nama],0))),INDEX(Historis_Gaji[Angka yang Digunakan],MATCH(Data_Pegawai[[#This Row],[Nama]],Historis_Gaji[Nama],0)),0)</calculatedColumnFormula>
    </tableColumn>
    <tableColumn id="9" xr3:uid="{466A6A8F-F5E1-4A15-847D-D99A1AF6C874}" name="Tunj. 2" totalsRowFunction="sum" dataDxfId="28" totalsRowDxfId="10" dataCellStyle="Comma [0] 4 2">
      <calculatedColumnFormula>IF(ISNUMBER(INDEX(Historis_Gaji[Angka yang Digunakan],MATCH(Data_Pegawai[[#This Row],[Nama]],Historis_Gaji[Nama],0))),INDEX(Historis_Gaji[Angka yang Digunakan],MATCH(Data_Pegawai[[#This Row],[Nama]],Historis_Gaji[Nama],0)),0)</calculatedColumnFormula>
    </tableColumn>
    <tableColumn id="10" xr3:uid="{FF1B5AE8-9118-4217-90F1-A90E9D9B2F8D}" name="Tunj. 3" totalsRowFunction="sum" dataDxfId="27" totalsRowDxfId="9" dataCellStyle="Comma [0] 4 2">
      <calculatedColumnFormula>IF(ISNUMBER(INDEX(Historis_Gaji[Angka yang Digunakan],MATCH(Data_Pegawai[[#This Row],[Nama]],Historis_Gaji[Nama],0))),INDEX(Historis_Gaji[Angka yang Digunakan],MATCH(Data_Pegawai[[#This Row],[Nama]],Historis_Gaji[Nama],0)),0)</calculatedColumnFormula>
    </tableColumn>
    <tableColumn id="11" xr3:uid="{0A06D386-953C-4A9C-A93D-53328D3EAA3E}" name="Tunj. 4" totalsRowFunction="sum" dataDxfId="26" totalsRowDxfId="8" dataCellStyle="Comma [0] 4 2">
      <calculatedColumnFormula>IF(ISNUMBER(INDEX(Historis_Gaji[Angka yang Digunakan],MATCH(Data_Pegawai[[#This Row],[Nama]],Historis_Gaji[Nama],0))),INDEX(Historis_Gaji[Angka yang Digunakan],MATCH(Data_Pegawai[[#This Row],[Nama]],Historis_Gaji[Nama],0)),0)</calculatedColumnFormula>
    </tableColumn>
    <tableColumn id="12" xr3:uid="{618366EF-7110-4266-8520-1D279CEFDB2B}" name="THP" totalsRowFunction="sum" dataDxfId="25" totalsRowDxfId="7" dataCellStyle="Comma 12">
      <calculatedColumnFormula>SUM(H12:L12)</calculatedColumnFormula>
    </tableColumn>
    <tableColumn id="13" xr3:uid="{4071EE5E-56E8-4D84-891B-8AD1BF156DAA}" name="Multiplier Pesangon" dataDxfId="24" totalsRowDxfId="6" dataCellStyle="Comma [0] 4 2">
      <calculatedColumnFormula>MIN(Data_Pegawai[[#This Row],[Masa Kerja (tahun)]]+1,9)</calculatedColumnFormula>
    </tableColumn>
    <tableColumn id="15" xr3:uid="{5F1FCA67-F0DE-4390-81E9-42E29312CA1D}" name="Multiplier Jenis PHK*" dataDxfId="23" totalsRowDxfId="5" dataCellStyle="Comma [0] 4 2"/>
    <tableColumn id="16" xr3:uid="{B20FEE9F-ACD2-458E-BE78-9F90C1CB7001}" name="Gross Pesangon" totalsRowFunction="sum" dataDxfId="0" totalsRowDxfId="4" dataCellStyle="Comma [0] 4 2">
      <calculatedColumnFormula>IF(Data_Pegawai[[#This Row],[Status Pegawai]]="Pegawai Tetap (PKWTT)",Data_Pegawai[[#This Row],[Multiplier Pesangon]]*Data_Pegawai[[#This Row],[THP]]*Data_Pegawai[[#This Row],[Multiplier Jenis PHK*]],0)</calculatedColumnFormula>
    </tableColumn>
    <tableColumn id="18" xr3:uid="{6529ADCA-6CBD-49AA-B52C-DC88058C0FDE}" name="Kewajiban Pegawai" totalsRowFunction="sum" dataDxfId="22" totalsRowDxfId="3" dataCellStyle="Comma [0] 4 2">
      <calculatedColumnFormula>IF(ISNUMBER(INDEX(Data_Kewajiban[Sisa Kewajiban sebelum Pesangon],MATCH(Data_Pegawai[[#This Row],[Nama]],Data_Kewajiban[Nama],0))),INDEX(Data_Kewajiban[Sisa Kewajiban sebelum Pesangon],MATCH(Data_Pegawai[[#This Row],[Nama]],Data_Kewajiban[Nama],0)),0)</calculatedColumnFormula>
    </tableColumn>
    <tableColumn id="19" xr3:uid="{B19DEC68-9E90-4C56-B4B0-C0FBF4A853A3}" name="Nett Pesangon" totalsRowFunction="sum" dataDxfId="21" totalsRowDxfId="2" dataCellStyle="Comma [0] 4 2">
      <calculatedColumnFormula>IF(Data_Pegawai[[#This Row],[Gross Pesangon]]&gt;Data_Pegawai[[#This Row],[Kewajiban Pegawai]],Data_Pegawai[[#This Row],[Gross Pesangon]]-Data_Pegawai[[#This Row],[Kewajiban Pegawai]],0)</calculatedColumnFormula>
    </tableColumn>
    <tableColumn id="20" xr3:uid="{7A9499EB-1889-4A17-BBCD-6A6182DB8C9B}" name="Sisa Kewajiban" totalsRowFunction="sum" dataDxfId="20" totalsRowDxfId="1" dataCellStyle="Comma [0] 4 2">
      <calculatedColumnFormula>IF(Data_Pegawai[[#This Row],[Kewajiban Pegawai]]&gt;Data_Pegawai[[#This Row],[Gross Pesangon]],Data_Pegawai[[#This Row],[Kewajiban Pegawai]]-Data_Pegawai[[#This Row],[Gross Pesangon]],0)</calculatedColumn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6414B-7DE7-4613-9164-AED1C362DD92}" name="Historis_Gaji" displayName="Historis_Gaji" ref="A9:S30" totalsRowCount="1" headerRowDxfId="291" dataDxfId="290" totalsRowDxfId="289" dataCellStyle="Comma [0] 4 2">
  <autoFilter ref="A9:S29" xr:uid="{A3318C9F-B032-4FBE-83AB-68F922BE94EE}"/>
  <tableColumns count="19">
    <tableColumn id="1" xr3:uid="{8175F956-B858-4458-B493-963821F09B73}" name="No." totalsRowLabel="Total" dataDxfId="288" totalsRowDxfId="287" dataCellStyle="Normal 2"/>
    <tableColumn id="2" xr3:uid="{0C73DF6F-00A5-4994-A3EB-8AB8D86F789D}" name="Nama" totalsRowFunction="count" dataDxfId="286" totalsRowDxfId="285" dataCellStyle="Normal 2"/>
    <tableColumn id="3" xr3:uid="{D1DC771C-45B0-49CF-8AAA-BCA4DE55D3E9}" name="Jabatan" dataDxfId="284" totalsRowDxfId="283" dataCellStyle="Normal 2">
      <calculatedColumnFormula>INDEX(Data_Pegawai[Jabatan],MATCH(Historis_Gaji[[#This Row],[Nama]],Data_Pegawai[Nama],0))</calculatedColumnFormula>
    </tableColumn>
    <tableColumn id="7" xr3:uid="{38909019-627E-45B6-9DBF-2D9719C2F5F6}" name="1" totalsRowFunction="sum" dataDxfId="282" totalsRowDxfId="281" dataCellStyle="Comma [0] 4 2"/>
    <tableColumn id="8" xr3:uid="{85E3B85A-5BCE-43B9-8CAB-020A31888C6A}" name="2" totalsRowFunction="sum" dataDxfId="280" totalsRowDxfId="279" dataCellStyle="Comma [0] 4 2"/>
    <tableColumn id="9" xr3:uid="{87748377-8FDC-4337-8D09-B4BA90B47DBB}" name="3" totalsRowFunction="sum" dataDxfId="278" totalsRowDxfId="277" dataCellStyle="Comma [0] 4 2"/>
    <tableColumn id="10" xr3:uid="{A366CA77-CCE4-42A5-B2AE-D4F82D74AA25}" name="4" totalsRowFunction="sum" dataDxfId="276" totalsRowDxfId="275" dataCellStyle="Comma [0] 4 2"/>
    <tableColumn id="13" xr3:uid="{129067A4-B1BA-4B0B-8FA4-C092DE74F110}" name="5" totalsRowFunction="sum" dataDxfId="274" totalsRowDxfId="273"/>
    <tableColumn id="14" xr3:uid="{AC1B08F5-7746-4CD8-BDDC-E6FE4783D5F2}" name="6" totalsRowFunction="sum" dataDxfId="272" totalsRowDxfId="271"/>
    <tableColumn id="18" xr3:uid="{4CC469AD-BE60-43F7-916D-9D37F3D6ABD9}" name="7" totalsRowFunction="sum" dataDxfId="270" totalsRowDxfId="269"/>
    <tableColumn id="19" xr3:uid="{95774D62-7E44-455E-9666-60A7667CA7DB}" name="8" totalsRowFunction="sum" dataDxfId="268" totalsRowDxfId="267"/>
    <tableColumn id="16" xr3:uid="{93121AB8-95DE-4F74-A79D-486CBCCA95B1}" name="9" totalsRowFunction="sum" dataDxfId="266" totalsRowDxfId="265"/>
    <tableColumn id="17" xr3:uid="{A001E912-EDCE-49DF-A32C-F92277811C21}" name="10" totalsRowFunction="sum" dataDxfId="264" totalsRowDxfId="263"/>
    <tableColumn id="15" xr3:uid="{DCACE328-3859-4AF8-B3DB-EA5E59BC1392}" name="11" totalsRowFunction="sum" dataDxfId="262" totalsRowDxfId="261"/>
    <tableColumn id="6" xr3:uid="{80A56FD8-B4AC-409F-A59C-B7B89A0AB14F}" name="12" totalsRowFunction="sum" dataDxfId="260" totalsRowDxfId="259"/>
    <tableColumn id="20" xr3:uid="{DEC3CE1C-AC28-4C3E-B9CF-EBB93D3480AE}" name="Avg." dataDxfId="258" totalsRowDxfId="257">
      <calculatedColumnFormula>IF(ISNUMBER(AVERAGEIF(Historis_Gaji[[#This Row],[1]:[12]],"&gt;0")),AVERAGEIF(Historis_Gaji[[#This Row],[1]:[12]],"&gt;0"),0)</calculatedColumnFormula>
    </tableColumn>
    <tableColumn id="21" xr3:uid="{C3BC4DD8-3B49-471A-B834-9CE3841E9284}" name="Angka Terakhir" dataDxfId="256" totalsRowDxfId="255">
      <calculatedColumnFormula>Historis_Gaji[[#This Row],[12]]</calculatedColumnFormula>
    </tableColumn>
    <tableColumn id="22" xr3:uid="{337DE839-932E-437D-B587-C1CC501E273A}" name="Angka yang Digunakan" totalsRowFunction="sum" dataDxfId="254" totalsRowDxfId="253"/>
    <tableColumn id="12" xr3:uid="{71DDFD85-865F-42DD-AD60-27997AA07B20}" name="Keterangan" dataDxfId="252" totalsRowDxfId="251" dataCellStyle="Comma 12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3340E-A23C-44A9-ADD5-B1C85E8092BB}" name="Historis_Tunj1" displayName="Historis_Tunj1" ref="A11:S32" totalsRowCount="1" headerRowDxfId="250" dataDxfId="249" totalsRowDxfId="248" dataCellStyle="Comma [0] 4 2">
  <autoFilter ref="A11:S31" xr:uid="{A3318C9F-B032-4FBE-83AB-68F922BE94EE}"/>
  <tableColumns count="19">
    <tableColumn id="1" xr3:uid="{77550434-3E75-435B-85B4-C53339514FB7}" name="No." totalsRowLabel="Total" dataDxfId="247" totalsRowDxfId="246" dataCellStyle="Normal 2"/>
    <tableColumn id="2" xr3:uid="{44514FF2-57CD-4B78-9DA6-F5CB2C1D3031}" name="Nama" totalsRowFunction="count" dataDxfId="245" totalsRowDxfId="244" dataCellStyle="Normal 2"/>
    <tableColumn id="3" xr3:uid="{7FD99D7A-E597-4400-A571-48E2AD70D68D}" name="Jabatan" dataDxfId="243" totalsRowDxfId="242" dataCellStyle="Normal 2">
      <calculatedColumnFormula>INDEX(Data_Pegawai[Jabatan],MATCH(Historis_Tunj1[[#This Row],[Nama]],Data_Pegawai[Nama],0))</calculatedColumnFormula>
    </tableColumn>
    <tableColumn id="7" xr3:uid="{0E04D320-A5E7-4BFE-B00D-5093AD572CC6}" name="1" totalsRowFunction="sum" dataDxfId="241" totalsRowDxfId="240" dataCellStyle="Comma [0] 4 2"/>
    <tableColumn id="8" xr3:uid="{A242B9F0-BDA2-46C8-BD79-2141396AC793}" name="2" totalsRowFunction="sum" dataDxfId="239" totalsRowDxfId="238" dataCellStyle="Comma [0] 4 2"/>
    <tableColumn id="9" xr3:uid="{406A38A0-AA87-43BC-8789-673A24203D80}" name="3" totalsRowFunction="sum" dataDxfId="237" totalsRowDxfId="236" dataCellStyle="Comma [0] 4 2"/>
    <tableColumn id="10" xr3:uid="{4EB91CB1-CDD2-4BDD-83D1-B623A5055341}" name="4" totalsRowFunction="sum" dataDxfId="235" totalsRowDxfId="234" dataCellStyle="Comma [0] 4 2"/>
    <tableColumn id="13" xr3:uid="{E86A73F1-9D61-4051-A29E-3A04B498BECA}" name="5" totalsRowFunction="sum" dataDxfId="233" totalsRowDxfId="232"/>
    <tableColumn id="14" xr3:uid="{AE1D1E5E-D45C-4DFE-8FE4-D1DD13696B95}" name="6" totalsRowFunction="sum" dataDxfId="231" totalsRowDxfId="230"/>
    <tableColumn id="18" xr3:uid="{0F2E1AE2-2814-4C49-BB0C-8F3ED085C12A}" name="7" totalsRowFunction="sum" dataDxfId="229" totalsRowDxfId="228"/>
    <tableColumn id="19" xr3:uid="{7322F892-12A3-4D7C-AD80-E3A344A9CA2A}" name="8" totalsRowFunction="sum" dataDxfId="227" totalsRowDxfId="226"/>
    <tableColumn id="16" xr3:uid="{6E26E5E3-2860-4042-B418-6370ACCEC072}" name="9" totalsRowFunction="sum" dataDxfId="225" totalsRowDxfId="224"/>
    <tableColumn id="17" xr3:uid="{558FA058-9183-4DA6-A1C3-EB86198D08D0}" name="10" totalsRowFunction="sum" dataDxfId="223" totalsRowDxfId="222"/>
    <tableColumn id="15" xr3:uid="{A9862250-2FF5-4B73-874E-6966E89E8E18}" name="11" totalsRowFunction="sum" dataDxfId="221" totalsRowDxfId="220"/>
    <tableColumn id="6" xr3:uid="{A3FEDD7C-3A9B-4AAF-8F79-F0F47DC6F0FD}" name="12" totalsRowFunction="sum" dataDxfId="219" totalsRowDxfId="218"/>
    <tableColumn id="20" xr3:uid="{979F8CD6-0273-4048-B3CC-41580FCB9315}" name="Avg." dataDxfId="217" totalsRowDxfId="216">
      <calculatedColumnFormula>IF(ISNUMBER(AVERAGEIF(Historis_Tunj1[[#This Row],[1]:[12]],"&gt;0")),AVERAGEIF(Historis_Tunj1[[#This Row],[1]:[12]],"&gt;0"),0)</calculatedColumnFormula>
    </tableColumn>
    <tableColumn id="21" xr3:uid="{33346C5F-386B-4D75-B498-B9DC6BFC5E21}" name="Angka Terakhir" dataDxfId="215" totalsRowDxfId="214">
      <calculatedColumnFormula>Historis_Tunj1[[#This Row],[12]]</calculatedColumnFormula>
    </tableColumn>
    <tableColumn id="22" xr3:uid="{D70BF285-7155-49C1-BBAE-D0DBC8F2B768}" name="Angka yang Digunakan" totalsRowFunction="sum" dataDxfId="213" totalsRowDxfId="212"/>
    <tableColumn id="12" xr3:uid="{23D59CE9-D316-45A2-B229-6214CE2E46A2}" name="Keterangan" dataDxfId="211" totalsRowDxfId="210" dataCellStyle="Comma 12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19996-A95B-4B7C-9DAA-DDAD072832C6}" name="Historis_Tunj2" displayName="Historis_Tunj2" ref="A11:S32" totalsRowCount="1" headerRowDxfId="209" dataDxfId="208" totalsRowDxfId="207" dataCellStyle="Comma [0] 4 2">
  <autoFilter ref="A11:S31" xr:uid="{A3318C9F-B032-4FBE-83AB-68F922BE94EE}"/>
  <tableColumns count="19">
    <tableColumn id="1" xr3:uid="{5F358B37-E76B-432C-B29F-CD1FED56377C}" name="No." totalsRowLabel="Total" dataDxfId="206" totalsRowDxfId="205" dataCellStyle="Normal 2"/>
    <tableColumn id="2" xr3:uid="{03EDD8B0-7551-40C6-9F39-1B1FCFCEB5D8}" name="Nama" totalsRowFunction="count" dataDxfId="204" totalsRowDxfId="203" dataCellStyle="Normal 2"/>
    <tableColumn id="3" xr3:uid="{D0522073-80EB-4F25-827C-9DB3ED83A80C}" name="Jabatan" dataDxfId="202" totalsRowDxfId="201" dataCellStyle="Normal 2">
      <calculatedColumnFormula>INDEX(Data_Pegawai[Jabatan],MATCH(Historis_Tunj2[[#This Row],[Nama]],Data_Pegawai[Nama],0))</calculatedColumnFormula>
    </tableColumn>
    <tableColumn id="7" xr3:uid="{373BC207-6403-4FE6-B615-6D4172C7C1F3}" name="1" totalsRowFunction="sum" dataDxfId="200" totalsRowDxfId="199" dataCellStyle="Comma [0] 4 2"/>
    <tableColumn id="8" xr3:uid="{0BCD7B04-808B-44F2-8EEE-8266515BE65E}" name="2" totalsRowFunction="sum" dataDxfId="198" totalsRowDxfId="197" dataCellStyle="Comma [0] 4 2"/>
    <tableColumn id="9" xr3:uid="{B3593744-F8C6-47A5-B255-0D4E8BEB80D3}" name="3" totalsRowFunction="sum" dataDxfId="196" totalsRowDxfId="195" dataCellStyle="Comma [0] 4 2"/>
    <tableColumn id="10" xr3:uid="{580BBF27-1C3F-4993-B36A-284C90598EBF}" name="4" totalsRowFunction="sum" dataDxfId="194" totalsRowDxfId="193" dataCellStyle="Comma [0] 4 2"/>
    <tableColumn id="13" xr3:uid="{A15F3695-757B-43C5-876A-857356EA09AE}" name="5" totalsRowFunction="sum" dataDxfId="192" totalsRowDxfId="191"/>
    <tableColumn id="14" xr3:uid="{1ACFF81A-DB35-498D-A2A3-7B181FB32A0B}" name="6" totalsRowFunction="sum" dataDxfId="190" totalsRowDxfId="189"/>
    <tableColumn id="18" xr3:uid="{115C42A6-DA38-4249-BCF9-7741399AE371}" name="7" totalsRowFunction="sum" dataDxfId="188" totalsRowDxfId="187"/>
    <tableColumn id="19" xr3:uid="{438B5343-D5AC-4434-9D9A-283892373780}" name="8" totalsRowFunction="sum" dataDxfId="186" totalsRowDxfId="185"/>
    <tableColumn id="16" xr3:uid="{6A8808E8-C422-4115-968B-CDA0EA9189EB}" name="9" totalsRowFunction="sum" dataDxfId="184" totalsRowDxfId="183"/>
    <tableColumn id="17" xr3:uid="{EF8ADB7B-63A0-4D4B-9C8C-33CD4FBBC61A}" name="10" totalsRowFunction="sum" dataDxfId="182" totalsRowDxfId="181"/>
    <tableColumn id="15" xr3:uid="{03F3815E-75BE-4335-97DC-7E6057B1AD5F}" name="11" totalsRowFunction="sum" dataDxfId="180" totalsRowDxfId="179"/>
    <tableColumn id="6" xr3:uid="{C5C12E00-7AAF-475A-8F89-87EFBFA697A5}" name="12" totalsRowFunction="sum" dataDxfId="178" totalsRowDxfId="177"/>
    <tableColumn id="20" xr3:uid="{B6375B24-84F5-4EF7-A10E-1A687F8781BC}" name="Avg." dataDxfId="176" totalsRowDxfId="175">
      <calculatedColumnFormula>IF(ISNUMBER(AVERAGEIF(Historis_Tunj2[[#This Row],[1]:[12]],"&gt;0")),AVERAGEIF(Historis_Tunj2[[#This Row],[1]:[12]],"&gt;0"),0)</calculatedColumnFormula>
    </tableColumn>
    <tableColumn id="21" xr3:uid="{A9B7AF6B-688F-45E4-AE7F-8EC104EA7D99}" name="Angka Terakhir" dataDxfId="174" totalsRowDxfId="173">
      <calculatedColumnFormula>Historis_Tunj2[[#This Row],[12]]</calculatedColumnFormula>
    </tableColumn>
    <tableColumn id="22" xr3:uid="{0D184E21-2856-46D8-A5AE-3A0E95412D7D}" name="Angka yang Digunakan" totalsRowFunction="sum" dataDxfId="172" totalsRowDxfId="171"/>
    <tableColumn id="12" xr3:uid="{C633B7FD-BFB2-4A5A-9E85-CFEF5DAF69B2}" name="Keterangan" dataDxfId="170" totalsRowDxfId="169" dataCellStyle="Comma 12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182F11-C248-4B81-9B79-E82562CEC190}" name="Historis_Tunj3" displayName="Historis_Tunj3" ref="A11:S32" totalsRowCount="1" headerRowDxfId="168" dataDxfId="167" totalsRowDxfId="166" dataCellStyle="Comma [0] 4 2">
  <autoFilter ref="A11:S31" xr:uid="{A3318C9F-B032-4FBE-83AB-68F922BE94EE}"/>
  <tableColumns count="19">
    <tableColumn id="1" xr3:uid="{960ACE3D-A5DB-41DB-95A7-1BF5656AF233}" name="No." totalsRowLabel="Total" dataDxfId="165" totalsRowDxfId="164" dataCellStyle="Normal 2"/>
    <tableColumn id="2" xr3:uid="{38EB9691-97A2-49DC-9937-0F7CBC5702A4}" name="Nama" totalsRowFunction="count" dataDxfId="163" totalsRowDxfId="162" dataCellStyle="Normal 2"/>
    <tableColumn id="3" xr3:uid="{AE1AAC1F-F121-40DF-AB70-2D9795AAE826}" name="Jabatan" dataDxfId="161" totalsRowDxfId="160" dataCellStyle="Normal 2">
      <calculatedColumnFormula>INDEX(Data_Pegawai[Jabatan],MATCH(Historis_Tunj3[[#This Row],[Nama]],Data_Pegawai[Nama],0))</calculatedColumnFormula>
    </tableColumn>
    <tableColumn id="7" xr3:uid="{1187BDA8-DB6B-4991-948B-184D093DA0F8}" name="1" totalsRowFunction="sum" dataDxfId="159" totalsRowDxfId="158" dataCellStyle="Comma [0] 4 2"/>
    <tableColumn id="8" xr3:uid="{9F74B54E-55F5-4D55-9E6B-DAF57F8314B9}" name="2" totalsRowFunction="sum" dataDxfId="157" totalsRowDxfId="156" dataCellStyle="Comma [0] 4 2"/>
    <tableColumn id="9" xr3:uid="{84E3F774-9BF3-4D90-A33A-CDC29517B4E3}" name="3" totalsRowFunction="sum" dataDxfId="155" totalsRowDxfId="154" dataCellStyle="Comma [0] 4 2"/>
    <tableColumn id="10" xr3:uid="{EF2D1EDD-6012-4CD7-A7EE-9CFD4BB80633}" name="4" totalsRowFunction="sum" dataDxfId="153" totalsRowDxfId="152" dataCellStyle="Comma [0] 4 2"/>
    <tableColumn id="13" xr3:uid="{36DA85F9-036D-444C-B2CB-834DF6066D49}" name="5" totalsRowFunction="sum" dataDxfId="151" totalsRowDxfId="150"/>
    <tableColumn id="14" xr3:uid="{EB7DCF82-C863-4FA7-86B8-5741DE7B33D2}" name="6" totalsRowFunction="sum" dataDxfId="149" totalsRowDxfId="148"/>
    <tableColumn id="18" xr3:uid="{E8FCC1ED-C167-4CEC-B383-2FE09FE633A4}" name="7" totalsRowFunction="sum" dataDxfId="147" totalsRowDxfId="146"/>
    <tableColumn id="19" xr3:uid="{A378065A-4075-449E-9E48-F800D8819CE1}" name="8" totalsRowFunction="sum" dataDxfId="145" totalsRowDxfId="144"/>
    <tableColumn id="16" xr3:uid="{D6EDCAB7-3975-41E3-85E3-6F5D8020BEB8}" name="9" totalsRowFunction="sum" dataDxfId="143" totalsRowDxfId="142"/>
    <tableColumn id="17" xr3:uid="{87976110-390B-43BA-9ED6-E117DB0269C4}" name="10" totalsRowFunction="sum" dataDxfId="141" totalsRowDxfId="140"/>
    <tableColumn id="15" xr3:uid="{A3508B22-81D0-4419-B99A-54AE8DB01E08}" name="11" totalsRowFunction="sum" dataDxfId="139" totalsRowDxfId="138"/>
    <tableColumn id="6" xr3:uid="{06284B93-2DD1-4C49-873D-72ECAE51897C}" name="12" totalsRowFunction="sum" dataDxfId="137" totalsRowDxfId="136"/>
    <tableColumn id="20" xr3:uid="{D903583B-73CF-4F08-8594-24DED80E233C}" name="Avg." dataDxfId="135" totalsRowDxfId="134">
      <calculatedColumnFormula>IF(ISNUMBER(AVERAGEIF(Historis_Tunj3[[#This Row],[1]:[12]],"&gt;0")),AVERAGEIF(Historis_Tunj3[[#This Row],[1]:[12]],"&gt;0"),0)</calculatedColumnFormula>
    </tableColumn>
    <tableColumn id="21" xr3:uid="{824C502B-56A8-409A-964E-98D4A93A6299}" name="Angka Terakhir" dataDxfId="133" totalsRowDxfId="132">
      <calculatedColumnFormula>Historis_Tunj3[[#This Row],[12]]</calculatedColumnFormula>
    </tableColumn>
    <tableColumn id="22" xr3:uid="{2B10E9D8-635E-479B-968E-9F32A8539AF3}" name="Angka yang Digunakan" totalsRowFunction="sum" dataDxfId="131" totalsRowDxfId="130"/>
    <tableColumn id="12" xr3:uid="{24704D01-C35D-43E0-986C-9469D2148B88}" name="Keterangan" dataDxfId="129" totalsRowDxfId="128" dataCellStyle="Comma 12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EC566A-4448-4D43-BA84-9E6AE1D5AD84}" name="Historis_Tunj4" displayName="Historis_Tunj4" ref="A11:S32" totalsRowCount="1" headerRowDxfId="127" dataDxfId="126" totalsRowDxfId="125" dataCellStyle="Comma [0] 4 2">
  <autoFilter ref="A11:S31" xr:uid="{A3318C9F-B032-4FBE-83AB-68F922BE94EE}"/>
  <tableColumns count="19">
    <tableColumn id="1" xr3:uid="{DA9CD132-86A1-4C66-8673-893DB86344EF}" name="No." totalsRowLabel="Total" dataDxfId="124" totalsRowDxfId="123" dataCellStyle="Normal 2"/>
    <tableColumn id="2" xr3:uid="{B9679C3D-CD83-48B7-9D18-8F36C2653D30}" name="Nama" totalsRowFunction="count" dataDxfId="122" totalsRowDxfId="121" dataCellStyle="Normal 2"/>
    <tableColumn id="3" xr3:uid="{DF664619-319B-4C89-A93C-2E15A0AA0F0D}" name="Jabatan" dataDxfId="120" totalsRowDxfId="119" dataCellStyle="Normal 2">
      <calculatedColumnFormula>INDEX(Data_Pegawai[Jabatan],MATCH(Historis_Tunj4[[#This Row],[Nama]],Data_Pegawai[Nama],0))</calculatedColumnFormula>
    </tableColumn>
    <tableColumn id="7" xr3:uid="{F5D45653-6365-48E5-AB79-7B9BE35F6B1F}" name="1" totalsRowFunction="sum" dataDxfId="118" totalsRowDxfId="117" dataCellStyle="Comma [0] 4 2"/>
    <tableColumn id="8" xr3:uid="{BFCA95F3-25E6-4D80-BF07-291A64895277}" name="2" totalsRowFunction="sum" dataDxfId="116" totalsRowDxfId="115" dataCellStyle="Comma [0] 4 2"/>
    <tableColumn id="9" xr3:uid="{10EED498-4E45-449F-A31C-5DC5E214A545}" name="3" totalsRowFunction="sum" dataDxfId="114" totalsRowDxfId="113" dataCellStyle="Comma [0] 4 2"/>
    <tableColumn id="10" xr3:uid="{36F45B93-61C1-477E-8A8C-3B352AD7A3C0}" name="4" totalsRowFunction="sum" dataDxfId="112" totalsRowDxfId="111" dataCellStyle="Comma [0] 4 2"/>
    <tableColumn id="13" xr3:uid="{A40E73E2-CE1A-48B2-8AA1-B07CDF2A3651}" name="5" totalsRowFunction="sum" dataDxfId="110" totalsRowDxfId="109"/>
    <tableColumn id="14" xr3:uid="{E1296635-E414-4A00-9934-89889802824A}" name="6" totalsRowFunction="sum" dataDxfId="108" totalsRowDxfId="107"/>
    <tableColumn id="18" xr3:uid="{CFD82A10-BD89-4AA5-ACEA-9AB534861630}" name="7" totalsRowFunction="sum" dataDxfId="106" totalsRowDxfId="105"/>
    <tableColumn id="19" xr3:uid="{8C71CC17-B256-4C2C-80DD-BC8EA620DD93}" name="8" totalsRowFunction="sum" dataDxfId="104" totalsRowDxfId="103"/>
    <tableColumn id="16" xr3:uid="{3592E7F7-23A3-4ED7-B2F2-9AC7E348CD38}" name="9" totalsRowFunction="sum" dataDxfId="102" totalsRowDxfId="101"/>
    <tableColumn id="17" xr3:uid="{77B0D8A9-C95A-41D4-9501-3FE9D5D9C8B3}" name="10" totalsRowFunction="sum" dataDxfId="100" totalsRowDxfId="99"/>
    <tableColumn id="15" xr3:uid="{A2EEA9B6-9CED-4651-8A6F-0DA5203D8CC1}" name="11" totalsRowFunction="sum" dataDxfId="98" totalsRowDxfId="97"/>
    <tableColumn id="6" xr3:uid="{87E55B17-4706-4FE9-94FF-6B6631CD5F83}" name="12" totalsRowFunction="sum" dataDxfId="96" totalsRowDxfId="95"/>
    <tableColumn id="20" xr3:uid="{B83C9D25-E1A0-4CC6-AC0E-EE6702EA6962}" name="Avg." dataDxfId="94" totalsRowDxfId="93">
      <calculatedColumnFormula>IF(ISNUMBER(AVERAGEIF(Historis_Tunj4[[#This Row],[1]:[12]],"&gt;0")),AVERAGEIF(Historis_Tunj4[[#This Row],[1]:[12]],"&gt;0"),0)</calculatedColumnFormula>
    </tableColumn>
    <tableColumn id="21" xr3:uid="{797A8851-3766-49C4-A584-34DC6145F04E}" name="Angka Terakhir" dataDxfId="92" totalsRowDxfId="91">
      <calculatedColumnFormula>Historis_Tunj4[[#This Row],[12]]</calculatedColumnFormula>
    </tableColumn>
    <tableColumn id="22" xr3:uid="{D0821408-35A1-4FF2-9AD6-1699DB4F0EB0}" name="Angka yang Digunakan" totalsRowFunction="sum" dataDxfId="90" totalsRowDxfId="89"/>
    <tableColumn id="12" xr3:uid="{43B9C8AB-E177-42AF-B834-68D357B83F29}" name="Keterangan" dataDxfId="88" totalsRowDxfId="87" dataCellStyle="Comma 12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5638E9-1D8C-42F2-A64E-92EF22D7016D}" name="Data_Kewajiban" displayName="Data_Kewajiban" ref="A8:R29" totalsRowCount="1" headerRowDxfId="86" dataDxfId="85" totalsRowDxfId="84" dataCellStyle="Comma [0] 4 2">
  <autoFilter ref="A8:R28" xr:uid="{A3318C9F-B032-4FBE-83AB-68F922BE94EE}"/>
  <tableColumns count="18">
    <tableColumn id="1" xr3:uid="{0EF83DD2-1187-4309-8B5F-93EB7C18AF98}" name="No." totalsRowLabel="Total" dataDxfId="83" totalsRowDxfId="82" dataCellStyle="Normal 2"/>
    <tableColumn id="2" xr3:uid="{092243B4-F1A8-481C-AD9A-80CDF52A1D89}" name="Nama" totalsRowFunction="count" dataDxfId="81" totalsRowDxfId="80" dataCellStyle="Normal 2"/>
    <tableColumn id="3" xr3:uid="{A30F3D24-E443-4620-AF0A-9C1D6FD36AD2}" name="Jabatan" dataDxfId="79" totalsRowDxfId="78" dataCellStyle="Normal 2">
      <calculatedColumnFormula>INDEX(Data_Pegawai[Jabatan],MATCH(Data_Kewajiban[[#This Row],[Nama]],Data_Pegawai[Nama],0))</calculatedColumnFormula>
    </tableColumn>
    <tableColumn id="23" xr3:uid="{E6B5ED26-2A36-4405-93C3-D871723FD0D5}" name="No. PK" dataDxfId="77" totalsRowDxfId="76" dataCellStyle="Normal 2"/>
    <tableColumn id="34" xr3:uid="{E88A8D91-27F9-4C91-8FF5-BD86CAD4138B}" name="Angsuran Sesuai PK" totalsRowFunction="sum" dataDxfId="75" totalsRowDxfId="74"/>
    <tableColumn id="25" xr3:uid="{0EF9E487-E576-48F6-B0F9-AFE7384A614E}" name="Pokok NP" totalsRowFunction="sum" dataDxfId="73" totalsRowDxfId="72" dataCellStyle="Normal 2"/>
    <tableColumn id="26" xr3:uid="{EAE22812-14B7-4C1B-94C0-7477620B5EDD}" name="Bunga/Margin NP" totalsRowFunction="sum" dataDxfId="71" totalsRowDxfId="70" dataCellStyle="Normal 2"/>
    <tableColumn id="27" xr3:uid="{D75F12D3-CC58-4BA7-AA84-4F0B28486A16}" name="Denda NP" totalsRowFunction="sum" dataDxfId="69" totalsRowDxfId="68" dataCellStyle="Normal 2"/>
    <tableColumn id="35" xr3:uid="{97B3F3B3-F21F-45BB-8994-0675137D8557}" name="Setoff Pokok" totalsRowFunction="sum" dataDxfId="67" totalsRowDxfId="66"/>
    <tableColumn id="36" xr3:uid="{24BD3C3A-6607-48E3-99D2-B4AE7ECD5EB0}" name="Setoff Bunga/Margin" totalsRowFunction="sum" dataDxfId="65" totalsRowDxfId="64"/>
    <tableColumn id="37" xr3:uid="{17A23F08-0064-489B-AD1E-E41BD5FCB03D}" name="Setoff Denda" totalsRowFunction="sum" dataDxfId="63" totalsRowDxfId="62"/>
    <tableColumn id="24" xr3:uid="{C575C8E3-182B-49A7-BD7C-4C90A776DAF0}" name="Pencairan Pokok" totalsRowFunction="sum" dataDxfId="61" totalsRowDxfId="60" dataCellStyle="Normal 2"/>
    <tableColumn id="29" xr3:uid="{B7B69537-9031-46F8-A587-B1A532BD6ED6}" name="Pencairan Bunga/Margin" totalsRowFunction="sum" dataDxfId="59" totalsRowDxfId="58"/>
    <tableColumn id="28" xr3:uid="{530E0B5C-FA4B-427B-A18E-7674F8092706}" name="Pencairan Denda" totalsRowFunction="sum" dataDxfId="57" totalsRowDxfId="56"/>
    <tableColumn id="30" xr3:uid="{F44F81C1-B4A2-4381-9411-CA91500F2802}" name="Sisa Pokok" totalsRowFunction="sum" dataDxfId="55" totalsRowDxfId="54">
      <calculatedColumnFormula>Data_Kewajiban[[#This Row],[Pokok NP]]-Data_Kewajiban[[#This Row],[Setoff Pokok]]-Data_Kewajiban[[#This Row],[Pencairan Pokok]]</calculatedColumnFormula>
    </tableColumn>
    <tableColumn id="31" xr3:uid="{E3247B94-DB13-4E33-B3F0-D832A25AE70A}" name="Sisa Bunga/Margin" totalsRowFunction="sum" dataDxfId="53" totalsRowDxfId="52">
      <calculatedColumnFormula>Data_Kewajiban[[#This Row],[Bunga/Margin NP]]-Data_Kewajiban[[#This Row],[Setoff Bunga/Margin]]-Data_Kewajiban[[#This Row],[Pencairan Bunga/Margin]]</calculatedColumnFormula>
    </tableColumn>
    <tableColumn id="32" xr3:uid="{DD85091D-2EE6-4E29-9B60-AAEF3E37231D}" name="Sisa Denda" totalsRowFunction="sum" dataDxfId="51" totalsRowDxfId="50">
      <calculatedColumnFormula>Data_Kewajiban[[#This Row],[Denda NP]]-Data_Kewajiban[[#This Row],[Setoff Denda]]-Data_Kewajiban[[#This Row],[Pencairan Denda]]</calculatedColumnFormula>
    </tableColumn>
    <tableColumn id="33" xr3:uid="{E6ECCFFC-B803-41D1-AD94-AA4C360D5C55}" name="Sisa Kewajiban sebelum Pesangon" totalsRowFunction="sum" dataDxfId="49" totalsRowDxfId="48">
      <calculatedColumnFormula>SUM(Data_Kewajiban[[#This Row],[Sisa Pokok]:[Sisa Denda]])</calculatedColumnFormula>
    </tableColumn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8975-112E-4243-9E3C-EC358FBD93AC}">
  <sheetPr>
    <pageSetUpPr fitToPage="1"/>
  </sheetPr>
  <dimension ref="A2:S37"/>
  <sheetViews>
    <sheetView tabSelected="1" zoomScale="73" workbookViewId="0">
      <selection activeCell="P15" sqref="P15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4" width="22" style="1" customWidth="1"/>
    <col min="5" max="5" width="14.33203125" style="1" customWidth="1"/>
    <col min="6" max="6" width="16.6640625" style="1" customWidth="1"/>
    <col min="7" max="7" width="12.44140625" style="1" customWidth="1"/>
    <col min="8" max="13" width="12.21875" style="1" customWidth="1"/>
    <col min="14" max="15" width="11.6640625" style="1" customWidth="1"/>
    <col min="16" max="19" width="12.21875" style="1" customWidth="1"/>
    <col min="20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6.2" x14ac:dyDescent="0.3">
      <c r="A5" s="35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9" x14ac:dyDescent="0.3">
      <c r="A7" s="36" t="s">
        <v>31</v>
      </c>
      <c r="B7" s="36"/>
      <c r="C7" s="37" t="s">
        <v>33</v>
      </c>
      <c r="D7" s="37"/>
      <c r="E7" s="37"/>
      <c r="F7" s="2"/>
      <c r="G7" s="2"/>
      <c r="H7" s="2"/>
      <c r="I7" s="2"/>
      <c r="J7" s="2"/>
      <c r="K7" s="2"/>
      <c r="L7" s="2"/>
      <c r="M7" s="2"/>
    </row>
    <row r="8" spans="1:19" x14ac:dyDescent="0.3">
      <c r="A8" s="36" t="s">
        <v>32</v>
      </c>
      <c r="B8" s="36"/>
      <c r="C8" s="38">
        <v>43749</v>
      </c>
      <c r="D8" s="38"/>
      <c r="E8" s="38"/>
      <c r="F8" s="2"/>
      <c r="G8" s="2"/>
      <c r="H8" s="2"/>
      <c r="I8" s="2"/>
      <c r="J8" s="2"/>
      <c r="K8" s="2"/>
      <c r="L8" s="2"/>
      <c r="M8" s="2"/>
    </row>
    <row r="9" spans="1:19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9" x14ac:dyDescent="0.3">
      <c r="E10" s="3"/>
      <c r="F10" s="3"/>
      <c r="H10" s="33" t="s">
        <v>30</v>
      </c>
      <c r="I10" s="33"/>
      <c r="J10" s="33"/>
      <c r="K10" s="33"/>
      <c r="L10" s="33"/>
      <c r="M10" s="33"/>
      <c r="N10" s="34" t="s">
        <v>23</v>
      </c>
      <c r="O10" s="34"/>
      <c r="P10" s="34"/>
      <c r="Q10" s="34"/>
      <c r="R10" s="34"/>
      <c r="S10" s="34"/>
    </row>
    <row r="11" spans="1:19" ht="36" customHeight="1" x14ac:dyDescent="0.3">
      <c r="A11" s="4" t="s">
        <v>2</v>
      </c>
      <c r="B11" s="4" t="s">
        <v>3</v>
      </c>
      <c r="C11" s="4" t="s">
        <v>4</v>
      </c>
      <c r="D11" s="4" t="s">
        <v>34</v>
      </c>
      <c r="E11" s="4" t="s">
        <v>16</v>
      </c>
      <c r="F11" s="4" t="s">
        <v>17</v>
      </c>
      <c r="G11" s="4" t="s">
        <v>14</v>
      </c>
      <c r="H11" s="4" t="s">
        <v>15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5</v>
      </c>
      <c r="N11" s="4" t="s">
        <v>18</v>
      </c>
      <c r="O11" s="4" t="s">
        <v>96</v>
      </c>
      <c r="P11" s="4" t="s">
        <v>19</v>
      </c>
      <c r="Q11" s="4" t="s">
        <v>20</v>
      </c>
      <c r="R11" s="4" t="s">
        <v>21</v>
      </c>
      <c r="S11" s="4" t="s">
        <v>22</v>
      </c>
    </row>
    <row r="12" spans="1:19" x14ac:dyDescent="0.3">
      <c r="A12" s="12">
        <v>1</v>
      </c>
      <c r="B12" s="12" t="s">
        <v>55</v>
      </c>
      <c r="C12" s="12" t="s">
        <v>6</v>
      </c>
      <c r="D12" s="12" t="s">
        <v>35</v>
      </c>
      <c r="E12" s="13">
        <v>38863</v>
      </c>
      <c r="F12" s="13">
        <v>43822</v>
      </c>
      <c r="G12" s="24">
        <f t="shared" ref="G12:G24" si="0">DATEDIF(E12,F12,"Y")</f>
        <v>13</v>
      </c>
      <c r="H12" s="23">
        <f>IF(ISNUMBER(INDEX(Historis_Gaji[Angka yang Digunakan],MATCH(Data_Pegawai[[#This Row],[Nama]],Historis_Gaji[Nama],0))),INDEX(Historis_Gaji[Angka yang Digunakan],MATCH(Data_Pegawai[[#This Row],[Nama]],Historis_Gaji[Nama],0)),0)</f>
        <v>2500000</v>
      </c>
      <c r="I12" s="23">
        <f>IF(ISNUMBER(INDEX(Historis_Tunj1[Angka yang Digunakan],MATCH(Data_Pegawai[[#This Row],[Nama]],Historis_Tunj1[Nama],0))),INDEX(Historis_Tunj1[Angka yang Digunakan],MATCH(Data_Pegawai[[#This Row],[Nama]],Historis_Tunj1[Nama],0)),0)</f>
        <v>500000</v>
      </c>
      <c r="J12" s="23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12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2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12" s="23">
        <f>SUM(H12:L12)</f>
        <v>3050000</v>
      </c>
      <c r="N12" s="25">
        <f>MIN(Data_Pegawai[[#This Row],[Masa Kerja (tahun)]]+1,9)</f>
        <v>9</v>
      </c>
      <c r="O12" s="42">
        <v>0.5</v>
      </c>
      <c r="P12" s="25">
        <f>IF(Data_Pegawai[[#This Row],[Status Pegawai]]="Pegawai Tetap (PKWTT)",Data_Pegawai[[#This Row],[Multiplier Pesangon]]*Data_Pegawai[[#This Row],[THP]]*Data_Pegawai[[#This Row],[Multiplier Jenis PHK*]],0)</f>
        <v>13725000</v>
      </c>
      <c r="Q12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12" s="25">
        <f>IF(Data_Pegawai[[#This Row],[Gross Pesangon]]&gt;Data_Pegawai[[#This Row],[Kewajiban Pegawai]],Data_Pegawai[[#This Row],[Gross Pesangon]]-Data_Pegawai[[#This Row],[Kewajiban Pegawai]],0)</f>
        <v>13725000</v>
      </c>
      <c r="S12" s="25">
        <f>IF(Data_Pegawai[[#This Row],[Kewajiban Pegawai]]&gt;Data_Pegawai[[#This Row],[Gross Pesangon]],Data_Pegawai[[#This Row],[Kewajiban Pegawai]]-Data_Pegawai[[#This Row],[Gross Pesangon]],0)</f>
        <v>0</v>
      </c>
    </row>
    <row r="13" spans="1:19" x14ac:dyDescent="0.3">
      <c r="A13" s="12">
        <v>2</v>
      </c>
      <c r="B13" s="12" t="s">
        <v>56</v>
      </c>
      <c r="C13" s="12" t="s">
        <v>24</v>
      </c>
      <c r="D13" s="12" t="s">
        <v>35</v>
      </c>
      <c r="E13" s="13">
        <v>38863</v>
      </c>
      <c r="F13" s="13">
        <v>43822</v>
      </c>
      <c r="G13" s="24">
        <f t="shared" si="0"/>
        <v>13</v>
      </c>
      <c r="H13" s="23">
        <f>IF(ISNUMBER(INDEX(Historis_Gaji[Angka yang Digunakan],MATCH(Data_Pegawai[[#This Row],[Nama]],Historis_Gaji[Nama],0))),INDEX(Historis_Gaji[Angka yang Digunakan],MATCH(Data_Pegawai[[#This Row],[Nama]],Historis_Gaji[Nama],0)),0)</f>
        <v>2500000</v>
      </c>
      <c r="I13" s="23">
        <f>IF(ISNUMBER(INDEX(Historis_Tunj1[Angka yang Digunakan],MATCH(Data_Pegawai[[#This Row],[Nama]],Historis_Tunj1[Nama],0))),INDEX(Historis_Tunj1[Angka yang Digunakan],MATCH(Data_Pegawai[[#This Row],[Nama]],Historis_Tunj1[Nama],0)),0)</f>
        <v>500000</v>
      </c>
      <c r="J13" s="23">
        <f>IF(ISNUMBER(INDEX(Historis_Tunj2[Angka yang Digunakan],MATCH(Data_Pegawai[[#This Row],[Nama]],Historis_Tunj2[Nama],0))),INDEX(Historis_Tunj2[Angka yang Digunakan],MATCH(Data_Pegawai[[#This Row],[Nama]],Historis_Tunj2[Nama],0)),0)</f>
        <v>300000</v>
      </c>
      <c r="K13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3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13" s="23">
        <f t="shared" ref="M13:M24" si="1">SUM(H13:L13)</f>
        <v>3350000</v>
      </c>
      <c r="N13" s="25">
        <f>MIN(Data_Pegawai[[#This Row],[Masa Kerja (tahun)]]+1,9)</f>
        <v>9</v>
      </c>
      <c r="O13" s="42">
        <v>0.5</v>
      </c>
      <c r="P13" s="25">
        <f>IF(Data_Pegawai[[#This Row],[Status Pegawai]]="Pegawai Tetap (PKWTT)",Data_Pegawai[[#This Row],[Multiplier Pesangon]]*Data_Pegawai[[#This Row],[THP]]*Data_Pegawai[[#This Row],[Multiplier Jenis PHK*]],0)</f>
        <v>15075000</v>
      </c>
      <c r="Q13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83034225</v>
      </c>
      <c r="R13" s="25">
        <f>IF(Data_Pegawai[[#This Row],[Gross Pesangon]]&gt;Data_Pegawai[[#This Row],[Kewajiban Pegawai]],Data_Pegawai[[#This Row],[Gross Pesangon]]-Data_Pegawai[[#This Row],[Kewajiban Pegawai]],0)</f>
        <v>0</v>
      </c>
      <c r="S13" s="25">
        <f>IF(Data_Pegawai[[#This Row],[Kewajiban Pegawai]]&gt;Data_Pegawai[[#This Row],[Gross Pesangon]],Data_Pegawai[[#This Row],[Kewajiban Pegawai]]-Data_Pegawai[[#This Row],[Gross Pesangon]],0)</f>
        <v>67959225</v>
      </c>
    </row>
    <row r="14" spans="1:19" x14ac:dyDescent="0.3">
      <c r="A14" s="12">
        <v>3</v>
      </c>
      <c r="B14" s="12" t="s">
        <v>57</v>
      </c>
      <c r="C14" s="12" t="s">
        <v>7</v>
      </c>
      <c r="D14" s="12" t="s">
        <v>35</v>
      </c>
      <c r="E14" s="13">
        <v>38863</v>
      </c>
      <c r="F14" s="13">
        <v>43794</v>
      </c>
      <c r="G14" s="24">
        <f t="shared" si="0"/>
        <v>13</v>
      </c>
      <c r="H14" s="23">
        <f>IF(ISNUMBER(INDEX(Historis_Gaji[Angka yang Digunakan],MATCH(Data_Pegawai[[#This Row],[Nama]],Historis_Gaji[Nama],0))),INDEX(Historis_Gaji[Angka yang Digunakan],MATCH(Data_Pegawai[[#This Row],[Nama]],Historis_Gaji[Nama],0)),0)</f>
        <v>2500000</v>
      </c>
      <c r="I14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4" s="23">
        <f>IF(ISNUMBER(INDEX(Historis_Tunj2[Angka yang Digunakan],MATCH(Data_Pegawai[[#This Row],[Nama]],Historis_Tunj2[Nama],0))),INDEX(Historis_Tunj2[Angka yang Digunakan],MATCH(Data_Pegawai[[#This Row],[Nama]],Historis_Tunj2[Nama],0)),0)</f>
        <v>600000</v>
      </c>
      <c r="K14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4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14" s="23">
        <f t="shared" si="1"/>
        <v>3100000</v>
      </c>
      <c r="N14" s="25">
        <f>MIN(Data_Pegawai[[#This Row],[Masa Kerja (tahun)]]+1,9)</f>
        <v>9</v>
      </c>
      <c r="O14" s="42">
        <v>0.5</v>
      </c>
      <c r="P14" s="25">
        <f>IF(Data_Pegawai[[#This Row],[Status Pegawai]]="Pegawai Tetap (PKWTT)",Data_Pegawai[[#This Row],[Multiplier Pesangon]]*Data_Pegawai[[#This Row],[THP]]*Data_Pegawai[[#This Row],[Multiplier Jenis PHK*]],0)</f>
        <v>13950000</v>
      </c>
      <c r="Q14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126768140</v>
      </c>
      <c r="R14" s="25">
        <f>IF(Data_Pegawai[[#This Row],[Gross Pesangon]]&gt;Data_Pegawai[[#This Row],[Kewajiban Pegawai]],Data_Pegawai[[#This Row],[Gross Pesangon]]-Data_Pegawai[[#This Row],[Kewajiban Pegawai]],0)</f>
        <v>0</v>
      </c>
      <c r="S14" s="25">
        <f>IF(Data_Pegawai[[#This Row],[Kewajiban Pegawai]]&gt;Data_Pegawai[[#This Row],[Gross Pesangon]],Data_Pegawai[[#This Row],[Kewajiban Pegawai]]-Data_Pegawai[[#This Row],[Gross Pesangon]],0)</f>
        <v>112818140</v>
      </c>
    </row>
    <row r="15" spans="1:19" x14ac:dyDescent="0.3">
      <c r="A15" s="12">
        <v>4</v>
      </c>
      <c r="B15" s="12" t="s">
        <v>58</v>
      </c>
      <c r="C15" s="12" t="s">
        <v>8</v>
      </c>
      <c r="D15" s="12" t="s">
        <v>35</v>
      </c>
      <c r="E15" s="13">
        <v>38863</v>
      </c>
      <c r="F15" s="13">
        <v>43794</v>
      </c>
      <c r="G15" s="24">
        <f t="shared" si="0"/>
        <v>13</v>
      </c>
      <c r="H15" s="23">
        <f>IF(ISNUMBER(INDEX(Historis_Gaji[Angka yang Digunakan],MATCH(Data_Pegawai[[#This Row],[Nama]],Historis_Gaji[Nama],0))),INDEX(Historis_Gaji[Angka yang Digunakan],MATCH(Data_Pegawai[[#This Row],[Nama]],Historis_Gaji[Nama],0)),0)</f>
        <v>2000000</v>
      </c>
      <c r="I15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5" s="23">
        <f>IF(ISNUMBER(INDEX(Historis_Tunj2[Angka yang Digunakan],MATCH(Data_Pegawai[[#This Row],[Nama]],Historis_Tunj2[Nama],0))),INDEX(Historis_Tunj2[Angka yang Digunakan],MATCH(Data_Pegawai[[#This Row],[Nama]],Historis_Tunj2[Nama],0)),0)</f>
        <v>300000</v>
      </c>
      <c r="K15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5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15" s="23">
        <f t="shared" si="1"/>
        <v>2350000</v>
      </c>
      <c r="N15" s="25">
        <f>MIN(Data_Pegawai[[#This Row],[Masa Kerja (tahun)]]+1,9)</f>
        <v>9</v>
      </c>
      <c r="O15" s="42">
        <v>0.5</v>
      </c>
      <c r="P15" s="25">
        <f>IF(Data_Pegawai[[#This Row],[Status Pegawai]]="Pegawai Tetap (PKWTT)",Data_Pegawai[[#This Row],[Multiplier Pesangon]]*Data_Pegawai[[#This Row],[THP]]*Data_Pegawai[[#This Row],[Multiplier Jenis PHK*]],0)</f>
        <v>10575000</v>
      </c>
      <c r="Q15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104214476</v>
      </c>
      <c r="R15" s="25">
        <f>IF(Data_Pegawai[[#This Row],[Gross Pesangon]]&gt;Data_Pegawai[[#This Row],[Kewajiban Pegawai]],Data_Pegawai[[#This Row],[Gross Pesangon]]-Data_Pegawai[[#This Row],[Kewajiban Pegawai]],0)</f>
        <v>0</v>
      </c>
      <c r="S15" s="25">
        <f>IF(Data_Pegawai[[#This Row],[Kewajiban Pegawai]]&gt;Data_Pegawai[[#This Row],[Gross Pesangon]],Data_Pegawai[[#This Row],[Kewajiban Pegawai]]-Data_Pegawai[[#This Row],[Gross Pesangon]],0)</f>
        <v>93639476</v>
      </c>
    </row>
    <row r="16" spans="1:19" x14ac:dyDescent="0.3">
      <c r="A16" s="12">
        <v>5</v>
      </c>
      <c r="B16" s="12" t="s">
        <v>59</v>
      </c>
      <c r="C16" s="12" t="s">
        <v>7</v>
      </c>
      <c r="D16" s="12" t="s">
        <v>35</v>
      </c>
      <c r="E16" s="13">
        <v>39265</v>
      </c>
      <c r="F16" s="13">
        <v>43822</v>
      </c>
      <c r="G16" s="24">
        <f t="shared" si="0"/>
        <v>12</v>
      </c>
      <c r="H16" s="23">
        <f>IF(ISNUMBER(INDEX(Historis_Gaji[Angka yang Digunakan],MATCH(Data_Pegawai[[#This Row],[Nama]],Historis_Gaji[Nama],0))),INDEX(Historis_Gaji[Angka yang Digunakan],MATCH(Data_Pegawai[[#This Row],[Nama]],Historis_Gaji[Nama],0)),0)</f>
        <v>1900000</v>
      </c>
      <c r="I16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6" s="23">
        <f>IF(ISNUMBER(INDEX(Historis_Tunj2[Angka yang Digunakan],MATCH(Data_Pegawai[[#This Row],[Nama]],Historis_Tunj2[Nama],0))),INDEX(Historis_Tunj2[Angka yang Digunakan],MATCH(Data_Pegawai[[#This Row],[Nama]],Historis_Tunj2[Nama],0)),0)</f>
        <v>600000</v>
      </c>
      <c r="K16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6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16" s="23">
        <f t="shared" si="1"/>
        <v>2500000</v>
      </c>
      <c r="N16" s="25">
        <f>MIN(Data_Pegawai[[#This Row],[Masa Kerja (tahun)]]+1,9)</f>
        <v>9</v>
      </c>
      <c r="O16" s="42">
        <v>0.5</v>
      </c>
      <c r="P16" s="25">
        <f>IF(Data_Pegawai[[#This Row],[Status Pegawai]]="Pegawai Tetap (PKWTT)",Data_Pegawai[[#This Row],[Multiplier Pesangon]]*Data_Pegawai[[#This Row],[THP]]*Data_Pegawai[[#This Row],[Multiplier Jenis PHK*]],0)</f>
        <v>11250000</v>
      </c>
      <c r="Q16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75737508</v>
      </c>
      <c r="R16" s="25">
        <f>IF(Data_Pegawai[[#This Row],[Gross Pesangon]]&gt;Data_Pegawai[[#This Row],[Kewajiban Pegawai]],Data_Pegawai[[#This Row],[Gross Pesangon]]-Data_Pegawai[[#This Row],[Kewajiban Pegawai]],0)</f>
        <v>0</v>
      </c>
      <c r="S16" s="25">
        <f>IF(Data_Pegawai[[#This Row],[Kewajiban Pegawai]]&gt;Data_Pegawai[[#This Row],[Gross Pesangon]],Data_Pegawai[[#This Row],[Kewajiban Pegawai]]-Data_Pegawai[[#This Row],[Gross Pesangon]],0)</f>
        <v>64487508</v>
      </c>
    </row>
    <row r="17" spans="1:19" x14ac:dyDescent="0.3">
      <c r="A17" s="12">
        <v>6</v>
      </c>
      <c r="B17" s="12" t="s">
        <v>60</v>
      </c>
      <c r="C17" s="12" t="s">
        <v>9</v>
      </c>
      <c r="D17" s="12" t="s">
        <v>35</v>
      </c>
      <c r="E17" s="13">
        <v>40063</v>
      </c>
      <c r="F17" s="13">
        <v>43794</v>
      </c>
      <c r="G17" s="24">
        <f t="shared" si="0"/>
        <v>10</v>
      </c>
      <c r="H17" s="23">
        <f>IF(ISNUMBER(INDEX(Historis_Gaji[Angka yang Digunakan],MATCH(Data_Pegawai[[#This Row],[Nama]],Historis_Gaji[Nama],0))),INDEX(Historis_Gaji[Angka yang Digunakan],MATCH(Data_Pegawai[[#This Row],[Nama]],Historis_Gaji[Nama],0)),0)</f>
        <v>1900000</v>
      </c>
      <c r="I17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7" s="23">
        <f>IF(ISNUMBER(INDEX(Historis_Tunj2[Angka yang Digunakan],MATCH(Data_Pegawai[[#This Row],[Nama]],Historis_Tunj2[Nama],0))),INDEX(Historis_Tunj2[Angka yang Digunakan],MATCH(Data_Pegawai[[#This Row],[Nama]],Historis_Tunj2[Nama],0)),0)</f>
        <v>400000</v>
      </c>
      <c r="K17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7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17" s="23">
        <f t="shared" si="1"/>
        <v>2300000</v>
      </c>
      <c r="N17" s="25">
        <f>MIN(Data_Pegawai[[#This Row],[Masa Kerja (tahun)]]+1,9)</f>
        <v>9</v>
      </c>
      <c r="O17" s="42">
        <v>0.5</v>
      </c>
      <c r="P17" s="25">
        <f>IF(Data_Pegawai[[#This Row],[Status Pegawai]]="Pegawai Tetap (PKWTT)",Data_Pegawai[[#This Row],[Multiplier Pesangon]]*Data_Pegawai[[#This Row],[THP]]*Data_Pegawai[[#This Row],[Multiplier Jenis PHK*]],0)</f>
        <v>10350000</v>
      </c>
      <c r="Q17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92863954</v>
      </c>
      <c r="R17" s="25">
        <f>IF(Data_Pegawai[[#This Row],[Gross Pesangon]]&gt;Data_Pegawai[[#This Row],[Kewajiban Pegawai]],Data_Pegawai[[#This Row],[Gross Pesangon]]-Data_Pegawai[[#This Row],[Kewajiban Pegawai]],0)</f>
        <v>0</v>
      </c>
      <c r="S17" s="25">
        <f>IF(Data_Pegawai[[#This Row],[Kewajiban Pegawai]]&gt;Data_Pegawai[[#This Row],[Gross Pesangon]],Data_Pegawai[[#This Row],[Kewajiban Pegawai]]-Data_Pegawai[[#This Row],[Gross Pesangon]],0)</f>
        <v>82513954</v>
      </c>
    </row>
    <row r="18" spans="1:19" x14ac:dyDescent="0.3">
      <c r="A18" s="12">
        <v>7</v>
      </c>
      <c r="B18" s="12" t="s">
        <v>61</v>
      </c>
      <c r="C18" s="12" t="s">
        <v>8</v>
      </c>
      <c r="D18" s="12" t="s">
        <v>35</v>
      </c>
      <c r="E18" s="13">
        <v>40063</v>
      </c>
      <c r="F18" s="13">
        <v>43794</v>
      </c>
      <c r="G18" s="24">
        <f t="shared" si="0"/>
        <v>10</v>
      </c>
      <c r="H18" s="23">
        <f>IF(ISNUMBER(INDEX(Historis_Gaji[Angka yang Digunakan],MATCH(Data_Pegawai[[#This Row],[Nama]],Historis_Gaji[Nama],0))),INDEX(Historis_Gaji[Angka yang Digunakan],MATCH(Data_Pegawai[[#This Row],[Nama]],Historis_Gaji[Nama],0)),0)</f>
        <v>1900000</v>
      </c>
      <c r="I18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8" s="23">
        <f>IF(ISNUMBER(INDEX(Historis_Tunj2[Angka yang Digunakan],MATCH(Data_Pegawai[[#This Row],[Nama]],Historis_Tunj2[Nama],0))),INDEX(Historis_Tunj2[Angka yang Digunakan],MATCH(Data_Pegawai[[#This Row],[Nama]],Historis_Tunj2[Nama],0)),0)</f>
        <v>300000</v>
      </c>
      <c r="K18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8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18" s="23">
        <f t="shared" si="1"/>
        <v>2250000</v>
      </c>
      <c r="N18" s="25">
        <f>MIN(Data_Pegawai[[#This Row],[Masa Kerja (tahun)]]+1,9)</f>
        <v>9</v>
      </c>
      <c r="O18" s="42">
        <v>0.5</v>
      </c>
      <c r="P18" s="25">
        <f>IF(Data_Pegawai[[#This Row],[Status Pegawai]]="Pegawai Tetap (PKWTT)",Data_Pegawai[[#This Row],[Multiplier Pesangon]]*Data_Pegawai[[#This Row],[THP]]*Data_Pegawai[[#This Row],[Multiplier Jenis PHK*]],0)</f>
        <v>10125000</v>
      </c>
      <c r="Q18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119953232</v>
      </c>
      <c r="R18" s="25">
        <f>IF(Data_Pegawai[[#This Row],[Gross Pesangon]]&gt;Data_Pegawai[[#This Row],[Kewajiban Pegawai]],Data_Pegawai[[#This Row],[Gross Pesangon]]-Data_Pegawai[[#This Row],[Kewajiban Pegawai]],0)</f>
        <v>0</v>
      </c>
      <c r="S18" s="25">
        <f>IF(Data_Pegawai[[#This Row],[Kewajiban Pegawai]]&gt;Data_Pegawai[[#This Row],[Gross Pesangon]],Data_Pegawai[[#This Row],[Kewajiban Pegawai]]-Data_Pegawai[[#This Row],[Gross Pesangon]],0)</f>
        <v>109828232</v>
      </c>
    </row>
    <row r="19" spans="1:19" x14ac:dyDescent="0.3">
      <c r="A19" s="12">
        <v>8</v>
      </c>
      <c r="B19" s="12" t="s">
        <v>62</v>
      </c>
      <c r="C19" s="12" t="s">
        <v>10</v>
      </c>
      <c r="D19" s="12" t="s">
        <v>35</v>
      </c>
      <c r="E19" s="13">
        <v>40266</v>
      </c>
      <c r="F19" s="13">
        <v>43822</v>
      </c>
      <c r="G19" s="24">
        <f t="shared" si="0"/>
        <v>9</v>
      </c>
      <c r="H19" s="23">
        <f>IF(ISNUMBER(INDEX(Historis_Gaji[Angka yang Digunakan],MATCH(Data_Pegawai[[#This Row],[Nama]],Historis_Gaji[Nama],0))),INDEX(Historis_Gaji[Angka yang Digunakan],MATCH(Data_Pegawai[[#This Row],[Nama]],Historis_Gaji[Nama],0)),0)</f>
        <v>1750000</v>
      </c>
      <c r="I19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19" s="23">
        <f>IF(ISNUMBER(INDEX(Historis_Tunj2[Angka yang Digunakan],MATCH(Data_Pegawai[[#This Row],[Nama]],Historis_Tunj2[Nama],0))),INDEX(Historis_Tunj2[Angka yang Digunakan],MATCH(Data_Pegawai[[#This Row],[Nama]],Historis_Tunj2[Nama],0)),0)</f>
        <v>400000</v>
      </c>
      <c r="K19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19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19" s="23">
        <f t="shared" si="1"/>
        <v>2150000</v>
      </c>
      <c r="N19" s="25">
        <f>MIN(Data_Pegawai[[#This Row],[Masa Kerja (tahun)]]+1,9)</f>
        <v>9</v>
      </c>
      <c r="O19" s="42">
        <v>0.5</v>
      </c>
      <c r="P19" s="25">
        <f>IF(Data_Pegawai[[#This Row],[Status Pegawai]]="Pegawai Tetap (PKWTT)",Data_Pegawai[[#This Row],[Multiplier Pesangon]]*Data_Pegawai[[#This Row],[THP]]*Data_Pegawai[[#This Row],[Multiplier Jenis PHK*]],0)</f>
        <v>9675000</v>
      </c>
      <c r="Q19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40672634</v>
      </c>
      <c r="R19" s="25">
        <f>IF(Data_Pegawai[[#This Row],[Gross Pesangon]]&gt;Data_Pegawai[[#This Row],[Kewajiban Pegawai]],Data_Pegawai[[#This Row],[Gross Pesangon]]-Data_Pegawai[[#This Row],[Kewajiban Pegawai]],0)</f>
        <v>0</v>
      </c>
      <c r="S19" s="25">
        <f>IF(Data_Pegawai[[#This Row],[Kewajiban Pegawai]]&gt;Data_Pegawai[[#This Row],[Gross Pesangon]],Data_Pegawai[[#This Row],[Kewajiban Pegawai]]-Data_Pegawai[[#This Row],[Gross Pesangon]],0)</f>
        <v>30997634</v>
      </c>
    </row>
    <row r="20" spans="1:19" x14ac:dyDescent="0.3">
      <c r="A20" s="12">
        <v>9</v>
      </c>
      <c r="B20" s="12" t="s">
        <v>63</v>
      </c>
      <c r="C20" s="12" t="s">
        <v>11</v>
      </c>
      <c r="D20" s="12" t="s">
        <v>35</v>
      </c>
      <c r="E20" s="13">
        <v>41456</v>
      </c>
      <c r="F20" s="13">
        <v>43794</v>
      </c>
      <c r="G20" s="24">
        <f t="shared" si="0"/>
        <v>6</v>
      </c>
      <c r="H20" s="23">
        <f>IF(ISNUMBER(INDEX(Historis_Gaji[Angka yang Digunakan],MATCH(Data_Pegawai[[#This Row],[Nama]],Historis_Gaji[Nama],0))),INDEX(Historis_Gaji[Angka yang Digunakan],MATCH(Data_Pegawai[[#This Row],[Nama]],Historis_Gaji[Nama],0)),0)</f>
        <v>1200000</v>
      </c>
      <c r="I20" s="23">
        <f>IF(ISNUMBER(INDEX(Historis_Tunj1[Angka yang Digunakan],MATCH(Data_Pegawai[[#This Row],[Nama]],Historis_Tunj1[Nama],0))),INDEX(Historis_Tunj1[Angka yang Digunakan],MATCH(Data_Pegawai[[#This Row],[Nama]],Historis_Tunj1[Nama],0)),0)</f>
        <v>250000</v>
      </c>
      <c r="J20" s="23">
        <f>IF(ISNUMBER(INDEX(Historis_Tunj2[Angka yang Digunakan],MATCH(Data_Pegawai[[#This Row],[Nama]],Historis_Tunj2[Nama],0))),INDEX(Historis_Tunj2[Angka yang Digunakan],MATCH(Data_Pegawai[[#This Row],[Nama]],Historis_Tunj2[Nama],0)),0)</f>
        <v>100000</v>
      </c>
      <c r="K20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0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20" s="23">
        <f t="shared" si="1"/>
        <v>1600000</v>
      </c>
      <c r="N20" s="25">
        <f>MIN(Data_Pegawai[[#This Row],[Masa Kerja (tahun)]]+1,9)</f>
        <v>7</v>
      </c>
      <c r="O20" s="42">
        <v>0.5</v>
      </c>
      <c r="P20" s="25">
        <f>IF(Data_Pegawai[[#This Row],[Status Pegawai]]="Pegawai Tetap (PKWTT)",Data_Pegawai[[#This Row],[Multiplier Pesangon]]*Data_Pegawai[[#This Row],[THP]]*Data_Pegawai[[#This Row],[Multiplier Jenis PHK*]],0)</f>
        <v>5600000</v>
      </c>
      <c r="Q20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53092960</v>
      </c>
      <c r="R20" s="25">
        <f>IF(Data_Pegawai[[#This Row],[Gross Pesangon]]&gt;Data_Pegawai[[#This Row],[Kewajiban Pegawai]],Data_Pegawai[[#This Row],[Gross Pesangon]]-Data_Pegawai[[#This Row],[Kewajiban Pegawai]],0)</f>
        <v>0</v>
      </c>
      <c r="S20" s="25">
        <f>IF(Data_Pegawai[[#This Row],[Kewajiban Pegawai]]&gt;Data_Pegawai[[#This Row],[Gross Pesangon]],Data_Pegawai[[#This Row],[Kewajiban Pegawai]]-Data_Pegawai[[#This Row],[Gross Pesangon]],0)</f>
        <v>47492960</v>
      </c>
    </row>
    <row r="21" spans="1:19" x14ac:dyDescent="0.3">
      <c r="A21" s="12">
        <v>10</v>
      </c>
      <c r="B21" s="12" t="s">
        <v>64</v>
      </c>
      <c r="C21" s="12" t="s">
        <v>7</v>
      </c>
      <c r="D21" s="12" t="s">
        <v>35</v>
      </c>
      <c r="E21" s="13">
        <v>41988</v>
      </c>
      <c r="F21" s="13">
        <v>43794</v>
      </c>
      <c r="G21" s="24">
        <f t="shared" si="0"/>
        <v>4</v>
      </c>
      <c r="H21" s="23">
        <f>IF(ISNUMBER(INDEX(Historis_Gaji[Angka yang Digunakan],MATCH(Data_Pegawai[[#This Row],[Nama]],Historis_Gaji[Nama],0))),INDEX(Historis_Gaji[Angka yang Digunakan],MATCH(Data_Pegawai[[#This Row],[Nama]],Historis_Gaji[Nama],0)),0)</f>
        <v>1200000</v>
      </c>
      <c r="I21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1" s="23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1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1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1" s="23">
        <f t="shared" si="1"/>
        <v>1200000</v>
      </c>
      <c r="N21" s="25">
        <f>MIN(Data_Pegawai[[#This Row],[Masa Kerja (tahun)]]+1,9)</f>
        <v>5</v>
      </c>
      <c r="O21" s="42">
        <v>0.5</v>
      </c>
      <c r="P21" s="25">
        <f>IF(Data_Pegawai[[#This Row],[Status Pegawai]]="Pegawai Tetap (PKWTT)",Data_Pegawai[[#This Row],[Multiplier Pesangon]]*Data_Pegawai[[#This Row],[THP]]*Data_Pegawai[[#This Row],[Multiplier Jenis PHK*]],0)</f>
        <v>3000000</v>
      </c>
      <c r="Q21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33330051</v>
      </c>
      <c r="R21" s="25">
        <f>IF(Data_Pegawai[[#This Row],[Gross Pesangon]]&gt;Data_Pegawai[[#This Row],[Kewajiban Pegawai]],Data_Pegawai[[#This Row],[Gross Pesangon]]-Data_Pegawai[[#This Row],[Kewajiban Pegawai]],0)</f>
        <v>0</v>
      </c>
      <c r="S21" s="25">
        <f>IF(Data_Pegawai[[#This Row],[Kewajiban Pegawai]]&gt;Data_Pegawai[[#This Row],[Gross Pesangon]],Data_Pegawai[[#This Row],[Kewajiban Pegawai]]-Data_Pegawai[[#This Row],[Gross Pesangon]],0)</f>
        <v>30330051</v>
      </c>
    </row>
    <row r="22" spans="1:19" x14ac:dyDescent="0.3">
      <c r="A22" s="12">
        <v>11</v>
      </c>
      <c r="B22" s="12" t="s">
        <v>65</v>
      </c>
      <c r="C22" s="12" t="s">
        <v>10</v>
      </c>
      <c r="D22" s="12" t="s">
        <v>35</v>
      </c>
      <c r="E22" s="13">
        <v>42828</v>
      </c>
      <c r="F22" s="13">
        <v>43794</v>
      </c>
      <c r="G22" s="24">
        <f t="shared" si="0"/>
        <v>2</v>
      </c>
      <c r="H22" s="23">
        <f>IF(ISNUMBER(INDEX(Historis_Gaji[Angka yang Digunakan],MATCH(Data_Pegawai[[#This Row],[Nama]],Historis_Gaji[Nama],0))),INDEX(Historis_Gaji[Angka yang Digunakan],MATCH(Data_Pegawai[[#This Row],[Nama]],Historis_Gaji[Nama],0)),0)</f>
        <v>1200000</v>
      </c>
      <c r="I22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2" s="23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2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2" s="23">
        <f>IF(ISNUMBER(INDEX(Historis_Tunj4[Angka yang Digunakan],MATCH(Data_Pegawai[[#This Row],[Nama]],Historis_Tunj4[Nama],0))),INDEX(Historis_Tunj4[Angka yang Digunakan],MATCH(Data_Pegawai[[#This Row],[Nama]],Historis_Tunj4[Nama],0)),0)</f>
        <v>50000</v>
      </c>
      <c r="M22" s="23">
        <f t="shared" si="1"/>
        <v>1250000</v>
      </c>
      <c r="N22" s="25">
        <f>MIN(Data_Pegawai[[#This Row],[Masa Kerja (tahun)]]+1,9)</f>
        <v>3</v>
      </c>
      <c r="O22" s="42">
        <v>0.5</v>
      </c>
      <c r="P22" s="25">
        <f>IF(Data_Pegawai[[#This Row],[Status Pegawai]]="Pegawai Tetap (PKWTT)",Data_Pegawai[[#This Row],[Multiplier Pesangon]]*Data_Pegawai[[#This Row],[THP]]*Data_Pegawai[[#This Row],[Multiplier Jenis PHK*]],0)</f>
        <v>1875000</v>
      </c>
      <c r="Q22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2" s="25">
        <f>IF(Data_Pegawai[[#This Row],[Gross Pesangon]]&gt;Data_Pegawai[[#This Row],[Kewajiban Pegawai]],Data_Pegawai[[#This Row],[Gross Pesangon]]-Data_Pegawai[[#This Row],[Kewajiban Pegawai]],0)</f>
        <v>1875000</v>
      </c>
      <c r="S22" s="25">
        <f>IF(Data_Pegawai[[#This Row],[Kewajiban Pegawai]]&gt;Data_Pegawai[[#This Row],[Gross Pesangon]],Data_Pegawai[[#This Row],[Kewajiban Pegawai]]-Data_Pegawai[[#This Row],[Gross Pesangon]],0)</f>
        <v>0</v>
      </c>
    </row>
    <row r="23" spans="1:19" x14ac:dyDescent="0.3">
      <c r="A23" s="12">
        <v>12</v>
      </c>
      <c r="B23" s="12" t="s">
        <v>66</v>
      </c>
      <c r="C23" s="12" t="s">
        <v>12</v>
      </c>
      <c r="D23" s="12" t="s">
        <v>35</v>
      </c>
      <c r="E23" s="13">
        <v>43542</v>
      </c>
      <c r="F23" s="13">
        <v>43822</v>
      </c>
      <c r="G23" s="24">
        <f t="shared" si="0"/>
        <v>0</v>
      </c>
      <c r="H23" s="23">
        <f>IF(ISNUMBER(INDEX(Historis_Gaji[Angka yang Digunakan],MATCH(Data_Pegawai[[#This Row],[Nama]],Historis_Gaji[Nama],0))),INDEX(Historis_Gaji[Angka yang Digunakan],MATCH(Data_Pegawai[[#This Row],[Nama]],Historis_Gaji[Nama],0)),0)</f>
        <v>1000000</v>
      </c>
      <c r="I23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3" s="23">
        <f>IF(ISNUMBER(INDEX(Historis_Tunj2[Angka yang Digunakan],MATCH(Data_Pegawai[[#This Row],[Nama]],Historis_Tunj2[Nama],0))),INDEX(Historis_Tunj2[Angka yang Digunakan],MATCH(Data_Pegawai[[#This Row],[Nama]],Historis_Tunj2[Nama],0)),0)</f>
        <v>320000</v>
      </c>
      <c r="K23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3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3" s="23">
        <f t="shared" si="1"/>
        <v>1320000</v>
      </c>
      <c r="N23" s="25">
        <f>MIN(Data_Pegawai[[#This Row],[Masa Kerja (tahun)]]+1,9)</f>
        <v>1</v>
      </c>
      <c r="O23" s="42">
        <v>0.5</v>
      </c>
      <c r="P23" s="25">
        <f>IF(Data_Pegawai[[#This Row],[Status Pegawai]]="Pegawai Tetap (PKWTT)",Data_Pegawai[[#This Row],[Multiplier Pesangon]]*Data_Pegawai[[#This Row],[THP]]*Data_Pegawai[[#This Row],[Multiplier Jenis PHK*]],0)</f>
        <v>660000</v>
      </c>
      <c r="Q23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3" s="25">
        <f>IF(Data_Pegawai[[#This Row],[Gross Pesangon]]&gt;Data_Pegawai[[#This Row],[Kewajiban Pegawai]],Data_Pegawai[[#This Row],[Gross Pesangon]]-Data_Pegawai[[#This Row],[Kewajiban Pegawai]],0)</f>
        <v>660000</v>
      </c>
      <c r="S23" s="25">
        <f>IF(Data_Pegawai[[#This Row],[Kewajiban Pegawai]]&gt;Data_Pegawai[[#This Row],[Gross Pesangon]],Data_Pegawai[[#This Row],[Kewajiban Pegawai]]-Data_Pegawai[[#This Row],[Gross Pesangon]],0)</f>
        <v>0</v>
      </c>
    </row>
    <row r="24" spans="1:19" x14ac:dyDescent="0.3">
      <c r="A24" s="12">
        <v>13</v>
      </c>
      <c r="B24" s="12" t="s">
        <v>67</v>
      </c>
      <c r="C24" s="12" t="s">
        <v>13</v>
      </c>
      <c r="D24" s="12" t="s">
        <v>35</v>
      </c>
      <c r="E24" s="13">
        <v>43542</v>
      </c>
      <c r="F24" s="13">
        <v>43822</v>
      </c>
      <c r="G24" s="24">
        <f t="shared" si="0"/>
        <v>0</v>
      </c>
      <c r="H24" s="23">
        <f>IF(ISNUMBER(INDEX(Historis_Gaji[Angka yang Digunakan],MATCH(Data_Pegawai[[#This Row],[Nama]],Historis_Gaji[Nama],0))),INDEX(Historis_Gaji[Angka yang Digunakan],MATCH(Data_Pegawai[[#This Row],[Nama]],Historis_Gaji[Nama],0)),0)</f>
        <v>1000000</v>
      </c>
      <c r="I24" s="23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4" s="23">
        <f>IF(ISNUMBER(INDEX(Historis_Tunj2[Angka yang Digunakan],MATCH(Data_Pegawai[[#This Row],[Nama]],Historis_Tunj2[Nama],0))),INDEX(Historis_Tunj2[Angka yang Digunakan],MATCH(Data_Pegawai[[#This Row],[Nama]],Historis_Tunj2[Nama],0)),0)</f>
        <v>240000</v>
      </c>
      <c r="K24" s="23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4" s="23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4" s="23">
        <f t="shared" si="1"/>
        <v>1240000</v>
      </c>
      <c r="N24" s="25">
        <f>MIN(Data_Pegawai[[#This Row],[Masa Kerja (tahun)]]+1,9)</f>
        <v>1</v>
      </c>
      <c r="O24" s="42">
        <v>0.5</v>
      </c>
      <c r="P24" s="25">
        <f>IF(Data_Pegawai[[#This Row],[Status Pegawai]]="Pegawai Tetap (PKWTT)",Data_Pegawai[[#This Row],[Multiplier Pesangon]]*Data_Pegawai[[#This Row],[THP]]*Data_Pegawai[[#This Row],[Multiplier Jenis PHK*]],0)</f>
        <v>620000</v>
      </c>
      <c r="Q24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4" s="25">
        <f>IF(Data_Pegawai[[#This Row],[Gross Pesangon]]&gt;Data_Pegawai[[#This Row],[Kewajiban Pegawai]],Data_Pegawai[[#This Row],[Gross Pesangon]]-Data_Pegawai[[#This Row],[Kewajiban Pegawai]],0)</f>
        <v>620000</v>
      </c>
      <c r="S24" s="25">
        <f>IF(Data_Pegawai[[#This Row],[Kewajiban Pegawai]]&gt;Data_Pegawai[[#This Row],[Gross Pesangon]],Data_Pegawai[[#This Row],[Kewajiban Pegawai]]-Data_Pegawai[[#This Row],[Gross Pesangon]],0)</f>
        <v>0</v>
      </c>
    </row>
    <row r="25" spans="1:19" x14ac:dyDescent="0.3">
      <c r="A25" s="12">
        <v>14</v>
      </c>
      <c r="B25" s="16"/>
      <c r="C25" s="15"/>
      <c r="D25" s="12"/>
      <c r="E25" s="17"/>
      <c r="F25" s="17"/>
      <c r="G25" s="26">
        <f t="shared" ref="G25:G28" si="2">DATEDIF(E25,F25,"Y")</f>
        <v>0</v>
      </c>
      <c r="H25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25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5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5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5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5" s="28">
        <f t="shared" ref="M25:M28" si="3">SUM(H25:L25)</f>
        <v>0</v>
      </c>
      <c r="N25" s="25">
        <f>MIN(Data_Pegawai[[#This Row],[Masa Kerja (tahun)]]+1,9)</f>
        <v>1</v>
      </c>
      <c r="O25" s="42">
        <v>0.5</v>
      </c>
      <c r="P25" s="25">
        <f>IF(Data_Pegawai[[#This Row],[Status Pegawai]]="Pegawai Tetap (PKWTT)",Data_Pegawai[[#This Row],[Multiplier Pesangon]]*Data_Pegawai[[#This Row],[THP]]*Data_Pegawai[[#This Row],[Multiplier Jenis PHK*]],0)</f>
        <v>0</v>
      </c>
      <c r="Q25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5" s="25">
        <f>IF(Data_Pegawai[[#This Row],[Gross Pesangon]]&gt;Data_Pegawai[[#This Row],[Kewajiban Pegawai]],Data_Pegawai[[#This Row],[Gross Pesangon]]-Data_Pegawai[[#This Row],[Kewajiban Pegawai]],0)</f>
        <v>0</v>
      </c>
      <c r="S25" s="25">
        <f>IF(Data_Pegawai[[#This Row],[Kewajiban Pegawai]]&gt;Data_Pegawai[[#This Row],[Gross Pesangon]],Data_Pegawai[[#This Row],[Kewajiban Pegawai]]-Data_Pegawai[[#This Row],[Gross Pesangon]],0)</f>
        <v>0</v>
      </c>
    </row>
    <row r="26" spans="1:19" x14ac:dyDescent="0.3">
      <c r="A26" s="12">
        <v>15</v>
      </c>
      <c r="B26" s="16"/>
      <c r="C26" s="15"/>
      <c r="D26" s="12"/>
      <c r="E26" s="17"/>
      <c r="F26" s="17"/>
      <c r="G26" s="26">
        <f t="shared" si="2"/>
        <v>0</v>
      </c>
      <c r="H26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26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6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6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6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6" s="28">
        <f t="shared" si="3"/>
        <v>0</v>
      </c>
      <c r="N26" s="25">
        <f>MIN(Data_Pegawai[[#This Row],[Masa Kerja (tahun)]]+1,9)</f>
        <v>1</v>
      </c>
      <c r="O26" s="42">
        <v>0.5</v>
      </c>
      <c r="P26" s="25">
        <f>IF(Data_Pegawai[[#This Row],[Status Pegawai]]="Pegawai Tetap (PKWTT)",Data_Pegawai[[#This Row],[Multiplier Pesangon]]*Data_Pegawai[[#This Row],[THP]]*Data_Pegawai[[#This Row],[Multiplier Jenis PHK*]],0)</f>
        <v>0</v>
      </c>
      <c r="Q26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6" s="25">
        <f>IF(Data_Pegawai[[#This Row],[Gross Pesangon]]&gt;Data_Pegawai[[#This Row],[Kewajiban Pegawai]],Data_Pegawai[[#This Row],[Gross Pesangon]]-Data_Pegawai[[#This Row],[Kewajiban Pegawai]],0)</f>
        <v>0</v>
      </c>
      <c r="S26" s="25">
        <f>IF(Data_Pegawai[[#This Row],[Kewajiban Pegawai]]&gt;Data_Pegawai[[#This Row],[Gross Pesangon]],Data_Pegawai[[#This Row],[Kewajiban Pegawai]]-Data_Pegawai[[#This Row],[Gross Pesangon]],0)</f>
        <v>0</v>
      </c>
    </row>
    <row r="27" spans="1:19" x14ac:dyDescent="0.3">
      <c r="A27" s="12">
        <v>16</v>
      </c>
      <c r="B27" s="16"/>
      <c r="C27" s="15"/>
      <c r="D27" s="12"/>
      <c r="E27" s="17"/>
      <c r="F27" s="17"/>
      <c r="G27" s="26">
        <f t="shared" si="2"/>
        <v>0</v>
      </c>
      <c r="H27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27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7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7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7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7" s="28">
        <f t="shared" si="3"/>
        <v>0</v>
      </c>
      <c r="N27" s="25">
        <f>MIN(Data_Pegawai[[#This Row],[Masa Kerja (tahun)]]+1,9)</f>
        <v>1</v>
      </c>
      <c r="O27" s="42">
        <v>0.5</v>
      </c>
      <c r="P27" s="25">
        <f>IF(Data_Pegawai[[#This Row],[Status Pegawai]]="Pegawai Tetap (PKWTT)",Data_Pegawai[[#This Row],[Multiplier Pesangon]]*Data_Pegawai[[#This Row],[THP]]*Data_Pegawai[[#This Row],[Multiplier Jenis PHK*]],0)</f>
        <v>0</v>
      </c>
      <c r="Q27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7" s="25">
        <f>IF(Data_Pegawai[[#This Row],[Gross Pesangon]]&gt;Data_Pegawai[[#This Row],[Kewajiban Pegawai]],Data_Pegawai[[#This Row],[Gross Pesangon]]-Data_Pegawai[[#This Row],[Kewajiban Pegawai]],0)</f>
        <v>0</v>
      </c>
      <c r="S27" s="25">
        <f>IF(Data_Pegawai[[#This Row],[Kewajiban Pegawai]]&gt;Data_Pegawai[[#This Row],[Gross Pesangon]],Data_Pegawai[[#This Row],[Kewajiban Pegawai]]-Data_Pegawai[[#This Row],[Gross Pesangon]],0)</f>
        <v>0</v>
      </c>
    </row>
    <row r="28" spans="1:19" x14ac:dyDescent="0.3">
      <c r="A28" s="12">
        <v>17</v>
      </c>
      <c r="B28" s="16"/>
      <c r="C28" s="15"/>
      <c r="D28" s="12"/>
      <c r="E28" s="17"/>
      <c r="F28" s="17"/>
      <c r="G28" s="26">
        <f t="shared" si="2"/>
        <v>0</v>
      </c>
      <c r="H28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28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8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8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8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8" s="28">
        <f t="shared" si="3"/>
        <v>0</v>
      </c>
      <c r="N28" s="25">
        <f>MIN(Data_Pegawai[[#This Row],[Masa Kerja (tahun)]]+1,9)</f>
        <v>1</v>
      </c>
      <c r="O28" s="42">
        <v>0.5</v>
      </c>
      <c r="P28" s="25">
        <f>IF(Data_Pegawai[[#This Row],[Status Pegawai]]="Pegawai Tetap (PKWTT)",Data_Pegawai[[#This Row],[Multiplier Pesangon]]*Data_Pegawai[[#This Row],[THP]]*Data_Pegawai[[#This Row],[Multiplier Jenis PHK*]],0)</f>
        <v>0</v>
      </c>
      <c r="Q28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8" s="25">
        <f>IF(Data_Pegawai[[#This Row],[Gross Pesangon]]&gt;Data_Pegawai[[#This Row],[Kewajiban Pegawai]],Data_Pegawai[[#This Row],[Gross Pesangon]]-Data_Pegawai[[#This Row],[Kewajiban Pegawai]],0)</f>
        <v>0</v>
      </c>
      <c r="S28" s="25">
        <f>IF(Data_Pegawai[[#This Row],[Kewajiban Pegawai]]&gt;Data_Pegawai[[#This Row],[Gross Pesangon]],Data_Pegawai[[#This Row],[Kewajiban Pegawai]]-Data_Pegawai[[#This Row],[Gross Pesangon]],0)</f>
        <v>0</v>
      </c>
    </row>
    <row r="29" spans="1:19" x14ac:dyDescent="0.3">
      <c r="A29" s="12">
        <v>18</v>
      </c>
      <c r="B29" s="16"/>
      <c r="C29" s="15"/>
      <c r="D29" s="12"/>
      <c r="E29" s="17"/>
      <c r="F29" s="17"/>
      <c r="G29" s="26">
        <f t="shared" ref="G29:G31" si="4">DATEDIF(E29,F29,"Y")</f>
        <v>0</v>
      </c>
      <c r="H29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29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29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29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29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29" s="28">
        <f t="shared" ref="M29:M31" si="5">SUM(H29:L29)</f>
        <v>0</v>
      </c>
      <c r="N29" s="25">
        <f>MIN(Data_Pegawai[[#This Row],[Masa Kerja (tahun)]]+1,9)</f>
        <v>1</v>
      </c>
      <c r="O29" s="42">
        <v>0.5</v>
      </c>
      <c r="P29" s="25">
        <f>IF(Data_Pegawai[[#This Row],[Status Pegawai]]="Pegawai Tetap (PKWTT)",Data_Pegawai[[#This Row],[Multiplier Pesangon]]*Data_Pegawai[[#This Row],[THP]]*Data_Pegawai[[#This Row],[Multiplier Jenis PHK*]],0)</f>
        <v>0</v>
      </c>
      <c r="Q29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29" s="25">
        <f>IF(Data_Pegawai[[#This Row],[Gross Pesangon]]&gt;Data_Pegawai[[#This Row],[Kewajiban Pegawai]],Data_Pegawai[[#This Row],[Gross Pesangon]]-Data_Pegawai[[#This Row],[Kewajiban Pegawai]],0)</f>
        <v>0</v>
      </c>
      <c r="S29" s="25">
        <f>IF(Data_Pegawai[[#This Row],[Kewajiban Pegawai]]&gt;Data_Pegawai[[#This Row],[Gross Pesangon]],Data_Pegawai[[#This Row],[Kewajiban Pegawai]]-Data_Pegawai[[#This Row],[Gross Pesangon]],0)</f>
        <v>0</v>
      </c>
    </row>
    <row r="30" spans="1:19" x14ac:dyDescent="0.3">
      <c r="A30" s="12">
        <v>19</v>
      </c>
      <c r="B30" s="16"/>
      <c r="C30" s="15"/>
      <c r="D30" s="12"/>
      <c r="E30" s="17"/>
      <c r="F30" s="17"/>
      <c r="G30" s="26">
        <f t="shared" si="4"/>
        <v>0</v>
      </c>
      <c r="H30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30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30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30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30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30" s="28">
        <f t="shared" si="5"/>
        <v>0</v>
      </c>
      <c r="N30" s="25">
        <f>MIN(Data_Pegawai[[#This Row],[Masa Kerja (tahun)]]+1,9)</f>
        <v>1</v>
      </c>
      <c r="O30" s="42">
        <v>0.5</v>
      </c>
      <c r="P30" s="25">
        <f>IF(Data_Pegawai[[#This Row],[Status Pegawai]]="Pegawai Tetap (PKWTT)",Data_Pegawai[[#This Row],[Multiplier Pesangon]]*Data_Pegawai[[#This Row],[THP]]*Data_Pegawai[[#This Row],[Multiplier Jenis PHK*]],0)</f>
        <v>0</v>
      </c>
      <c r="Q30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30" s="25">
        <f>IF(Data_Pegawai[[#This Row],[Gross Pesangon]]&gt;Data_Pegawai[[#This Row],[Kewajiban Pegawai]],Data_Pegawai[[#This Row],[Gross Pesangon]]-Data_Pegawai[[#This Row],[Kewajiban Pegawai]],0)</f>
        <v>0</v>
      </c>
      <c r="S30" s="25">
        <f>IF(Data_Pegawai[[#This Row],[Kewajiban Pegawai]]&gt;Data_Pegawai[[#This Row],[Gross Pesangon]],Data_Pegawai[[#This Row],[Kewajiban Pegawai]]-Data_Pegawai[[#This Row],[Gross Pesangon]],0)</f>
        <v>0</v>
      </c>
    </row>
    <row r="31" spans="1:19" x14ac:dyDescent="0.3">
      <c r="A31" s="12">
        <v>20</v>
      </c>
      <c r="B31" s="16"/>
      <c r="C31" s="15"/>
      <c r="D31" s="12"/>
      <c r="E31" s="17"/>
      <c r="F31" s="17"/>
      <c r="G31" s="26">
        <f t="shared" si="4"/>
        <v>0</v>
      </c>
      <c r="H31" s="25">
        <f>IF(ISNUMBER(INDEX(Historis_Gaji[Angka yang Digunakan],MATCH(Data_Pegawai[[#This Row],[Nama]],Historis_Gaji[Nama],0))),INDEX(Historis_Gaji[Angka yang Digunakan],MATCH(Data_Pegawai[[#This Row],[Nama]],Historis_Gaji[Nama],0)),0)</f>
        <v>0</v>
      </c>
      <c r="I31" s="25">
        <f>IF(ISNUMBER(INDEX(Historis_Tunj1[Angka yang Digunakan],MATCH(Data_Pegawai[[#This Row],[Nama]],Historis_Tunj1[Nama],0))),INDEX(Historis_Tunj1[Angka yang Digunakan],MATCH(Data_Pegawai[[#This Row],[Nama]],Historis_Tunj1[Nama],0)),0)</f>
        <v>0</v>
      </c>
      <c r="J31" s="25">
        <f>IF(ISNUMBER(INDEX(Historis_Tunj2[Angka yang Digunakan],MATCH(Data_Pegawai[[#This Row],[Nama]],Historis_Tunj2[Nama],0))),INDEX(Historis_Tunj2[Angka yang Digunakan],MATCH(Data_Pegawai[[#This Row],[Nama]],Historis_Tunj2[Nama],0)),0)</f>
        <v>0</v>
      </c>
      <c r="K31" s="25">
        <f>IF(ISNUMBER(INDEX(Historis_Tunj3[Angka yang Digunakan],MATCH(Data_Pegawai[[#This Row],[Nama]],Historis_Tunj3[Nama],0))),INDEX(Historis_Tunj3[Angka yang Digunakan],MATCH(Data_Pegawai[[#This Row],[Nama]],Historis_Tunj3[Nama],0)),0)</f>
        <v>0</v>
      </c>
      <c r="L31" s="27">
        <f>IF(ISNUMBER(INDEX(Historis_Tunj4[Angka yang Digunakan],MATCH(Data_Pegawai[[#This Row],[Nama]],Historis_Tunj4[Nama],0))),INDEX(Historis_Tunj4[Angka yang Digunakan],MATCH(Data_Pegawai[[#This Row],[Nama]],Historis_Tunj4[Nama],0)),0)</f>
        <v>0</v>
      </c>
      <c r="M31" s="28">
        <f t="shared" si="5"/>
        <v>0</v>
      </c>
      <c r="N31" s="25">
        <f>MIN(Data_Pegawai[[#This Row],[Masa Kerja (tahun)]]+1,9)</f>
        <v>1</v>
      </c>
      <c r="O31" s="42">
        <v>0.5</v>
      </c>
      <c r="P31" s="25">
        <f>IF(Data_Pegawai[[#This Row],[Status Pegawai]]="Pegawai Tetap (PKWTT)",Data_Pegawai[[#This Row],[Multiplier Pesangon]]*Data_Pegawai[[#This Row],[THP]]*Data_Pegawai[[#This Row],[Multiplier Jenis PHK*]],0)</f>
        <v>0</v>
      </c>
      <c r="Q31" s="25">
        <f>IF(ISNUMBER(INDEX(Data_Kewajiban[Sisa Kewajiban sebelum Pesangon],MATCH(Data_Pegawai[[#This Row],[Nama]],Data_Kewajiban[Nama],0))),INDEX(Data_Kewajiban[Sisa Kewajiban sebelum Pesangon],MATCH(Data_Pegawai[[#This Row],[Nama]],Data_Kewajiban[Nama],0)),0)</f>
        <v>0</v>
      </c>
      <c r="R31" s="25">
        <f>IF(Data_Pegawai[[#This Row],[Gross Pesangon]]&gt;Data_Pegawai[[#This Row],[Kewajiban Pegawai]],Data_Pegawai[[#This Row],[Gross Pesangon]]-Data_Pegawai[[#This Row],[Kewajiban Pegawai]],0)</f>
        <v>0</v>
      </c>
      <c r="S31" s="25">
        <f>IF(Data_Pegawai[[#This Row],[Kewajiban Pegawai]]&gt;Data_Pegawai[[#This Row],[Gross Pesangon]],Data_Pegawai[[#This Row],[Kewajiban Pegawai]]-Data_Pegawai[[#This Row],[Gross Pesangon]],0)</f>
        <v>0</v>
      </c>
    </row>
    <row r="32" spans="1:19" x14ac:dyDescent="0.3">
      <c r="A32" s="5" t="s">
        <v>29</v>
      </c>
      <c r="B32" s="6">
        <f>SUBTOTAL(103,Data_Pegawai[Nama])</f>
        <v>13</v>
      </c>
      <c r="C32" s="5"/>
      <c r="D32" s="5"/>
      <c r="E32" s="7"/>
      <c r="F32" s="7"/>
      <c r="G32" s="8"/>
      <c r="H32" s="9">
        <f>SUBTOTAL(109,Data_Pegawai[Gaji Pokok])</f>
        <v>22550000</v>
      </c>
      <c r="I32" s="9">
        <f>SUBTOTAL(109,Data_Pegawai[Tunj. 1])</f>
        <v>1250000</v>
      </c>
      <c r="J32" s="9">
        <f>SUBTOTAL(109,Data_Pegawai[Tunj. 2])</f>
        <v>3560000</v>
      </c>
      <c r="K32" s="9">
        <f>SUBTOTAL(109,Data_Pegawai[Tunj. 3])</f>
        <v>0</v>
      </c>
      <c r="L32" s="10">
        <f>SUBTOTAL(109,Data_Pegawai[Tunj. 4])</f>
        <v>300000</v>
      </c>
      <c r="M32" s="10">
        <f>SUBTOTAL(109,Data_Pegawai[THP])</f>
        <v>27660000</v>
      </c>
      <c r="N32" s="5"/>
      <c r="O32" s="5"/>
      <c r="P32" s="9">
        <f>SUBTOTAL(109,Data_Pegawai[Gross Pesangon])</f>
        <v>106480000</v>
      </c>
      <c r="Q32" s="9">
        <f>SUBTOTAL(109,Data_Pegawai[Kewajiban Pegawai])</f>
        <v>729667180</v>
      </c>
      <c r="R32" s="9">
        <f>SUBTOTAL(109,Data_Pegawai[Nett Pesangon])</f>
        <v>16880000</v>
      </c>
      <c r="S32" s="9">
        <f>SUBTOTAL(109,Data_Pegawai[Sisa Kewajiban])</f>
        <v>640067180</v>
      </c>
    </row>
    <row r="35" spans="1:1" x14ac:dyDescent="0.3">
      <c r="A35" s="43" t="s">
        <v>93</v>
      </c>
    </row>
    <row r="36" spans="1:1" x14ac:dyDescent="0.3">
      <c r="A36" s="1" t="s">
        <v>94</v>
      </c>
    </row>
    <row r="37" spans="1:1" x14ac:dyDescent="0.3">
      <c r="A37" s="1" t="s">
        <v>95</v>
      </c>
    </row>
  </sheetData>
  <sheetProtection formatColumns="0" formatRows="0" insertRows="0" deleteRows="0"/>
  <mergeCells count="10">
    <mergeCell ref="A3:S3"/>
    <mergeCell ref="A2:S2"/>
    <mergeCell ref="H10:M10"/>
    <mergeCell ref="N10:S10"/>
    <mergeCell ref="A5:S5"/>
    <mergeCell ref="A4:S4"/>
    <mergeCell ref="A7:B7"/>
    <mergeCell ref="A8:B8"/>
    <mergeCell ref="C7:E7"/>
    <mergeCell ref="C8:E8"/>
  </mergeCells>
  <dataValidations disablePrompts="1" count="3">
    <dataValidation type="list" allowBlank="1" showInputMessage="1" showErrorMessage="1" sqref="D12:D31" xr:uid="{ECD6C354-FC75-4130-94D4-FB7F310E9AB6}">
      <formula1>"Pegawai Tetap (PKWTT),Pegawai Kontrak (PKWT)"</formula1>
    </dataValidation>
    <dataValidation type="date" operator="lessThan" allowBlank="1" showInputMessage="1" showErrorMessage="1" sqref="E12:E31" xr:uid="{49F5413F-8F86-4BFD-B324-AA684D4EB6B2}">
      <formula1>$C$8</formula1>
    </dataValidation>
    <dataValidation type="date" operator="greaterThan" allowBlank="1" showInputMessage="1" showErrorMessage="1" sqref="F12:F31" xr:uid="{FCED4F43-1D30-438D-9DF1-C79BAA03A25C}">
      <formula1>$C$8</formula1>
    </dataValidation>
  </dataValidations>
  <pageMargins left="0.7" right="0.7" top="0.75" bottom="0.75" header="0.3" footer="0.3"/>
  <pageSetup paperSize="9" scale="58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1854-7DD7-4E88-806D-0E27D2139888}">
  <sheetPr>
    <pageSetUpPr fitToPage="1"/>
  </sheetPr>
  <dimension ref="A2:AD33"/>
  <sheetViews>
    <sheetView zoomScale="73" workbookViewId="0">
      <selection activeCell="G22" sqref="G22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15" width="12.21875" style="1" customWidth="1"/>
    <col min="16" max="18" width="13.5546875" style="1" customWidth="1"/>
    <col min="19" max="19" width="18" style="1" customWidth="1"/>
    <col min="20" max="30" width="0" style="1" hidden="1" customWidth="1"/>
    <col min="31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6" x14ac:dyDescent="0.3">
      <c r="A5" s="35" t="s">
        <v>36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D7" s="33" t="s">
        <v>36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x14ac:dyDescent="0.3">
      <c r="D8" s="30">
        <f>DATE(YEAR('1. Perhitungan Pesangon'!$C$8),MONTH('1. Perhitungan Pesangon'!$C$8)-12,1)</f>
        <v>43374</v>
      </c>
      <c r="E8" s="30">
        <f>DATE(YEAR('1. Perhitungan Pesangon'!$C$8),MONTH('1. Perhitungan Pesangon'!$C$8)-11,1)</f>
        <v>43405</v>
      </c>
      <c r="F8" s="30">
        <f>DATE(YEAR('1. Perhitungan Pesangon'!$C$8),MONTH('1. Perhitungan Pesangon'!$C$8)-10,1)</f>
        <v>43435</v>
      </c>
      <c r="G8" s="30">
        <f>DATE(YEAR('1. Perhitungan Pesangon'!$C$8),MONTH('1. Perhitungan Pesangon'!$C$8)-9,1)</f>
        <v>43466</v>
      </c>
      <c r="H8" s="30">
        <f>DATE(YEAR('1. Perhitungan Pesangon'!$C$8),MONTH('1. Perhitungan Pesangon'!$C$8)-8,1)</f>
        <v>43497</v>
      </c>
      <c r="I8" s="30">
        <f>DATE(YEAR('1. Perhitungan Pesangon'!$C$8),MONTH('1. Perhitungan Pesangon'!$C$8)-7,1)</f>
        <v>43525</v>
      </c>
      <c r="J8" s="30">
        <f>DATE(YEAR('1. Perhitungan Pesangon'!$C$8),MONTH('1. Perhitungan Pesangon'!$C$8)-6,1)</f>
        <v>43556</v>
      </c>
      <c r="K8" s="30">
        <f>DATE(YEAR('1. Perhitungan Pesangon'!$C$8),MONTH('1. Perhitungan Pesangon'!$C$8)-5,1)</f>
        <v>43586</v>
      </c>
      <c r="L8" s="30">
        <f>DATE(YEAR('1. Perhitungan Pesangon'!$C$8),MONTH('1. Perhitungan Pesangon'!$C$8)-4,1)</f>
        <v>43617</v>
      </c>
      <c r="M8" s="30">
        <f>DATE(YEAR('1. Perhitungan Pesangon'!$C$8),MONTH('1. Perhitungan Pesangon'!$C$8)-3,1)</f>
        <v>43647</v>
      </c>
      <c r="N8" s="30">
        <f>DATE(YEAR('1. Perhitungan Pesangon'!$C$8),MONTH('1. Perhitungan Pesangon'!$C$8)-2,1)</f>
        <v>43678</v>
      </c>
      <c r="O8" s="30">
        <f>DATE(YEAR('1. Perhitungan Pesangon'!$C$8),MONTH('1. Perhitungan Pesangon'!$C$8)-1,1)</f>
        <v>43709</v>
      </c>
      <c r="P8" s="11"/>
      <c r="Q8" s="11"/>
      <c r="R8" s="11"/>
      <c r="S8" s="11"/>
    </row>
    <row r="9" spans="1:19" ht="36" customHeight="1" x14ac:dyDescent="0.3">
      <c r="A9" s="4" t="s">
        <v>2</v>
      </c>
      <c r="B9" s="4" t="s">
        <v>3</v>
      </c>
      <c r="C9" s="4" t="s">
        <v>4</v>
      </c>
      <c r="D9" s="4" t="s">
        <v>38</v>
      </c>
      <c r="E9" s="4" t="s">
        <v>37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43</v>
      </c>
      <c r="K9" s="4" t="s">
        <v>44</v>
      </c>
      <c r="L9" s="4" t="s">
        <v>45</v>
      </c>
      <c r="M9" s="4" t="s">
        <v>46</v>
      </c>
      <c r="N9" s="4" t="s">
        <v>47</v>
      </c>
      <c r="O9" s="4" t="s">
        <v>48</v>
      </c>
      <c r="P9" s="4" t="s">
        <v>49</v>
      </c>
      <c r="Q9" s="4" t="s">
        <v>54</v>
      </c>
      <c r="R9" s="4" t="s">
        <v>53</v>
      </c>
      <c r="S9" s="4" t="s">
        <v>50</v>
      </c>
    </row>
    <row r="10" spans="1:19" x14ac:dyDescent="0.3">
      <c r="A10" s="12">
        <v>1</v>
      </c>
      <c r="B10" s="12" t="s">
        <v>55</v>
      </c>
      <c r="C10" s="22" t="str">
        <f>INDEX(Data_Pegawai[Jabatan],MATCH(Historis_Gaji[[#This Row],[Nama]],Data_Pegawai[Nama],0))</f>
        <v>Kabag Operasional</v>
      </c>
      <c r="D10" s="18">
        <v>2500000</v>
      </c>
      <c r="E10" s="18">
        <v>2500000</v>
      </c>
      <c r="F10" s="18">
        <v>2500000</v>
      </c>
      <c r="G10" s="18">
        <v>2500000</v>
      </c>
      <c r="H10" s="18">
        <v>2500000</v>
      </c>
      <c r="I10" s="18">
        <v>2500000</v>
      </c>
      <c r="J10" s="18">
        <v>2500000</v>
      </c>
      <c r="K10" s="18">
        <v>2500000</v>
      </c>
      <c r="L10" s="18">
        <v>2500000</v>
      </c>
      <c r="M10" s="18">
        <v>2500000</v>
      </c>
      <c r="N10" s="18">
        <v>2500000</v>
      </c>
      <c r="O10" s="18">
        <v>2500000</v>
      </c>
      <c r="P10" s="23">
        <f>IF(ISNUMBER(AVERAGEIF(Historis_Gaji[[#This Row],[1]:[12]],"&gt;0")),AVERAGEIF(Historis_Gaji[[#This Row],[1]:[12]],"&gt;0"),0)</f>
        <v>2500000</v>
      </c>
      <c r="Q10" s="23">
        <f>Historis_Gaji[[#This Row],[12]]</f>
        <v>2500000</v>
      </c>
      <c r="R10" s="18">
        <v>2500000</v>
      </c>
      <c r="S10" s="21"/>
    </row>
    <row r="11" spans="1:19" x14ac:dyDescent="0.3">
      <c r="A11" s="12">
        <v>2</v>
      </c>
      <c r="B11" s="12" t="s">
        <v>56</v>
      </c>
      <c r="C11" s="22" t="str">
        <f>INDEX(Data_Pegawai[Jabatan],MATCH(Historis_Gaji[[#This Row],[Nama]],Data_Pegawai[Nama],0))</f>
        <v>Kabag Pembiayaan</v>
      </c>
      <c r="D11" s="18">
        <v>2500000</v>
      </c>
      <c r="E11" s="18">
        <v>2500000</v>
      </c>
      <c r="F11" s="18">
        <v>2500000</v>
      </c>
      <c r="G11" s="18">
        <v>2500000</v>
      </c>
      <c r="H11" s="18">
        <v>2500000</v>
      </c>
      <c r="I11" s="18">
        <v>2500000</v>
      </c>
      <c r="J11" s="18">
        <v>2500000</v>
      </c>
      <c r="K11" s="18">
        <v>2500000</v>
      </c>
      <c r="L11" s="18">
        <v>2500000</v>
      </c>
      <c r="M11" s="18">
        <v>2500000</v>
      </c>
      <c r="N11" s="18">
        <v>2500000</v>
      </c>
      <c r="O11" s="18">
        <v>2500000</v>
      </c>
      <c r="P11" s="23">
        <f>IF(ISNUMBER(AVERAGEIF(Historis_Gaji[[#This Row],[1]:[12]],"&gt;0")),AVERAGEIF(Historis_Gaji[[#This Row],[1]:[12]],"&gt;0"),0)</f>
        <v>2500000</v>
      </c>
      <c r="Q11" s="23">
        <f>Historis_Gaji[[#This Row],[12]]</f>
        <v>2500000</v>
      </c>
      <c r="R11" s="18">
        <v>2500000</v>
      </c>
      <c r="S11" s="21"/>
    </row>
    <row r="12" spans="1:19" x14ac:dyDescent="0.3">
      <c r="A12" s="12">
        <v>3</v>
      </c>
      <c r="B12" s="12" t="s">
        <v>57</v>
      </c>
      <c r="C12" s="22" t="str">
        <f>INDEX(Data_Pegawai[Jabatan],MATCH(Historis_Gaji[[#This Row],[Nama]],Data_Pegawai[Nama],0))</f>
        <v>A/O Loan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738100</v>
      </c>
      <c r="J12" s="18">
        <v>2500000</v>
      </c>
      <c r="K12" s="18">
        <v>2500000</v>
      </c>
      <c r="L12" s="18">
        <v>2500000</v>
      </c>
      <c r="M12" s="18">
        <v>2500000</v>
      </c>
      <c r="N12" s="18">
        <v>2500000</v>
      </c>
      <c r="O12" s="18">
        <v>2500000</v>
      </c>
      <c r="P12" s="23">
        <f>IF(ISNUMBER(AVERAGEIF(Historis_Gaji[[#This Row],[1]:[12]],"&gt;0")),AVERAGEIF(Historis_Gaji[[#This Row],[1]:[12]],"&gt;0"),0)</f>
        <v>2248300</v>
      </c>
      <c r="Q12" s="23">
        <f>Historis_Gaji[[#This Row],[12]]</f>
        <v>2500000</v>
      </c>
      <c r="R12" s="18">
        <v>2500000</v>
      </c>
      <c r="S12" s="21"/>
    </row>
    <row r="13" spans="1:19" x14ac:dyDescent="0.3">
      <c r="A13" s="12">
        <v>4</v>
      </c>
      <c r="B13" s="12" t="s">
        <v>58</v>
      </c>
      <c r="C13" s="22" t="str">
        <f>INDEX(Data_Pegawai[Jabatan],MATCH(Historis_Gaji[[#This Row],[Nama]],Data_Pegawai[Nama],0))</f>
        <v>Funding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23">
        <f>IF(ISNUMBER(AVERAGEIF(Historis_Gaji[[#This Row],[1]:[12]],"&gt;0")),AVERAGEIF(Historis_Gaji[[#This Row],[1]:[12]],"&gt;0"),0)</f>
        <v>0</v>
      </c>
      <c r="Q13" s="23">
        <f>Historis_Gaji[[#This Row],[12]]</f>
        <v>0</v>
      </c>
      <c r="R13" s="18">
        <v>2000000</v>
      </c>
      <c r="S13" s="21"/>
    </row>
    <row r="14" spans="1:19" x14ac:dyDescent="0.3">
      <c r="A14" s="12">
        <v>5</v>
      </c>
      <c r="B14" s="12" t="s">
        <v>59</v>
      </c>
      <c r="C14" s="22" t="str">
        <f>INDEX(Data_Pegawai[Jabatan],MATCH(Historis_Gaji[[#This Row],[Nama]],Data_Pegawai[Nama],0))</f>
        <v>A/O Loan</v>
      </c>
      <c r="D14" s="18">
        <v>1900000</v>
      </c>
      <c r="E14" s="18">
        <v>1900000</v>
      </c>
      <c r="F14" s="18">
        <v>1900000</v>
      </c>
      <c r="G14" s="18">
        <v>1900000</v>
      </c>
      <c r="H14" s="18">
        <v>1900000</v>
      </c>
      <c r="I14" s="18">
        <v>1900000</v>
      </c>
      <c r="J14" s="18">
        <v>1900000</v>
      </c>
      <c r="K14" s="18">
        <v>1900000</v>
      </c>
      <c r="L14" s="18">
        <v>1900000</v>
      </c>
      <c r="M14" s="18">
        <v>1900000</v>
      </c>
      <c r="N14" s="18">
        <v>1900000</v>
      </c>
      <c r="O14" s="18">
        <v>1900000</v>
      </c>
      <c r="P14" s="23">
        <f>IF(ISNUMBER(AVERAGEIF(Historis_Gaji[[#This Row],[1]:[12]],"&gt;0")),AVERAGEIF(Historis_Gaji[[#This Row],[1]:[12]],"&gt;0"),0)</f>
        <v>1900000</v>
      </c>
      <c r="Q14" s="23">
        <f>Historis_Gaji[[#This Row],[12]]</f>
        <v>1900000</v>
      </c>
      <c r="R14" s="18">
        <v>1900000</v>
      </c>
      <c r="S14" s="21"/>
    </row>
    <row r="15" spans="1:19" x14ac:dyDescent="0.3">
      <c r="A15" s="12">
        <v>6</v>
      </c>
      <c r="B15" s="12" t="s">
        <v>60</v>
      </c>
      <c r="C15" s="22" t="str">
        <f>INDEX(Data_Pegawai[Jabatan],MATCH(Historis_Gaji[[#This Row],[Nama]],Data_Pegawai[Nama],0))</f>
        <v>ADM Pelaporan</v>
      </c>
      <c r="D15" s="18">
        <v>1900000</v>
      </c>
      <c r="E15" s="18">
        <v>1900000</v>
      </c>
      <c r="F15" s="18">
        <v>1900000</v>
      </c>
      <c r="G15" s="18">
        <v>1900000</v>
      </c>
      <c r="H15" s="18">
        <v>1900000</v>
      </c>
      <c r="I15" s="18">
        <v>1900000</v>
      </c>
      <c r="J15" s="18">
        <v>1900000</v>
      </c>
      <c r="K15" s="18">
        <v>1900000</v>
      </c>
      <c r="L15" s="18">
        <v>1900000</v>
      </c>
      <c r="M15" s="18">
        <v>1900000</v>
      </c>
      <c r="N15" s="18">
        <v>1900000</v>
      </c>
      <c r="O15" s="18">
        <v>1900000</v>
      </c>
      <c r="P15" s="23">
        <f>IF(ISNUMBER(AVERAGEIF(Historis_Gaji[[#This Row],[1]:[12]],"&gt;0")),AVERAGEIF(Historis_Gaji[[#This Row],[1]:[12]],"&gt;0"),0)</f>
        <v>1900000</v>
      </c>
      <c r="Q15" s="23">
        <f>Historis_Gaji[[#This Row],[12]]</f>
        <v>1900000</v>
      </c>
      <c r="R15" s="18">
        <v>1900000</v>
      </c>
      <c r="S15" s="21"/>
    </row>
    <row r="16" spans="1:19" x14ac:dyDescent="0.3">
      <c r="A16" s="12">
        <v>7</v>
      </c>
      <c r="B16" s="12" t="s">
        <v>61</v>
      </c>
      <c r="C16" s="22" t="str">
        <f>INDEX(Data_Pegawai[Jabatan],MATCH(Historis_Gaji[[#This Row],[Nama]],Data_Pegawai[Nama],0))</f>
        <v>Funding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>
        <f>IF(ISNUMBER(AVERAGEIF(Historis_Gaji[[#This Row],[1]:[12]],"&gt;0")),AVERAGEIF(Historis_Gaji[[#This Row],[1]:[12]],"&gt;0"),0)</f>
        <v>0</v>
      </c>
      <c r="Q16" s="23">
        <f>Historis_Gaji[[#This Row],[12]]</f>
        <v>0</v>
      </c>
      <c r="R16" s="18">
        <v>1900000</v>
      </c>
      <c r="S16" s="21"/>
    </row>
    <row r="17" spans="1:19" x14ac:dyDescent="0.3">
      <c r="A17" s="12">
        <v>8</v>
      </c>
      <c r="B17" s="12" t="s">
        <v>62</v>
      </c>
      <c r="C17" s="22" t="str">
        <f>INDEX(Data_Pegawai[Jabatan],MATCH(Historis_Gaji[[#This Row],[Nama]],Data_Pegawai[Nama],0))</f>
        <v>ADM Pembiayaan</v>
      </c>
      <c r="D17" s="18">
        <v>1750000</v>
      </c>
      <c r="E17" s="18">
        <v>1750000</v>
      </c>
      <c r="F17" s="18">
        <v>1750000</v>
      </c>
      <c r="G17" s="18">
        <v>1750000</v>
      </c>
      <c r="H17" s="18">
        <v>1750000</v>
      </c>
      <c r="I17" s="18">
        <v>1750000</v>
      </c>
      <c r="J17" s="18">
        <v>1750000</v>
      </c>
      <c r="K17" s="18">
        <v>1750000</v>
      </c>
      <c r="L17" s="18">
        <v>1750000</v>
      </c>
      <c r="M17" s="18">
        <v>1750000</v>
      </c>
      <c r="N17" s="18">
        <v>1750000</v>
      </c>
      <c r="O17" s="18">
        <v>1750000</v>
      </c>
      <c r="P17" s="23">
        <f>IF(ISNUMBER(AVERAGEIF(Historis_Gaji[[#This Row],[1]:[12]],"&gt;0")),AVERAGEIF(Historis_Gaji[[#This Row],[1]:[12]],"&gt;0"),0)</f>
        <v>1750000</v>
      </c>
      <c r="Q17" s="23">
        <f>Historis_Gaji[[#This Row],[12]]</f>
        <v>1750000</v>
      </c>
      <c r="R17" s="18">
        <v>1750000</v>
      </c>
      <c r="S17" s="21"/>
    </row>
    <row r="18" spans="1:19" x14ac:dyDescent="0.3">
      <c r="A18" s="12">
        <v>9</v>
      </c>
      <c r="B18" s="12" t="s">
        <v>63</v>
      </c>
      <c r="C18" s="22" t="str">
        <f>INDEX(Data_Pegawai[Jabatan],MATCH(Historis_Gaji[[#This Row],[Nama]],Data_Pegawai[Nama],0))</f>
        <v>Teller</v>
      </c>
      <c r="D18" s="18">
        <v>1200000</v>
      </c>
      <c r="E18" s="18">
        <v>1200000</v>
      </c>
      <c r="F18" s="18">
        <v>1200000</v>
      </c>
      <c r="G18" s="18">
        <v>1200000</v>
      </c>
      <c r="H18" s="18">
        <v>1200000</v>
      </c>
      <c r="I18" s="18">
        <v>1200000</v>
      </c>
      <c r="J18" s="18">
        <v>1200000</v>
      </c>
      <c r="K18" s="18">
        <v>1200000</v>
      </c>
      <c r="L18" s="18">
        <v>1200000</v>
      </c>
      <c r="M18" s="18">
        <v>1200000</v>
      </c>
      <c r="N18" s="18">
        <v>1200000</v>
      </c>
      <c r="O18" s="18">
        <v>1200000</v>
      </c>
      <c r="P18" s="23">
        <f>IF(ISNUMBER(AVERAGEIF(Historis_Gaji[[#This Row],[1]:[12]],"&gt;0")),AVERAGEIF(Historis_Gaji[[#This Row],[1]:[12]],"&gt;0"),0)</f>
        <v>1200000</v>
      </c>
      <c r="Q18" s="23">
        <f>Historis_Gaji[[#This Row],[12]]</f>
        <v>1200000</v>
      </c>
      <c r="R18" s="18">
        <v>1200000</v>
      </c>
      <c r="S18" s="21"/>
    </row>
    <row r="19" spans="1:19" x14ac:dyDescent="0.3">
      <c r="A19" s="12">
        <v>10</v>
      </c>
      <c r="B19" s="12" t="s">
        <v>64</v>
      </c>
      <c r="C19" s="22" t="str">
        <f>INDEX(Data_Pegawai[Jabatan],MATCH(Historis_Gaji[[#This Row],[Nama]],Data_Pegawai[Nama],0))</f>
        <v>A/O Loan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23">
        <f>IF(ISNUMBER(AVERAGEIF(Historis_Gaji[[#This Row],[1]:[12]],"&gt;0")),AVERAGEIF(Historis_Gaji[[#This Row],[1]:[12]],"&gt;0"),0)</f>
        <v>0</v>
      </c>
      <c r="Q19" s="23">
        <f>Historis_Gaji[[#This Row],[12]]</f>
        <v>0</v>
      </c>
      <c r="R19" s="18">
        <v>1200000</v>
      </c>
      <c r="S19" s="21"/>
    </row>
    <row r="20" spans="1:19" x14ac:dyDescent="0.3">
      <c r="A20" s="12">
        <v>11</v>
      </c>
      <c r="B20" s="12" t="s">
        <v>65</v>
      </c>
      <c r="C20" s="22" t="str">
        <f>INDEX(Data_Pegawai[Jabatan],MATCH(Historis_Gaji[[#This Row],[Nama]],Data_Pegawai[Nama],0))</f>
        <v>ADM Pembiayaan</v>
      </c>
      <c r="D20" s="18">
        <v>1200000</v>
      </c>
      <c r="E20" s="18">
        <v>1200000</v>
      </c>
      <c r="F20" s="18">
        <v>1200000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>
        <f>IF(ISNUMBER(AVERAGEIF(Historis_Gaji[[#This Row],[1]:[12]],"&gt;0")),AVERAGEIF(Historis_Gaji[[#This Row],[1]:[12]],"&gt;0"),0)</f>
        <v>1200000</v>
      </c>
      <c r="Q20" s="23">
        <f>Historis_Gaji[[#This Row],[12]]</f>
        <v>0</v>
      </c>
      <c r="R20" s="18">
        <v>1200000</v>
      </c>
      <c r="S20" s="21"/>
    </row>
    <row r="21" spans="1:19" x14ac:dyDescent="0.3">
      <c r="A21" s="12">
        <v>12</v>
      </c>
      <c r="B21" s="12" t="s">
        <v>66</v>
      </c>
      <c r="C21" s="22" t="str">
        <f>INDEX(Data_Pegawai[Jabatan],MATCH(Historis_Gaji[[#This Row],[Nama]],Data_Pegawai[Nama],0))</f>
        <v>Bag.Umum</v>
      </c>
      <c r="D21" s="18">
        <v>1000000</v>
      </c>
      <c r="E21" s="18">
        <v>1000000</v>
      </c>
      <c r="F21" s="18">
        <v>1000000</v>
      </c>
      <c r="G21" s="18">
        <v>1000000</v>
      </c>
      <c r="H21" s="18">
        <v>1000000</v>
      </c>
      <c r="I21" s="18">
        <v>1000000</v>
      </c>
      <c r="J21" s="18">
        <v>1000000</v>
      </c>
      <c r="K21" s="18">
        <v>1000000</v>
      </c>
      <c r="L21" s="18">
        <v>1000000</v>
      </c>
      <c r="M21" s="18">
        <v>1000000</v>
      </c>
      <c r="N21" s="18">
        <v>1200000</v>
      </c>
      <c r="O21" s="18">
        <v>1200000</v>
      </c>
      <c r="P21" s="23">
        <f>IF(ISNUMBER(AVERAGEIF(Historis_Gaji[[#This Row],[1]:[12]],"&gt;0")),AVERAGEIF(Historis_Gaji[[#This Row],[1]:[12]],"&gt;0"),0)</f>
        <v>1033333.3333333334</v>
      </c>
      <c r="Q21" s="23">
        <f>Historis_Gaji[[#This Row],[12]]</f>
        <v>1200000</v>
      </c>
      <c r="R21" s="18">
        <v>1000000</v>
      </c>
      <c r="S21" s="21"/>
    </row>
    <row r="22" spans="1:19" x14ac:dyDescent="0.3">
      <c r="A22" s="12">
        <v>13</v>
      </c>
      <c r="B22" s="12" t="s">
        <v>67</v>
      </c>
      <c r="C22" s="22" t="str">
        <f>INDEX(Data_Pegawai[Jabatan],MATCH(Historis_Gaji[[#This Row],[Nama]],Data_Pegawai[Nama],0))</f>
        <v>Satpam</v>
      </c>
      <c r="D22" s="18">
        <v>1000000</v>
      </c>
      <c r="E22" s="18">
        <v>1000000</v>
      </c>
      <c r="F22" s="18">
        <v>1000000</v>
      </c>
      <c r="G22" s="18">
        <v>1000000</v>
      </c>
      <c r="H22" s="18">
        <v>1000000</v>
      </c>
      <c r="I22" s="18">
        <v>1000000</v>
      </c>
      <c r="J22" s="18">
        <v>1000000</v>
      </c>
      <c r="K22" s="18">
        <v>1000000</v>
      </c>
      <c r="L22" s="18">
        <v>1000000</v>
      </c>
      <c r="M22" s="18">
        <v>1000000</v>
      </c>
      <c r="N22" s="18">
        <v>1200000</v>
      </c>
      <c r="O22" s="18">
        <v>1200000</v>
      </c>
      <c r="P22" s="23">
        <f>IF(ISNUMBER(AVERAGEIF(Historis_Gaji[[#This Row],[1]:[12]],"&gt;0")),AVERAGEIF(Historis_Gaji[[#This Row],[1]:[12]],"&gt;0"),0)</f>
        <v>1033333.3333333334</v>
      </c>
      <c r="Q22" s="23">
        <f>Historis_Gaji[[#This Row],[12]]</f>
        <v>1200000</v>
      </c>
      <c r="R22" s="18">
        <v>1000000</v>
      </c>
      <c r="S22" s="21"/>
    </row>
    <row r="23" spans="1:19" x14ac:dyDescent="0.3">
      <c r="A23" s="12">
        <v>14</v>
      </c>
      <c r="B23" s="16"/>
      <c r="C23" s="29" t="e">
        <f>INDEX(Data_Pegawai[Jabatan],MATCH(Historis_Gaji[[#This Row],[Nama]],Data_Pegawai[Nama],0))</f>
        <v>#N/A</v>
      </c>
      <c r="D23" s="14"/>
      <c r="E23" s="14"/>
      <c r="F23" s="14"/>
      <c r="G23" s="14"/>
      <c r="H23" s="18"/>
      <c r="I23" s="18"/>
      <c r="J23" s="18"/>
      <c r="K23" s="18"/>
      <c r="L23" s="18"/>
      <c r="M23" s="18"/>
      <c r="N23" s="18"/>
      <c r="O23" s="18"/>
      <c r="P23" s="23">
        <f>IF(ISNUMBER(AVERAGEIF(Historis_Gaji[[#This Row],[1]:[12]],"&gt;0")),AVERAGEIF(Historis_Gaji[[#This Row],[1]:[12]],"&gt;0"),0)</f>
        <v>0</v>
      </c>
      <c r="Q23" s="23">
        <f>Historis_Gaji[[#This Row],[12]]</f>
        <v>0</v>
      </c>
      <c r="R23" s="18"/>
      <c r="S23" s="31"/>
    </row>
    <row r="24" spans="1:19" x14ac:dyDescent="0.3">
      <c r="A24" s="12">
        <v>15</v>
      </c>
      <c r="B24" s="16"/>
      <c r="C24" s="29" t="e">
        <f>INDEX(Data_Pegawai[Jabatan],MATCH(Historis_Gaji[[#This Row],[Nama]],Data_Pegawai[Nama],0))</f>
        <v>#N/A</v>
      </c>
      <c r="D24" s="14"/>
      <c r="E24" s="14"/>
      <c r="F24" s="14"/>
      <c r="G24" s="14"/>
      <c r="H24" s="18"/>
      <c r="I24" s="18"/>
      <c r="J24" s="18"/>
      <c r="K24" s="18"/>
      <c r="L24" s="18"/>
      <c r="M24" s="18"/>
      <c r="N24" s="18"/>
      <c r="O24" s="18"/>
      <c r="P24" s="23">
        <f>IF(ISNUMBER(AVERAGEIF(Historis_Gaji[[#This Row],[1]:[12]],"&gt;0")),AVERAGEIF(Historis_Gaji[[#This Row],[1]:[12]],"&gt;0"),0)</f>
        <v>0</v>
      </c>
      <c r="Q24" s="23">
        <f>Historis_Gaji[[#This Row],[12]]</f>
        <v>0</v>
      </c>
      <c r="R24" s="18"/>
      <c r="S24" s="31"/>
    </row>
    <row r="25" spans="1:19" x14ac:dyDescent="0.3">
      <c r="A25" s="12">
        <v>16</v>
      </c>
      <c r="B25" s="16"/>
      <c r="C25" s="29" t="e">
        <f>INDEX(Data_Pegawai[Jabatan],MATCH(Historis_Gaji[[#This Row],[Nama]],Data_Pegawai[Nama],0))</f>
        <v>#N/A</v>
      </c>
      <c r="D25" s="14"/>
      <c r="E25" s="14"/>
      <c r="F25" s="14"/>
      <c r="G25" s="14"/>
      <c r="H25" s="18"/>
      <c r="I25" s="18"/>
      <c r="J25" s="18"/>
      <c r="K25" s="18"/>
      <c r="L25" s="18"/>
      <c r="M25" s="18"/>
      <c r="N25" s="18"/>
      <c r="O25" s="18"/>
      <c r="P25" s="23">
        <f>IF(ISNUMBER(AVERAGEIF(Historis_Gaji[[#This Row],[1]:[12]],"&gt;0")),AVERAGEIF(Historis_Gaji[[#This Row],[1]:[12]],"&gt;0"),0)</f>
        <v>0</v>
      </c>
      <c r="Q25" s="23">
        <f>Historis_Gaji[[#This Row],[12]]</f>
        <v>0</v>
      </c>
      <c r="R25" s="18"/>
      <c r="S25" s="31"/>
    </row>
    <row r="26" spans="1:19" x14ac:dyDescent="0.3">
      <c r="A26" s="12">
        <v>17</v>
      </c>
      <c r="B26" s="16"/>
      <c r="C26" s="29" t="e">
        <f>INDEX(Data_Pegawai[Jabatan],MATCH(Historis_Gaji[[#This Row],[Nama]],Data_Pegawai[Nama],0))</f>
        <v>#N/A</v>
      </c>
      <c r="D26" s="14"/>
      <c r="E26" s="14"/>
      <c r="F26" s="14"/>
      <c r="G26" s="14"/>
      <c r="H26" s="18"/>
      <c r="I26" s="18"/>
      <c r="J26" s="18"/>
      <c r="K26" s="18"/>
      <c r="L26" s="18"/>
      <c r="M26" s="18"/>
      <c r="N26" s="18"/>
      <c r="O26" s="18"/>
      <c r="P26" s="23">
        <f>IF(ISNUMBER(AVERAGEIF(Historis_Gaji[[#This Row],[1]:[12]],"&gt;0")),AVERAGEIF(Historis_Gaji[[#This Row],[1]:[12]],"&gt;0"),0)</f>
        <v>0</v>
      </c>
      <c r="Q26" s="23">
        <f>Historis_Gaji[[#This Row],[12]]</f>
        <v>0</v>
      </c>
      <c r="R26" s="18"/>
      <c r="S26" s="31"/>
    </row>
    <row r="27" spans="1:19" x14ac:dyDescent="0.3">
      <c r="A27" s="12">
        <v>18</v>
      </c>
      <c r="B27" s="16"/>
      <c r="C27" s="29" t="e">
        <f>INDEX(Data_Pegawai[Jabatan],MATCH(Historis_Gaji[[#This Row],[Nama]],Data_Pegawai[Nama],0))</f>
        <v>#N/A</v>
      </c>
      <c r="D27" s="14"/>
      <c r="E27" s="14"/>
      <c r="F27" s="14"/>
      <c r="G27" s="14"/>
      <c r="H27" s="18"/>
      <c r="I27" s="18"/>
      <c r="J27" s="18"/>
      <c r="K27" s="18"/>
      <c r="L27" s="18"/>
      <c r="M27" s="18"/>
      <c r="N27" s="18"/>
      <c r="O27" s="18"/>
      <c r="P27" s="23">
        <f>IF(ISNUMBER(AVERAGEIF(Historis_Gaji[[#This Row],[1]:[12]],"&gt;0")),AVERAGEIF(Historis_Gaji[[#This Row],[1]:[12]],"&gt;0"),0)</f>
        <v>0</v>
      </c>
      <c r="Q27" s="23">
        <f>Historis_Gaji[[#This Row],[12]]</f>
        <v>0</v>
      </c>
      <c r="R27" s="18"/>
      <c r="S27" s="31"/>
    </row>
    <row r="28" spans="1:19" x14ac:dyDescent="0.3">
      <c r="A28" s="12">
        <v>19</v>
      </c>
      <c r="B28" s="16"/>
      <c r="C28" s="29" t="e">
        <f>INDEX(Data_Pegawai[Jabatan],MATCH(Historis_Gaji[[#This Row],[Nama]],Data_Pegawai[Nama],0))</f>
        <v>#N/A</v>
      </c>
      <c r="D28" s="14"/>
      <c r="E28" s="14"/>
      <c r="F28" s="14"/>
      <c r="G28" s="14"/>
      <c r="H28" s="18"/>
      <c r="I28" s="18"/>
      <c r="J28" s="18"/>
      <c r="K28" s="18"/>
      <c r="L28" s="18"/>
      <c r="M28" s="18"/>
      <c r="N28" s="18"/>
      <c r="O28" s="18"/>
      <c r="P28" s="23">
        <f>IF(ISNUMBER(AVERAGEIF(Historis_Gaji[[#This Row],[1]:[12]],"&gt;0")),AVERAGEIF(Historis_Gaji[[#This Row],[1]:[12]],"&gt;0"),0)</f>
        <v>0</v>
      </c>
      <c r="Q28" s="23">
        <f>Historis_Gaji[[#This Row],[12]]</f>
        <v>0</v>
      </c>
      <c r="R28" s="18"/>
      <c r="S28" s="31"/>
    </row>
    <row r="29" spans="1:19" x14ac:dyDescent="0.3">
      <c r="A29" s="12">
        <v>20</v>
      </c>
      <c r="B29" s="16"/>
      <c r="C29" s="29" t="e">
        <f>INDEX(Data_Pegawai[Jabatan],MATCH(Historis_Gaji[[#This Row],[Nama]],Data_Pegawai[Nama],0))</f>
        <v>#N/A</v>
      </c>
      <c r="D29" s="14"/>
      <c r="E29" s="14"/>
      <c r="F29" s="14"/>
      <c r="G29" s="14"/>
      <c r="H29" s="18"/>
      <c r="I29" s="18"/>
      <c r="J29" s="18"/>
      <c r="K29" s="18"/>
      <c r="L29" s="18"/>
      <c r="M29" s="18"/>
      <c r="N29" s="18"/>
      <c r="O29" s="18"/>
      <c r="P29" s="23">
        <f>IF(ISNUMBER(AVERAGEIF(Historis_Gaji[[#This Row],[1]:[12]],"&gt;0")),AVERAGEIF(Historis_Gaji[[#This Row],[1]:[12]],"&gt;0"),0)</f>
        <v>0</v>
      </c>
      <c r="Q29" s="23">
        <f>Historis_Gaji[[#This Row],[12]]</f>
        <v>0</v>
      </c>
      <c r="R29" s="18"/>
      <c r="S29" s="31"/>
    </row>
    <row r="30" spans="1:19" x14ac:dyDescent="0.3">
      <c r="A30" s="5" t="s">
        <v>29</v>
      </c>
      <c r="B30" s="6">
        <f>SUBTOTAL(103,Historis_Gaji[Nama])</f>
        <v>13</v>
      </c>
      <c r="C30" s="5"/>
      <c r="D30" s="9">
        <f>SUBTOTAL(109,Historis_Gaji[1])</f>
        <v>14950000</v>
      </c>
      <c r="E30" s="9">
        <f>SUBTOTAL(109,Historis_Gaji[2])</f>
        <v>14950000</v>
      </c>
      <c r="F30" s="9">
        <f>SUBTOTAL(109,Historis_Gaji[3])</f>
        <v>14950000</v>
      </c>
      <c r="G30" s="9">
        <f>SUBTOTAL(109,Historis_Gaji[4])</f>
        <v>13750000</v>
      </c>
      <c r="H30" s="9">
        <f>SUBTOTAL(109,Historis_Gaji[5])</f>
        <v>13750000</v>
      </c>
      <c r="I30" s="9">
        <f>SUBTOTAL(109,Historis_Gaji[6])</f>
        <v>14488100</v>
      </c>
      <c r="J30" s="9">
        <f>SUBTOTAL(109,Historis_Gaji[7])</f>
        <v>16250000</v>
      </c>
      <c r="K30" s="9">
        <f>SUBTOTAL(109,Historis_Gaji[8])</f>
        <v>16250000</v>
      </c>
      <c r="L30" s="9">
        <f>SUBTOTAL(109,Historis_Gaji[9])</f>
        <v>16250000</v>
      </c>
      <c r="M30" s="9">
        <f>SUBTOTAL(109,Historis_Gaji[10])</f>
        <v>16250000</v>
      </c>
      <c r="N30" s="9">
        <f>SUBTOTAL(109,Historis_Gaji[11])</f>
        <v>16650000</v>
      </c>
      <c r="O30" s="9">
        <f>SUBTOTAL(109,Historis_Gaji[12])</f>
        <v>16650000</v>
      </c>
      <c r="P30" s="9"/>
      <c r="Q30" s="9"/>
      <c r="R30" s="9">
        <f>SUBTOTAL(109,Historis_Gaji[Angka yang Digunakan])</f>
        <v>22550000</v>
      </c>
      <c r="S30" s="10"/>
    </row>
    <row r="32" spans="1:19" x14ac:dyDescent="0.3">
      <c r="A32" s="20" t="s">
        <v>52</v>
      </c>
    </row>
    <row r="33" spans="1:2" x14ac:dyDescent="0.3">
      <c r="A33" s="19"/>
      <c r="B33" s="1" t="s">
        <v>51</v>
      </c>
    </row>
  </sheetData>
  <sheetProtection formatColumns="0" formatRows="0" insertRows="0" deleteRows="0"/>
  <mergeCells count="5">
    <mergeCell ref="D7:S7"/>
    <mergeCell ref="A2:S2"/>
    <mergeCell ref="A3:S3"/>
    <mergeCell ref="A4:S4"/>
    <mergeCell ref="A5:S5"/>
  </mergeCells>
  <conditionalFormatting sqref="E10:O29">
    <cfRule type="expression" dxfId="47" priority="3">
      <formula>D10&lt;&gt;E10</formula>
    </cfRule>
  </conditionalFormatting>
  <conditionalFormatting sqref="P10:Q29">
    <cfRule type="expression" dxfId="46" priority="1">
      <formula>$P10&lt;&gt;$Q10</formula>
    </cfRule>
  </conditionalFormatting>
  <dataValidations disablePrompts="1" count="1">
    <dataValidation type="decimal" operator="greaterThanOrEqual" allowBlank="1" showInputMessage="1" showErrorMessage="1" sqref="R10:R29" xr:uid="{FE853848-A41C-48FD-A343-B497DDD3B17C}">
      <formula1>0</formula1>
    </dataValidation>
  </dataValidations>
  <pageMargins left="0.7" right="0.7" top="0.75" bottom="0.75" header="0.3" footer="0.3"/>
  <pageSetup paperSize="9" scale="51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B54A-C57B-4AC0-8641-1B7A7B64C365}">
  <sheetPr>
    <pageSetUpPr fitToPage="1"/>
  </sheetPr>
  <dimension ref="A2:AD35"/>
  <sheetViews>
    <sheetView zoomScale="73" workbookViewId="0">
      <selection activeCell="A5" sqref="A5:S5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15" width="12.21875" style="1" customWidth="1"/>
    <col min="16" max="18" width="13.5546875" style="1" customWidth="1"/>
    <col min="19" max="19" width="18" style="1" customWidth="1"/>
    <col min="20" max="30" width="0" style="1" hidden="1" customWidth="1"/>
    <col min="31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6" x14ac:dyDescent="0.3">
      <c r="A5" s="35" t="str">
        <f>"Historis "&amp;C7</f>
        <v>Historis Tunjangan Jabatan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39" t="s">
        <v>68</v>
      </c>
      <c r="B7" s="39"/>
      <c r="C7" s="37" t="s">
        <v>71</v>
      </c>
      <c r="D7" s="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D9" s="33" t="s">
        <v>70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">
      <c r="D10" s="30">
        <f>DATE(YEAR('1. Perhitungan Pesangon'!$C$8),MONTH('1. Perhitungan Pesangon'!$C$8)-12,1)</f>
        <v>43374</v>
      </c>
      <c r="E10" s="30">
        <f>DATE(YEAR('1. Perhitungan Pesangon'!$C$8),MONTH('1. Perhitungan Pesangon'!$C$8)-11,1)</f>
        <v>43405</v>
      </c>
      <c r="F10" s="30">
        <f>DATE(YEAR('1. Perhitungan Pesangon'!$C$8),MONTH('1. Perhitungan Pesangon'!$C$8)-10,1)</f>
        <v>43435</v>
      </c>
      <c r="G10" s="30">
        <f>DATE(YEAR('1. Perhitungan Pesangon'!$C$8),MONTH('1. Perhitungan Pesangon'!$C$8)-9,1)</f>
        <v>43466</v>
      </c>
      <c r="H10" s="30">
        <f>DATE(YEAR('1. Perhitungan Pesangon'!$C$8),MONTH('1. Perhitungan Pesangon'!$C$8)-8,1)</f>
        <v>43497</v>
      </c>
      <c r="I10" s="30">
        <f>DATE(YEAR('1. Perhitungan Pesangon'!$C$8),MONTH('1. Perhitungan Pesangon'!$C$8)-7,1)</f>
        <v>43525</v>
      </c>
      <c r="J10" s="30">
        <f>DATE(YEAR('1. Perhitungan Pesangon'!$C$8),MONTH('1. Perhitungan Pesangon'!$C$8)-6,1)</f>
        <v>43556</v>
      </c>
      <c r="K10" s="30">
        <f>DATE(YEAR('1. Perhitungan Pesangon'!$C$8),MONTH('1. Perhitungan Pesangon'!$C$8)-5,1)</f>
        <v>43586</v>
      </c>
      <c r="L10" s="30">
        <f>DATE(YEAR('1. Perhitungan Pesangon'!$C$8),MONTH('1. Perhitungan Pesangon'!$C$8)-4,1)</f>
        <v>43617</v>
      </c>
      <c r="M10" s="30">
        <f>DATE(YEAR('1. Perhitungan Pesangon'!$C$8),MONTH('1. Perhitungan Pesangon'!$C$8)-3,1)</f>
        <v>43647</v>
      </c>
      <c r="N10" s="30">
        <f>DATE(YEAR('1. Perhitungan Pesangon'!$C$8),MONTH('1. Perhitungan Pesangon'!$C$8)-2,1)</f>
        <v>43678</v>
      </c>
      <c r="O10" s="30">
        <f>DATE(YEAR('1. Perhitungan Pesangon'!$C$8),MONTH('1. Perhitungan Pesangon'!$C$8)-1,1)</f>
        <v>43709</v>
      </c>
      <c r="P10" s="11"/>
      <c r="Q10" s="11"/>
      <c r="R10" s="11"/>
      <c r="S10" s="11"/>
    </row>
    <row r="11" spans="1:19" ht="36" customHeight="1" x14ac:dyDescent="0.3">
      <c r="A11" s="4" t="s">
        <v>2</v>
      </c>
      <c r="B11" s="4" t="s">
        <v>3</v>
      </c>
      <c r="C11" s="4" t="s">
        <v>4</v>
      </c>
      <c r="D11" s="4" t="s">
        <v>38</v>
      </c>
      <c r="E11" s="4" t="s">
        <v>37</v>
      </c>
      <c r="F11" s="4" t="s">
        <v>39</v>
      </c>
      <c r="G11" s="4" t="s">
        <v>40</v>
      </c>
      <c r="H11" s="4" t="s">
        <v>41</v>
      </c>
      <c r="I11" s="4" t="s">
        <v>42</v>
      </c>
      <c r="J11" s="4" t="s">
        <v>43</v>
      </c>
      <c r="K11" s="4" t="s">
        <v>44</v>
      </c>
      <c r="L11" s="4" t="s">
        <v>45</v>
      </c>
      <c r="M11" s="4" t="s">
        <v>46</v>
      </c>
      <c r="N11" s="4" t="s">
        <v>47</v>
      </c>
      <c r="O11" s="4" t="s">
        <v>48</v>
      </c>
      <c r="P11" s="4" t="s">
        <v>49</v>
      </c>
      <c r="Q11" s="4" t="s">
        <v>54</v>
      </c>
      <c r="R11" s="4" t="s">
        <v>53</v>
      </c>
      <c r="S11" s="4" t="s">
        <v>50</v>
      </c>
    </row>
    <row r="12" spans="1:19" x14ac:dyDescent="0.3">
      <c r="A12" s="12">
        <v>1</v>
      </c>
      <c r="B12" s="12" t="s">
        <v>55</v>
      </c>
      <c r="C12" s="22" t="str">
        <f>INDEX(Data_Pegawai[Jabatan],MATCH(Historis_Tunj1[[#This Row],[Nama]],Data_Pegawai[Nama],0))</f>
        <v>Kabag Operasional</v>
      </c>
      <c r="D12" s="18">
        <v>500000</v>
      </c>
      <c r="E12" s="18">
        <v>500000</v>
      </c>
      <c r="F12" s="18">
        <v>500000</v>
      </c>
      <c r="G12" s="18">
        <v>500000</v>
      </c>
      <c r="H12" s="18">
        <v>500000</v>
      </c>
      <c r="I12" s="18">
        <v>500000</v>
      </c>
      <c r="J12" s="18">
        <v>500000</v>
      </c>
      <c r="K12" s="18">
        <v>500000</v>
      </c>
      <c r="L12" s="18">
        <v>500000</v>
      </c>
      <c r="M12" s="18">
        <v>500000</v>
      </c>
      <c r="N12" s="18">
        <v>500000</v>
      </c>
      <c r="O12" s="18">
        <v>500000</v>
      </c>
      <c r="P12" s="23">
        <f>IF(ISNUMBER(AVERAGEIF(Historis_Tunj1[[#This Row],[1]:[12]],"&gt;0")),AVERAGEIF(Historis_Tunj1[[#This Row],[1]:[12]],"&gt;0"),0)</f>
        <v>500000</v>
      </c>
      <c r="Q12" s="23">
        <f>Historis_Tunj1[[#This Row],[12]]</f>
        <v>500000</v>
      </c>
      <c r="R12" s="18">
        <v>500000</v>
      </c>
      <c r="S12" s="21"/>
    </row>
    <row r="13" spans="1:19" x14ac:dyDescent="0.3">
      <c r="A13" s="12">
        <v>2</v>
      </c>
      <c r="B13" s="12" t="s">
        <v>56</v>
      </c>
      <c r="C13" s="22" t="str">
        <f>INDEX(Data_Pegawai[Jabatan],MATCH(Historis_Tunj1[[#This Row],[Nama]],Data_Pegawai[Nama],0))</f>
        <v>Kabag Pembiayaan</v>
      </c>
      <c r="D13" s="18">
        <v>500000</v>
      </c>
      <c r="E13" s="18">
        <v>500000</v>
      </c>
      <c r="F13" s="18">
        <v>500000</v>
      </c>
      <c r="G13" s="18">
        <v>500000</v>
      </c>
      <c r="H13" s="18">
        <v>500000</v>
      </c>
      <c r="I13" s="18">
        <v>500000</v>
      </c>
      <c r="J13" s="18">
        <v>500000</v>
      </c>
      <c r="K13" s="18">
        <v>500000</v>
      </c>
      <c r="L13" s="18">
        <v>500000</v>
      </c>
      <c r="M13" s="18">
        <v>500000</v>
      </c>
      <c r="N13" s="18">
        <v>500000</v>
      </c>
      <c r="O13" s="18">
        <v>500000</v>
      </c>
      <c r="P13" s="23">
        <f>IF(ISNUMBER(AVERAGEIF(Historis_Tunj1[[#This Row],[1]:[12]],"&gt;0")),AVERAGEIF(Historis_Tunj1[[#This Row],[1]:[12]],"&gt;0"),0)</f>
        <v>500000</v>
      </c>
      <c r="Q13" s="23">
        <f>Historis_Tunj1[[#This Row],[12]]</f>
        <v>500000</v>
      </c>
      <c r="R13" s="18">
        <v>500000</v>
      </c>
      <c r="S13" s="21"/>
    </row>
    <row r="14" spans="1:19" x14ac:dyDescent="0.3">
      <c r="A14" s="12">
        <v>3</v>
      </c>
      <c r="B14" s="12" t="s">
        <v>57</v>
      </c>
      <c r="C14" s="22" t="str">
        <f>INDEX(Data_Pegawai[Jabatan],MATCH(Historis_Tunj1[[#This Row],[Nama]],Data_Pegawai[Nama],0))</f>
        <v>A/O Loan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23">
        <f>IF(ISNUMBER(AVERAGEIF(Historis_Tunj1[[#This Row],[1]:[12]],"&gt;0")),AVERAGEIF(Historis_Tunj1[[#This Row],[1]:[12]],"&gt;0"),0)</f>
        <v>0</v>
      </c>
      <c r="Q14" s="23">
        <f>Historis_Tunj1[[#This Row],[12]]</f>
        <v>0</v>
      </c>
      <c r="R14" s="18">
        <v>0</v>
      </c>
      <c r="S14" s="21"/>
    </row>
    <row r="15" spans="1:19" x14ac:dyDescent="0.3">
      <c r="A15" s="12">
        <v>4</v>
      </c>
      <c r="B15" s="12" t="s">
        <v>58</v>
      </c>
      <c r="C15" s="22" t="str">
        <f>INDEX(Data_Pegawai[Jabatan],MATCH(Historis_Tunj1[[#This Row],[Nama]],Data_Pegawai[Nama],0))</f>
        <v>Funding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23">
        <f>IF(ISNUMBER(AVERAGEIF(Historis_Tunj1[[#This Row],[1]:[12]],"&gt;0")),AVERAGEIF(Historis_Tunj1[[#This Row],[1]:[12]],"&gt;0"),0)</f>
        <v>0</v>
      </c>
      <c r="Q15" s="23">
        <f>Historis_Tunj1[[#This Row],[12]]</f>
        <v>0</v>
      </c>
      <c r="R15" s="18">
        <v>0</v>
      </c>
      <c r="S15" s="21"/>
    </row>
    <row r="16" spans="1:19" x14ac:dyDescent="0.3">
      <c r="A16" s="12">
        <v>5</v>
      </c>
      <c r="B16" s="12" t="s">
        <v>59</v>
      </c>
      <c r="C16" s="22" t="str">
        <f>INDEX(Data_Pegawai[Jabatan],MATCH(Historis_Tunj1[[#This Row],[Nama]],Data_Pegawai[Nama],0))</f>
        <v>A/O Loan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>
        <f>IF(ISNUMBER(AVERAGEIF(Historis_Tunj1[[#This Row],[1]:[12]],"&gt;0")),AVERAGEIF(Historis_Tunj1[[#This Row],[1]:[12]],"&gt;0"),0)</f>
        <v>0</v>
      </c>
      <c r="Q16" s="23">
        <f>Historis_Tunj1[[#This Row],[12]]</f>
        <v>0</v>
      </c>
      <c r="R16" s="18">
        <v>0</v>
      </c>
      <c r="S16" s="21"/>
    </row>
    <row r="17" spans="1:19" x14ac:dyDescent="0.3">
      <c r="A17" s="12">
        <v>6</v>
      </c>
      <c r="B17" s="12" t="s">
        <v>60</v>
      </c>
      <c r="C17" s="22" t="str">
        <f>INDEX(Data_Pegawai[Jabatan],MATCH(Historis_Tunj1[[#This Row],[Nama]],Data_Pegawai[Nama],0))</f>
        <v>ADM Pelaporan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23">
        <f>IF(ISNUMBER(AVERAGEIF(Historis_Tunj1[[#This Row],[1]:[12]],"&gt;0")),AVERAGEIF(Historis_Tunj1[[#This Row],[1]:[12]],"&gt;0"),0)</f>
        <v>0</v>
      </c>
      <c r="Q17" s="23">
        <f>Historis_Tunj1[[#This Row],[12]]</f>
        <v>0</v>
      </c>
      <c r="R17" s="18">
        <v>0</v>
      </c>
      <c r="S17" s="21"/>
    </row>
    <row r="18" spans="1:19" x14ac:dyDescent="0.3">
      <c r="A18" s="12">
        <v>7</v>
      </c>
      <c r="B18" s="12" t="s">
        <v>61</v>
      </c>
      <c r="C18" s="22" t="str">
        <f>INDEX(Data_Pegawai[Jabatan],MATCH(Historis_Tunj1[[#This Row],[Nama]],Data_Pegawai[Nama],0))</f>
        <v>Funding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23">
        <f>IF(ISNUMBER(AVERAGEIF(Historis_Tunj1[[#This Row],[1]:[12]],"&gt;0")),AVERAGEIF(Historis_Tunj1[[#This Row],[1]:[12]],"&gt;0"),0)</f>
        <v>0</v>
      </c>
      <c r="Q18" s="23">
        <f>Historis_Tunj1[[#This Row],[12]]</f>
        <v>0</v>
      </c>
      <c r="R18" s="18">
        <v>0</v>
      </c>
      <c r="S18" s="21"/>
    </row>
    <row r="19" spans="1:19" x14ac:dyDescent="0.3">
      <c r="A19" s="12">
        <v>8</v>
      </c>
      <c r="B19" s="12" t="s">
        <v>62</v>
      </c>
      <c r="C19" s="22" t="str">
        <f>INDEX(Data_Pegawai[Jabatan],MATCH(Historis_Tunj1[[#This Row],[Nama]],Data_Pegawai[Nama],0))</f>
        <v>ADM Pembiayaan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23">
        <f>IF(ISNUMBER(AVERAGEIF(Historis_Tunj1[[#This Row],[1]:[12]],"&gt;0")),AVERAGEIF(Historis_Tunj1[[#This Row],[1]:[12]],"&gt;0"),0)</f>
        <v>0</v>
      </c>
      <c r="Q19" s="23">
        <f>Historis_Tunj1[[#This Row],[12]]</f>
        <v>0</v>
      </c>
      <c r="R19" s="18">
        <v>0</v>
      </c>
      <c r="S19" s="21"/>
    </row>
    <row r="20" spans="1:19" x14ac:dyDescent="0.3">
      <c r="A20" s="12">
        <v>9</v>
      </c>
      <c r="B20" s="12" t="s">
        <v>63</v>
      </c>
      <c r="C20" s="22" t="str">
        <f>INDEX(Data_Pegawai[Jabatan],MATCH(Historis_Tunj1[[#This Row],[Nama]],Data_Pegawai[Nama],0))</f>
        <v>Teller</v>
      </c>
      <c r="D20" s="18">
        <v>250000</v>
      </c>
      <c r="E20" s="18">
        <v>250000</v>
      </c>
      <c r="F20" s="18">
        <v>250000</v>
      </c>
      <c r="G20" s="18">
        <v>250000</v>
      </c>
      <c r="H20" s="18">
        <v>250000</v>
      </c>
      <c r="I20" s="18">
        <v>250000</v>
      </c>
      <c r="J20" s="18">
        <v>250000</v>
      </c>
      <c r="K20" s="18">
        <v>250000</v>
      </c>
      <c r="L20" s="18">
        <v>250000</v>
      </c>
      <c r="M20" s="18">
        <v>250000</v>
      </c>
      <c r="N20" s="18">
        <v>250000</v>
      </c>
      <c r="O20" s="18">
        <v>250000</v>
      </c>
      <c r="P20" s="23">
        <f>IF(ISNUMBER(AVERAGEIF(Historis_Tunj1[[#This Row],[1]:[12]],"&gt;0")),AVERAGEIF(Historis_Tunj1[[#This Row],[1]:[12]],"&gt;0"),0)</f>
        <v>250000</v>
      </c>
      <c r="Q20" s="23">
        <f>Historis_Tunj1[[#This Row],[12]]</f>
        <v>250000</v>
      </c>
      <c r="R20" s="18">
        <v>250000</v>
      </c>
      <c r="S20" s="21"/>
    </row>
    <row r="21" spans="1:19" x14ac:dyDescent="0.3">
      <c r="A21" s="12">
        <v>10</v>
      </c>
      <c r="B21" s="12" t="s">
        <v>64</v>
      </c>
      <c r="C21" s="22" t="str">
        <f>INDEX(Data_Pegawai[Jabatan],MATCH(Historis_Tunj1[[#This Row],[Nama]],Data_Pegawai[Nama],0))</f>
        <v>A/O Loan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23">
        <f>IF(ISNUMBER(AVERAGEIF(Historis_Tunj1[[#This Row],[1]:[12]],"&gt;0")),AVERAGEIF(Historis_Tunj1[[#This Row],[1]:[12]],"&gt;0"),0)</f>
        <v>0</v>
      </c>
      <c r="Q21" s="23">
        <f>Historis_Tunj1[[#This Row],[12]]</f>
        <v>0</v>
      </c>
      <c r="R21" s="18">
        <v>0</v>
      </c>
      <c r="S21" s="21"/>
    </row>
    <row r="22" spans="1:19" x14ac:dyDescent="0.3">
      <c r="A22" s="12">
        <v>11</v>
      </c>
      <c r="B22" s="12" t="s">
        <v>65</v>
      </c>
      <c r="C22" s="22" t="str">
        <f>INDEX(Data_Pegawai[Jabatan],MATCH(Historis_Tunj1[[#This Row],[Nama]],Data_Pegawai[Nama],0))</f>
        <v>ADM Pembiayaan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23">
        <f>IF(ISNUMBER(AVERAGEIF(Historis_Tunj1[[#This Row],[1]:[12]],"&gt;0")),AVERAGEIF(Historis_Tunj1[[#This Row],[1]:[12]],"&gt;0"),0)</f>
        <v>0</v>
      </c>
      <c r="Q22" s="23">
        <f>Historis_Tunj1[[#This Row],[12]]</f>
        <v>0</v>
      </c>
      <c r="R22" s="18">
        <v>0</v>
      </c>
      <c r="S22" s="21"/>
    </row>
    <row r="23" spans="1:19" x14ac:dyDescent="0.3">
      <c r="A23" s="12">
        <v>12</v>
      </c>
      <c r="B23" s="12" t="s">
        <v>66</v>
      </c>
      <c r="C23" s="22" t="str">
        <f>INDEX(Data_Pegawai[Jabatan],MATCH(Historis_Tunj1[[#This Row],[Nama]],Data_Pegawai[Nama],0))</f>
        <v>Bag.Umum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23">
        <f>IF(ISNUMBER(AVERAGEIF(Historis_Tunj1[[#This Row],[1]:[12]],"&gt;0")),AVERAGEIF(Historis_Tunj1[[#This Row],[1]:[12]],"&gt;0"),0)</f>
        <v>0</v>
      </c>
      <c r="Q23" s="23">
        <f>Historis_Tunj1[[#This Row],[12]]</f>
        <v>0</v>
      </c>
      <c r="R23" s="18">
        <v>0</v>
      </c>
      <c r="S23" s="21"/>
    </row>
    <row r="24" spans="1:19" x14ac:dyDescent="0.3">
      <c r="A24" s="12">
        <v>13</v>
      </c>
      <c r="B24" s="12" t="s">
        <v>67</v>
      </c>
      <c r="C24" s="22" t="str">
        <f>INDEX(Data_Pegawai[Jabatan],MATCH(Historis_Tunj1[[#This Row],[Nama]],Data_Pegawai[Nama],0))</f>
        <v>Satpam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23">
        <f>IF(ISNUMBER(AVERAGEIF(Historis_Tunj1[[#This Row],[1]:[12]],"&gt;0")),AVERAGEIF(Historis_Tunj1[[#This Row],[1]:[12]],"&gt;0"),0)</f>
        <v>0</v>
      </c>
      <c r="Q24" s="23">
        <f>Historis_Tunj1[[#This Row],[12]]</f>
        <v>0</v>
      </c>
      <c r="R24" s="18">
        <v>0</v>
      </c>
      <c r="S24" s="21"/>
    </row>
    <row r="25" spans="1:19" x14ac:dyDescent="0.3">
      <c r="A25" s="12">
        <v>14</v>
      </c>
      <c r="B25" s="16"/>
      <c r="C25" s="29" t="e">
        <f>INDEX(Data_Pegawai[Jabatan],MATCH(Historis_Tunj1[[#This Row],[Nama]],Data_Pegawai[Nama],0))</f>
        <v>#N/A</v>
      </c>
      <c r="D25" s="14"/>
      <c r="E25" s="14"/>
      <c r="F25" s="14"/>
      <c r="G25" s="14"/>
      <c r="H25" s="18"/>
      <c r="I25" s="18"/>
      <c r="J25" s="18"/>
      <c r="K25" s="18"/>
      <c r="L25" s="18"/>
      <c r="M25" s="18"/>
      <c r="N25" s="18"/>
      <c r="O25" s="18"/>
      <c r="P25" s="23">
        <f>IF(ISNUMBER(AVERAGEIF(Historis_Tunj1[[#This Row],[1]:[12]],"&gt;0")),AVERAGEIF(Historis_Tunj1[[#This Row],[1]:[12]],"&gt;0"),0)</f>
        <v>0</v>
      </c>
      <c r="Q25" s="23">
        <f>Historis_Tunj1[[#This Row],[12]]</f>
        <v>0</v>
      </c>
      <c r="R25" s="18"/>
      <c r="S25" s="31"/>
    </row>
    <row r="26" spans="1:19" x14ac:dyDescent="0.3">
      <c r="A26" s="12">
        <v>15</v>
      </c>
      <c r="B26" s="16"/>
      <c r="C26" s="29" t="e">
        <f>INDEX(Data_Pegawai[Jabatan],MATCH(Historis_Tunj1[[#This Row],[Nama]],Data_Pegawai[Nama],0))</f>
        <v>#N/A</v>
      </c>
      <c r="D26" s="14"/>
      <c r="E26" s="14"/>
      <c r="F26" s="14"/>
      <c r="G26" s="14"/>
      <c r="H26" s="18"/>
      <c r="I26" s="18"/>
      <c r="J26" s="18"/>
      <c r="K26" s="18"/>
      <c r="L26" s="18"/>
      <c r="M26" s="18"/>
      <c r="N26" s="18"/>
      <c r="O26" s="18"/>
      <c r="P26" s="23">
        <f>IF(ISNUMBER(AVERAGEIF(Historis_Tunj1[[#This Row],[1]:[12]],"&gt;0")),AVERAGEIF(Historis_Tunj1[[#This Row],[1]:[12]],"&gt;0"),0)</f>
        <v>0</v>
      </c>
      <c r="Q26" s="23">
        <f>Historis_Tunj1[[#This Row],[12]]</f>
        <v>0</v>
      </c>
      <c r="R26" s="18"/>
      <c r="S26" s="31"/>
    </row>
    <row r="27" spans="1:19" x14ac:dyDescent="0.3">
      <c r="A27" s="12">
        <v>16</v>
      </c>
      <c r="B27" s="16"/>
      <c r="C27" s="29" t="e">
        <f>INDEX(Data_Pegawai[Jabatan],MATCH(Historis_Tunj1[[#This Row],[Nama]],Data_Pegawai[Nama],0))</f>
        <v>#N/A</v>
      </c>
      <c r="D27" s="14"/>
      <c r="E27" s="14"/>
      <c r="F27" s="14"/>
      <c r="G27" s="14"/>
      <c r="H27" s="18"/>
      <c r="I27" s="18"/>
      <c r="J27" s="18"/>
      <c r="K27" s="18"/>
      <c r="L27" s="18"/>
      <c r="M27" s="18"/>
      <c r="N27" s="18"/>
      <c r="O27" s="18"/>
      <c r="P27" s="23">
        <f>IF(ISNUMBER(AVERAGEIF(Historis_Tunj1[[#This Row],[1]:[12]],"&gt;0")),AVERAGEIF(Historis_Tunj1[[#This Row],[1]:[12]],"&gt;0"),0)</f>
        <v>0</v>
      </c>
      <c r="Q27" s="23">
        <f>Historis_Tunj1[[#This Row],[12]]</f>
        <v>0</v>
      </c>
      <c r="R27" s="18"/>
      <c r="S27" s="31"/>
    </row>
    <row r="28" spans="1:19" x14ac:dyDescent="0.3">
      <c r="A28" s="12">
        <v>17</v>
      </c>
      <c r="B28" s="16"/>
      <c r="C28" s="29" t="e">
        <f>INDEX(Data_Pegawai[Jabatan],MATCH(Historis_Tunj1[[#This Row],[Nama]],Data_Pegawai[Nama],0))</f>
        <v>#N/A</v>
      </c>
      <c r="D28" s="14"/>
      <c r="E28" s="14"/>
      <c r="F28" s="14"/>
      <c r="G28" s="14"/>
      <c r="H28" s="18"/>
      <c r="I28" s="18"/>
      <c r="J28" s="18"/>
      <c r="K28" s="18"/>
      <c r="L28" s="18"/>
      <c r="M28" s="18"/>
      <c r="N28" s="18"/>
      <c r="O28" s="18"/>
      <c r="P28" s="23">
        <f>IF(ISNUMBER(AVERAGEIF(Historis_Tunj1[[#This Row],[1]:[12]],"&gt;0")),AVERAGEIF(Historis_Tunj1[[#This Row],[1]:[12]],"&gt;0"),0)</f>
        <v>0</v>
      </c>
      <c r="Q28" s="23">
        <f>Historis_Tunj1[[#This Row],[12]]</f>
        <v>0</v>
      </c>
      <c r="R28" s="18"/>
      <c r="S28" s="31"/>
    </row>
    <row r="29" spans="1:19" x14ac:dyDescent="0.3">
      <c r="A29" s="12">
        <v>18</v>
      </c>
      <c r="B29" s="16"/>
      <c r="C29" s="29" t="e">
        <f>INDEX(Data_Pegawai[Jabatan],MATCH(Historis_Tunj1[[#This Row],[Nama]],Data_Pegawai[Nama],0))</f>
        <v>#N/A</v>
      </c>
      <c r="D29" s="14"/>
      <c r="E29" s="14"/>
      <c r="F29" s="14"/>
      <c r="G29" s="14"/>
      <c r="H29" s="18"/>
      <c r="I29" s="18"/>
      <c r="J29" s="18"/>
      <c r="K29" s="18"/>
      <c r="L29" s="18"/>
      <c r="M29" s="18"/>
      <c r="N29" s="18"/>
      <c r="O29" s="18"/>
      <c r="P29" s="23">
        <f>IF(ISNUMBER(AVERAGEIF(Historis_Tunj1[[#This Row],[1]:[12]],"&gt;0")),AVERAGEIF(Historis_Tunj1[[#This Row],[1]:[12]],"&gt;0"),0)</f>
        <v>0</v>
      </c>
      <c r="Q29" s="23">
        <f>Historis_Tunj1[[#This Row],[12]]</f>
        <v>0</v>
      </c>
      <c r="R29" s="18"/>
      <c r="S29" s="31"/>
    </row>
    <row r="30" spans="1:19" x14ac:dyDescent="0.3">
      <c r="A30" s="12">
        <v>19</v>
      </c>
      <c r="B30" s="16"/>
      <c r="C30" s="29" t="e">
        <f>INDEX(Data_Pegawai[Jabatan],MATCH(Historis_Tunj1[[#This Row],[Nama]],Data_Pegawai[Nama],0))</f>
        <v>#N/A</v>
      </c>
      <c r="D30" s="14"/>
      <c r="E30" s="14"/>
      <c r="F30" s="14"/>
      <c r="G30" s="14"/>
      <c r="H30" s="18"/>
      <c r="I30" s="18"/>
      <c r="J30" s="18"/>
      <c r="K30" s="18"/>
      <c r="L30" s="18"/>
      <c r="M30" s="18"/>
      <c r="N30" s="18"/>
      <c r="O30" s="18"/>
      <c r="P30" s="23">
        <f>IF(ISNUMBER(AVERAGEIF(Historis_Tunj1[[#This Row],[1]:[12]],"&gt;0")),AVERAGEIF(Historis_Tunj1[[#This Row],[1]:[12]],"&gt;0"),0)</f>
        <v>0</v>
      </c>
      <c r="Q30" s="23">
        <f>Historis_Tunj1[[#This Row],[12]]</f>
        <v>0</v>
      </c>
      <c r="R30" s="18"/>
      <c r="S30" s="31"/>
    </row>
    <row r="31" spans="1:19" x14ac:dyDescent="0.3">
      <c r="A31" s="12">
        <v>20</v>
      </c>
      <c r="B31" s="16"/>
      <c r="C31" s="29" t="e">
        <f>INDEX(Data_Pegawai[Jabatan],MATCH(Historis_Tunj1[[#This Row],[Nama]],Data_Pegawai[Nama],0))</f>
        <v>#N/A</v>
      </c>
      <c r="D31" s="14"/>
      <c r="E31" s="14"/>
      <c r="F31" s="14"/>
      <c r="G31" s="14"/>
      <c r="H31" s="18"/>
      <c r="I31" s="18"/>
      <c r="J31" s="18"/>
      <c r="K31" s="18"/>
      <c r="L31" s="18"/>
      <c r="M31" s="18"/>
      <c r="N31" s="18"/>
      <c r="O31" s="18"/>
      <c r="P31" s="23">
        <f>IF(ISNUMBER(AVERAGEIF(Historis_Tunj1[[#This Row],[1]:[12]],"&gt;0")),AVERAGEIF(Historis_Tunj1[[#This Row],[1]:[12]],"&gt;0"),0)</f>
        <v>0</v>
      </c>
      <c r="Q31" s="23">
        <f>Historis_Tunj1[[#This Row],[12]]</f>
        <v>0</v>
      </c>
      <c r="R31" s="18"/>
      <c r="S31" s="31"/>
    </row>
    <row r="32" spans="1:19" x14ac:dyDescent="0.3">
      <c r="A32" s="5" t="s">
        <v>29</v>
      </c>
      <c r="B32" s="6">
        <f>SUBTOTAL(103,Historis_Tunj1[Nama])</f>
        <v>13</v>
      </c>
      <c r="C32" s="5"/>
      <c r="D32" s="9">
        <f>SUBTOTAL(109,Historis_Tunj1[1])</f>
        <v>1250000</v>
      </c>
      <c r="E32" s="9">
        <f>SUBTOTAL(109,Historis_Tunj1[2])</f>
        <v>1250000</v>
      </c>
      <c r="F32" s="9">
        <f>SUBTOTAL(109,Historis_Tunj1[3])</f>
        <v>1250000</v>
      </c>
      <c r="G32" s="9">
        <f>SUBTOTAL(109,Historis_Tunj1[4])</f>
        <v>1250000</v>
      </c>
      <c r="H32" s="9">
        <f>SUBTOTAL(109,Historis_Tunj1[5])</f>
        <v>1250000</v>
      </c>
      <c r="I32" s="9">
        <f>SUBTOTAL(109,Historis_Tunj1[6])</f>
        <v>1250000</v>
      </c>
      <c r="J32" s="9">
        <f>SUBTOTAL(109,Historis_Tunj1[7])</f>
        <v>1250000</v>
      </c>
      <c r="K32" s="9">
        <f>SUBTOTAL(109,Historis_Tunj1[8])</f>
        <v>1250000</v>
      </c>
      <c r="L32" s="9">
        <f>SUBTOTAL(109,Historis_Tunj1[9])</f>
        <v>1250000</v>
      </c>
      <c r="M32" s="9">
        <f>SUBTOTAL(109,Historis_Tunj1[10])</f>
        <v>1250000</v>
      </c>
      <c r="N32" s="9">
        <f>SUBTOTAL(109,Historis_Tunj1[11])</f>
        <v>1250000</v>
      </c>
      <c r="O32" s="9">
        <f>SUBTOTAL(109,Historis_Tunj1[12])</f>
        <v>1250000</v>
      </c>
      <c r="P32" s="9"/>
      <c r="Q32" s="9"/>
      <c r="R32" s="9">
        <f>SUBTOTAL(109,Historis_Tunj1[Angka yang Digunakan])</f>
        <v>1250000</v>
      </c>
      <c r="S32" s="10"/>
    </row>
    <row r="34" spans="1:2" x14ac:dyDescent="0.3">
      <c r="A34" s="20" t="s">
        <v>52</v>
      </c>
    </row>
    <row r="35" spans="1:2" x14ac:dyDescent="0.3">
      <c r="A35" s="19"/>
      <c r="B35" s="1" t="s">
        <v>51</v>
      </c>
    </row>
  </sheetData>
  <sheetProtection formatColumns="0" formatRows="0" insertRows="0" deleteRows="0"/>
  <mergeCells count="7">
    <mergeCell ref="A2:S2"/>
    <mergeCell ref="A3:S3"/>
    <mergeCell ref="A4:S4"/>
    <mergeCell ref="A5:S5"/>
    <mergeCell ref="D9:S9"/>
    <mergeCell ref="A7:B7"/>
    <mergeCell ref="C7:D7"/>
  </mergeCells>
  <conditionalFormatting sqref="E12:O31">
    <cfRule type="expression" dxfId="45" priority="2">
      <formula>D12&lt;&gt;E12</formula>
    </cfRule>
  </conditionalFormatting>
  <conditionalFormatting sqref="P12:Q31">
    <cfRule type="expression" dxfId="44" priority="1">
      <formula>$P12&lt;&gt;$Q12</formula>
    </cfRule>
  </conditionalFormatting>
  <dataValidations count="1">
    <dataValidation type="decimal" operator="greaterThanOrEqual" allowBlank="1" showInputMessage="1" showErrorMessage="1" sqref="R12:R31" xr:uid="{82B69CE2-D127-44A2-9EAA-7DB0B287968F}">
      <formula1>0</formula1>
    </dataValidation>
  </dataValidations>
  <pageMargins left="0.7" right="0.7" top="0.75" bottom="0.75" header="0.3" footer="0.3"/>
  <pageSetup paperSize="9" scale="51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A649-2836-429A-9ED0-EB4EF1B7D31C}">
  <sheetPr>
    <pageSetUpPr fitToPage="1"/>
  </sheetPr>
  <dimension ref="A2:AD35"/>
  <sheetViews>
    <sheetView zoomScale="73" workbookViewId="0">
      <selection activeCell="P11" sqref="P11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15" width="12.21875" style="1" customWidth="1"/>
    <col min="16" max="18" width="13.5546875" style="1" customWidth="1"/>
    <col min="19" max="19" width="18" style="1" customWidth="1"/>
    <col min="20" max="30" width="0" style="1" hidden="1" customWidth="1"/>
    <col min="31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6" x14ac:dyDescent="0.3">
      <c r="A5" s="35" t="str">
        <f>"Historis "&amp;C7</f>
        <v>Historis Tunjangan Istri/Anak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39" t="s">
        <v>68</v>
      </c>
      <c r="B7" s="39"/>
      <c r="C7" s="37" t="s">
        <v>92</v>
      </c>
      <c r="D7" s="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D9" s="33" t="s">
        <v>70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">
      <c r="D10" s="30">
        <f>DATE(YEAR('1. Perhitungan Pesangon'!$C$8),MONTH('1. Perhitungan Pesangon'!$C$8)-12,1)</f>
        <v>43374</v>
      </c>
      <c r="E10" s="30">
        <f>DATE(YEAR('1. Perhitungan Pesangon'!$C$8),MONTH('1. Perhitungan Pesangon'!$C$8)-11,1)</f>
        <v>43405</v>
      </c>
      <c r="F10" s="30">
        <f>DATE(YEAR('1. Perhitungan Pesangon'!$C$8),MONTH('1. Perhitungan Pesangon'!$C$8)-10,1)</f>
        <v>43435</v>
      </c>
      <c r="G10" s="30">
        <f>DATE(YEAR('1. Perhitungan Pesangon'!$C$8),MONTH('1. Perhitungan Pesangon'!$C$8)-9,1)</f>
        <v>43466</v>
      </c>
      <c r="H10" s="30">
        <f>DATE(YEAR('1. Perhitungan Pesangon'!$C$8),MONTH('1. Perhitungan Pesangon'!$C$8)-8,1)</f>
        <v>43497</v>
      </c>
      <c r="I10" s="30">
        <f>DATE(YEAR('1. Perhitungan Pesangon'!$C$8),MONTH('1. Perhitungan Pesangon'!$C$8)-7,1)</f>
        <v>43525</v>
      </c>
      <c r="J10" s="30">
        <f>DATE(YEAR('1. Perhitungan Pesangon'!$C$8),MONTH('1. Perhitungan Pesangon'!$C$8)-6,1)</f>
        <v>43556</v>
      </c>
      <c r="K10" s="30">
        <f>DATE(YEAR('1. Perhitungan Pesangon'!$C$8),MONTH('1. Perhitungan Pesangon'!$C$8)-5,1)</f>
        <v>43586</v>
      </c>
      <c r="L10" s="30">
        <f>DATE(YEAR('1. Perhitungan Pesangon'!$C$8),MONTH('1. Perhitungan Pesangon'!$C$8)-4,1)</f>
        <v>43617</v>
      </c>
      <c r="M10" s="30">
        <f>DATE(YEAR('1. Perhitungan Pesangon'!$C$8),MONTH('1. Perhitungan Pesangon'!$C$8)-3,1)</f>
        <v>43647</v>
      </c>
      <c r="N10" s="30">
        <f>DATE(YEAR('1. Perhitungan Pesangon'!$C$8),MONTH('1. Perhitungan Pesangon'!$C$8)-2,1)</f>
        <v>43678</v>
      </c>
      <c r="O10" s="30">
        <f>DATE(YEAR('1. Perhitungan Pesangon'!$C$8),MONTH('1. Perhitungan Pesangon'!$C$8)-1,1)</f>
        <v>43709</v>
      </c>
      <c r="P10" s="11"/>
      <c r="Q10" s="11"/>
      <c r="R10" s="11"/>
      <c r="S10" s="11"/>
    </row>
    <row r="11" spans="1:19" ht="36" customHeight="1" x14ac:dyDescent="0.3">
      <c r="A11" s="4" t="s">
        <v>2</v>
      </c>
      <c r="B11" s="4" t="s">
        <v>3</v>
      </c>
      <c r="C11" s="4" t="s">
        <v>4</v>
      </c>
      <c r="D11" s="4" t="s">
        <v>38</v>
      </c>
      <c r="E11" s="4" t="s">
        <v>37</v>
      </c>
      <c r="F11" s="4" t="s">
        <v>39</v>
      </c>
      <c r="G11" s="4" t="s">
        <v>40</v>
      </c>
      <c r="H11" s="4" t="s">
        <v>41</v>
      </c>
      <c r="I11" s="4" t="s">
        <v>42</v>
      </c>
      <c r="J11" s="4" t="s">
        <v>43</v>
      </c>
      <c r="K11" s="4" t="s">
        <v>44</v>
      </c>
      <c r="L11" s="4" t="s">
        <v>45</v>
      </c>
      <c r="M11" s="4" t="s">
        <v>46</v>
      </c>
      <c r="N11" s="4" t="s">
        <v>47</v>
      </c>
      <c r="O11" s="4" t="s">
        <v>48</v>
      </c>
      <c r="P11" s="4" t="s">
        <v>49</v>
      </c>
      <c r="Q11" s="4" t="s">
        <v>54</v>
      </c>
      <c r="R11" s="4" t="s">
        <v>53</v>
      </c>
      <c r="S11" s="4" t="s">
        <v>50</v>
      </c>
    </row>
    <row r="12" spans="1:19" x14ac:dyDescent="0.3">
      <c r="A12" s="12">
        <v>1</v>
      </c>
      <c r="B12" s="12" t="s">
        <v>55</v>
      </c>
      <c r="C12" s="22" t="str">
        <f>INDEX(Data_Pegawai[Jabatan],MATCH(Historis_Tunj2[[#This Row],[Nama]],Data_Pegawai[Nama],0))</f>
        <v>Kabag Operasional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23">
        <f>IF(ISNUMBER(AVERAGEIF(Historis_Tunj2[[#This Row],[1]:[12]],"&gt;0")),AVERAGEIF(Historis_Tunj2[[#This Row],[1]:[12]],"&gt;0"),0)</f>
        <v>0</v>
      </c>
      <c r="Q12" s="23">
        <f>Historis_Tunj2[[#This Row],[12]]</f>
        <v>0</v>
      </c>
      <c r="R12" s="18">
        <v>0</v>
      </c>
      <c r="S12" s="21"/>
    </row>
    <row r="13" spans="1:19" x14ac:dyDescent="0.3">
      <c r="A13" s="12">
        <v>2</v>
      </c>
      <c r="B13" s="12" t="s">
        <v>56</v>
      </c>
      <c r="C13" s="22" t="str">
        <f>INDEX(Data_Pegawai[Jabatan],MATCH(Historis_Tunj2[[#This Row],[Nama]],Data_Pegawai[Nama],0))</f>
        <v>Kabag Pembiayaan</v>
      </c>
      <c r="D13" s="18">
        <v>300000</v>
      </c>
      <c r="E13" s="18">
        <v>300000</v>
      </c>
      <c r="F13" s="18">
        <v>300000</v>
      </c>
      <c r="G13" s="18">
        <v>300000</v>
      </c>
      <c r="H13" s="18">
        <v>300000</v>
      </c>
      <c r="I13" s="18">
        <v>300000</v>
      </c>
      <c r="J13" s="18">
        <v>300000</v>
      </c>
      <c r="K13" s="18">
        <v>300000</v>
      </c>
      <c r="L13" s="18">
        <v>300000</v>
      </c>
      <c r="M13" s="18">
        <v>300000</v>
      </c>
      <c r="N13" s="18">
        <v>300000</v>
      </c>
      <c r="O13" s="18">
        <v>300000</v>
      </c>
      <c r="P13" s="23">
        <f>IF(ISNUMBER(AVERAGEIF(Historis_Tunj2[[#This Row],[1]:[12]],"&gt;0")),AVERAGEIF(Historis_Tunj2[[#This Row],[1]:[12]],"&gt;0"),0)</f>
        <v>300000</v>
      </c>
      <c r="Q13" s="23">
        <f>Historis_Tunj2[[#This Row],[12]]</f>
        <v>300000</v>
      </c>
      <c r="R13" s="18">
        <v>300000</v>
      </c>
      <c r="S13" s="21"/>
    </row>
    <row r="14" spans="1:19" x14ac:dyDescent="0.3">
      <c r="A14" s="12">
        <v>3</v>
      </c>
      <c r="B14" s="12" t="s">
        <v>57</v>
      </c>
      <c r="C14" s="22" t="str">
        <f>INDEX(Data_Pegawai[Jabatan],MATCH(Historis_Tunj2[[#This Row],[Nama]],Data_Pegawai[Nama],0))</f>
        <v>A/O Loan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600000</v>
      </c>
      <c r="K14" s="18">
        <v>600000</v>
      </c>
      <c r="L14" s="18">
        <v>600000</v>
      </c>
      <c r="M14" s="18">
        <v>600000</v>
      </c>
      <c r="N14" s="18">
        <v>600000</v>
      </c>
      <c r="O14" s="18">
        <v>600000</v>
      </c>
      <c r="P14" s="23">
        <f>IF(ISNUMBER(AVERAGEIF(Historis_Tunj2[[#This Row],[1]:[12]],"&gt;0")),AVERAGEIF(Historis_Tunj2[[#This Row],[1]:[12]],"&gt;0"),0)</f>
        <v>600000</v>
      </c>
      <c r="Q14" s="23">
        <f>Historis_Tunj2[[#This Row],[12]]</f>
        <v>600000</v>
      </c>
      <c r="R14" s="18">
        <v>600000</v>
      </c>
      <c r="S14" s="21"/>
    </row>
    <row r="15" spans="1:19" x14ac:dyDescent="0.3">
      <c r="A15" s="12">
        <v>4</v>
      </c>
      <c r="B15" s="12" t="s">
        <v>58</v>
      </c>
      <c r="C15" s="22" t="str">
        <f>INDEX(Data_Pegawai[Jabatan],MATCH(Historis_Tunj2[[#This Row],[Nama]],Data_Pegawai[Nama],0))</f>
        <v>Funding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23">
        <f>IF(ISNUMBER(AVERAGEIF(Historis_Tunj2[[#This Row],[1]:[12]],"&gt;0")),AVERAGEIF(Historis_Tunj2[[#This Row],[1]:[12]],"&gt;0"),0)</f>
        <v>0</v>
      </c>
      <c r="Q15" s="23">
        <f>Historis_Tunj2[[#This Row],[12]]</f>
        <v>0</v>
      </c>
      <c r="R15" s="18">
        <v>300000</v>
      </c>
      <c r="S15" s="21"/>
    </row>
    <row r="16" spans="1:19" x14ac:dyDescent="0.3">
      <c r="A16" s="12">
        <v>5</v>
      </c>
      <c r="B16" s="12" t="s">
        <v>59</v>
      </c>
      <c r="C16" s="22" t="str">
        <f>INDEX(Data_Pegawai[Jabatan],MATCH(Historis_Tunj2[[#This Row],[Nama]],Data_Pegawai[Nama],0))</f>
        <v>A/O Loan</v>
      </c>
      <c r="D16" s="18">
        <v>600000</v>
      </c>
      <c r="E16" s="18">
        <v>600000</v>
      </c>
      <c r="F16" s="18">
        <v>600000</v>
      </c>
      <c r="G16" s="18">
        <v>600000</v>
      </c>
      <c r="H16" s="18">
        <v>600000</v>
      </c>
      <c r="I16" s="18">
        <v>600000</v>
      </c>
      <c r="J16" s="18">
        <v>600000</v>
      </c>
      <c r="K16" s="18">
        <v>600000</v>
      </c>
      <c r="L16" s="18">
        <v>600000</v>
      </c>
      <c r="M16" s="18">
        <v>600000</v>
      </c>
      <c r="N16" s="18">
        <v>600000</v>
      </c>
      <c r="O16" s="18">
        <v>600000</v>
      </c>
      <c r="P16" s="23">
        <f>IF(ISNUMBER(AVERAGEIF(Historis_Tunj2[[#This Row],[1]:[12]],"&gt;0")),AVERAGEIF(Historis_Tunj2[[#This Row],[1]:[12]],"&gt;0"),0)</f>
        <v>600000</v>
      </c>
      <c r="Q16" s="23">
        <f>Historis_Tunj2[[#This Row],[12]]</f>
        <v>600000</v>
      </c>
      <c r="R16" s="18">
        <v>600000</v>
      </c>
      <c r="S16" s="21"/>
    </row>
    <row r="17" spans="1:19" x14ac:dyDescent="0.3">
      <c r="A17" s="12">
        <v>6</v>
      </c>
      <c r="B17" s="12" t="s">
        <v>60</v>
      </c>
      <c r="C17" s="22" t="str">
        <f>INDEX(Data_Pegawai[Jabatan],MATCH(Historis_Tunj2[[#This Row],[Nama]],Data_Pegawai[Nama],0))</f>
        <v>ADM Pelaporan</v>
      </c>
      <c r="D17" s="18">
        <v>400000</v>
      </c>
      <c r="E17" s="18">
        <v>400000</v>
      </c>
      <c r="F17" s="18">
        <v>400000</v>
      </c>
      <c r="G17" s="18">
        <v>400000</v>
      </c>
      <c r="H17" s="18">
        <v>400000</v>
      </c>
      <c r="I17" s="18">
        <v>400000</v>
      </c>
      <c r="J17" s="18">
        <v>400000</v>
      </c>
      <c r="K17" s="18">
        <v>400000</v>
      </c>
      <c r="L17" s="18">
        <v>400000</v>
      </c>
      <c r="M17" s="18">
        <v>400000</v>
      </c>
      <c r="N17" s="18">
        <v>400000</v>
      </c>
      <c r="O17" s="18">
        <v>400000</v>
      </c>
      <c r="P17" s="23">
        <f>IF(ISNUMBER(AVERAGEIF(Historis_Tunj2[[#This Row],[1]:[12]],"&gt;0")),AVERAGEIF(Historis_Tunj2[[#This Row],[1]:[12]],"&gt;0"),0)</f>
        <v>400000</v>
      </c>
      <c r="Q17" s="23">
        <f>Historis_Tunj2[[#This Row],[12]]</f>
        <v>400000</v>
      </c>
      <c r="R17" s="18">
        <v>400000</v>
      </c>
      <c r="S17" s="21"/>
    </row>
    <row r="18" spans="1:19" x14ac:dyDescent="0.3">
      <c r="A18" s="12">
        <v>7</v>
      </c>
      <c r="B18" s="12" t="s">
        <v>61</v>
      </c>
      <c r="C18" s="22" t="str">
        <f>INDEX(Data_Pegawai[Jabatan],MATCH(Historis_Tunj2[[#This Row],[Nama]],Data_Pegawai[Nama],0))</f>
        <v>Funding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23">
        <f>IF(ISNUMBER(AVERAGEIF(Historis_Tunj2[[#This Row],[1]:[12]],"&gt;0")),AVERAGEIF(Historis_Tunj2[[#This Row],[1]:[12]],"&gt;0"),0)</f>
        <v>0</v>
      </c>
      <c r="Q18" s="23">
        <f>Historis_Tunj2[[#This Row],[12]]</f>
        <v>0</v>
      </c>
      <c r="R18" s="18">
        <v>300000</v>
      </c>
      <c r="S18" s="21"/>
    </row>
    <row r="19" spans="1:19" x14ac:dyDescent="0.3">
      <c r="A19" s="12">
        <v>8</v>
      </c>
      <c r="B19" s="12" t="s">
        <v>62</v>
      </c>
      <c r="C19" s="22" t="str">
        <f>INDEX(Data_Pegawai[Jabatan],MATCH(Historis_Tunj2[[#This Row],[Nama]],Data_Pegawai[Nama],0))</f>
        <v>ADM Pembiayaan</v>
      </c>
      <c r="D19" s="18">
        <v>400000</v>
      </c>
      <c r="E19" s="18">
        <v>400000</v>
      </c>
      <c r="F19" s="18">
        <v>400000</v>
      </c>
      <c r="G19" s="18">
        <v>400000</v>
      </c>
      <c r="H19" s="18">
        <v>400000</v>
      </c>
      <c r="I19" s="18">
        <v>400000</v>
      </c>
      <c r="J19" s="18">
        <v>400000</v>
      </c>
      <c r="K19" s="18">
        <v>400000</v>
      </c>
      <c r="L19" s="18">
        <v>400000</v>
      </c>
      <c r="M19" s="18">
        <v>400000</v>
      </c>
      <c r="N19" s="18">
        <v>400000</v>
      </c>
      <c r="O19" s="18">
        <v>400000</v>
      </c>
      <c r="P19" s="23">
        <f>IF(ISNUMBER(AVERAGEIF(Historis_Tunj2[[#This Row],[1]:[12]],"&gt;0")),AVERAGEIF(Historis_Tunj2[[#This Row],[1]:[12]],"&gt;0"),0)</f>
        <v>400000</v>
      </c>
      <c r="Q19" s="23">
        <f>Historis_Tunj2[[#This Row],[12]]</f>
        <v>400000</v>
      </c>
      <c r="R19" s="18">
        <v>400000</v>
      </c>
      <c r="S19" s="21"/>
    </row>
    <row r="20" spans="1:19" x14ac:dyDescent="0.3">
      <c r="A20" s="12">
        <v>9</v>
      </c>
      <c r="B20" s="12" t="s">
        <v>63</v>
      </c>
      <c r="C20" s="22" t="str">
        <f>INDEX(Data_Pegawai[Jabatan],MATCH(Historis_Tunj2[[#This Row],[Nama]],Data_Pegawai[Nama],0))</f>
        <v>Teller</v>
      </c>
      <c r="D20" s="18">
        <v>100000</v>
      </c>
      <c r="E20" s="18">
        <v>100000</v>
      </c>
      <c r="F20" s="18">
        <v>100000</v>
      </c>
      <c r="G20" s="18">
        <v>100000</v>
      </c>
      <c r="H20" s="18">
        <v>100000</v>
      </c>
      <c r="I20" s="18">
        <v>100000</v>
      </c>
      <c r="J20" s="18">
        <v>100000</v>
      </c>
      <c r="K20" s="18">
        <v>100000</v>
      </c>
      <c r="L20" s="18">
        <v>100000</v>
      </c>
      <c r="M20" s="18">
        <v>100000</v>
      </c>
      <c r="N20" s="18">
        <v>100000</v>
      </c>
      <c r="O20" s="18">
        <v>100000</v>
      </c>
      <c r="P20" s="23">
        <f>IF(ISNUMBER(AVERAGEIF(Historis_Tunj2[[#This Row],[1]:[12]],"&gt;0")),AVERAGEIF(Historis_Tunj2[[#This Row],[1]:[12]],"&gt;0"),0)</f>
        <v>100000</v>
      </c>
      <c r="Q20" s="23">
        <f>Historis_Tunj2[[#This Row],[12]]</f>
        <v>100000</v>
      </c>
      <c r="R20" s="18">
        <v>100000</v>
      </c>
      <c r="S20" s="21"/>
    </row>
    <row r="21" spans="1:19" x14ac:dyDescent="0.3">
      <c r="A21" s="12">
        <v>10</v>
      </c>
      <c r="B21" s="12" t="s">
        <v>64</v>
      </c>
      <c r="C21" s="22" t="str">
        <f>INDEX(Data_Pegawai[Jabatan],MATCH(Historis_Tunj2[[#This Row],[Nama]],Data_Pegawai[Nama],0))</f>
        <v>A/O Loan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23">
        <f>IF(ISNUMBER(AVERAGEIF(Historis_Tunj2[[#This Row],[1]:[12]],"&gt;0")),AVERAGEIF(Historis_Tunj2[[#This Row],[1]:[12]],"&gt;0"),0)</f>
        <v>0</v>
      </c>
      <c r="Q21" s="23">
        <f>Historis_Tunj2[[#This Row],[12]]</f>
        <v>0</v>
      </c>
      <c r="R21" s="18">
        <v>0</v>
      </c>
      <c r="S21" s="21"/>
    </row>
    <row r="22" spans="1:19" x14ac:dyDescent="0.3">
      <c r="A22" s="12">
        <v>11</v>
      </c>
      <c r="B22" s="12" t="s">
        <v>65</v>
      </c>
      <c r="C22" s="22" t="str">
        <f>INDEX(Data_Pegawai[Jabatan],MATCH(Historis_Tunj2[[#This Row],[Nama]],Data_Pegawai[Nama],0))</f>
        <v>ADM Pembiayaan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23">
        <f>IF(ISNUMBER(AVERAGEIF(Historis_Tunj2[[#This Row],[1]:[12]],"&gt;0")),AVERAGEIF(Historis_Tunj2[[#This Row],[1]:[12]],"&gt;0"),0)</f>
        <v>0</v>
      </c>
      <c r="Q22" s="23">
        <f>Historis_Tunj2[[#This Row],[12]]</f>
        <v>0</v>
      </c>
      <c r="R22" s="18">
        <v>0</v>
      </c>
      <c r="S22" s="21"/>
    </row>
    <row r="23" spans="1:19" x14ac:dyDescent="0.3">
      <c r="A23" s="12">
        <v>12</v>
      </c>
      <c r="B23" s="12" t="s">
        <v>66</v>
      </c>
      <c r="C23" s="22" t="str">
        <f>INDEX(Data_Pegawai[Jabatan],MATCH(Historis_Tunj2[[#This Row],[Nama]],Data_Pegawai[Nama],0))</f>
        <v>Bag.Umum</v>
      </c>
      <c r="D23" s="18">
        <v>320000</v>
      </c>
      <c r="E23" s="18">
        <v>320000</v>
      </c>
      <c r="F23" s="18">
        <v>320000</v>
      </c>
      <c r="G23" s="18">
        <v>320000</v>
      </c>
      <c r="H23" s="18">
        <v>320000</v>
      </c>
      <c r="I23" s="18">
        <v>320000</v>
      </c>
      <c r="J23" s="18">
        <v>320000</v>
      </c>
      <c r="K23" s="18">
        <v>320000</v>
      </c>
      <c r="L23" s="18">
        <v>320000</v>
      </c>
      <c r="M23" s="18">
        <v>320000</v>
      </c>
      <c r="N23" s="18">
        <v>400000</v>
      </c>
      <c r="O23" s="18">
        <v>400000</v>
      </c>
      <c r="P23" s="23">
        <f>IF(ISNUMBER(AVERAGEIF(Historis_Tunj2[[#This Row],[1]:[12]],"&gt;0")),AVERAGEIF(Historis_Tunj2[[#This Row],[1]:[12]],"&gt;0"),0)</f>
        <v>333333.33333333331</v>
      </c>
      <c r="Q23" s="23">
        <f>Historis_Tunj2[[#This Row],[12]]</f>
        <v>400000</v>
      </c>
      <c r="R23" s="18">
        <v>320000</v>
      </c>
      <c r="S23" s="21"/>
    </row>
    <row r="24" spans="1:19" x14ac:dyDescent="0.3">
      <c r="A24" s="12">
        <v>13</v>
      </c>
      <c r="B24" s="12" t="s">
        <v>67</v>
      </c>
      <c r="C24" s="22" t="str">
        <f>INDEX(Data_Pegawai[Jabatan],MATCH(Historis_Tunj2[[#This Row],[Nama]],Data_Pegawai[Nama],0))</f>
        <v>Satpam</v>
      </c>
      <c r="D24" s="18">
        <v>240000</v>
      </c>
      <c r="E24" s="18">
        <v>240000</v>
      </c>
      <c r="F24" s="18">
        <v>240000</v>
      </c>
      <c r="G24" s="18">
        <v>240000</v>
      </c>
      <c r="H24" s="18">
        <v>240000</v>
      </c>
      <c r="I24" s="18">
        <v>240000</v>
      </c>
      <c r="J24" s="18">
        <v>240000</v>
      </c>
      <c r="K24" s="18">
        <v>240000</v>
      </c>
      <c r="L24" s="18">
        <v>240000</v>
      </c>
      <c r="M24" s="18">
        <v>240000</v>
      </c>
      <c r="N24" s="18">
        <v>300000</v>
      </c>
      <c r="O24" s="18">
        <v>300000</v>
      </c>
      <c r="P24" s="23">
        <f>IF(ISNUMBER(AVERAGEIF(Historis_Tunj2[[#This Row],[1]:[12]],"&gt;0")),AVERAGEIF(Historis_Tunj2[[#This Row],[1]:[12]],"&gt;0"),0)</f>
        <v>250000</v>
      </c>
      <c r="Q24" s="23">
        <f>Historis_Tunj2[[#This Row],[12]]</f>
        <v>300000</v>
      </c>
      <c r="R24" s="18">
        <v>240000</v>
      </c>
      <c r="S24" s="21"/>
    </row>
    <row r="25" spans="1:19" x14ac:dyDescent="0.3">
      <c r="A25" s="12">
        <v>14</v>
      </c>
      <c r="B25" s="16"/>
      <c r="C25" s="29" t="e">
        <f>INDEX(Data_Pegawai[Jabatan],MATCH(Historis_Tunj2[[#This Row],[Nama]],Data_Pegawai[Nama],0))</f>
        <v>#N/A</v>
      </c>
      <c r="D25" s="14"/>
      <c r="E25" s="14"/>
      <c r="F25" s="14"/>
      <c r="G25" s="14"/>
      <c r="H25" s="18"/>
      <c r="I25" s="18"/>
      <c r="J25" s="18"/>
      <c r="K25" s="18"/>
      <c r="L25" s="18"/>
      <c r="M25" s="18"/>
      <c r="N25" s="18"/>
      <c r="O25" s="18"/>
      <c r="P25" s="23">
        <f>IF(ISNUMBER(AVERAGEIF(Historis_Tunj2[[#This Row],[1]:[12]],"&gt;0")),AVERAGEIF(Historis_Tunj2[[#This Row],[1]:[12]],"&gt;0"),0)</f>
        <v>0</v>
      </c>
      <c r="Q25" s="23">
        <f>Historis_Tunj2[[#This Row],[12]]</f>
        <v>0</v>
      </c>
      <c r="R25" s="18"/>
      <c r="S25" s="31"/>
    </row>
    <row r="26" spans="1:19" x14ac:dyDescent="0.3">
      <c r="A26" s="12">
        <v>15</v>
      </c>
      <c r="B26" s="16"/>
      <c r="C26" s="29" t="e">
        <f>INDEX(Data_Pegawai[Jabatan],MATCH(Historis_Tunj2[[#This Row],[Nama]],Data_Pegawai[Nama],0))</f>
        <v>#N/A</v>
      </c>
      <c r="D26" s="14"/>
      <c r="E26" s="14"/>
      <c r="F26" s="14"/>
      <c r="G26" s="14"/>
      <c r="H26" s="18"/>
      <c r="I26" s="18"/>
      <c r="J26" s="18"/>
      <c r="K26" s="18"/>
      <c r="L26" s="18"/>
      <c r="M26" s="18"/>
      <c r="N26" s="18"/>
      <c r="O26" s="18"/>
      <c r="P26" s="23">
        <f>IF(ISNUMBER(AVERAGEIF(Historis_Tunj2[[#This Row],[1]:[12]],"&gt;0")),AVERAGEIF(Historis_Tunj2[[#This Row],[1]:[12]],"&gt;0"),0)</f>
        <v>0</v>
      </c>
      <c r="Q26" s="23">
        <f>Historis_Tunj2[[#This Row],[12]]</f>
        <v>0</v>
      </c>
      <c r="R26" s="18"/>
      <c r="S26" s="31"/>
    </row>
    <row r="27" spans="1:19" x14ac:dyDescent="0.3">
      <c r="A27" s="12">
        <v>16</v>
      </c>
      <c r="B27" s="16"/>
      <c r="C27" s="29" t="e">
        <f>INDEX(Data_Pegawai[Jabatan],MATCH(Historis_Tunj2[[#This Row],[Nama]],Data_Pegawai[Nama],0))</f>
        <v>#N/A</v>
      </c>
      <c r="D27" s="14"/>
      <c r="E27" s="14"/>
      <c r="F27" s="14"/>
      <c r="G27" s="14"/>
      <c r="H27" s="18"/>
      <c r="I27" s="18"/>
      <c r="J27" s="18"/>
      <c r="K27" s="18"/>
      <c r="L27" s="18"/>
      <c r="M27" s="18"/>
      <c r="N27" s="18"/>
      <c r="O27" s="18"/>
      <c r="P27" s="23">
        <f>IF(ISNUMBER(AVERAGEIF(Historis_Tunj2[[#This Row],[1]:[12]],"&gt;0")),AVERAGEIF(Historis_Tunj2[[#This Row],[1]:[12]],"&gt;0"),0)</f>
        <v>0</v>
      </c>
      <c r="Q27" s="23">
        <f>Historis_Tunj2[[#This Row],[12]]</f>
        <v>0</v>
      </c>
      <c r="R27" s="18"/>
      <c r="S27" s="31"/>
    </row>
    <row r="28" spans="1:19" x14ac:dyDescent="0.3">
      <c r="A28" s="12">
        <v>17</v>
      </c>
      <c r="B28" s="16"/>
      <c r="C28" s="29" t="e">
        <f>INDEX(Data_Pegawai[Jabatan],MATCH(Historis_Tunj2[[#This Row],[Nama]],Data_Pegawai[Nama],0))</f>
        <v>#N/A</v>
      </c>
      <c r="D28" s="14"/>
      <c r="E28" s="14"/>
      <c r="F28" s="14"/>
      <c r="G28" s="14"/>
      <c r="H28" s="18"/>
      <c r="I28" s="18"/>
      <c r="J28" s="18"/>
      <c r="K28" s="18"/>
      <c r="L28" s="18"/>
      <c r="M28" s="18"/>
      <c r="N28" s="18"/>
      <c r="O28" s="18"/>
      <c r="P28" s="23">
        <f>IF(ISNUMBER(AVERAGEIF(Historis_Tunj2[[#This Row],[1]:[12]],"&gt;0")),AVERAGEIF(Historis_Tunj2[[#This Row],[1]:[12]],"&gt;0"),0)</f>
        <v>0</v>
      </c>
      <c r="Q28" s="23">
        <f>Historis_Tunj2[[#This Row],[12]]</f>
        <v>0</v>
      </c>
      <c r="R28" s="18"/>
      <c r="S28" s="31"/>
    </row>
    <row r="29" spans="1:19" x14ac:dyDescent="0.3">
      <c r="A29" s="12">
        <v>18</v>
      </c>
      <c r="B29" s="16"/>
      <c r="C29" s="29" t="e">
        <f>INDEX(Data_Pegawai[Jabatan],MATCH(Historis_Tunj2[[#This Row],[Nama]],Data_Pegawai[Nama],0))</f>
        <v>#N/A</v>
      </c>
      <c r="D29" s="14"/>
      <c r="E29" s="14"/>
      <c r="F29" s="14"/>
      <c r="G29" s="14"/>
      <c r="H29" s="18"/>
      <c r="I29" s="18"/>
      <c r="J29" s="18"/>
      <c r="K29" s="18"/>
      <c r="L29" s="18"/>
      <c r="M29" s="18"/>
      <c r="N29" s="18"/>
      <c r="O29" s="18"/>
      <c r="P29" s="23">
        <f>IF(ISNUMBER(AVERAGEIF(Historis_Tunj2[[#This Row],[1]:[12]],"&gt;0")),AVERAGEIF(Historis_Tunj2[[#This Row],[1]:[12]],"&gt;0"),0)</f>
        <v>0</v>
      </c>
      <c r="Q29" s="23">
        <f>Historis_Tunj2[[#This Row],[12]]</f>
        <v>0</v>
      </c>
      <c r="R29" s="18"/>
      <c r="S29" s="31"/>
    </row>
    <row r="30" spans="1:19" x14ac:dyDescent="0.3">
      <c r="A30" s="12">
        <v>19</v>
      </c>
      <c r="B30" s="16"/>
      <c r="C30" s="29" t="e">
        <f>INDEX(Data_Pegawai[Jabatan],MATCH(Historis_Tunj2[[#This Row],[Nama]],Data_Pegawai[Nama],0))</f>
        <v>#N/A</v>
      </c>
      <c r="D30" s="14"/>
      <c r="E30" s="14"/>
      <c r="F30" s="14"/>
      <c r="G30" s="14"/>
      <c r="H30" s="18"/>
      <c r="I30" s="18"/>
      <c r="J30" s="18"/>
      <c r="K30" s="18"/>
      <c r="L30" s="18"/>
      <c r="M30" s="18"/>
      <c r="N30" s="18"/>
      <c r="O30" s="18"/>
      <c r="P30" s="23">
        <f>IF(ISNUMBER(AVERAGEIF(Historis_Tunj2[[#This Row],[1]:[12]],"&gt;0")),AVERAGEIF(Historis_Tunj2[[#This Row],[1]:[12]],"&gt;0"),0)</f>
        <v>0</v>
      </c>
      <c r="Q30" s="23">
        <f>Historis_Tunj2[[#This Row],[12]]</f>
        <v>0</v>
      </c>
      <c r="R30" s="18"/>
      <c r="S30" s="31"/>
    </row>
    <row r="31" spans="1:19" x14ac:dyDescent="0.3">
      <c r="A31" s="12">
        <v>20</v>
      </c>
      <c r="B31" s="16"/>
      <c r="C31" s="29" t="e">
        <f>INDEX(Data_Pegawai[Jabatan],MATCH(Historis_Tunj2[[#This Row],[Nama]],Data_Pegawai[Nama],0))</f>
        <v>#N/A</v>
      </c>
      <c r="D31" s="14"/>
      <c r="E31" s="14"/>
      <c r="F31" s="14"/>
      <c r="G31" s="14"/>
      <c r="H31" s="18"/>
      <c r="I31" s="18"/>
      <c r="J31" s="18"/>
      <c r="K31" s="18"/>
      <c r="L31" s="18"/>
      <c r="M31" s="18"/>
      <c r="N31" s="18"/>
      <c r="O31" s="18"/>
      <c r="P31" s="23">
        <f>IF(ISNUMBER(AVERAGEIF(Historis_Tunj2[[#This Row],[1]:[12]],"&gt;0")),AVERAGEIF(Historis_Tunj2[[#This Row],[1]:[12]],"&gt;0"),0)</f>
        <v>0</v>
      </c>
      <c r="Q31" s="23">
        <f>Historis_Tunj2[[#This Row],[12]]</f>
        <v>0</v>
      </c>
      <c r="R31" s="18"/>
      <c r="S31" s="31"/>
    </row>
    <row r="32" spans="1:19" x14ac:dyDescent="0.3">
      <c r="A32" s="5" t="s">
        <v>29</v>
      </c>
      <c r="B32" s="6">
        <f>SUBTOTAL(103,Historis_Tunj2[Nama])</f>
        <v>13</v>
      </c>
      <c r="C32" s="5"/>
      <c r="D32" s="9">
        <f>SUBTOTAL(109,Historis_Tunj2[1])</f>
        <v>2360000</v>
      </c>
      <c r="E32" s="9">
        <f>SUBTOTAL(109,Historis_Tunj2[2])</f>
        <v>2360000</v>
      </c>
      <c r="F32" s="9">
        <f>SUBTOTAL(109,Historis_Tunj2[3])</f>
        <v>2360000</v>
      </c>
      <c r="G32" s="9">
        <f>SUBTOTAL(109,Historis_Tunj2[4])</f>
        <v>2360000</v>
      </c>
      <c r="H32" s="9">
        <f>SUBTOTAL(109,Historis_Tunj2[5])</f>
        <v>2360000</v>
      </c>
      <c r="I32" s="9">
        <f>SUBTOTAL(109,Historis_Tunj2[6])</f>
        <v>2360000</v>
      </c>
      <c r="J32" s="9">
        <f>SUBTOTAL(109,Historis_Tunj2[7])</f>
        <v>2960000</v>
      </c>
      <c r="K32" s="9">
        <f>SUBTOTAL(109,Historis_Tunj2[8])</f>
        <v>2960000</v>
      </c>
      <c r="L32" s="9">
        <f>SUBTOTAL(109,Historis_Tunj2[9])</f>
        <v>2960000</v>
      </c>
      <c r="M32" s="9">
        <f>SUBTOTAL(109,Historis_Tunj2[10])</f>
        <v>2960000</v>
      </c>
      <c r="N32" s="9">
        <f>SUBTOTAL(109,Historis_Tunj2[11])</f>
        <v>3100000</v>
      </c>
      <c r="O32" s="9">
        <f>SUBTOTAL(109,Historis_Tunj2[12])</f>
        <v>3100000</v>
      </c>
      <c r="P32" s="9"/>
      <c r="Q32" s="9"/>
      <c r="R32" s="9">
        <f>SUBTOTAL(109,Historis_Tunj2[Angka yang Digunakan])</f>
        <v>3560000</v>
      </c>
      <c r="S32" s="10"/>
    </row>
    <row r="34" spans="1:2" x14ac:dyDescent="0.3">
      <c r="A34" s="20" t="s">
        <v>52</v>
      </c>
    </row>
    <row r="35" spans="1:2" x14ac:dyDescent="0.3">
      <c r="A35" s="19"/>
      <c r="B35" s="1" t="s">
        <v>51</v>
      </c>
    </row>
  </sheetData>
  <sheetProtection formatColumns="0" formatRows="0" insertRows="0" deleteRows="0"/>
  <mergeCells count="7">
    <mergeCell ref="D9:S9"/>
    <mergeCell ref="A2:S2"/>
    <mergeCell ref="A3:S3"/>
    <mergeCell ref="A4:S4"/>
    <mergeCell ref="A5:S5"/>
    <mergeCell ref="A7:B7"/>
    <mergeCell ref="C7:D7"/>
  </mergeCells>
  <conditionalFormatting sqref="E12:O31">
    <cfRule type="expression" dxfId="43" priority="2">
      <formula>D12&lt;&gt;E12</formula>
    </cfRule>
  </conditionalFormatting>
  <conditionalFormatting sqref="P12:Q31">
    <cfRule type="expression" dxfId="42" priority="1">
      <formula>$P12&lt;&gt;$Q12</formula>
    </cfRule>
  </conditionalFormatting>
  <dataValidations count="1">
    <dataValidation type="decimal" operator="greaterThanOrEqual" allowBlank="1" showInputMessage="1" showErrorMessage="1" sqref="R12:R31" xr:uid="{17F0052C-A918-403D-B086-2EDBFB4F8940}">
      <formula1>0</formula1>
    </dataValidation>
  </dataValidations>
  <pageMargins left="0.7" right="0.7" top="0.75" bottom="0.75" header="0.3" footer="0.3"/>
  <pageSetup paperSize="9" scale="51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1F78-BEC5-4EC4-9E1E-D6C642A8DFC1}">
  <sheetPr>
    <pageSetUpPr fitToPage="1"/>
  </sheetPr>
  <dimension ref="A2:AD35"/>
  <sheetViews>
    <sheetView zoomScale="73" workbookViewId="0">
      <selection activeCell="R13" sqref="R13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15" width="12.21875" style="1" customWidth="1"/>
    <col min="16" max="18" width="13.5546875" style="1" customWidth="1"/>
    <col min="19" max="19" width="18" style="1" customWidth="1"/>
    <col min="20" max="30" width="0" style="1" hidden="1" customWidth="1"/>
    <col min="31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6" x14ac:dyDescent="0.3">
      <c r="A5" s="35" t="str">
        <f>"Historis "&amp;C7</f>
        <v>Historis Tunjangan Transportasi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39" t="s">
        <v>68</v>
      </c>
      <c r="B7" s="39"/>
      <c r="C7" s="37" t="s">
        <v>69</v>
      </c>
      <c r="D7" s="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D9" s="33" t="s">
        <v>70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">
      <c r="D10" s="30">
        <f>DATE(YEAR('1. Perhitungan Pesangon'!$C$8),MONTH('1. Perhitungan Pesangon'!$C$8)-12,1)</f>
        <v>43374</v>
      </c>
      <c r="E10" s="30">
        <f>DATE(YEAR('1. Perhitungan Pesangon'!$C$8),MONTH('1. Perhitungan Pesangon'!$C$8)-11,1)</f>
        <v>43405</v>
      </c>
      <c r="F10" s="30">
        <f>DATE(YEAR('1. Perhitungan Pesangon'!$C$8),MONTH('1. Perhitungan Pesangon'!$C$8)-10,1)</f>
        <v>43435</v>
      </c>
      <c r="G10" s="30">
        <f>DATE(YEAR('1. Perhitungan Pesangon'!$C$8),MONTH('1. Perhitungan Pesangon'!$C$8)-9,1)</f>
        <v>43466</v>
      </c>
      <c r="H10" s="30">
        <f>DATE(YEAR('1. Perhitungan Pesangon'!$C$8),MONTH('1. Perhitungan Pesangon'!$C$8)-8,1)</f>
        <v>43497</v>
      </c>
      <c r="I10" s="30">
        <f>DATE(YEAR('1. Perhitungan Pesangon'!$C$8),MONTH('1. Perhitungan Pesangon'!$C$8)-7,1)</f>
        <v>43525</v>
      </c>
      <c r="J10" s="30">
        <f>DATE(YEAR('1. Perhitungan Pesangon'!$C$8),MONTH('1. Perhitungan Pesangon'!$C$8)-6,1)</f>
        <v>43556</v>
      </c>
      <c r="K10" s="30">
        <f>DATE(YEAR('1. Perhitungan Pesangon'!$C$8),MONTH('1. Perhitungan Pesangon'!$C$8)-5,1)</f>
        <v>43586</v>
      </c>
      <c r="L10" s="30">
        <f>DATE(YEAR('1. Perhitungan Pesangon'!$C$8),MONTH('1. Perhitungan Pesangon'!$C$8)-4,1)</f>
        <v>43617</v>
      </c>
      <c r="M10" s="30">
        <f>DATE(YEAR('1. Perhitungan Pesangon'!$C$8),MONTH('1. Perhitungan Pesangon'!$C$8)-3,1)</f>
        <v>43647</v>
      </c>
      <c r="N10" s="30">
        <f>DATE(YEAR('1. Perhitungan Pesangon'!$C$8),MONTH('1. Perhitungan Pesangon'!$C$8)-2,1)</f>
        <v>43678</v>
      </c>
      <c r="O10" s="30">
        <f>DATE(YEAR('1. Perhitungan Pesangon'!$C$8),MONTH('1. Perhitungan Pesangon'!$C$8)-1,1)</f>
        <v>43709</v>
      </c>
      <c r="P10" s="11"/>
      <c r="Q10" s="11"/>
      <c r="R10" s="11"/>
      <c r="S10" s="11"/>
    </row>
    <row r="11" spans="1:19" ht="36" customHeight="1" x14ac:dyDescent="0.3">
      <c r="A11" s="4" t="s">
        <v>2</v>
      </c>
      <c r="B11" s="4" t="s">
        <v>3</v>
      </c>
      <c r="C11" s="4" t="s">
        <v>4</v>
      </c>
      <c r="D11" s="4" t="s">
        <v>38</v>
      </c>
      <c r="E11" s="4" t="s">
        <v>37</v>
      </c>
      <c r="F11" s="4" t="s">
        <v>39</v>
      </c>
      <c r="G11" s="4" t="s">
        <v>40</v>
      </c>
      <c r="H11" s="4" t="s">
        <v>41</v>
      </c>
      <c r="I11" s="4" t="s">
        <v>42</v>
      </c>
      <c r="J11" s="4" t="s">
        <v>43</v>
      </c>
      <c r="K11" s="4" t="s">
        <v>44</v>
      </c>
      <c r="L11" s="4" t="s">
        <v>45</v>
      </c>
      <c r="M11" s="4" t="s">
        <v>46</v>
      </c>
      <c r="N11" s="4" t="s">
        <v>47</v>
      </c>
      <c r="O11" s="4" t="s">
        <v>48</v>
      </c>
      <c r="P11" s="4" t="s">
        <v>49</v>
      </c>
      <c r="Q11" s="4" t="s">
        <v>54</v>
      </c>
      <c r="R11" s="4" t="s">
        <v>53</v>
      </c>
      <c r="S11" s="4" t="s">
        <v>50</v>
      </c>
    </row>
    <row r="12" spans="1:19" x14ac:dyDescent="0.3">
      <c r="A12" s="12">
        <v>1</v>
      </c>
      <c r="B12" s="12" t="s">
        <v>55</v>
      </c>
      <c r="C12" s="22" t="str">
        <f>INDEX(Data_Pegawai[Jabatan],MATCH(Historis_Tunj3[[#This Row],[Nama]],Data_Pegawai[Nama],0))</f>
        <v>Kabag Operasional</v>
      </c>
      <c r="D12" s="18">
        <v>465000</v>
      </c>
      <c r="E12" s="18">
        <v>465000</v>
      </c>
      <c r="F12" s="18">
        <v>465000</v>
      </c>
      <c r="G12" s="18">
        <v>465000</v>
      </c>
      <c r="H12" s="18">
        <v>465000</v>
      </c>
      <c r="I12" s="18">
        <v>465000</v>
      </c>
      <c r="J12" s="18">
        <v>465000</v>
      </c>
      <c r="K12" s="18">
        <v>465000</v>
      </c>
      <c r="L12" s="18">
        <v>465000</v>
      </c>
      <c r="M12" s="18">
        <v>465000</v>
      </c>
      <c r="N12" s="18">
        <v>465000</v>
      </c>
      <c r="O12" s="18">
        <v>1500000</v>
      </c>
      <c r="P12" s="23">
        <f>IF(ISNUMBER(AVERAGEIF(Historis_Tunj3[[#This Row],[1]:[12]],"&gt;0")),AVERAGEIF(Historis_Tunj3[[#This Row],[1]:[12]],"&gt;0"),0)</f>
        <v>551250</v>
      </c>
      <c r="Q12" s="23">
        <f>Historis_Tunj3[[#This Row],[12]]</f>
        <v>1500000</v>
      </c>
      <c r="R12" s="18"/>
      <c r="S12" s="21"/>
    </row>
    <row r="13" spans="1:19" x14ac:dyDescent="0.3">
      <c r="A13" s="12">
        <v>2</v>
      </c>
      <c r="B13" s="12" t="s">
        <v>56</v>
      </c>
      <c r="C13" s="22" t="str">
        <f>INDEX(Data_Pegawai[Jabatan],MATCH(Historis_Tunj3[[#This Row],[Nama]],Data_Pegawai[Nama],0))</f>
        <v>Kabag Pembiayaan</v>
      </c>
      <c r="D13" s="18">
        <v>465000</v>
      </c>
      <c r="E13" s="18">
        <v>465000</v>
      </c>
      <c r="F13" s="18">
        <v>465000</v>
      </c>
      <c r="G13" s="18">
        <v>465000</v>
      </c>
      <c r="H13" s="18">
        <v>465000</v>
      </c>
      <c r="I13" s="18">
        <v>465000</v>
      </c>
      <c r="J13" s="18">
        <v>465000</v>
      </c>
      <c r="K13" s="18">
        <v>465000</v>
      </c>
      <c r="L13" s="18">
        <v>465000</v>
      </c>
      <c r="M13" s="18">
        <v>465000</v>
      </c>
      <c r="N13" s="18">
        <v>465000</v>
      </c>
      <c r="O13" s="18">
        <v>1500000</v>
      </c>
      <c r="P13" s="23">
        <f>IF(ISNUMBER(AVERAGEIF(Historis_Tunj3[[#This Row],[1]:[12]],"&gt;0")),AVERAGEIF(Historis_Tunj3[[#This Row],[1]:[12]],"&gt;0"),0)</f>
        <v>551250</v>
      </c>
      <c r="Q13" s="23">
        <f>Historis_Tunj3[[#This Row],[12]]</f>
        <v>1500000</v>
      </c>
      <c r="R13" s="18"/>
      <c r="S13" s="21"/>
    </row>
    <row r="14" spans="1:19" x14ac:dyDescent="0.3">
      <c r="A14" s="12">
        <v>3</v>
      </c>
      <c r="B14" s="12" t="s">
        <v>57</v>
      </c>
      <c r="C14" s="22" t="str">
        <f>INDEX(Data_Pegawai[Jabatan],MATCH(Historis_Tunj3[[#This Row],[Nama]],Data_Pegawai[Nama],0))</f>
        <v>A/O Loan</v>
      </c>
      <c r="D14" s="18"/>
      <c r="E14" s="18"/>
      <c r="F14" s="18"/>
      <c r="G14" s="18"/>
      <c r="H14" s="18"/>
      <c r="I14" s="18"/>
      <c r="J14" s="18">
        <v>465000</v>
      </c>
      <c r="K14" s="18">
        <v>465000</v>
      </c>
      <c r="L14" s="18">
        <v>465000</v>
      </c>
      <c r="M14" s="18">
        <v>465000</v>
      </c>
      <c r="N14" s="18">
        <v>465000</v>
      </c>
      <c r="O14" s="18">
        <v>750000</v>
      </c>
      <c r="P14" s="23">
        <f>IF(ISNUMBER(AVERAGEIF(Historis_Tunj3[[#This Row],[1]:[12]],"&gt;0")),AVERAGEIF(Historis_Tunj3[[#This Row],[1]:[12]],"&gt;0"),0)</f>
        <v>512500</v>
      </c>
      <c r="Q14" s="23">
        <f>Historis_Tunj3[[#This Row],[12]]</f>
        <v>750000</v>
      </c>
      <c r="R14" s="18"/>
      <c r="S14" s="21"/>
    </row>
    <row r="15" spans="1:19" x14ac:dyDescent="0.3">
      <c r="A15" s="12">
        <v>4</v>
      </c>
      <c r="B15" s="12" t="s">
        <v>58</v>
      </c>
      <c r="C15" s="22" t="str">
        <f>INDEX(Data_Pegawai[Jabatan],MATCH(Historis_Tunj3[[#This Row],[Nama]],Data_Pegawai[Nama],0))</f>
        <v>Funding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23">
        <f>IF(ISNUMBER(AVERAGEIF(Historis_Tunj3[[#This Row],[1]:[12]],"&gt;0")),AVERAGEIF(Historis_Tunj3[[#This Row],[1]:[12]],"&gt;0"),0)</f>
        <v>0</v>
      </c>
      <c r="Q15" s="23">
        <f>Historis_Tunj3[[#This Row],[12]]</f>
        <v>0</v>
      </c>
      <c r="R15" s="18"/>
      <c r="S15" s="21"/>
    </row>
    <row r="16" spans="1:19" x14ac:dyDescent="0.3">
      <c r="A16" s="12">
        <v>5</v>
      </c>
      <c r="B16" s="12" t="s">
        <v>59</v>
      </c>
      <c r="C16" s="22" t="str">
        <f>INDEX(Data_Pegawai[Jabatan],MATCH(Historis_Tunj3[[#This Row],[Nama]],Data_Pegawai[Nama],0))</f>
        <v>A/O Loan</v>
      </c>
      <c r="D16" s="18">
        <v>465000</v>
      </c>
      <c r="E16" s="18">
        <v>465000</v>
      </c>
      <c r="F16" s="18">
        <v>465000</v>
      </c>
      <c r="G16" s="18">
        <v>465000</v>
      </c>
      <c r="H16" s="18">
        <v>465000</v>
      </c>
      <c r="I16" s="18">
        <v>465000</v>
      </c>
      <c r="J16" s="18">
        <v>465000</v>
      </c>
      <c r="K16" s="18">
        <v>465000</v>
      </c>
      <c r="L16" s="18">
        <v>465000</v>
      </c>
      <c r="M16" s="18">
        <v>465000</v>
      </c>
      <c r="N16" s="18">
        <v>465000</v>
      </c>
      <c r="O16" s="18">
        <v>750000</v>
      </c>
      <c r="P16" s="23">
        <f>IF(ISNUMBER(AVERAGEIF(Historis_Tunj3[[#This Row],[1]:[12]],"&gt;0")),AVERAGEIF(Historis_Tunj3[[#This Row],[1]:[12]],"&gt;0"),0)</f>
        <v>488750</v>
      </c>
      <c r="Q16" s="23">
        <f>Historis_Tunj3[[#This Row],[12]]</f>
        <v>750000</v>
      </c>
      <c r="R16" s="18"/>
      <c r="S16" s="21"/>
    </row>
    <row r="17" spans="1:19" x14ac:dyDescent="0.3">
      <c r="A17" s="12">
        <v>6</v>
      </c>
      <c r="B17" s="12" t="s">
        <v>60</v>
      </c>
      <c r="C17" s="22" t="str">
        <f>INDEX(Data_Pegawai[Jabatan],MATCH(Historis_Tunj3[[#This Row],[Nama]],Data_Pegawai[Nama],0))</f>
        <v>ADM Pelaporan</v>
      </c>
      <c r="D17" s="18">
        <v>465000</v>
      </c>
      <c r="E17" s="18">
        <v>465000</v>
      </c>
      <c r="F17" s="18">
        <v>465000</v>
      </c>
      <c r="G17" s="18">
        <v>465000</v>
      </c>
      <c r="H17" s="18">
        <v>465000</v>
      </c>
      <c r="I17" s="18">
        <v>465000</v>
      </c>
      <c r="J17" s="18">
        <v>465000</v>
      </c>
      <c r="K17" s="18">
        <v>465000</v>
      </c>
      <c r="L17" s="18">
        <v>465000</v>
      </c>
      <c r="M17" s="18">
        <v>465000</v>
      </c>
      <c r="N17" s="18">
        <v>465000</v>
      </c>
      <c r="O17" s="18">
        <v>750000</v>
      </c>
      <c r="P17" s="23">
        <f>IF(ISNUMBER(AVERAGEIF(Historis_Tunj3[[#This Row],[1]:[12]],"&gt;0")),AVERAGEIF(Historis_Tunj3[[#This Row],[1]:[12]],"&gt;0"),0)</f>
        <v>488750</v>
      </c>
      <c r="Q17" s="23">
        <f>Historis_Tunj3[[#This Row],[12]]</f>
        <v>750000</v>
      </c>
      <c r="R17" s="18"/>
      <c r="S17" s="21"/>
    </row>
    <row r="18" spans="1:19" x14ac:dyDescent="0.3">
      <c r="A18" s="12">
        <v>7</v>
      </c>
      <c r="B18" s="12" t="s">
        <v>61</v>
      </c>
      <c r="C18" s="22" t="str">
        <f>INDEX(Data_Pegawai[Jabatan],MATCH(Historis_Tunj3[[#This Row],[Nama]],Data_Pegawai[Nama],0))</f>
        <v>Funding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23">
        <f>IF(ISNUMBER(AVERAGEIF(Historis_Tunj3[[#This Row],[1]:[12]],"&gt;0")),AVERAGEIF(Historis_Tunj3[[#This Row],[1]:[12]],"&gt;0"),0)</f>
        <v>0</v>
      </c>
      <c r="Q18" s="23">
        <f>Historis_Tunj3[[#This Row],[12]]</f>
        <v>0</v>
      </c>
      <c r="R18" s="18"/>
      <c r="S18" s="21"/>
    </row>
    <row r="19" spans="1:19" x14ac:dyDescent="0.3">
      <c r="A19" s="12">
        <v>8</v>
      </c>
      <c r="B19" s="12" t="s">
        <v>62</v>
      </c>
      <c r="C19" s="22" t="str">
        <f>INDEX(Data_Pegawai[Jabatan],MATCH(Historis_Tunj3[[#This Row],[Nama]],Data_Pegawai[Nama],0))</f>
        <v>ADM Pembiayaan</v>
      </c>
      <c r="D19" s="18">
        <v>465000</v>
      </c>
      <c r="E19" s="18">
        <v>465000</v>
      </c>
      <c r="F19" s="18">
        <v>465000</v>
      </c>
      <c r="G19" s="18">
        <v>465000</v>
      </c>
      <c r="H19" s="18">
        <v>465000</v>
      </c>
      <c r="I19" s="18">
        <v>465000</v>
      </c>
      <c r="J19" s="18">
        <v>465000</v>
      </c>
      <c r="K19" s="18">
        <v>465000</v>
      </c>
      <c r="L19" s="18">
        <v>465000</v>
      </c>
      <c r="M19" s="18">
        <v>465000</v>
      </c>
      <c r="N19" s="18">
        <v>465000</v>
      </c>
      <c r="O19" s="18">
        <v>750000</v>
      </c>
      <c r="P19" s="23">
        <f>IF(ISNUMBER(AVERAGEIF(Historis_Tunj3[[#This Row],[1]:[12]],"&gt;0")),AVERAGEIF(Historis_Tunj3[[#This Row],[1]:[12]],"&gt;0"),0)</f>
        <v>488750</v>
      </c>
      <c r="Q19" s="23">
        <f>Historis_Tunj3[[#This Row],[12]]</f>
        <v>750000</v>
      </c>
      <c r="R19" s="18"/>
      <c r="S19" s="21"/>
    </row>
    <row r="20" spans="1:19" x14ac:dyDescent="0.3">
      <c r="A20" s="12">
        <v>9</v>
      </c>
      <c r="B20" s="12" t="s">
        <v>63</v>
      </c>
      <c r="C20" s="22" t="str">
        <f>INDEX(Data_Pegawai[Jabatan],MATCH(Historis_Tunj3[[#This Row],[Nama]],Data_Pegawai[Nama],0))</f>
        <v>Teller</v>
      </c>
      <c r="D20" s="18">
        <v>465000</v>
      </c>
      <c r="E20" s="18">
        <v>465000</v>
      </c>
      <c r="F20" s="18">
        <v>465000</v>
      </c>
      <c r="G20" s="18">
        <v>465000</v>
      </c>
      <c r="H20" s="18">
        <v>465000</v>
      </c>
      <c r="I20" s="18">
        <v>465000</v>
      </c>
      <c r="J20" s="18">
        <v>465000</v>
      </c>
      <c r="K20" s="18">
        <v>465000</v>
      </c>
      <c r="L20" s="18">
        <v>465000</v>
      </c>
      <c r="M20" s="18">
        <v>465000</v>
      </c>
      <c r="N20" s="18">
        <v>465000</v>
      </c>
      <c r="O20" s="18">
        <v>750000</v>
      </c>
      <c r="P20" s="23">
        <f>IF(ISNUMBER(AVERAGEIF(Historis_Tunj3[[#This Row],[1]:[12]],"&gt;0")),AVERAGEIF(Historis_Tunj3[[#This Row],[1]:[12]],"&gt;0"),0)</f>
        <v>488750</v>
      </c>
      <c r="Q20" s="23">
        <f>Historis_Tunj3[[#This Row],[12]]</f>
        <v>750000</v>
      </c>
      <c r="R20" s="18"/>
      <c r="S20" s="21"/>
    </row>
    <row r="21" spans="1:19" x14ac:dyDescent="0.3">
      <c r="A21" s="12">
        <v>10</v>
      </c>
      <c r="B21" s="12" t="s">
        <v>64</v>
      </c>
      <c r="C21" s="22" t="str">
        <f>INDEX(Data_Pegawai[Jabatan],MATCH(Historis_Tunj3[[#This Row],[Nama]],Data_Pegawai[Nama],0))</f>
        <v>A/O Loan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23">
        <f>IF(ISNUMBER(AVERAGEIF(Historis_Tunj3[[#This Row],[1]:[12]],"&gt;0")),AVERAGEIF(Historis_Tunj3[[#This Row],[1]:[12]],"&gt;0"),0)</f>
        <v>0</v>
      </c>
      <c r="Q21" s="23">
        <f>Historis_Tunj3[[#This Row],[12]]</f>
        <v>0</v>
      </c>
      <c r="R21" s="18"/>
      <c r="S21" s="21"/>
    </row>
    <row r="22" spans="1:19" x14ac:dyDescent="0.3">
      <c r="A22" s="12">
        <v>11</v>
      </c>
      <c r="B22" s="12" t="s">
        <v>65</v>
      </c>
      <c r="C22" s="22" t="str">
        <f>INDEX(Data_Pegawai[Jabatan],MATCH(Historis_Tunj3[[#This Row],[Nama]],Data_Pegawai[Nama],0))</f>
        <v>ADM Pembiayaan</v>
      </c>
      <c r="D22" s="18">
        <v>465000</v>
      </c>
      <c r="E22" s="18">
        <v>465000</v>
      </c>
      <c r="F22" s="18">
        <v>465000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23">
        <f>IF(ISNUMBER(AVERAGEIF(Historis_Tunj3[[#This Row],[1]:[12]],"&gt;0")),AVERAGEIF(Historis_Tunj3[[#This Row],[1]:[12]],"&gt;0"),0)</f>
        <v>465000</v>
      </c>
      <c r="Q22" s="23">
        <f>Historis_Tunj3[[#This Row],[12]]</f>
        <v>0</v>
      </c>
      <c r="R22" s="18"/>
      <c r="S22" s="21"/>
    </row>
    <row r="23" spans="1:19" x14ac:dyDescent="0.3">
      <c r="A23" s="12">
        <v>12</v>
      </c>
      <c r="B23" s="12" t="s">
        <v>66</v>
      </c>
      <c r="C23" s="22" t="str">
        <f>INDEX(Data_Pegawai[Jabatan],MATCH(Historis_Tunj3[[#This Row],[Nama]],Data_Pegawai[Nama],0))</f>
        <v>Bag.Umum</v>
      </c>
      <c r="D23" s="18">
        <v>372000</v>
      </c>
      <c r="E23" s="18">
        <v>372000</v>
      </c>
      <c r="F23" s="18">
        <v>372000</v>
      </c>
      <c r="G23" s="18">
        <v>372000</v>
      </c>
      <c r="H23" s="18">
        <v>372000</v>
      </c>
      <c r="I23" s="18">
        <v>372000</v>
      </c>
      <c r="J23" s="18">
        <v>372000</v>
      </c>
      <c r="K23" s="18">
        <v>372000</v>
      </c>
      <c r="L23" s="18">
        <v>372000</v>
      </c>
      <c r="M23" s="18">
        <v>372000</v>
      </c>
      <c r="N23" s="18">
        <v>465000</v>
      </c>
      <c r="O23" s="18">
        <v>750000</v>
      </c>
      <c r="P23" s="23">
        <f>IF(ISNUMBER(AVERAGEIF(Historis_Tunj3[[#This Row],[1]:[12]],"&gt;0")),AVERAGEIF(Historis_Tunj3[[#This Row],[1]:[12]],"&gt;0"),0)</f>
        <v>411250</v>
      </c>
      <c r="Q23" s="23">
        <f>Historis_Tunj3[[#This Row],[12]]</f>
        <v>750000</v>
      </c>
      <c r="R23" s="18"/>
      <c r="S23" s="21"/>
    </row>
    <row r="24" spans="1:19" x14ac:dyDescent="0.3">
      <c r="A24" s="12">
        <v>13</v>
      </c>
      <c r="B24" s="12" t="s">
        <v>67</v>
      </c>
      <c r="C24" s="22" t="str">
        <f>INDEX(Data_Pegawai[Jabatan],MATCH(Historis_Tunj3[[#This Row],[Nama]],Data_Pegawai[Nama],0))</f>
        <v>Satpam</v>
      </c>
      <c r="D24" s="18">
        <v>372000</v>
      </c>
      <c r="E24" s="18">
        <v>372000</v>
      </c>
      <c r="F24" s="18">
        <v>372000</v>
      </c>
      <c r="G24" s="18">
        <v>372000</v>
      </c>
      <c r="H24" s="18">
        <v>372000</v>
      </c>
      <c r="I24" s="18">
        <v>372000</v>
      </c>
      <c r="J24" s="18">
        <v>372000</v>
      </c>
      <c r="K24" s="18">
        <v>372000</v>
      </c>
      <c r="L24" s="18">
        <v>372000</v>
      </c>
      <c r="M24" s="18">
        <v>372000</v>
      </c>
      <c r="N24" s="18">
        <v>465000</v>
      </c>
      <c r="O24" s="18">
        <v>750000</v>
      </c>
      <c r="P24" s="23">
        <f>IF(ISNUMBER(AVERAGEIF(Historis_Tunj3[[#This Row],[1]:[12]],"&gt;0")),AVERAGEIF(Historis_Tunj3[[#This Row],[1]:[12]],"&gt;0"),0)</f>
        <v>411250</v>
      </c>
      <c r="Q24" s="23">
        <f>Historis_Tunj3[[#This Row],[12]]</f>
        <v>750000</v>
      </c>
      <c r="R24" s="18"/>
      <c r="S24" s="21"/>
    </row>
    <row r="25" spans="1:19" x14ac:dyDescent="0.3">
      <c r="A25" s="12">
        <v>14</v>
      </c>
      <c r="B25" s="16"/>
      <c r="C25" s="29" t="e">
        <f>INDEX(Data_Pegawai[Jabatan],MATCH(Historis_Tunj3[[#This Row],[Nama]],Data_Pegawai[Nama],0))</f>
        <v>#N/A</v>
      </c>
      <c r="D25" s="14"/>
      <c r="E25" s="14"/>
      <c r="F25" s="14"/>
      <c r="G25" s="14"/>
      <c r="H25" s="18"/>
      <c r="I25" s="18"/>
      <c r="J25" s="18"/>
      <c r="K25" s="18"/>
      <c r="L25" s="18"/>
      <c r="M25" s="18"/>
      <c r="N25" s="18"/>
      <c r="O25" s="18"/>
      <c r="P25" s="23">
        <f>IF(ISNUMBER(AVERAGEIF(Historis_Tunj3[[#This Row],[1]:[12]],"&gt;0")),AVERAGEIF(Historis_Tunj3[[#This Row],[1]:[12]],"&gt;0"),0)</f>
        <v>0</v>
      </c>
      <c r="Q25" s="23">
        <f>Historis_Tunj3[[#This Row],[12]]</f>
        <v>0</v>
      </c>
      <c r="R25" s="18"/>
      <c r="S25" s="31"/>
    </row>
    <row r="26" spans="1:19" x14ac:dyDescent="0.3">
      <c r="A26" s="12">
        <v>15</v>
      </c>
      <c r="B26" s="16"/>
      <c r="C26" s="29" t="e">
        <f>INDEX(Data_Pegawai[Jabatan],MATCH(Historis_Tunj3[[#This Row],[Nama]],Data_Pegawai[Nama],0))</f>
        <v>#N/A</v>
      </c>
      <c r="D26" s="14"/>
      <c r="E26" s="14"/>
      <c r="F26" s="14"/>
      <c r="G26" s="14"/>
      <c r="H26" s="18"/>
      <c r="I26" s="18"/>
      <c r="J26" s="18"/>
      <c r="K26" s="18"/>
      <c r="L26" s="18"/>
      <c r="M26" s="18"/>
      <c r="N26" s="18"/>
      <c r="O26" s="18"/>
      <c r="P26" s="23">
        <f>IF(ISNUMBER(AVERAGEIF(Historis_Tunj3[[#This Row],[1]:[12]],"&gt;0")),AVERAGEIF(Historis_Tunj3[[#This Row],[1]:[12]],"&gt;0"),0)</f>
        <v>0</v>
      </c>
      <c r="Q26" s="23">
        <f>Historis_Tunj3[[#This Row],[12]]</f>
        <v>0</v>
      </c>
      <c r="R26" s="18"/>
      <c r="S26" s="31"/>
    </row>
    <row r="27" spans="1:19" x14ac:dyDescent="0.3">
      <c r="A27" s="12">
        <v>16</v>
      </c>
      <c r="B27" s="16"/>
      <c r="C27" s="29" t="e">
        <f>INDEX(Data_Pegawai[Jabatan],MATCH(Historis_Tunj3[[#This Row],[Nama]],Data_Pegawai[Nama],0))</f>
        <v>#N/A</v>
      </c>
      <c r="D27" s="14"/>
      <c r="E27" s="14"/>
      <c r="F27" s="14"/>
      <c r="G27" s="14"/>
      <c r="H27" s="18"/>
      <c r="I27" s="18"/>
      <c r="J27" s="18"/>
      <c r="K27" s="18"/>
      <c r="L27" s="18"/>
      <c r="M27" s="18"/>
      <c r="N27" s="18"/>
      <c r="O27" s="18"/>
      <c r="P27" s="23">
        <f>IF(ISNUMBER(AVERAGEIF(Historis_Tunj3[[#This Row],[1]:[12]],"&gt;0")),AVERAGEIF(Historis_Tunj3[[#This Row],[1]:[12]],"&gt;0"),0)</f>
        <v>0</v>
      </c>
      <c r="Q27" s="23">
        <f>Historis_Tunj3[[#This Row],[12]]</f>
        <v>0</v>
      </c>
      <c r="R27" s="18"/>
      <c r="S27" s="31"/>
    </row>
    <row r="28" spans="1:19" x14ac:dyDescent="0.3">
      <c r="A28" s="12">
        <v>17</v>
      </c>
      <c r="B28" s="16"/>
      <c r="C28" s="29" t="e">
        <f>INDEX(Data_Pegawai[Jabatan],MATCH(Historis_Tunj3[[#This Row],[Nama]],Data_Pegawai[Nama],0))</f>
        <v>#N/A</v>
      </c>
      <c r="D28" s="14"/>
      <c r="E28" s="14"/>
      <c r="F28" s="14"/>
      <c r="G28" s="14"/>
      <c r="H28" s="18"/>
      <c r="I28" s="18"/>
      <c r="J28" s="18"/>
      <c r="K28" s="18"/>
      <c r="L28" s="18"/>
      <c r="M28" s="18"/>
      <c r="N28" s="18"/>
      <c r="O28" s="18"/>
      <c r="P28" s="23">
        <f>IF(ISNUMBER(AVERAGEIF(Historis_Tunj3[[#This Row],[1]:[12]],"&gt;0")),AVERAGEIF(Historis_Tunj3[[#This Row],[1]:[12]],"&gt;0"),0)</f>
        <v>0</v>
      </c>
      <c r="Q28" s="23">
        <f>Historis_Tunj3[[#This Row],[12]]</f>
        <v>0</v>
      </c>
      <c r="R28" s="18"/>
      <c r="S28" s="31"/>
    </row>
    <row r="29" spans="1:19" x14ac:dyDescent="0.3">
      <c r="A29" s="12">
        <v>18</v>
      </c>
      <c r="B29" s="16"/>
      <c r="C29" s="29" t="e">
        <f>INDEX(Data_Pegawai[Jabatan],MATCH(Historis_Tunj3[[#This Row],[Nama]],Data_Pegawai[Nama],0))</f>
        <v>#N/A</v>
      </c>
      <c r="D29" s="14"/>
      <c r="E29" s="14"/>
      <c r="F29" s="14"/>
      <c r="G29" s="14"/>
      <c r="H29" s="18"/>
      <c r="I29" s="18"/>
      <c r="J29" s="18"/>
      <c r="K29" s="18"/>
      <c r="L29" s="18"/>
      <c r="M29" s="18"/>
      <c r="N29" s="18"/>
      <c r="O29" s="18"/>
      <c r="P29" s="23">
        <f>IF(ISNUMBER(AVERAGEIF(Historis_Tunj3[[#This Row],[1]:[12]],"&gt;0")),AVERAGEIF(Historis_Tunj3[[#This Row],[1]:[12]],"&gt;0"),0)</f>
        <v>0</v>
      </c>
      <c r="Q29" s="23">
        <f>Historis_Tunj3[[#This Row],[12]]</f>
        <v>0</v>
      </c>
      <c r="R29" s="18"/>
      <c r="S29" s="31"/>
    </row>
    <row r="30" spans="1:19" x14ac:dyDescent="0.3">
      <c r="A30" s="12">
        <v>19</v>
      </c>
      <c r="B30" s="16"/>
      <c r="C30" s="29" t="e">
        <f>INDEX(Data_Pegawai[Jabatan],MATCH(Historis_Tunj3[[#This Row],[Nama]],Data_Pegawai[Nama],0))</f>
        <v>#N/A</v>
      </c>
      <c r="D30" s="14"/>
      <c r="E30" s="14"/>
      <c r="F30" s="14"/>
      <c r="G30" s="14"/>
      <c r="H30" s="18"/>
      <c r="I30" s="18"/>
      <c r="J30" s="18"/>
      <c r="K30" s="18"/>
      <c r="L30" s="18"/>
      <c r="M30" s="18"/>
      <c r="N30" s="18"/>
      <c r="O30" s="18"/>
      <c r="P30" s="23">
        <f>IF(ISNUMBER(AVERAGEIF(Historis_Tunj3[[#This Row],[1]:[12]],"&gt;0")),AVERAGEIF(Historis_Tunj3[[#This Row],[1]:[12]],"&gt;0"),0)</f>
        <v>0</v>
      </c>
      <c r="Q30" s="23">
        <f>Historis_Tunj3[[#This Row],[12]]</f>
        <v>0</v>
      </c>
      <c r="R30" s="18"/>
      <c r="S30" s="31"/>
    </row>
    <row r="31" spans="1:19" x14ac:dyDescent="0.3">
      <c r="A31" s="12">
        <v>20</v>
      </c>
      <c r="B31" s="16"/>
      <c r="C31" s="29" t="e">
        <f>INDEX(Data_Pegawai[Jabatan],MATCH(Historis_Tunj3[[#This Row],[Nama]],Data_Pegawai[Nama],0))</f>
        <v>#N/A</v>
      </c>
      <c r="D31" s="14"/>
      <c r="E31" s="14"/>
      <c r="F31" s="14"/>
      <c r="G31" s="14"/>
      <c r="H31" s="18"/>
      <c r="I31" s="18"/>
      <c r="J31" s="18"/>
      <c r="K31" s="18"/>
      <c r="L31" s="18"/>
      <c r="M31" s="18"/>
      <c r="N31" s="18"/>
      <c r="O31" s="18"/>
      <c r="P31" s="23">
        <f>IF(ISNUMBER(AVERAGEIF(Historis_Tunj3[[#This Row],[1]:[12]],"&gt;0")),AVERAGEIF(Historis_Tunj3[[#This Row],[1]:[12]],"&gt;0"),0)</f>
        <v>0</v>
      </c>
      <c r="Q31" s="23">
        <f>Historis_Tunj3[[#This Row],[12]]</f>
        <v>0</v>
      </c>
      <c r="R31" s="18"/>
      <c r="S31" s="31"/>
    </row>
    <row r="32" spans="1:19" x14ac:dyDescent="0.3">
      <c r="A32" s="5" t="s">
        <v>29</v>
      </c>
      <c r="B32" s="6">
        <f>SUBTOTAL(103,Historis_Tunj3[Nama])</f>
        <v>13</v>
      </c>
      <c r="C32" s="5"/>
      <c r="D32" s="9">
        <f>SUBTOTAL(109,Historis_Tunj3[1])</f>
        <v>3999000</v>
      </c>
      <c r="E32" s="9">
        <f>SUBTOTAL(109,Historis_Tunj3[2])</f>
        <v>3999000</v>
      </c>
      <c r="F32" s="9">
        <f>SUBTOTAL(109,Historis_Tunj3[3])</f>
        <v>3999000</v>
      </c>
      <c r="G32" s="9">
        <f>SUBTOTAL(109,Historis_Tunj3[4])</f>
        <v>3534000</v>
      </c>
      <c r="H32" s="9">
        <f>SUBTOTAL(109,Historis_Tunj3[5])</f>
        <v>3534000</v>
      </c>
      <c r="I32" s="9">
        <f>SUBTOTAL(109,Historis_Tunj3[6])</f>
        <v>3534000</v>
      </c>
      <c r="J32" s="9">
        <f>SUBTOTAL(109,Historis_Tunj3[7])</f>
        <v>3999000</v>
      </c>
      <c r="K32" s="9">
        <f>SUBTOTAL(109,Historis_Tunj3[8])</f>
        <v>3999000</v>
      </c>
      <c r="L32" s="9">
        <f>SUBTOTAL(109,Historis_Tunj3[9])</f>
        <v>3999000</v>
      </c>
      <c r="M32" s="9">
        <f>SUBTOTAL(109,Historis_Tunj3[10])</f>
        <v>3999000</v>
      </c>
      <c r="N32" s="9">
        <f>SUBTOTAL(109,Historis_Tunj3[11])</f>
        <v>4185000</v>
      </c>
      <c r="O32" s="9">
        <f>SUBTOTAL(109,Historis_Tunj3[12])</f>
        <v>8250000</v>
      </c>
      <c r="P32" s="9"/>
      <c r="Q32" s="9"/>
      <c r="R32" s="9">
        <f>SUBTOTAL(109,Historis_Tunj3[Angka yang Digunakan])</f>
        <v>0</v>
      </c>
      <c r="S32" s="10"/>
    </row>
    <row r="34" spans="1:2" x14ac:dyDescent="0.3">
      <c r="A34" s="20" t="s">
        <v>52</v>
      </c>
    </row>
    <row r="35" spans="1:2" x14ac:dyDescent="0.3">
      <c r="A35" s="19"/>
      <c r="B35" s="1" t="s">
        <v>51</v>
      </c>
    </row>
  </sheetData>
  <sheetProtection formatColumns="0" formatRows="0" insertRows="0" deleteRows="0"/>
  <mergeCells count="7">
    <mergeCell ref="D9:S9"/>
    <mergeCell ref="A2:S2"/>
    <mergeCell ref="A3:S3"/>
    <mergeCell ref="A4:S4"/>
    <mergeCell ref="A5:S5"/>
    <mergeCell ref="A7:B7"/>
    <mergeCell ref="C7:D7"/>
  </mergeCells>
  <conditionalFormatting sqref="E12:O31">
    <cfRule type="expression" dxfId="41" priority="2">
      <formula>D12&lt;&gt;E12</formula>
    </cfRule>
  </conditionalFormatting>
  <conditionalFormatting sqref="P12:Q31">
    <cfRule type="expression" dxfId="40" priority="1">
      <formula>$P12&lt;&gt;$Q12</formula>
    </cfRule>
  </conditionalFormatting>
  <dataValidations count="1">
    <dataValidation type="decimal" operator="greaterThanOrEqual" allowBlank="1" showInputMessage="1" showErrorMessage="1" sqref="R12:R31" xr:uid="{DBE8E34C-4BB5-42DE-88FD-DCCBD6393AC2}">
      <formula1>0</formula1>
    </dataValidation>
  </dataValidations>
  <pageMargins left="0.7" right="0.7" top="0.75" bottom="0.75" header="0.3" footer="0.3"/>
  <pageSetup paperSize="9" scale="51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ED08-2316-445F-AA82-E194ADFE9C16}">
  <sheetPr>
    <pageSetUpPr fitToPage="1"/>
  </sheetPr>
  <dimension ref="A2:AD35"/>
  <sheetViews>
    <sheetView zoomScale="73" workbookViewId="0">
      <selection activeCell="R18" sqref="R18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3" width="17.44140625" style="1" customWidth="1"/>
    <col min="4" max="15" width="12.21875" style="1" customWidth="1"/>
    <col min="16" max="18" width="13.5546875" style="1" customWidth="1"/>
    <col min="19" max="19" width="18" style="1" customWidth="1"/>
    <col min="20" max="30" width="0" style="1" hidden="1" customWidth="1"/>
    <col min="31" max="16384" width="8.88671875" style="1" hidden="1"/>
  </cols>
  <sheetData>
    <row r="2" spans="1:19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6" x14ac:dyDescent="0.3">
      <c r="A5" s="35" t="str">
        <f>"Historis "&amp;C7</f>
        <v>Historis Tunjangan Wanita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39" t="s">
        <v>68</v>
      </c>
      <c r="B7" s="39"/>
      <c r="C7" s="37" t="s">
        <v>91</v>
      </c>
      <c r="D7" s="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D9" s="33" t="s">
        <v>70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">
      <c r="D10" s="30">
        <f>DATE(YEAR('1. Perhitungan Pesangon'!$C$8),MONTH('1. Perhitungan Pesangon'!$C$8)-12,1)</f>
        <v>43374</v>
      </c>
      <c r="E10" s="30">
        <f>DATE(YEAR('1. Perhitungan Pesangon'!$C$8),MONTH('1. Perhitungan Pesangon'!$C$8)-11,1)</f>
        <v>43405</v>
      </c>
      <c r="F10" s="30">
        <f>DATE(YEAR('1. Perhitungan Pesangon'!$C$8),MONTH('1. Perhitungan Pesangon'!$C$8)-10,1)</f>
        <v>43435</v>
      </c>
      <c r="G10" s="30">
        <f>DATE(YEAR('1. Perhitungan Pesangon'!$C$8),MONTH('1. Perhitungan Pesangon'!$C$8)-9,1)</f>
        <v>43466</v>
      </c>
      <c r="H10" s="30">
        <f>DATE(YEAR('1. Perhitungan Pesangon'!$C$8),MONTH('1. Perhitungan Pesangon'!$C$8)-8,1)</f>
        <v>43497</v>
      </c>
      <c r="I10" s="30">
        <f>DATE(YEAR('1. Perhitungan Pesangon'!$C$8),MONTH('1. Perhitungan Pesangon'!$C$8)-7,1)</f>
        <v>43525</v>
      </c>
      <c r="J10" s="30">
        <f>DATE(YEAR('1. Perhitungan Pesangon'!$C$8),MONTH('1. Perhitungan Pesangon'!$C$8)-6,1)</f>
        <v>43556</v>
      </c>
      <c r="K10" s="30">
        <f>DATE(YEAR('1. Perhitungan Pesangon'!$C$8),MONTH('1. Perhitungan Pesangon'!$C$8)-5,1)</f>
        <v>43586</v>
      </c>
      <c r="L10" s="30">
        <f>DATE(YEAR('1. Perhitungan Pesangon'!$C$8),MONTH('1. Perhitungan Pesangon'!$C$8)-4,1)</f>
        <v>43617</v>
      </c>
      <c r="M10" s="30">
        <f>DATE(YEAR('1. Perhitungan Pesangon'!$C$8),MONTH('1. Perhitungan Pesangon'!$C$8)-3,1)</f>
        <v>43647</v>
      </c>
      <c r="N10" s="30">
        <f>DATE(YEAR('1. Perhitungan Pesangon'!$C$8),MONTH('1. Perhitungan Pesangon'!$C$8)-2,1)</f>
        <v>43678</v>
      </c>
      <c r="O10" s="30">
        <f>DATE(YEAR('1. Perhitungan Pesangon'!$C$8),MONTH('1. Perhitungan Pesangon'!$C$8)-1,1)</f>
        <v>43709</v>
      </c>
      <c r="P10" s="11"/>
      <c r="Q10" s="11"/>
      <c r="R10" s="11"/>
      <c r="S10" s="11"/>
    </row>
    <row r="11" spans="1:19" ht="36" customHeight="1" x14ac:dyDescent="0.3">
      <c r="A11" s="4" t="s">
        <v>2</v>
      </c>
      <c r="B11" s="4" t="s">
        <v>3</v>
      </c>
      <c r="C11" s="4" t="s">
        <v>4</v>
      </c>
      <c r="D11" s="4" t="s">
        <v>38</v>
      </c>
      <c r="E11" s="4" t="s">
        <v>37</v>
      </c>
      <c r="F11" s="4" t="s">
        <v>39</v>
      </c>
      <c r="G11" s="4" t="s">
        <v>40</v>
      </c>
      <c r="H11" s="4" t="s">
        <v>41</v>
      </c>
      <c r="I11" s="4" t="s">
        <v>42</v>
      </c>
      <c r="J11" s="4" t="s">
        <v>43</v>
      </c>
      <c r="K11" s="4" t="s">
        <v>44</v>
      </c>
      <c r="L11" s="4" t="s">
        <v>45</v>
      </c>
      <c r="M11" s="4" t="s">
        <v>46</v>
      </c>
      <c r="N11" s="4" t="s">
        <v>47</v>
      </c>
      <c r="O11" s="4" t="s">
        <v>48</v>
      </c>
      <c r="P11" s="4" t="s">
        <v>49</v>
      </c>
      <c r="Q11" s="4" t="s">
        <v>54</v>
      </c>
      <c r="R11" s="4" t="s">
        <v>53</v>
      </c>
      <c r="S11" s="4" t="s">
        <v>50</v>
      </c>
    </row>
    <row r="12" spans="1:19" x14ac:dyDescent="0.3">
      <c r="A12" s="12">
        <v>1</v>
      </c>
      <c r="B12" s="12" t="s">
        <v>55</v>
      </c>
      <c r="C12" s="22" t="str">
        <f>INDEX(Data_Pegawai[Jabatan],MATCH(Historis_Tunj4[[#This Row],[Nama]],Data_Pegawai[Nama],0))</f>
        <v>Kabag Operasional</v>
      </c>
      <c r="D12" s="18">
        <v>50000</v>
      </c>
      <c r="E12" s="18">
        <v>50000</v>
      </c>
      <c r="F12" s="18">
        <v>50000</v>
      </c>
      <c r="G12" s="18">
        <v>50000</v>
      </c>
      <c r="H12" s="18">
        <v>50000</v>
      </c>
      <c r="I12" s="18">
        <v>50000</v>
      </c>
      <c r="J12" s="18">
        <v>50000</v>
      </c>
      <c r="K12" s="18">
        <v>50000</v>
      </c>
      <c r="L12" s="18">
        <v>50000</v>
      </c>
      <c r="M12" s="18">
        <v>50000</v>
      </c>
      <c r="N12" s="18">
        <v>50000</v>
      </c>
      <c r="O12" s="18">
        <v>50000</v>
      </c>
      <c r="P12" s="23">
        <f>IF(ISNUMBER(AVERAGEIF(Historis_Tunj4[[#This Row],[1]:[12]],"&gt;0")),AVERAGEIF(Historis_Tunj4[[#This Row],[1]:[12]],"&gt;0"),0)</f>
        <v>50000</v>
      </c>
      <c r="Q12" s="23">
        <f>Historis_Tunj4[[#This Row],[12]]</f>
        <v>50000</v>
      </c>
      <c r="R12" s="18">
        <v>50000</v>
      </c>
      <c r="S12" s="21"/>
    </row>
    <row r="13" spans="1:19" x14ac:dyDescent="0.3">
      <c r="A13" s="12">
        <v>2</v>
      </c>
      <c r="B13" s="12" t="s">
        <v>56</v>
      </c>
      <c r="C13" s="22" t="str">
        <f>INDEX(Data_Pegawai[Jabatan],MATCH(Historis_Tunj4[[#This Row],[Nama]],Data_Pegawai[Nama],0))</f>
        <v>Kabag Pembiayaan</v>
      </c>
      <c r="D13" s="18">
        <v>50000</v>
      </c>
      <c r="E13" s="18">
        <v>50000</v>
      </c>
      <c r="F13" s="18">
        <v>50000</v>
      </c>
      <c r="G13" s="18">
        <v>50000</v>
      </c>
      <c r="H13" s="18">
        <v>50000</v>
      </c>
      <c r="I13" s="18">
        <v>50000</v>
      </c>
      <c r="J13" s="18">
        <v>50000</v>
      </c>
      <c r="K13" s="18">
        <v>50000</v>
      </c>
      <c r="L13" s="18">
        <v>50000</v>
      </c>
      <c r="M13" s="18">
        <v>50000</v>
      </c>
      <c r="N13" s="18">
        <v>50000</v>
      </c>
      <c r="O13" s="18">
        <v>50000</v>
      </c>
      <c r="P13" s="23">
        <f>IF(ISNUMBER(AVERAGEIF(Historis_Tunj4[[#This Row],[1]:[12]],"&gt;0")),AVERAGEIF(Historis_Tunj4[[#This Row],[1]:[12]],"&gt;0"),0)</f>
        <v>50000</v>
      </c>
      <c r="Q13" s="23">
        <f>Historis_Tunj4[[#This Row],[12]]</f>
        <v>50000</v>
      </c>
      <c r="R13" s="18">
        <v>50000</v>
      </c>
      <c r="S13" s="21"/>
    </row>
    <row r="14" spans="1:19" x14ac:dyDescent="0.3">
      <c r="A14" s="12">
        <v>3</v>
      </c>
      <c r="B14" s="12" t="s">
        <v>57</v>
      </c>
      <c r="C14" s="22" t="str">
        <f>INDEX(Data_Pegawai[Jabatan],MATCH(Historis_Tunj4[[#This Row],[Nama]],Data_Pegawai[Nama],0))</f>
        <v>A/O Loan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23">
        <f>IF(ISNUMBER(AVERAGEIF(Historis_Tunj4[[#This Row],[1]:[12]],"&gt;0")),AVERAGEIF(Historis_Tunj4[[#This Row],[1]:[12]],"&gt;0"),0)</f>
        <v>0</v>
      </c>
      <c r="Q14" s="23">
        <f>Historis_Tunj4[[#This Row],[12]]</f>
        <v>0</v>
      </c>
      <c r="R14" s="18">
        <v>0</v>
      </c>
      <c r="S14" s="21"/>
    </row>
    <row r="15" spans="1:19" x14ac:dyDescent="0.3">
      <c r="A15" s="12">
        <v>4</v>
      </c>
      <c r="B15" s="12" t="s">
        <v>58</v>
      </c>
      <c r="C15" s="22" t="str">
        <f>INDEX(Data_Pegawai[Jabatan],MATCH(Historis_Tunj4[[#This Row],[Nama]],Data_Pegawai[Nama],0))</f>
        <v>Funding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23">
        <f>IF(ISNUMBER(AVERAGEIF(Historis_Tunj4[[#This Row],[1]:[12]],"&gt;0")),AVERAGEIF(Historis_Tunj4[[#This Row],[1]:[12]],"&gt;0"),0)</f>
        <v>0</v>
      </c>
      <c r="Q15" s="23">
        <f>Historis_Tunj4[[#This Row],[12]]</f>
        <v>0</v>
      </c>
      <c r="R15" s="18">
        <v>50000</v>
      </c>
      <c r="S15" s="21"/>
    </row>
    <row r="16" spans="1:19" x14ac:dyDescent="0.3">
      <c r="A16" s="12">
        <v>5</v>
      </c>
      <c r="B16" s="12" t="s">
        <v>59</v>
      </c>
      <c r="C16" s="22" t="str">
        <f>INDEX(Data_Pegawai[Jabatan],MATCH(Historis_Tunj4[[#This Row],[Nama]],Data_Pegawai[Nama],0))</f>
        <v>A/O Loan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>
        <f>IF(ISNUMBER(AVERAGEIF(Historis_Tunj4[[#This Row],[1]:[12]],"&gt;0")),AVERAGEIF(Historis_Tunj4[[#This Row],[1]:[12]],"&gt;0"),0)</f>
        <v>0</v>
      </c>
      <c r="Q16" s="23">
        <f>Historis_Tunj4[[#This Row],[12]]</f>
        <v>0</v>
      </c>
      <c r="R16" s="18">
        <v>0</v>
      </c>
      <c r="S16" s="21"/>
    </row>
    <row r="17" spans="1:19" x14ac:dyDescent="0.3">
      <c r="A17" s="12">
        <v>6</v>
      </c>
      <c r="B17" s="12" t="s">
        <v>60</v>
      </c>
      <c r="C17" s="22" t="str">
        <f>INDEX(Data_Pegawai[Jabatan],MATCH(Historis_Tunj4[[#This Row],[Nama]],Data_Pegawai[Nama],0))</f>
        <v>ADM Pelaporan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23">
        <f>IF(ISNUMBER(AVERAGEIF(Historis_Tunj4[[#This Row],[1]:[12]],"&gt;0")),AVERAGEIF(Historis_Tunj4[[#This Row],[1]:[12]],"&gt;0"),0)</f>
        <v>0</v>
      </c>
      <c r="Q17" s="23">
        <f>Historis_Tunj4[[#This Row],[12]]</f>
        <v>0</v>
      </c>
      <c r="R17" s="18">
        <v>0</v>
      </c>
      <c r="S17" s="21"/>
    </row>
    <row r="18" spans="1:19" x14ac:dyDescent="0.3">
      <c r="A18" s="12">
        <v>7</v>
      </c>
      <c r="B18" s="12" t="s">
        <v>61</v>
      </c>
      <c r="C18" s="22" t="str">
        <f>INDEX(Data_Pegawai[Jabatan],MATCH(Historis_Tunj4[[#This Row],[Nama]],Data_Pegawai[Nama],0))</f>
        <v>Funding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23">
        <f>IF(ISNUMBER(AVERAGEIF(Historis_Tunj4[[#This Row],[1]:[12]],"&gt;0")),AVERAGEIF(Historis_Tunj4[[#This Row],[1]:[12]],"&gt;0"),0)</f>
        <v>0</v>
      </c>
      <c r="Q18" s="23">
        <f>Historis_Tunj4[[#This Row],[12]]</f>
        <v>0</v>
      </c>
      <c r="R18" s="18">
        <v>50000</v>
      </c>
      <c r="S18" s="21"/>
    </row>
    <row r="19" spans="1:19" x14ac:dyDescent="0.3">
      <c r="A19" s="12">
        <v>8</v>
      </c>
      <c r="B19" s="12" t="s">
        <v>62</v>
      </c>
      <c r="C19" s="22" t="str">
        <f>INDEX(Data_Pegawai[Jabatan],MATCH(Historis_Tunj4[[#This Row],[Nama]],Data_Pegawai[Nama],0))</f>
        <v>ADM Pembiayaan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23">
        <f>IF(ISNUMBER(AVERAGEIF(Historis_Tunj4[[#This Row],[1]:[12]],"&gt;0")),AVERAGEIF(Historis_Tunj4[[#This Row],[1]:[12]],"&gt;0"),0)</f>
        <v>0</v>
      </c>
      <c r="Q19" s="23">
        <f>Historis_Tunj4[[#This Row],[12]]</f>
        <v>0</v>
      </c>
      <c r="R19" s="18">
        <v>0</v>
      </c>
      <c r="S19" s="21"/>
    </row>
    <row r="20" spans="1:19" x14ac:dyDescent="0.3">
      <c r="A20" s="12">
        <v>9</v>
      </c>
      <c r="B20" s="12" t="s">
        <v>63</v>
      </c>
      <c r="C20" s="22" t="str">
        <f>INDEX(Data_Pegawai[Jabatan],MATCH(Historis_Tunj4[[#This Row],[Nama]],Data_Pegawai[Nama],0))</f>
        <v>Teller</v>
      </c>
      <c r="D20" s="18">
        <v>50000</v>
      </c>
      <c r="E20" s="18">
        <v>50000</v>
      </c>
      <c r="F20" s="18">
        <v>50000</v>
      </c>
      <c r="G20" s="18">
        <v>50000</v>
      </c>
      <c r="H20" s="18">
        <v>50000</v>
      </c>
      <c r="I20" s="18">
        <v>50000</v>
      </c>
      <c r="J20" s="18">
        <v>50000</v>
      </c>
      <c r="K20" s="18">
        <v>50000</v>
      </c>
      <c r="L20" s="18">
        <v>50000</v>
      </c>
      <c r="M20" s="18">
        <v>50000</v>
      </c>
      <c r="N20" s="18">
        <v>50000</v>
      </c>
      <c r="O20" s="18">
        <v>50000</v>
      </c>
      <c r="P20" s="23">
        <f>IF(ISNUMBER(AVERAGEIF(Historis_Tunj4[[#This Row],[1]:[12]],"&gt;0")),AVERAGEIF(Historis_Tunj4[[#This Row],[1]:[12]],"&gt;0"),0)</f>
        <v>50000</v>
      </c>
      <c r="Q20" s="23">
        <f>Historis_Tunj4[[#This Row],[12]]</f>
        <v>50000</v>
      </c>
      <c r="R20" s="18">
        <v>50000</v>
      </c>
      <c r="S20" s="21"/>
    </row>
    <row r="21" spans="1:19" x14ac:dyDescent="0.3">
      <c r="A21" s="12">
        <v>10</v>
      </c>
      <c r="B21" s="12" t="s">
        <v>64</v>
      </c>
      <c r="C21" s="22" t="str">
        <f>INDEX(Data_Pegawai[Jabatan],MATCH(Historis_Tunj4[[#This Row],[Nama]],Data_Pegawai[Nama],0))</f>
        <v>A/O Loan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23">
        <f>IF(ISNUMBER(AVERAGEIF(Historis_Tunj4[[#This Row],[1]:[12]],"&gt;0")),AVERAGEIF(Historis_Tunj4[[#This Row],[1]:[12]],"&gt;0"),0)</f>
        <v>0</v>
      </c>
      <c r="Q21" s="23">
        <f>Historis_Tunj4[[#This Row],[12]]</f>
        <v>0</v>
      </c>
      <c r="R21" s="18">
        <v>0</v>
      </c>
      <c r="S21" s="21"/>
    </row>
    <row r="22" spans="1:19" x14ac:dyDescent="0.3">
      <c r="A22" s="12">
        <v>11</v>
      </c>
      <c r="B22" s="12" t="s">
        <v>65</v>
      </c>
      <c r="C22" s="22" t="str">
        <f>INDEX(Data_Pegawai[Jabatan],MATCH(Historis_Tunj4[[#This Row],[Nama]],Data_Pegawai[Nama],0))</f>
        <v>ADM Pembiayaan</v>
      </c>
      <c r="D22" s="18">
        <v>50000</v>
      </c>
      <c r="E22" s="18">
        <v>50000</v>
      </c>
      <c r="F22" s="18">
        <v>50000</v>
      </c>
      <c r="G22" s="18"/>
      <c r="H22" s="18"/>
      <c r="I22" s="18"/>
      <c r="J22" s="18"/>
      <c r="K22" s="18"/>
      <c r="L22" s="18"/>
      <c r="M22" s="18"/>
      <c r="N22" s="18"/>
      <c r="O22" s="18"/>
      <c r="P22" s="23">
        <f>IF(ISNUMBER(AVERAGEIF(Historis_Tunj4[[#This Row],[1]:[12]],"&gt;0")),AVERAGEIF(Historis_Tunj4[[#This Row],[1]:[12]],"&gt;0"),0)</f>
        <v>50000</v>
      </c>
      <c r="Q22" s="23">
        <f>Historis_Tunj4[[#This Row],[12]]</f>
        <v>0</v>
      </c>
      <c r="R22" s="18">
        <v>50000</v>
      </c>
      <c r="S22" s="21"/>
    </row>
    <row r="23" spans="1:19" x14ac:dyDescent="0.3">
      <c r="A23" s="12">
        <v>12</v>
      </c>
      <c r="B23" s="12" t="s">
        <v>66</v>
      </c>
      <c r="C23" s="22" t="str">
        <f>INDEX(Data_Pegawai[Jabatan],MATCH(Historis_Tunj4[[#This Row],[Nama]],Data_Pegawai[Nama],0))</f>
        <v>Bag.Umum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23">
        <f>IF(ISNUMBER(AVERAGEIF(Historis_Tunj4[[#This Row],[1]:[12]],"&gt;0")),AVERAGEIF(Historis_Tunj4[[#This Row],[1]:[12]],"&gt;0"),0)</f>
        <v>0</v>
      </c>
      <c r="Q23" s="23">
        <f>Historis_Tunj4[[#This Row],[12]]</f>
        <v>0</v>
      </c>
      <c r="R23" s="18">
        <v>0</v>
      </c>
      <c r="S23" s="21"/>
    </row>
    <row r="24" spans="1:19" x14ac:dyDescent="0.3">
      <c r="A24" s="12">
        <v>13</v>
      </c>
      <c r="B24" s="12" t="s">
        <v>67</v>
      </c>
      <c r="C24" s="22" t="str">
        <f>INDEX(Data_Pegawai[Jabatan],MATCH(Historis_Tunj4[[#This Row],[Nama]],Data_Pegawai[Nama],0))</f>
        <v>Satpam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23">
        <f>IF(ISNUMBER(AVERAGEIF(Historis_Tunj4[[#This Row],[1]:[12]],"&gt;0")),AVERAGEIF(Historis_Tunj4[[#This Row],[1]:[12]],"&gt;0"),0)</f>
        <v>0</v>
      </c>
      <c r="Q24" s="23">
        <f>Historis_Tunj4[[#This Row],[12]]</f>
        <v>0</v>
      </c>
      <c r="R24" s="18">
        <v>0</v>
      </c>
      <c r="S24" s="21"/>
    </row>
    <row r="25" spans="1:19" x14ac:dyDescent="0.3">
      <c r="A25" s="12">
        <v>14</v>
      </c>
      <c r="B25" s="16"/>
      <c r="C25" s="29" t="e">
        <f>INDEX(Data_Pegawai[Jabatan],MATCH(Historis_Tunj4[[#This Row],[Nama]],Data_Pegawai[Nama],0))</f>
        <v>#N/A</v>
      </c>
      <c r="D25" s="14"/>
      <c r="E25" s="14"/>
      <c r="F25" s="14"/>
      <c r="G25" s="14"/>
      <c r="H25" s="18"/>
      <c r="I25" s="18"/>
      <c r="J25" s="18"/>
      <c r="K25" s="18"/>
      <c r="L25" s="18"/>
      <c r="M25" s="18"/>
      <c r="N25" s="18"/>
      <c r="O25" s="18"/>
      <c r="P25" s="23">
        <f>IF(ISNUMBER(AVERAGEIF(Historis_Tunj4[[#This Row],[1]:[12]],"&gt;0")),AVERAGEIF(Historis_Tunj4[[#This Row],[1]:[12]],"&gt;0"),0)</f>
        <v>0</v>
      </c>
      <c r="Q25" s="23">
        <f>Historis_Tunj4[[#This Row],[12]]</f>
        <v>0</v>
      </c>
      <c r="R25" s="18"/>
      <c r="S25" s="31"/>
    </row>
    <row r="26" spans="1:19" x14ac:dyDescent="0.3">
      <c r="A26" s="12">
        <v>15</v>
      </c>
      <c r="B26" s="16"/>
      <c r="C26" s="29" t="e">
        <f>INDEX(Data_Pegawai[Jabatan],MATCH(Historis_Tunj4[[#This Row],[Nama]],Data_Pegawai[Nama],0))</f>
        <v>#N/A</v>
      </c>
      <c r="D26" s="14"/>
      <c r="E26" s="14"/>
      <c r="F26" s="14"/>
      <c r="G26" s="14"/>
      <c r="H26" s="18"/>
      <c r="I26" s="18"/>
      <c r="J26" s="18"/>
      <c r="K26" s="18"/>
      <c r="L26" s="18"/>
      <c r="M26" s="18"/>
      <c r="N26" s="18"/>
      <c r="O26" s="18"/>
      <c r="P26" s="23">
        <f>IF(ISNUMBER(AVERAGEIF(Historis_Tunj4[[#This Row],[1]:[12]],"&gt;0")),AVERAGEIF(Historis_Tunj4[[#This Row],[1]:[12]],"&gt;0"),0)</f>
        <v>0</v>
      </c>
      <c r="Q26" s="23">
        <f>Historis_Tunj4[[#This Row],[12]]</f>
        <v>0</v>
      </c>
      <c r="R26" s="18"/>
      <c r="S26" s="31"/>
    </row>
    <row r="27" spans="1:19" x14ac:dyDescent="0.3">
      <c r="A27" s="12">
        <v>16</v>
      </c>
      <c r="B27" s="16"/>
      <c r="C27" s="29" t="e">
        <f>INDEX(Data_Pegawai[Jabatan],MATCH(Historis_Tunj4[[#This Row],[Nama]],Data_Pegawai[Nama],0))</f>
        <v>#N/A</v>
      </c>
      <c r="D27" s="14"/>
      <c r="E27" s="14"/>
      <c r="F27" s="14"/>
      <c r="G27" s="14"/>
      <c r="H27" s="18"/>
      <c r="I27" s="18"/>
      <c r="J27" s="18"/>
      <c r="K27" s="18"/>
      <c r="L27" s="18"/>
      <c r="M27" s="18"/>
      <c r="N27" s="18"/>
      <c r="O27" s="18"/>
      <c r="P27" s="23">
        <f>IF(ISNUMBER(AVERAGEIF(Historis_Tunj4[[#This Row],[1]:[12]],"&gt;0")),AVERAGEIF(Historis_Tunj4[[#This Row],[1]:[12]],"&gt;0"),0)</f>
        <v>0</v>
      </c>
      <c r="Q27" s="23">
        <f>Historis_Tunj4[[#This Row],[12]]</f>
        <v>0</v>
      </c>
      <c r="R27" s="18"/>
      <c r="S27" s="31"/>
    </row>
    <row r="28" spans="1:19" x14ac:dyDescent="0.3">
      <c r="A28" s="12">
        <v>17</v>
      </c>
      <c r="B28" s="16"/>
      <c r="C28" s="29" t="e">
        <f>INDEX(Data_Pegawai[Jabatan],MATCH(Historis_Tunj4[[#This Row],[Nama]],Data_Pegawai[Nama],0))</f>
        <v>#N/A</v>
      </c>
      <c r="D28" s="14"/>
      <c r="E28" s="14"/>
      <c r="F28" s="14"/>
      <c r="G28" s="14"/>
      <c r="H28" s="18"/>
      <c r="I28" s="18"/>
      <c r="J28" s="18"/>
      <c r="K28" s="18"/>
      <c r="L28" s="18"/>
      <c r="M28" s="18"/>
      <c r="N28" s="18"/>
      <c r="O28" s="18"/>
      <c r="P28" s="23">
        <f>IF(ISNUMBER(AVERAGEIF(Historis_Tunj4[[#This Row],[1]:[12]],"&gt;0")),AVERAGEIF(Historis_Tunj4[[#This Row],[1]:[12]],"&gt;0"),0)</f>
        <v>0</v>
      </c>
      <c r="Q28" s="23">
        <f>Historis_Tunj4[[#This Row],[12]]</f>
        <v>0</v>
      </c>
      <c r="R28" s="18"/>
      <c r="S28" s="31"/>
    </row>
    <row r="29" spans="1:19" x14ac:dyDescent="0.3">
      <c r="A29" s="12">
        <v>18</v>
      </c>
      <c r="B29" s="16"/>
      <c r="C29" s="29" t="e">
        <f>INDEX(Data_Pegawai[Jabatan],MATCH(Historis_Tunj4[[#This Row],[Nama]],Data_Pegawai[Nama],0))</f>
        <v>#N/A</v>
      </c>
      <c r="D29" s="14"/>
      <c r="E29" s="14"/>
      <c r="F29" s="14"/>
      <c r="G29" s="14"/>
      <c r="H29" s="18"/>
      <c r="I29" s="18"/>
      <c r="J29" s="18"/>
      <c r="K29" s="18"/>
      <c r="L29" s="18"/>
      <c r="M29" s="18"/>
      <c r="N29" s="18"/>
      <c r="O29" s="18"/>
      <c r="P29" s="23">
        <f>IF(ISNUMBER(AVERAGEIF(Historis_Tunj4[[#This Row],[1]:[12]],"&gt;0")),AVERAGEIF(Historis_Tunj4[[#This Row],[1]:[12]],"&gt;0"),0)</f>
        <v>0</v>
      </c>
      <c r="Q29" s="23">
        <f>Historis_Tunj4[[#This Row],[12]]</f>
        <v>0</v>
      </c>
      <c r="R29" s="18"/>
      <c r="S29" s="31"/>
    </row>
    <row r="30" spans="1:19" x14ac:dyDescent="0.3">
      <c r="A30" s="12">
        <v>19</v>
      </c>
      <c r="B30" s="16"/>
      <c r="C30" s="29" t="e">
        <f>INDEX(Data_Pegawai[Jabatan],MATCH(Historis_Tunj4[[#This Row],[Nama]],Data_Pegawai[Nama],0))</f>
        <v>#N/A</v>
      </c>
      <c r="D30" s="14"/>
      <c r="E30" s="14"/>
      <c r="F30" s="14"/>
      <c r="G30" s="14"/>
      <c r="H30" s="18"/>
      <c r="I30" s="18"/>
      <c r="J30" s="18"/>
      <c r="K30" s="18"/>
      <c r="L30" s="18"/>
      <c r="M30" s="18"/>
      <c r="N30" s="18"/>
      <c r="O30" s="18"/>
      <c r="P30" s="23">
        <f>IF(ISNUMBER(AVERAGEIF(Historis_Tunj4[[#This Row],[1]:[12]],"&gt;0")),AVERAGEIF(Historis_Tunj4[[#This Row],[1]:[12]],"&gt;0"),0)</f>
        <v>0</v>
      </c>
      <c r="Q30" s="23">
        <f>Historis_Tunj4[[#This Row],[12]]</f>
        <v>0</v>
      </c>
      <c r="R30" s="18"/>
      <c r="S30" s="31"/>
    </row>
    <row r="31" spans="1:19" x14ac:dyDescent="0.3">
      <c r="A31" s="12">
        <v>20</v>
      </c>
      <c r="B31" s="16"/>
      <c r="C31" s="29" t="e">
        <f>INDEX(Data_Pegawai[Jabatan],MATCH(Historis_Tunj4[[#This Row],[Nama]],Data_Pegawai[Nama],0))</f>
        <v>#N/A</v>
      </c>
      <c r="D31" s="14"/>
      <c r="E31" s="14"/>
      <c r="F31" s="14"/>
      <c r="G31" s="14"/>
      <c r="H31" s="18"/>
      <c r="I31" s="18"/>
      <c r="J31" s="18"/>
      <c r="K31" s="18"/>
      <c r="L31" s="18"/>
      <c r="M31" s="18"/>
      <c r="N31" s="18"/>
      <c r="O31" s="18"/>
      <c r="P31" s="23">
        <f>IF(ISNUMBER(AVERAGEIF(Historis_Tunj4[[#This Row],[1]:[12]],"&gt;0")),AVERAGEIF(Historis_Tunj4[[#This Row],[1]:[12]],"&gt;0"),0)</f>
        <v>0</v>
      </c>
      <c r="Q31" s="23">
        <f>Historis_Tunj4[[#This Row],[12]]</f>
        <v>0</v>
      </c>
      <c r="R31" s="18"/>
      <c r="S31" s="31"/>
    </row>
    <row r="32" spans="1:19" x14ac:dyDescent="0.3">
      <c r="A32" s="5" t="s">
        <v>29</v>
      </c>
      <c r="B32" s="6">
        <f>SUBTOTAL(103,Historis_Tunj4[Nama])</f>
        <v>13</v>
      </c>
      <c r="C32" s="5"/>
      <c r="D32" s="9">
        <f>SUBTOTAL(109,Historis_Tunj4[1])</f>
        <v>200000</v>
      </c>
      <c r="E32" s="9">
        <f>SUBTOTAL(109,Historis_Tunj4[2])</f>
        <v>200000</v>
      </c>
      <c r="F32" s="9">
        <f>SUBTOTAL(109,Historis_Tunj4[3])</f>
        <v>200000</v>
      </c>
      <c r="G32" s="9">
        <f>SUBTOTAL(109,Historis_Tunj4[4])</f>
        <v>150000</v>
      </c>
      <c r="H32" s="9">
        <f>SUBTOTAL(109,Historis_Tunj4[5])</f>
        <v>150000</v>
      </c>
      <c r="I32" s="9">
        <f>SUBTOTAL(109,Historis_Tunj4[6])</f>
        <v>150000</v>
      </c>
      <c r="J32" s="9">
        <f>SUBTOTAL(109,Historis_Tunj4[7])</f>
        <v>150000</v>
      </c>
      <c r="K32" s="9">
        <f>SUBTOTAL(109,Historis_Tunj4[8])</f>
        <v>150000</v>
      </c>
      <c r="L32" s="9">
        <f>SUBTOTAL(109,Historis_Tunj4[9])</f>
        <v>150000</v>
      </c>
      <c r="M32" s="9">
        <f>SUBTOTAL(109,Historis_Tunj4[10])</f>
        <v>150000</v>
      </c>
      <c r="N32" s="9">
        <f>SUBTOTAL(109,Historis_Tunj4[11])</f>
        <v>150000</v>
      </c>
      <c r="O32" s="9">
        <f>SUBTOTAL(109,Historis_Tunj4[12])</f>
        <v>150000</v>
      </c>
      <c r="P32" s="9"/>
      <c r="Q32" s="9"/>
      <c r="R32" s="9">
        <f>SUBTOTAL(109,Historis_Tunj4[Angka yang Digunakan])</f>
        <v>300000</v>
      </c>
      <c r="S32" s="10"/>
    </row>
    <row r="34" spans="1:2" x14ac:dyDescent="0.3">
      <c r="A34" s="20" t="s">
        <v>52</v>
      </c>
    </row>
    <row r="35" spans="1:2" x14ac:dyDescent="0.3">
      <c r="A35" s="19"/>
      <c r="B35" s="1" t="s">
        <v>51</v>
      </c>
    </row>
  </sheetData>
  <sheetProtection formatColumns="0" formatRows="0" insertRows="0" deleteRows="0"/>
  <mergeCells count="7">
    <mergeCell ref="D9:S9"/>
    <mergeCell ref="A2:S2"/>
    <mergeCell ref="A3:S3"/>
    <mergeCell ref="A4:S4"/>
    <mergeCell ref="A5:S5"/>
    <mergeCell ref="A7:B7"/>
    <mergeCell ref="C7:D7"/>
  </mergeCells>
  <conditionalFormatting sqref="E12:O31">
    <cfRule type="expression" dxfId="39" priority="2">
      <formula>D12&lt;&gt;E12</formula>
    </cfRule>
  </conditionalFormatting>
  <conditionalFormatting sqref="P12:Q31">
    <cfRule type="expression" dxfId="38" priority="1">
      <formula>$P12&lt;&gt;$Q12</formula>
    </cfRule>
  </conditionalFormatting>
  <dataValidations count="1">
    <dataValidation type="decimal" operator="greaterThanOrEqual" allowBlank="1" showInputMessage="1" showErrorMessage="1" sqref="R12:R31" xr:uid="{0E6FFF43-1070-49F6-A08D-209BDD73ADAF}">
      <formula1>0</formula1>
    </dataValidation>
  </dataValidations>
  <pageMargins left="0.7" right="0.7" top="0.75" bottom="0.75" header="0.3" footer="0.3"/>
  <pageSetup paperSize="9" scale="51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4244-3300-4211-AC55-82145379EB4D}">
  <sheetPr>
    <pageSetUpPr fitToPage="1"/>
  </sheetPr>
  <dimension ref="A2:AS32"/>
  <sheetViews>
    <sheetView topLeftCell="B1" zoomScale="73" workbookViewId="0">
      <selection activeCell="I9" sqref="I9"/>
    </sheetView>
  </sheetViews>
  <sheetFormatPr defaultColWidth="0" defaultRowHeight="14.4" x14ac:dyDescent="0.3"/>
  <cols>
    <col min="1" max="1" width="5.88671875" style="1" customWidth="1"/>
    <col min="2" max="2" width="25.33203125" style="1" customWidth="1"/>
    <col min="3" max="18" width="17.44140625" style="1" customWidth="1"/>
    <col min="19" max="45" width="0" style="1" hidden="1" customWidth="1"/>
    <col min="46" max="16384" width="8.88671875" style="1" hidden="1"/>
  </cols>
  <sheetData>
    <row r="2" spans="1:18" ht="15.6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15.6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5.6" x14ac:dyDescent="0.3">
      <c r="A4" s="32" t="str">
        <f>UPPER('1. Perhitungan Pesangon'!$C$7)</f>
        <v>PT BPRS HAREUKAT (DL)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5.6" x14ac:dyDescent="0.3">
      <c r="A5" s="35" t="s">
        <v>72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F7" s="33" t="s">
        <v>77</v>
      </c>
      <c r="G7" s="33"/>
      <c r="H7" s="33"/>
      <c r="I7" s="41" t="s">
        <v>87</v>
      </c>
      <c r="J7" s="41"/>
      <c r="K7" s="41"/>
      <c r="L7" s="33" t="s">
        <v>78</v>
      </c>
      <c r="M7" s="33"/>
      <c r="N7" s="33"/>
      <c r="O7" s="40" t="s">
        <v>22</v>
      </c>
      <c r="P7" s="40"/>
      <c r="Q7" s="40"/>
      <c r="R7" s="40"/>
    </row>
    <row r="8" spans="1:18" ht="36" customHeight="1" x14ac:dyDescent="0.3">
      <c r="A8" s="4" t="s">
        <v>2</v>
      </c>
      <c r="B8" s="4" t="s">
        <v>3</v>
      </c>
      <c r="C8" s="4" t="s">
        <v>4</v>
      </c>
      <c r="D8" s="4" t="s">
        <v>73</v>
      </c>
      <c r="E8" s="4" t="s">
        <v>86</v>
      </c>
      <c r="F8" s="4" t="s">
        <v>74</v>
      </c>
      <c r="G8" s="4" t="s">
        <v>75</v>
      </c>
      <c r="H8" s="4" t="s">
        <v>76</v>
      </c>
      <c r="I8" s="4" t="s">
        <v>88</v>
      </c>
      <c r="J8" s="4" t="s">
        <v>89</v>
      </c>
      <c r="K8" s="4" t="s">
        <v>90</v>
      </c>
      <c r="L8" s="4" t="s">
        <v>79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84</v>
      </c>
      <c r="R8" s="4" t="s">
        <v>85</v>
      </c>
    </row>
    <row r="9" spans="1:18" x14ac:dyDescent="0.3">
      <c r="A9" s="12">
        <v>1</v>
      </c>
      <c r="B9" s="12" t="s">
        <v>55</v>
      </c>
      <c r="C9" s="22" t="str">
        <f>INDEX(Data_Pegawai[Jabatan],MATCH(Data_Kewajiban[[#This Row],[Nama]],Data_Pegawai[Nama],0))</f>
        <v>Kabag Operasional</v>
      </c>
      <c r="D9" s="21"/>
      <c r="E9" s="18">
        <v>0</v>
      </c>
      <c r="F9" s="18">
        <v>0</v>
      </c>
      <c r="G9" s="18">
        <v>0</v>
      </c>
      <c r="H9" s="18"/>
      <c r="I9" s="18">
        <v>0</v>
      </c>
      <c r="J9" s="18"/>
      <c r="K9" s="18"/>
      <c r="L9" s="18">
        <v>0</v>
      </c>
      <c r="M9" s="18"/>
      <c r="N9" s="18"/>
      <c r="O9" s="23">
        <f>Data_Kewajiban[[#This Row],[Pokok NP]]-Data_Kewajiban[[#This Row],[Setoff Pokok]]-Data_Kewajiban[[#This Row],[Pencairan Pokok]]</f>
        <v>0</v>
      </c>
      <c r="P9" s="23">
        <f>Data_Kewajiban[[#This Row],[Bunga/Margin NP]]-Data_Kewajiban[[#This Row],[Setoff Bunga/Margin]]-Data_Kewajiban[[#This Row],[Pencairan Bunga/Margin]]</f>
        <v>0</v>
      </c>
      <c r="Q9" s="23">
        <f>Data_Kewajiban[[#This Row],[Denda NP]]-Data_Kewajiban[[#This Row],[Setoff Denda]]-Data_Kewajiban[[#This Row],[Pencairan Denda]]</f>
        <v>0</v>
      </c>
      <c r="R9" s="23">
        <f>SUM(Data_Kewajiban[[#This Row],[Sisa Pokok]:[Sisa Denda]])</f>
        <v>0</v>
      </c>
    </row>
    <row r="10" spans="1:18" x14ac:dyDescent="0.3">
      <c r="A10" s="12">
        <v>2</v>
      </c>
      <c r="B10" s="12" t="s">
        <v>56</v>
      </c>
      <c r="C10" s="22" t="str">
        <f>INDEX(Data_Pegawai[Jabatan],MATCH(Data_Kewajiban[[#This Row],[Nama]],Data_Pegawai[Nama],0))</f>
        <v>Kabag Pembiayaan</v>
      </c>
      <c r="D10" s="21"/>
      <c r="E10" s="18">
        <v>1695800</v>
      </c>
      <c r="F10" s="18">
        <v>55183612</v>
      </c>
      <c r="G10" s="18">
        <v>32997988</v>
      </c>
      <c r="H10" s="18"/>
      <c r="I10" s="18">
        <v>59975</v>
      </c>
      <c r="J10" s="18"/>
      <c r="K10" s="18"/>
      <c r="L10" s="18">
        <v>5087400</v>
      </c>
      <c r="M10" s="18"/>
      <c r="N10" s="18"/>
      <c r="O10" s="23">
        <f>Data_Kewajiban[[#This Row],[Pokok NP]]-Data_Kewajiban[[#This Row],[Setoff Pokok]]-Data_Kewajiban[[#This Row],[Pencairan Pokok]]</f>
        <v>50036237</v>
      </c>
      <c r="P10" s="23">
        <f>Data_Kewajiban[[#This Row],[Bunga/Margin NP]]-Data_Kewajiban[[#This Row],[Setoff Bunga/Margin]]-Data_Kewajiban[[#This Row],[Pencairan Bunga/Margin]]</f>
        <v>32997988</v>
      </c>
      <c r="Q10" s="23">
        <f>Data_Kewajiban[[#This Row],[Denda NP]]-Data_Kewajiban[[#This Row],[Setoff Denda]]-Data_Kewajiban[[#This Row],[Pencairan Denda]]</f>
        <v>0</v>
      </c>
      <c r="R10" s="23">
        <f>SUM(Data_Kewajiban[[#This Row],[Sisa Pokok]:[Sisa Denda]])</f>
        <v>83034225</v>
      </c>
    </row>
    <row r="11" spans="1:18" x14ac:dyDescent="0.3">
      <c r="A11" s="12">
        <v>3</v>
      </c>
      <c r="B11" s="12" t="s">
        <v>57</v>
      </c>
      <c r="C11" s="22" t="str">
        <f>INDEX(Data_Pegawai[Jabatan],MATCH(Data_Kewajiban[[#This Row],[Nama]],Data_Pegawai[Nama],0))</f>
        <v>A/O Loan</v>
      </c>
      <c r="D11" s="21"/>
      <c r="E11" s="18">
        <v>1335000</v>
      </c>
      <c r="F11" s="18">
        <v>77823339</v>
      </c>
      <c r="G11" s="18">
        <v>51671661</v>
      </c>
      <c r="H11" s="18"/>
      <c r="I11" s="18">
        <v>56860</v>
      </c>
      <c r="J11" s="18"/>
      <c r="K11" s="18"/>
      <c r="L11" s="18">
        <v>2670000</v>
      </c>
      <c r="M11" s="18"/>
      <c r="N11" s="18"/>
      <c r="O11" s="23">
        <f>Data_Kewajiban[[#This Row],[Pokok NP]]-Data_Kewajiban[[#This Row],[Setoff Pokok]]-Data_Kewajiban[[#This Row],[Pencairan Pokok]]</f>
        <v>75096479</v>
      </c>
      <c r="P11" s="23">
        <f>Data_Kewajiban[[#This Row],[Bunga/Margin NP]]-Data_Kewajiban[[#This Row],[Setoff Bunga/Margin]]-Data_Kewajiban[[#This Row],[Pencairan Bunga/Margin]]</f>
        <v>51671661</v>
      </c>
      <c r="Q11" s="23">
        <f>Data_Kewajiban[[#This Row],[Denda NP]]-Data_Kewajiban[[#This Row],[Setoff Denda]]-Data_Kewajiban[[#This Row],[Pencairan Denda]]</f>
        <v>0</v>
      </c>
      <c r="R11" s="23">
        <f>SUM(Data_Kewajiban[[#This Row],[Sisa Pokok]:[Sisa Denda]])</f>
        <v>126768140</v>
      </c>
    </row>
    <row r="12" spans="1:18" x14ac:dyDescent="0.3">
      <c r="A12" s="12">
        <v>4</v>
      </c>
      <c r="B12" s="12" t="s">
        <v>58</v>
      </c>
      <c r="C12" s="22" t="str">
        <f>INDEX(Data_Pegawai[Jabatan],MATCH(Data_Kewajiban[[#This Row],[Nama]],Data_Pegawai[Nama],0))</f>
        <v>Funding</v>
      </c>
      <c r="D12" s="21"/>
      <c r="E12" s="18">
        <v>1212100</v>
      </c>
      <c r="F12" s="18">
        <v>67685186</v>
      </c>
      <c r="G12" s="18">
        <v>36555414</v>
      </c>
      <c r="H12" s="18"/>
      <c r="I12" s="18">
        <v>26124</v>
      </c>
      <c r="J12" s="18"/>
      <c r="K12" s="18"/>
      <c r="L12" s="18">
        <v>0</v>
      </c>
      <c r="M12" s="18"/>
      <c r="N12" s="18"/>
      <c r="O12" s="23">
        <f>Data_Kewajiban[[#This Row],[Pokok NP]]-Data_Kewajiban[[#This Row],[Setoff Pokok]]-Data_Kewajiban[[#This Row],[Pencairan Pokok]]</f>
        <v>67659062</v>
      </c>
      <c r="P12" s="23">
        <f>Data_Kewajiban[[#This Row],[Bunga/Margin NP]]-Data_Kewajiban[[#This Row],[Setoff Bunga/Margin]]-Data_Kewajiban[[#This Row],[Pencairan Bunga/Margin]]</f>
        <v>36555414</v>
      </c>
      <c r="Q12" s="23">
        <f>Data_Kewajiban[[#This Row],[Denda NP]]-Data_Kewajiban[[#This Row],[Setoff Denda]]-Data_Kewajiban[[#This Row],[Pencairan Denda]]</f>
        <v>0</v>
      </c>
      <c r="R12" s="23">
        <f>SUM(Data_Kewajiban[[#This Row],[Sisa Pokok]:[Sisa Denda]])</f>
        <v>104214476</v>
      </c>
    </row>
    <row r="13" spans="1:18" x14ac:dyDescent="0.3">
      <c r="A13" s="12">
        <v>5</v>
      </c>
      <c r="B13" s="12" t="s">
        <v>59</v>
      </c>
      <c r="C13" s="22" t="str">
        <f>INDEX(Data_Pegawai[Jabatan],MATCH(Data_Kewajiban[[#This Row],[Nama]],Data_Pegawai[Nama],0))</f>
        <v>A/O Loan</v>
      </c>
      <c r="D13" s="21"/>
      <c r="E13" s="18">
        <v>1067000</v>
      </c>
      <c r="F13" s="18">
        <v>52130657</v>
      </c>
      <c r="G13" s="18">
        <v>36430343</v>
      </c>
      <c r="H13" s="18"/>
      <c r="I13" s="18">
        <v>19492</v>
      </c>
      <c r="J13" s="18"/>
      <c r="K13" s="18"/>
      <c r="L13" s="18">
        <v>12804000</v>
      </c>
      <c r="M13" s="18"/>
      <c r="N13" s="18"/>
      <c r="O13" s="23">
        <f>Data_Kewajiban[[#This Row],[Pokok NP]]-Data_Kewajiban[[#This Row],[Setoff Pokok]]-Data_Kewajiban[[#This Row],[Pencairan Pokok]]</f>
        <v>39307165</v>
      </c>
      <c r="P13" s="23">
        <f>Data_Kewajiban[[#This Row],[Bunga/Margin NP]]-Data_Kewajiban[[#This Row],[Setoff Bunga/Margin]]-Data_Kewajiban[[#This Row],[Pencairan Bunga/Margin]]</f>
        <v>36430343</v>
      </c>
      <c r="Q13" s="23">
        <f>Data_Kewajiban[[#This Row],[Denda NP]]-Data_Kewajiban[[#This Row],[Setoff Denda]]-Data_Kewajiban[[#This Row],[Pencairan Denda]]</f>
        <v>0</v>
      </c>
      <c r="R13" s="23">
        <f>SUM(Data_Kewajiban[[#This Row],[Sisa Pokok]:[Sisa Denda]])</f>
        <v>75737508</v>
      </c>
    </row>
    <row r="14" spans="1:18" x14ac:dyDescent="0.3">
      <c r="A14" s="12">
        <v>6</v>
      </c>
      <c r="B14" s="12" t="s">
        <v>60</v>
      </c>
      <c r="C14" s="22" t="str">
        <f>INDEX(Data_Pegawai[Jabatan],MATCH(Data_Kewajiban[[#This Row],[Nama]],Data_Pegawai[Nama],0))</f>
        <v>ADM Pelaporan</v>
      </c>
      <c r="D14" s="21"/>
      <c r="E14" s="18">
        <v>1133400</v>
      </c>
      <c r="F14" s="18">
        <v>60349474</v>
      </c>
      <c r="G14" s="18">
        <v>41656526</v>
      </c>
      <c r="H14" s="18"/>
      <c r="I14" s="18">
        <v>74846</v>
      </c>
      <c r="J14" s="18"/>
      <c r="K14" s="18"/>
      <c r="L14" s="18">
        <v>9067200</v>
      </c>
      <c r="M14" s="18"/>
      <c r="N14" s="18"/>
      <c r="O14" s="23">
        <f>Data_Kewajiban[[#This Row],[Pokok NP]]-Data_Kewajiban[[#This Row],[Setoff Pokok]]-Data_Kewajiban[[#This Row],[Pencairan Pokok]]</f>
        <v>51207428</v>
      </c>
      <c r="P14" s="23">
        <f>Data_Kewajiban[[#This Row],[Bunga/Margin NP]]-Data_Kewajiban[[#This Row],[Setoff Bunga/Margin]]-Data_Kewajiban[[#This Row],[Pencairan Bunga/Margin]]</f>
        <v>41656526</v>
      </c>
      <c r="Q14" s="23">
        <f>Data_Kewajiban[[#This Row],[Denda NP]]-Data_Kewajiban[[#This Row],[Setoff Denda]]-Data_Kewajiban[[#This Row],[Pencairan Denda]]</f>
        <v>0</v>
      </c>
      <c r="R14" s="23">
        <f>SUM(Data_Kewajiban[[#This Row],[Sisa Pokok]:[Sisa Denda]])</f>
        <v>92863954</v>
      </c>
    </row>
    <row r="15" spans="1:18" x14ac:dyDescent="0.3">
      <c r="A15" s="12">
        <v>7</v>
      </c>
      <c r="B15" s="12" t="s">
        <v>61</v>
      </c>
      <c r="C15" s="22" t="str">
        <f>INDEX(Data_Pegawai[Jabatan],MATCH(Data_Kewajiban[[#This Row],[Nama]],Data_Pegawai[Nama],0))</f>
        <v>Funding</v>
      </c>
      <c r="D15" s="21"/>
      <c r="E15" s="18">
        <v>1212000</v>
      </c>
      <c r="F15" s="18">
        <v>77916667</v>
      </c>
      <c r="G15" s="18">
        <v>42071333</v>
      </c>
      <c r="H15" s="18"/>
      <c r="I15" s="18">
        <v>34768</v>
      </c>
      <c r="J15" s="18"/>
      <c r="K15" s="18"/>
      <c r="L15" s="18">
        <v>0</v>
      </c>
      <c r="M15" s="18"/>
      <c r="N15" s="18"/>
      <c r="O15" s="23">
        <f>Data_Kewajiban[[#This Row],[Pokok NP]]-Data_Kewajiban[[#This Row],[Setoff Pokok]]-Data_Kewajiban[[#This Row],[Pencairan Pokok]]</f>
        <v>77881899</v>
      </c>
      <c r="P15" s="23">
        <f>Data_Kewajiban[[#This Row],[Bunga/Margin NP]]-Data_Kewajiban[[#This Row],[Setoff Bunga/Margin]]-Data_Kewajiban[[#This Row],[Pencairan Bunga/Margin]]</f>
        <v>42071333</v>
      </c>
      <c r="Q15" s="23">
        <f>Data_Kewajiban[[#This Row],[Denda NP]]-Data_Kewajiban[[#This Row],[Setoff Denda]]-Data_Kewajiban[[#This Row],[Pencairan Denda]]</f>
        <v>0</v>
      </c>
      <c r="R15" s="23">
        <f>SUM(Data_Kewajiban[[#This Row],[Sisa Pokok]:[Sisa Denda]])</f>
        <v>119953232</v>
      </c>
    </row>
    <row r="16" spans="1:18" x14ac:dyDescent="0.3">
      <c r="A16" s="12">
        <v>8</v>
      </c>
      <c r="B16" s="12" t="s">
        <v>62</v>
      </c>
      <c r="C16" s="22" t="str">
        <f>INDEX(Data_Pegawai[Jabatan],MATCH(Data_Kewajiban[[#This Row],[Nama]],Data_Pegawai[Nama],0))</f>
        <v>ADM Pembiayaan</v>
      </c>
      <c r="D16" s="21"/>
      <c r="E16" s="18">
        <v>925000</v>
      </c>
      <c r="F16" s="18">
        <v>26975000</v>
      </c>
      <c r="G16" s="18">
        <v>16500000</v>
      </c>
      <c r="H16" s="18"/>
      <c r="I16" s="18">
        <v>27366</v>
      </c>
      <c r="J16" s="18"/>
      <c r="K16" s="18"/>
      <c r="L16" s="18">
        <v>2775000</v>
      </c>
      <c r="M16" s="18"/>
      <c r="N16" s="18"/>
      <c r="O16" s="23">
        <f>Data_Kewajiban[[#This Row],[Pokok NP]]-Data_Kewajiban[[#This Row],[Setoff Pokok]]-Data_Kewajiban[[#This Row],[Pencairan Pokok]]</f>
        <v>24172634</v>
      </c>
      <c r="P16" s="23">
        <f>Data_Kewajiban[[#This Row],[Bunga/Margin NP]]-Data_Kewajiban[[#This Row],[Setoff Bunga/Margin]]-Data_Kewajiban[[#This Row],[Pencairan Bunga/Margin]]</f>
        <v>16500000</v>
      </c>
      <c r="Q16" s="23">
        <f>Data_Kewajiban[[#This Row],[Denda NP]]-Data_Kewajiban[[#This Row],[Setoff Denda]]-Data_Kewajiban[[#This Row],[Pencairan Denda]]</f>
        <v>0</v>
      </c>
      <c r="R16" s="23">
        <f>SUM(Data_Kewajiban[[#This Row],[Sisa Pokok]:[Sisa Denda]])</f>
        <v>40672634</v>
      </c>
    </row>
    <row r="17" spans="1:18" x14ac:dyDescent="0.3">
      <c r="A17" s="12">
        <v>9</v>
      </c>
      <c r="B17" s="12" t="s">
        <v>63</v>
      </c>
      <c r="C17" s="22" t="str">
        <f>INDEX(Data_Pegawai[Jabatan],MATCH(Data_Kewajiban[[#This Row],[Nama]],Data_Pegawai[Nama],0))</f>
        <v>Teller</v>
      </c>
      <c r="D17" s="21"/>
      <c r="E17" s="18">
        <v>771000</v>
      </c>
      <c r="F17" s="18">
        <v>34977839</v>
      </c>
      <c r="G17" s="18">
        <v>19763161</v>
      </c>
      <c r="H17" s="18"/>
      <c r="I17" s="18">
        <v>106040</v>
      </c>
      <c r="J17" s="18"/>
      <c r="K17" s="18"/>
      <c r="L17" s="18">
        <v>1542000</v>
      </c>
      <c r="M17" s="18"/>
      <c r="N17" s="18"/>
      <c r="O17" s="23">
        <f>Data_Kewajiban[[#This Row],[Pokok NP]]-Data_Kewajiban[[#This Row],[Setoff Pokok]]-Data_Kewajiban[[#This Row],[Pencairan Pokok]]</f>
        <v>33329799</v>
      </c>
      <c r="P17" s="23">
        <f>Data_Kewajiban[[#This Row],[Bunga/Margin NP]]-Data_Kewajiban[[#This Row],[Setoff Bunga/Margin]]-Data_Kewajiban[[#This Row],[Pencairan Bunga/Margin]]</f>
        <v>19763161</v>
      </c>
      <c r="Q17" s="23">
        <f>Data_Kewajiban[[#This Row],[Denda NP]]-Data_Kewajiban[[#This Row],[Setoff Denda]]-Data_Kewajiban[[#This Row],[Pencairan Denda]]</f>
        <v>0</v>
      </c>
      <c r="R17" s="23">
        <f>SUM(Data_Kewajiban[[#This Row],[Sisa Pokok]:[Sisa Denda]])</f>
        <v>53092960</v>
      </c>
    </row>
    <row r="18" spans="1:18" x14ac:dyDescent="0.3">
      <c r="A18" s="12">
        <v>10</v>
      </c>
      <c r="B18" s="12" t="s">
        <v>64</v>
      </c>
      <c r="C18" s="22" t="str">
        <f>INDEX(Data_Pegawai[Jabatan],MATCH(Data_Kewajiban[[#This Row],[Nama]],Data_Pegawai[Nama],0))</f>
        <v>A/O Loan</v>
      </c>
      <c r="D18" s="21"/>
      <c r="E18" s="18">
        <v>567000</v>
      </c>
      <c r="F18" s="18">
        <v>24999996</v>
      </c>
      <c r="G18" s="18">
        <v>9020004</v>
      </c>
      <c r="H18" s="18"/>
      <c r="I18" s="18">
        <v>689949</v>
      </c>
      <c r="J18" s="18"/>
      <c r="K18" s="18"/>
      <c r="L18" s="18">
        <v>0</v>
      </c>
      <c r="M18" s="18"/>
      <c r="N18" s="18"/>
      <c r="O18" s="23">
        <f>Data_Kewajiban[[#This Row],[Pokok NP]]-Data_Kewajiban[[#This Row],[Setoff Pokok]]-Data_Kewajiban[[#This Row],[Pencairan Pokok]]</f>
        <v>24310047</v>
      </c>
      <c r="P18" s="23">
        <f>Data_Kewajiban[[#This Row],[Bunga/Margin NP]]-Data_Kewajiban[[#This Row],[Setoff Bunga/Margin]]-Data_Kewajiban[[#This Row],[Pencairan Bunga/Margin]]</f>
        <v>9020004</v>
      </c>
      <c r="Q18" s="23">
        <f>Data_Kewajiban[[#This Row],[Denda NP]]-Data_Kewajiban[[#This Row],[Setoff Denda]]-Data_Kewajiban[[#This Row],[Pencairan Denda]]</f>
        <v>0</v>
      </c>
      <c r="R18" s="23">
        <f>SUM(Data_Kewajiban[[#This Row],[Sisa Pokok]:[Sisa Denda]])</f>
        <v>33330051</v>
      </c>
    </row>
    <row r="19" spans="1:18" x14ac:dyDescent="0.3">
      <c r="A19" s="12">
        <v>11</v>
      </c>
      <c r="B19" s="12" t="s">
        <v>65</v>
      </c>
      <c r="C19" s="22" t="str">
        <f>INDEX(Data_Pegawai[Jabatan],MATCH(Data_Kewajiban[[#This Row],[Nama]],Data_Pegawai[Nama],0))</f>
        <v>ADM Pembiayaan</v>
      </c>
      <c r="D19" s="21"/>
      <c r="E19" s="18">
        <v>0</v>
      </c>
      <c r="F19" s="18">
        <v>0</v>
      </c>
      <c r="G19" s="18">
        <v>0</v>
      </c>
      <c r="H19" s="18"/>
      <c r="I19" s="18">
        <v>0</v>
      </c>
      <c r="J19" s="18"/>
      <c r="K19" s="18"/>
      <c r="L19" s="18">
        <v>0</v>
      </c>
      <c r="M19" s="18"/>
      <c r="N19" s="18"/>
      <c r="O19" s="23">
        <f>Data_Kewajiban[[#This Row],[Pokok NP]]-Data_Kewajiban[[#This Row],[Setoff Pokok]]-Data_Kewajiban[[#This Row],[Pencairan Pokok]]</f>
        <v>0</v>
      </c>
      <c r="P19" s="23">
        <f>Data_Kewajiban[[#This Row],[Bunga/Margin NP]]-Data_Kewajiban[[#This Row],[Setoff Bunga/Margin]]-Data_Kewajiban[[#This Row],[Pencairan Bunga/Margin]]</f>
        <v>0</v>
      </c>
      <c r="Q19" s="23">
        <f>Data_Kewajiban[[#This Row],[Denda NP]]-Data_Kewajiban[[#This Row],[Setoff Denda]]-Data_Kewajiban[[#This Row],[Pencairan Denda]]</f>
        <v>0</v>
      </c>
      <c r="R19" s="23">
        <f>SUM(Data_Kewajiban[[#This Row],[Sisa Pokok]:[Sisa Denda]])</f>
        <v>0</v>
      </c>
    </row>
    <row r="20" spans="1:18" x14ac:dyDescent="0.3">
      <c r="A20" s="12">
        <v>12</v>
      </c>
      <c r="B20" s="12" t="s">
        <v>66</v>
      </c>
      <c r="C20" s="22" t="str">
        <f>INDEX(Data_Pegawai[Jabatan],MATCH(Data_Kewajiban[[#This Row],[Nama]],Data_Pegawai[Nama],0))</f>
        <v>Bag.Umum</v>
      </c>
      <c r="D20" s="21"/>
      <c r="E20" s="18">
        <v>0</v>
      </c>
      <c r="F20" s="18">
        <v>0</v>
      </c>
      <c r="G20" s="18">
        <v>0</v>
      </c>
      <c r="H20" s="18"/>
      <c r="I20" s="18">
        <v>0</v>
      </c>
      <c r="J20" s="18"/>
      <c r="K20" s="18"/>
      <c r="L20" s="18">
        <v>0</v>
      </c>
      <c r="M20" s="18"/>
      <c r="N20" s="18"/>
      <c r="O20" s="23">
        <f>Data_Kewajiban[[#This Row],[Pokok NP]]-Data_Kewajiban[[#This Row],[Setoff Pokok]]-Data_Kewajiban[[#This Row],[Pencairan Pokok]]</f>
        <v>0</v>
      </c>
      <c r="P20" s="23">
        <f>Data_Kewajiban[[#This Row],[Bunga/Margin NP]]-Data_Kewajiban[[#This Row],[Setoff Bunga/Margin]]-Data_Kewajiban[[#This Row],[Pencairan Bunga/Margin]]</f>
        <v>0</v>
      </c>
      <c r="Q20" s="23">
        <f>Data_Kewajiban[[#This Row],[Denda NP]]-Data_Kewajiban[[#This Row],[Setoff Denda]]-Data_Kewajiban[[#This Row],[Pencairan Denda]]</f>
        <v>0</v>
      </c>
      <c r="R20" s="23">
        <f>SUM(Data_Kewajiban[[#This Row],[Sisa Pokok]:[Sisa Denda]])</f>
        <v>0</v>
      </c>
    </row>
    <row r="21" spans="1:18" x14ac:dyDescent="0.3">
      <c r="A21" s="12">
        <v>13</v>
      </c>
      <c r="B21" s="12" t="s">
        <v>67</v>
      </c>
      <c r="C21" s="22" t="str">
        <f>INDEX(Data_Pegawai[Jabatan],MATCH(Data_Kewajiban[[#This Row],[Nama]],Data_Pegawai[Nama],0))</f>
        <v>Satpam</v>
      </c>
      <c r="D21" s="21"/>
      <c r="E21" s="18">
        <v>0</v>
      </c>
      <c r="F21" s="18">
        <v>0</v>
      </c>
      <c r="G21" s="18">
        <v>0</v>
      </c>
      <c r="H21" s="18"/>
      <c r="I21" s="18">
        <v>0</v>
      </c>
      <c r="J21" s="18"/>
      <c r="K21" s="18"/>
      <c r="L21" s="18">
        <v>0</v>
      </c>
      <c r="M21" s="18"/>
      <c r="N21" s="18"/>
      <c r="O21" s="23">
        <f>Data_Kewajiban[[#This Row],[Pokok NP]]-Data_Kewajiban[[#This Row],[Setoff Pokok]]-Data_Kewajiban[[#This Row],[Pencairan Pokok]]</f>
        <v>0</v>
      </c>
      <c r="P21" s="23">
        <f>Data_Kewajiban[[#This Row],[Bunga/Margin NP]]-Data_Kewajiban[[#This Row],[Setoff Bunga/Margin]]-Data_Kewajiban[[#This Row],[Pencairan Bunga/Margin]]</f>
        <v>0</v>
      </c>
      <c r="Q21" s="23">
        <f>Data_Kewajiban[[#This Row],[Denda NP]]-Data_Kewajiban[[#This Row],[Setoff Denda]]-Data_Kewajiban[[#This Row],[Pencairan Denda]]</f>
        <v>0</v>
      </c>
      <c r="R21" s="23">
        <f>SUM(Data_Kewajiban[[#This Row],[Sisa Pokok]:[Sisa Denda]])</f>
        <v>0</v>
      </c>
    </row>
    <row r="22" spans="1:18" x14ac:dyDescent="0.3">
      <c r="A22" s="12">
        <v>14</v>
      </c>
      <c r="B22" s="16"/>
      <c r="C22" s="29" t="e">
        <f>INDEX(Data_Pegawai[Jabatan],MATCH(Data_Kewajiban[[#This Row],[Nama]],Data_Pegawai[Nama],0))</f>
        <v>#N/A</v>
      </c>
      <c r="D22" s="21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>
        <f>Data_Kewajiban[[#This Row],[Pokok NP]]-Data_Kewajiban[[#This Row],[Setoff Pokok]]-Data_Kewajiban[[#This Row],[Pencairan Pokok]]</f>
        <v>0</v>
      </c>
      <c r="P22" s="23">
        <f>Data_Kewajiban[[#This Row],[Bunga/Margin NP]]-Data_Kewajiban[[#This Row],[Setoff Bunga/Margin]]-Data_Kewajiban[[#This Row],[Pencairan Bunga/Margin]]</f>
        <v>0</v>
      </c>
      <c r="Q22" s="23">
        <f>Data_Kewajiban[[#This Row],[Denda NP]]-Data_Kewajiban[[#This Row],[Setoff Denda]]-Data_Kewajiban[[#This Row],[Pencairan Denda]]</f>
        <v>0</v>
      </c>
      <c r="R22" s="23">
        <f>SUM(Data_Kewajiban[[#This Row],[Sisa Pokok]:[Sisa Denda]])</f>
        <v>0</v>
      </c>
    </row>
    <row r="23" spans="1:18" x14ac:dyDescent="0.3">
      <c r="A23" s="12">
        <v>15</v>
      </c>
      <c r="B23" s="16"/>
      <c r="C23" s="29" t="e">
        <f>INDEX(Data_Pegawai[Jabatan],MATCH(Data_Kewajiban[[#This Row],[Nama]],Data_Pegawai[Nama],0))</f>
        <v>#N/A</v>
      </c>
      <c r="D23" s="21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>
        <f>Data_Kewajiban[[#This Row],[Pokok NP]]-Data_Kewajiban[[#This Row],[Setoff Pokok]]-Data_Kewajiban[[#This Row],[Pencairan Pokok]]</f>
        <v>0</v>
      </c>
      <c r="P23" s="23">
        <f>Data_Kewajiban[[#This Row],[Bunga/Margin NP]]-Data_Kewajiban[[#This Row],[Setoff Bunga/Margin]]-Data_Kewajiban[[#This Row],[Pencairan Bunga/Margin]]</f>
        <v>0</v>
      </c>
      <c r="Q23" s="23">
        <f>Data_Kewajiban[[#This Row],[Denda NP]]-Data_Kewajiban[[#This Row],[Setoff Denda]]-Data_Kewajiban[[#This Row],[Pencairan Denda]]</f>
        <v>0</v>
      </c>
      <c r="R23" s="23">
        <f>SUM(Data_Kewajiban[[#This Row],[Sisa Pokok]:[Sisa Denda]])</f>
        <v>0</v>
      </c>
    </row>
    <row r="24" spans="1:18" x14ac:dyDescent="0.3">
      <c r="A24" s="12">
        <v>16</v>
      </c>
      <c r="B24" s="16"/>
      <c r="C24" s="29" t="e">
        <f>INDEX(Data_Pegawai[Jabatan],MATCH(Data_Kewajiban[[#This Row],[Nama]],Data_Pegawai[Nama],0))</f>
        <v>#N/A</v>
      </c>
      <c r="D24" s="21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>
        <f>Data_Kewajiban[[#This Row],[Pokok NP]]-Data_Kewajiban[[#This Row],[Setoff Pokok]]-Data_Kewajiban[[#This Row],[Pencairan Pokok]]</f>
        <v>0</v>
      </c>
      <c r="P24" s="23">
        <f>Data_Kewajiban[[#This Row],[Bunga/Margin NP]]-Data_Kewajiban[[#This Row],[Setoff Bunga/Margin]]-Data_Kewajiban[[#This Row],[Pencairan Bunga/Margin]]</f>
        <v>0</v>
      </c>
      <c r="Q24" s="23">
        <f>Data_Kewajiban[[#This Row],[Denda NP]]-Data_Kewajiban[[#This Row],[Setoff Denda]]-Data_Kewajiban[[#This Row],[Pencairan Denda]]</f>
        <v>0</v>
      </c>
      <c r="R24" s="23">
        <f>SUM(Data_Kewajiban[[#This Row],[Sisa Pokok]:[Sisa Denda]])</f>
        <v>0</v>
      </c>
    </row>
    <row r="25" spans="1:18" x14ac:dyDescent="0.3">
      <c r="A25" s="12">
        <v>17</v>
      </c>
      <c r="B25" s="16"/>
      <c r="C25" s="29" t="e">
        <f>INDEX(Data_Pegawai[Jabatan],MATCH(Data_Kewajiban[[#This Row],[Nama]],Data_Pegawai[Nama],0))</f>
        <v>#N/A</v>
      </c>
      <c r="D25" s="21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>
        <f>Data_Kewajiban[[#This Row],[Pokok NP]]-Data_Kewajiban[[#This Row],[Setoff Pokok]]-Data_Kewajiban[[#This Row],[Pencairan Pokok]]</f>
        <v>0</v>
      </c>
      <c r="P25" s="23">
        <f>Data_Kewajiban[[#This Row],[Bunga/Margin NP]]-Data_Kewajiban[[#This Row],[Setoff Bunga/Margin]]-Data_Kewajiban[[#This Row],[Pencairan Bunga/Margin]]</f>
        <v>0</v>
      </c>
      <c r="Q25" s="23">
        <f>Data_Kewajiban[[#This Row],[Denda NP]]-Data_Kewajiban[[#This Row],[Setoff Denda]]-Data_Kewajiban[[#This Row],[Pencairan Denda]]</f>
        <v>0</v>
      </c>
      <c r="R25" s="23">
        <f>SUM(Data_Kewajiban[[#This Row],[Sisa Pokok]:[Sisa Denda]])</f>
        <v>0</v>
      </c>
    </row>
    <row r="26" spans="1:18" x14ac:dyDescent="0.3">
      <c r="A26" s="12">
        <v>18</v>
      </c>
      <c r="B26" s="16"/>
      <c r="C26" s="29" t="e">
        <f>INDEX(Data_Pegawai[Jabatan],MATCH(Data_Kewajiban[[#This Row],[Nama]],Data_Pegawai[Nama],0))</f>
        <v>#N/A</v>
      </c>
      <c r="D26" s="21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>
        <f>Data_Kewajiban[[#This Row],[Pokok NP]]-Data_Kewajiban[[#This Row],[Setoff Pokok]]-Data_Kewajiban[[#This Row],[Pencairan Pokok]]</f>
        <v>0</v>
      </c>
      <c r="P26" s="23">
        <f>Data_Kewajiban[[#This Row],[Bunga/Margin NP]]-Data_Kewajiban[[#This Row],[Setoff Bunga/Margin]]-Data_Kewajiban[[#This Row],[Pencairan Bunga/Margin]]</f>
        <v>0</v>
      </c>
      <c r="Q26" s="23">
        <f>Data_Kewajiban[[#This Row],[Denda NP]]-Data_Kewajiban[[#This Row],[Setoff Denda]]-Data_Kewajiban[[#This Row],[Pencairan Denda]]</f>
        <v>0</v>
      </c>
      <c r="R26" s="23">
        <f>SUM(Data_Kewajiban[[#This Row],[Sisa Pokok]:[Sisa Denda]])</f>
        <v>0</v>
      </c>
    </row>
    <row r="27" spans="1:18" x14ac:dyDescent="0.3">
      <c r="A27" s="12">
        <v>19</v>
      </c>
      <c r="B27" s="16"/>
      <c r="C27" s="29" t="e">
        <f>INDEX(Data_Pegawai[Jabatan],MATCH(Data_Kewajiban[[#This Row],[Nama]],Data_Pegawai[Nama],0))</f>
        <v>#N/A</v>
      </c>
      <c r="D27" s="21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>
        <f>Data_Kewajiban[[#This Row],[Pokok NP]]-Data_Kewajiban[[#This Row],[Setoff Pokok]]-Data_Kewajiban[[#This Row],[Pencairan Pokok]]</f>
        <v>0</v>
      </c>
      <c r="P27" s="23">
        <f>Data_Kewajiban[[#This Row],[Bunga/Margin NP]]-Data_Kewajiban[[#This Row],[Setoff Bunga/Margin]]-Data_Kewajiban[[#This Row],[Pencairan Bunga/Margin]]</f>
        <v>0</v>
      </c>
      <c r="Q27" s="23">
        <f>Data_Kewajiban[[#This Row],[Denda NP]]-Data_Kewajiban[[#This Row],[Setoff Denda]]-Data_Kewajiban[[#This Row],[Pencairan Denda]]</f>
        <v>0</v>
      </c>
      <c r="R27" s="23">
        <f>SUM(Data_Kewajiban[[#This Row],[Sisa Pokok]:[Sisa Denda]])</f>
        <v>0</v>
      </c>
    </row>
    <row r="28" spans="1:18" x14ac:dyDescent="0.3">
      <c r="A28" s="12">
        <v>20</v>
      </c>
      <c r="B28" s="16"/>
      <c r="C28" s="29" t="e">
        <f>INDEX(Data_Pegawai[Jabatan],MATCH(Data_Kewajiban[[#This Row],[Nama]],Data_Pegawai[Nama],0))</f>
        <v>#N/A</v>
      </c>
      <c r="D28" s="21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>
        <f>Data_Kewajiban[[#This Row],[Pokok NP]]-Data_Kewajiban[[#This Row],[Setoff Pokok]]-Data_Kewajiban[[#This Row],[Pencairan Pokok]]</f>
        <v>0</v>
      </c>
      <c r="P28" s="23">
        <f>Data_Kewajiban[[#This Row],[Bunga/Margin NP]]-Data_Kewajiban[[#This Row],[Setoff Bunga/Margin]]-Data_Kewajiban[[#This Row],[Pencairan Bunga/Margin]]</f>
        <v>0</v>
      </c>
      <c r="Q28" s="23">
        <f>Data_Kewajiban[[#This Row],[Denda NP]]-Data_Kewajiban[[#This Row],[Setoff Denda]]-Data_Kewajiban[[#This Row],[Pencairan Denda]]</f>
        <v>0</v>
      </c>
      <c r="R28" s="23">
        <f>SUM(Data_Kewajiban[[#This Row],[Sisa Pokok]:[Sisa Denda]])</f>
        <v>0</v>
      </c>
    </row>
    <row r="29" spans="1:18" x14ac:dyDescent="0.3">
      <c r="A29" s="5" t="s">
        <v>29</v>
      </c>
      <c r="B29" s="6">
        <f>SUBTOTAL(103,Data_Kewajiban[Nama])</f>
        <v>13</v>
      </c>
      <c r="C29" s="5"/>
      <c r="D29" s="5"/>
      <c r="E29" s="9">
        <f>SUBTOTAL(109,Data_Kewajiban[Angsuran Sesuai PK])</f>
        <v>9918300</v>
      </c>
      <c r="F29" s="9">
        <f>SUBTOTAL(109,Data_Kewajiban[Pokok NP])</f>
        <v>478041770</v>
      </c>
      <c r="G29" s="9">
        <f>SUBTOTAL(109,Data_Kewajiban[Bunga/Margin NP])</f>
        <v>286666430</v>
      </c>
      <c r="H29" s="9">
        <f>SUBTOTAL(109,Data_Kewajiban[Denda NP])</f>
        <v>0</v>
      </c>
      <c r="I29" s="9">
        <f>SUBTOTAL(109,Data_Kewajiban[Setoff Pokok])</f>
        <v>1095420</v>
      </c>
      <c r="J29" s="9">
        <f>SUBTOTAL(109,Data_Kewajiban[Setoff Bunga/Margin])</f>
        <v>0</v>
      </c>
      <c r="K29" s="9">
        <f>SUBTOTAL(109,Data_Kewajiban[Setoff Denda])</f>
        <v>0</v>
      </c>
      <c r="L29" s="9">
        <f>SUBTOTAL(109,Data_Kewajiban[Pencairan Pokok])</f>
        <v>33945600</v>
      </c>
      <c r="M29" s="9">
        <f>SUBTOTAL(109,Data_Kewajiban[Pencairan Bunga/Margin])</f>
        <v>0</v>
      </c>
      <c r="N29" s="9">
        <f>SUBTOTAL(109,Data_Kewajiban[Pencairan Denda])</f>
        <v>0</v>
      </c>
      <c r="O29" s="9">
        <f>SUBTOTAL(109,Data_Kewajiban[Sisa Pokok])</f>
        <v>443000750</v>
      </c>
      <c r="P29" s="9">
        <f>SUBTOTAL(109,Data_Kewajiban[Sisa Bunga/Margin])</f>
        <v>286666430</v>
      </c>
      <c r="Q29" s="9">
        <f>SUBTOTAL(109,Data_Kewajiban[Sisa Denda])</f>
        <v>0</v>
      </c>
      <c r="R29" s="9">
        <f>SUBTOTAL(109,Data_Kewajiban[Sisa Kewajiban sebelum Pesangon])</f>
        <v>729667180</v>
      </c>
    </row>
    <row r="31" spans="1:18" x14ac:dyDescent="0.3">
      <c r="A31" s="20" t="s">
        <v>52</v>
      </c>
    </row>
    <row r="32" spans="1:18" x14ac:dyDescent="0.3">
      <c r="A32" s="19"/>
      <c r="B32" s="1" t="s">
        <v>51</v>
      </c>
    </row>
  </sheetData>
  <sheetProtection formatColumns="0" formatRows="0" insertRows="0" deleteRows="0"/>
  <mergeCells count="8">
    <mergeCell ref="F7:H7"/>
    <mergeCell ref="L7:N7"/>
    <mergeCell ref="O7:R7"/>
    <mergeCell ref="I7:K7"/>
    <mergeCell ref="A2:R2"/>
    <mergeCell ref="A3:R3"/>
    <mergeCell ref="A4:R4"/>
    <mergeCell ref="A5:R5"/>
  </mergeCells>
  <pageMargins left="0.7" right="0.7" top="0.75" bottom="0.75" header="0.3" footer="0.3"/>
  <pageSetup paperSize="9" scale="42" fitToHeight="0" orientation="landscape" r:id="rId1"/>
  <customProperties>
    <customPr name="EpmWorksheetKeyString_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1D9599-68DE-4CC2-B51B-D24C743E616F}"/>
</file>

<file path=customXml/itemProps2.xml><?xml version="1.0" encoding="utf-8"?>
<ds:datastoreItem xmlns:ds="http://schemas.openxmlformats.org/officeDocument/2006/customXml" ds:itemID="{58C782E9-BB40-47CF-A505-FA032BC0B313}"/>
</file>

<file path=customXml/itemProps3.xml><?xml version="1.0" encoding="utf-8"?>
<ds:datastoreItem xmlns:ds="http://schemas.openxmlformats.org/officeDocument/2006/customXml" ds:itemID="{96C9D287-AE54-42D5-BD81-AAEEC9139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Perhitungan Pesangon</vt:lpstr>
      <vt:lpstr>2. Historis Gaji Pokok</vt:lpstr>
      <vt:lpstr>3. Historis Tunjangan 1</vt:lpstr>
      <vt:lpstr>4. Historis Tunjangan 2</vt:lpstr>
      <vt:lpstr>5. Historis Tunjangan 3</vt:lpstr>
      <vt:lpstr>6. Historis Tunjangan 4</vt:lpstr>
      <vt:lpstr>7. Kewajiban Pegawai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Kahfiendra Nugrahsatya</dc:creator>
  <cp:lastModifiedBy>Kahfiendra Nugrahsatya</cp:lastModifiedBy>
  <cp:lastPrinted>2021-03-12T05:18:14Z</cp:lastPrinted>
  <dcterms:created xsi:type="dcterms:W3CDTF">2021-03-03T04:39:17Z</dcterms:created>
  <dcterms:modified xsi:type="dcterms:W3CDTF">2021-06-07T04:34:42Z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
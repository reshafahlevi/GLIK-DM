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xl/tables/table1.xml" ContentType="application/vnd.openxmlformats-officedocument.spreadsheetml.table+xml"/>
  <Override PartName="/xl/customProperty3.bin" ContentType="application/vnd.openxmlformats-officedocument.spreadsheetml.customProperty"/>
  <Override PartName="/xl/customProperty2.bin" ContentType="application/vnd.openxmlformats-officedocument.spreadsheetml.customProperty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ahfiendra.n\Documents\1. Work - GLIK\2. Divisi Pengawasan\1-1. PT BPRS Hareukat (DL)\3. Laporan Bulanan\Perhitungan Upaya\7. Final\"/>
    </mc:Choice>
  </mc:AlternateContent>
  <xr:revisionPtr revIDLastSave="0" documentId="13_ncr:1_{9616364D-809E-4E02-B446-577614B55E09}" xr6:coauthVersionLast="36" xr6:coauthVersionMax="36" xr10:uidLastSave="{00000000-0000-0000-0000-000000000000}"/>
  <workbookProtection workbookAlgorithmName="SHA-512" workbookHashValue="6xJLBNrxnYY8MWLclmDtgj4Pk3Lt/tf+hn29H94SbxwIL3AuunLAG4N5oowYbt2mz42USGqrdGHTRQn8Ov2wKg==" workbookSaltValue="3UE64IODE1UR/Kei464hqw==" workbookSpinCount="100000" lockStructure="1"/>
  <bookViews>
    <workbookView xWindow="0" yWindow="0" windowWidth="23040" windowHeight="9060" activeTab="2" xr2:uid="{00000000-000D-0000-FFFF-FFFF00000000}"/>
  </bookViews>
  <sheets>
    <sheet name="Upaya Debitur" sheetId="1" r:id="rId1"/>
    <sheet name="Upaya Agunan" sheetId="3" r:id="rId2"/>
    <sheet name="Summary" sheetId="6" r:id="rId3"/>
  </sheets>
  <definedNames>
    <definedName name="_xlnm.Print_Titles" localSheetId="1">'Upaya Agunan'!$11:$11</definedName>
    <definedName name="_xlnm.Print_Titles" localSheetId="0">'Upaya Debitur'!$18:$18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3" l="1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BS226" i="1"/>
  <c r="BS227" i="1"/>
  <c r="BS228" i="1"/>
  <c r="BS229" i="1"/>
  <c r="BS230" i="1"/>
  <c r="BS231" i="1"/>
  <c r="BS232" i="1"/>
  <c r="BS233" i="1"/>
  <c r="BS234" i="1"/>
  <c r="BS235" i="1"/>
  <c r="BS236" i="1"/>
  <c r="BS237" i="1"/>
  <c r="BS238" i="1"/>
  <c r="BS239" i="1"/>
  <c r="BS240" i="1"/>
  <c r="BS241" i="1"/>
  <c r="BS242" i="1"/>
  <c r="BS243" i="1"/>
  <c r="BS244" i="1"/>
  <c r="BS245" i="1"/>
  <c r="BS246" i="1"/>
  <c r="BS247" i="1"/>
  <c r="BS248" i="1"/>
  <c r="BS249" i="1"/>
  <c r="BS250" i="1"/>
  <c r="BS25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176" i="1"/>
  <c r="BT177" i="1"/>
  <c r="BT178" i="1"/>
  <c r="BT179" i="1"/>
  <c r="BT180" i="1"/>
  <c r="BT181" i="1"/>
  <c r="BT182" i="1"/>
  <c r="BT183" i="1"/>
  <c r="BT184" i="1"/>
  <c r="BT185" i="1"/>
  <c r="BT186" i="1"/>
  <c r="BT187" i="1"/>
  <c r="BT188" i="1"/>
  <c r="BT189" i="1"/>
  <c r="BT190" i="1"/>
  <c r="BT191" i="1"/>
  <c r="BT192" i="1"/>
  <c r="BT193" i="1"/>
  <c r="BT194" i="1"/>
  <c r="BT195" i="1"/>
  <c r="BT196" i="1"/>
  <c r="BT197" i="1"/>
  <c r="BT198" i="1"/>
  <c r="BT199" i="1"/>
  <c r="BT200" i="1"/>
  <c r="BT201" i="1"/>
  <c r="BT202" i="1"/>
  <c r="BT203" i="1"/>
  <c r="BT204" i="1"/>
  <c r="BT205" i="1"/>
  <c r="BT206" i="1"/>
  <c r="BT207" i="1"/>
  <c r="BT208" i="1"/>
  <c r="BT209" i="1"/>
  <c r="BT210" i="1"/>
  <c r="BT211" i="1"/>
  <c r="BT212" i="1"/>
  <c r="BT213" i="1"/>
  <c r="BT214" i="1"/>
  <c r="BT215" i="1"/>
  <c r="BT216" i="1"/>
  <c r="BT217" i="1"/>
  <c r="BT218" i="1"/>
  <c r="BT219" i="1"/>
  <c r="BT220" i="1"/>
  <c r="BT221" i="1"/>
  <c r="BT222" i="1"/>
  <c r="BT223" i="1"/>
  <c r="BT224" i="1"/>
  <c r="BT225" i="1"/>
  <c r="BT226" i="1"/>
  <c r="BT227" i="1"/>
  <c r="BT228" i="1"/>
  <c r="BT229" i="1"/>
  <c r="BT230" i="1"/>
  <c r="BT231" i="1"/>
  <c r="BT232" i="1"/>
  <c r="BT233" i="1"/>
  <c r="BT234" i="1"/>
  <c r="BT235" i="1"/>
  <c r="BT236" i="1"/>
  <c r="BT237" i="1"/>
  <c r="BT238" i="1"/>
  <c r="BT239" i="1"/>
  <c r="BT240" i="1"/>
  <c r="BT241" i="1"/>
  <c r="BT242" i="1"/>
  <c r="BT243" i="1"/>
  <c r="BT244" i="1"/>
  <c r="BT245" i="1"/>
  <c r="BT246" i="1"/>
  <c r="BT247" i="1"/>
  <c r="BT248" i="1"/>
  <c r="BT249" i="1"/>
  <c r="BT250" i="1"/>
  <c r="BT25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X185" i="1"/>
  <c r="BX186" i="1"/>
  <c r="BX187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0" i="1"/>
  <c r="BX201" i="1"/>
  <c r="BX202" i="1"/>
  <c r="BX203" i="1"/>
  <c r="BX204" i="1"/>
  <c r="BX205" i="1"/>
  <c r="BX206" i="1"/>
  <c r="BX207" i="1"/>
  <c r="BX208" i="1"/>
  <c r="BX209" i="1"/>
  <c r="BX210" i="1"/>
  <c r="BX211" i="1"/>
  <c r="BX212" i="1"/>
  <c r="BX213" i="1"/>
  <c r="BX214" i="1"/>
  <c r="BX215" i="1"/>
  <c r="BX216" i="1"/>
  <c r="BX217" i="1"/>
  <c r="BX218" i="1"/>
  <c r="BX219" i="1"/>
  <c r="BX220" i="1"/>
  <c r="BX221" i="1"/>
  <c r="BX222" i="1"/>
  <c r="BX223" i="1"/>
  <c r="BX224" i="1"/>
  <c r="BX225" i="1"/>
  <c r="BX226" i="1"/>
  <c r="BX227" i="1"/>
  <c r="BX228" i="1"/>
  <c r="BX229" i="1"/>
  <c r="BX230" i="1"/>
  <c r="BX231" i="1"/>
  <c r="BX232" i="1"/>
  <c r="BX233" i="1"/>
  <c r="BX234" i="1"/>
  <c r="BX235" i="1"/>
  <c r="BX236" i="1"/>
  <c r="BX237" i="1"/>
  <c r="BX238" i="1"/>
  <c r="BX239" i="1"/>
  <c r="BX240" i="1"/>
  <c r="BX241" i="1"/>
  <c r="BX242" i="1"/>
  <c r="BX243" i="1"/>
  <c r="BX244" i="1"/>
  <c r="BX245" i="1"/>
  <c r="BX246" i="1"/>
  <c r="BX247" i="1"/>
  <c r="BX248" i="1"/>
  <c r="BX249" i="1"/>
  <c r="BX250" i="1"/>
  <c r="BX251" i="1"/>
  <c r="T19" i="1" l="1"/>
  <c r="T20" i="1"/>
  <c r="S19" i="1"/>
  <c r="S20" i="1"/>
  <c r="J19" i="1" l="1"/>
  <c r="J20" i="1"/>
  <c r="J21" i="1"/>
  <c r="BX19" i="1" l="1"/>
  <c r="B8" i="3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R19" i="1" l="1"/>
  <c r="CR20" i="1" s="1"/>
  <c r="CR21" i="1" s="1"/>
  <c r="CR22" i="1" s="1"/>
  <c r="CR23" i="1" s="1"/>
  <c r="CR24" i="1" s="1"/>
  <c r="CR25" i="1" s="1"/>
  <c r="CR26" i="1" s="1"/>
  <c r="CR27" i="1" s="1"/>
  <c r="CR28" i="1" s="1"/>
  <c r="CR29" i="1" s="1"/>
  <c r="CR30" i="1" s="1"/>
  <c r="CR31" i="1" s="1"/>
  <c r="CR32" i="1" s="1"/>
  <c r="CR33" i="1" s="1"/>
  <c r="CR34" i="1" s="1"/>
  <c r="CR35" i="1" s="1"/>
  <c r="CR36" i="1" s="1"/>
  <c r="CR37" i="1" s="1"/>
  <c r="CR38" i="1" s="1"/>
  <c r="CR39" i="1" s="1"/>
  <c r="CR40" i="1" s="1"/>
  <c r="CR41" i="1" s="1"/>
  <c r="CR42" i="1" s="1"/>
  <c r="CR43" i="1" s="1"/>
  <c r="CR44" i="1" s="1"/>
  <c r="CR45" i="1" s="1"/>
  <c r="CR46" i="1" s="1"/>
  <c r="CR47" i="1" s="1"/>
  <c r="CR48" i="1" s="1"/>
  <c r="CR49" i="1" s="1"/>
  <c r="CR50" i="1" s="1"/>
  <c r="CR51" i="1" s="1"/>
  <c r="CR52" i="1" s="1"/>
  <c r="CR53" i="1" s="1"/>
  <c r="CR54" i="1" s="1"/>
  <c r="CR55" i="1" s="1"/>
  <c r="CR56" i="1" s="1"/>
  <c r="CR57" i="1" s="1"/>
  <c r="CR58" i="1" s="1"/>
  <c r="CR59" i="1" s="1"/>
  <c r="CR60" i="1" s="1"/>
  <c r="CR61" i="1" s="1"/>
  <c r="CR62" i="1" s="1"/>
  <c r="CR63" i="1" s="1"/>
  <c r="CR64" i="1" s="1"/>
  <c r="CR65" i="1" s="1"/>
  <c r="CR66" i="1" s="1"/>
  <c r="C16" i="6" l="1"/>
  <c r="C18" i="6"/>
  <c r="C20" i="6"/>
  <c r="C21" i="6"/>
  <c r="C15" i="6"/>
  <c r="B16" i="6"/>
  <c r="B18" i="6"/>
  <c r="B20" i="6"/>
  <c r="B21" i="6"/>
  <c r="B15" i="6"/>
  <c r="S21" i="1"/>
  <c r="T21" i="1"/>
  <c r="B6" i="6" l="1"/>
  <c r="B5" i="6"/>
  <c r="B4" i="6"/>
  <c r="B4" i="3"/>
  <c r="D18" i="6" l="1"/>
  <c r="D20" i="6"/>
  <c r="D15" i="6"/>
  <c r="D21" i="6"/>
  <c r="H21" i="1" l="1"/>
  <c r="H20" i="1"/>
  <c r="H19" i="1"/>
  <c r="B6" i="3" l="1"/>
  <c r="B5" i="3"/>
  <c r="G12" i="3"/>
  <c r="G13" i="3"/>
  <c r="G14" i="3"/>
  <c r="BX20" i="1"/>
  <c r="BX21" i="1"/>
  <c r="BT19" i="1" l="1"/>
  <c r="BT20" i="1"/>
  <c r="BT21" i="1"/>
  <c r="B7" i="1" l="1"/>
  <c r="BS19" i="1"/>
  <c r="BS20" i="1"/>
  <c r="BS21" i="1"/>
  <c r="BQ22" i="1" l="1"/>
  <c r="BR22" i="1" s="1"/>
  <c r="BQ38" i="1"/>
  <c r="BR38" i="1" s="1"/>
  <c r="F32" i="3" s="1"/>
  <c r="BQ54" i="1"/>
  <c r="BR54" i="1" s="1"/>
  <c r="F50" i="3" s="1"/>
  <c r="BQ70" i="1"/>
  <c r="BR70" i="1" s="1"/>
  <c r="F68" i="3" s="1"/>
  <c r="BQ86" i="1"/>
  <c r="BR86" i="1" s="1"/>
  <c r="F84" i="3" s="1"/>
  <c r="BQ102" i="1"/>
  <c r="BR102" i="1" s="1"/>
  <c r="F101" i="3" s="1"/>
  <c r="BQ118" i="1"/>
  <c r="BR118" i="1" s="1"/>
  <c r="F120" i="3" s="1"/>
  <c r="BQ134" i="1"/>
  <c r="BR134" i="1" s="1"/>
  <c r="F138" i="3" s="1"/>
  <c r="BQ150" i="1"/>
  <c r="BR150" i="1" s="1"/>
  <c r="F155" i="3" s="1"/>
  <c r="BQ166" i="1"/>
  <c r="BR166" i="1" s="1"/>
  <c r="F173" i="3" s="1"/>
  <c r="BQ182" i="1"/>
  <c r="BR182" i="1" s="1"/>
  <c r="F189" i="3" s="1"/>
  <c r="BQ198" i="1"/>
  <c r="BR198" i="1" s="1"/>
  <c r="F209" i="3" s="1"/>
  <c r="BQ214" i="1"/>
  <c r="BR214" i="1" s="1"/>
  <c r="F226" i="3" s="1"/>
  <c r="BQ228" i="1"/>
  <c r="BR228" i="1" s="1"/>
  <c r="F240" i="3" s="1"/>
  <c r="BQ241" i="1"/>
  <c r="BR241" i="1" s="1"/>
  <c r="F255" i="3" s="1"/>
  <c r="BU27" i="1"/>
  <c r="BU39" i="1"/>
  <c r="BU52" i="1"/>
  <c r="BU65" i="1"/>
  <c r="BU77" i="1"/>
  <c r="BV77" i="1" s="1"/>
  <c r="BU91" i="1"/>
  <c r="BV91" i="1" s="1"/>
  <c r="BU103" i="1"/>
  <c r="BU116" i="1"/>
  <c r="BU129" i="1"/>
  <c r="BV129" i="1" s="1"/>
  <c r="BU141" i="1"/>
  <c r="BU155" i="1"/>
  <c r="BV155" i="1" s="1"/>
  <c r="BU166" i="1"/>
  <c r="BU179" i="1"/>
  <c r="BV179" i="1" s="1"/>
  <c r="BU191" i="1"/>
  <c r="BU203" i="1"/>
  <c r="BV203" i="1" s="1"/>
  <c r="BU215" i="1"/>
  <c r="BU227" i="1"/>
  <c r="BU237" i="1"/>
  <c r="BV237" i="1" s="1"/>
  <c r="BU247" i="1"/>
  <c r="BV247" i="1" s="1"/>
  <c r="BQ25" i="1"/>
  <c r="BR25" i="1" s="1"/>
  <c r="F19" i="3" s="1"/>
  <c r="BQ41" i="1"/>
  <c r="BR41" i="1" s="1"/>
  <c r="F37" i="3" s="1"/>
  <c r="BQ57" i="1"/>
  <c r="BR57" i="1" s="1"/>
  <c r="F53" i="3" s="1"/>
  <c r="BQ73" i="1"/>
  <c r="BR73" i="1" s="1"/>
  <c r="F71" i="3" s="1"/>
  <c r="BQ89" i="1"/>
  <c r="BR89" i="1" s="1"/>
  <c r="F87" i="3" s="1"/>
  <c r="BQ105" i="1"/>
  <c r="BR105" i="1" s="1"/>
  <c r="F104" i="3" s="1"/>
  <c r="BQ121" i="1"/>
  <c r="BR121" i="1" s="1"/>
  <c r="F123" i="3" s="1"/>
  <c r="BQ137" i="1"/>
  <c r="BR137" i="1" s="1"/>
  <c r="F141" i="3" s="1"/>
  <c r="BQ153" i="1"/>
  <c r="BR153" i="1" s="1"/>
  <c r="F158" i="3" s="1"/>
  <c r="BQ169" i="1"/>
  <c r="BR169" i="1" s="1"/>
  <c r="F176" i="3" s="1"/>
  <c r="BQ185" i="1"/>
  <c r="BR185" i="1" s="1"/>
  <c r="F192" i="3" s="1"/>
  <c r="BQ201" i="1"/>
  <c r="BR201" i="1" s="1"/>
  <c r="BQ217" i="1"/>
  <c r="BR217" i="1" s="1"/>
  <c r="F229" i="3" s="1"/>
  <c r="BQ229" i="1"/>
  <c r="BR229" i="1" s="1"/>
  <c r="F241" i="3" s="1"/>
  <c r="BQ243" i="1"/>
  <c r="BR243" i="1" s="1"/>
  <c r="F258" i="3" s="1"/>
  <c r="BU28" i="1"/>
  <c r="BU41" i="1"/>
  <c r="BV41" i="1" s="1"/>
  <c r="BU53" i="1"/>
  <c r="BU67" i="1"/>
  <c r="BU79" i="1"/>
  <c r="BU92" i="1"/>
  <c r="BU105" i="1"/>
  <c r="BU117" i="1"/>
  <c r="BU131" i="1"/>
  <c r="BU143" i="1"/>
  <c r="BV143" i="1" s="1"/>
  <c r="BU156" i="1"/>
  <c r="BV156" i="1" s="1"/>
  <c r="BU167" i="1"/>
  <c r="BU180" i="1"/>
  <c r="BU193" i="1"/>
  <c r="BU204" i="1"/>
  <c r="BU217" i="1"/>
  <c r="BV217" i="1" s="1"/>
  <c r="BU228" i="1"/>
  <c r="BU238" i="1"/>
  <c r="BU249" i="1"/>
  <c r="BV249" i="1" s="1"/>
  <c r="BQ27" i="1"/>
  <c r="BR27" i="1" s="1"/>
  <c r="F21" i="3" s="1"/>
  <c r="BQ43" i="1"/>
  <c r="BR43" i="1" s="1"/>
  <c r="F39" i="3" s="1"/>
  <c r="BQ59" i="1"/>
  <c r="BR59" i="1" s="1"/>
  <c r="BQ75" i="1"/>
  <c r="BR75" i="1" s="1"/>
  <c r="F73" i="3" s="1"/>
  <c r="BQ91" i="1"/>
  <c r="BR91" i="1" s="1"/>
  <c r="F89" i="3" s="1"/>
  <c r="BQ107" i="1"/>
  <c r="BR107" i="1" s="1"/>
  <c r="F106" i="3" s="1"/>
  <c r="BQ123" i="1"/>
  <c r="BR123" i="1" s="1"/>
  <c r="F127" i="3" s="1"/>
  <c r="BQ139" i="1"/>
  <c r="BR139" i="1" s="1"/>
  <c r="F143" i="3" s="1"/>
  <c r="BQ155" i="1"/>
  <c r="BR155" i="1" s="1"/>
  <c r="F160" i="3" s="1"/>
  <c r="BQ171" i="1"/>
  <c r="BR171" i="1" s="1"/>
  <c r="F178" i="3" s="1"/>
  <c r="BQ187" i="1"/>
  <c r="BR187" i="1" s="1"/>
  <c r="F194" i="3" s="1"/>
  <c r="BQ203" i="1"/>
  <c r="BR203" i="1" s="1"/>
  <c r="F215" i="3" s="1"/>
  <c r="BQ219" i="1"/>
  <c r="BR219" i="1" s="1"/>
  <c r="F231" i="3" s="1"/>
  <c r="BQ230" i="1"/>
  <c r="BR230" i="1" s="1"/>
  <c r="F242" i="3" s="1"/>
  <c r="BQ244" i="1"/>
  <c r="BR244" i="1" s="1"/>
  <c r="F259" i="3" s="1"/>
  <c r="BU29" i="1"/>
  <c r="BV29" i="1" s="1"/>
  <c r="BU43" i="1"/>
  <c r="BU55" i="1"/>
  <c r="BU68" i="1"/>
  <c r="BV68" i="1" s="1"/>
  <c r="BU81" i="1"/>
  <c r="BV81" i="1" s="1"/>
  <c r="BU93" i="1"/>
  <c r="BV93" i="1" s="1"/>
  <c r="BU107" i="1"/>
  <c r="BU119" i="1"/>
  <c r="BU132" i="1"/>
  <c r="BU145" i="1"/>
  <c r="BV145" i="1" s="1"/>
  <c r="BU157" i="1"/>
  <c r="BU169" i="1"/>
  <c r="BV169" i="1" s="1"/>
  <c r="BU181" i="1"/>
  <c r="BU195" i="1"/>
  <c r="BU205" i="1"/>
  <c r="BU219" i="1"/>
  <c r="BV219" i="1" s="1"/>
  <c r="BU229" i="1"/>
  <c r="BV229" i="1" s="1"/>
  <c r="BU239" i="1"/>
  <c r="BU251" i="1"/>
  <c r="BQ28" i="1"/>
  <c r="BR28" i="1" s="1"/>
  <c r="F22" i="3" s="1"/>
  <c r="BQ44" i="1"/>
  <c r="BR44" i="1" s="1"/>
  <c r="F40" i="3" s="1"/>
  <c r="BQ60" i="1"/>
  <c r="BR60" i="1" s="1"/>
  <c r="F57" i="3" s="1"/>
  <c r="BQ76" i="1"/>
  <c r="BR76" i="1" s="1"/>
  <c r="F74" i="3" s="1"/>
  <c r="BQ92" i="1"/>
  <c r="BR92" i="1" s="1"/>
  <c r="F90" i="3" s="1"/>
  <c r="BQ108" i="1"/>
  <c r="BR108" i="1" s="1"/>
  <c r="BQ124" i="1"/>
  <c r="BR124" i="1" s="1"/>
  <c r="F128" i="3" s="1"/>
  <c r="BQ140" i="1"/>
  <c r="BR140" i="1" s="1"/>
  <c r="F144" i="3" s="1"/>
  <c r="BQ156" i="1"/>
  <c r="BR156" i="1" s="1"/>
  <c r="F161" i="3" s="1"/>
  <c r="BQ172" i="1"/>
  <c r="BR172" i="1" s="1"/>
  <c r="F179" i="3" s="1"/>
  <c r="BQ188" i="1"/>
  <c r="BR188" i="1" s="1"/>
  <c r="BQ204" i="1"/>
  <c r="BR204" i="1" s="1"/>
  <c r="F216" i="3" s="1"/>
  <c r="BQ220" i="1"/>
  <c r="BR220" i="1" s="1"/>
  <c r="F232" i="3" s="1"/>
  <c r="BQ233" i="1"/>
  <c r="BR233" i="1" s="1"/>
  <c r="F245" i="3" s="1"/>
  <c r="BQ245" i="1"/>
  <c r="BR245" i="1" s="1"/>
  <c r="F260" i="3" s="1"/>
  <c r="BU31" i="1"/>
  <c r="BV31" i="1" s="1"/>
  <c r="BU44" i="1"/>
  <c r="BU57" i="1"/>
  <c r="BU69" i="1"/>
  <c r="BU83" i="1"/>
  <c r="BU95" i="1"/>
  <c r="BU108" i="1"/>
  <c r="BU121" i="1"/>
  <c r="BV121" i="1" s="1"/>
  <c r="BU133" i="1"/>
  <c r="BU147" i="1"/>
  <c r="BU159" i="1"/>
  <c r="BQ30" i="1"/>
  <c r="BR30" i="1" s="1"/>
  <c r="F24" i="3" s="1"/>
  <c r="BQ46" i="1"/>
  <c r="BR46" i="1" s="1"/>
  <c r="F42" i="3" s="1"/>
  <c r="BQ62" i="1"/>
  <c r="BR62" i="1" s="1"/>
  <c r="F60" i="3" s="1"/>
  <c r="BQ78" i="1"/>
  <c r="BR78" i="1" s="1"/>
  <c r="F76" i="3" s="1"/>
  <c r="BQ94" i="1"/>
  <c r="BR94" i="1" s="1"/>
  <c r="F92" i="3" s="1"/>
  <c r="BQ110" i="1"/>
  <c r="BR110" i="1" s="1"/>
  <c r="F112" i="3" s="1"/>
  <c r="BQ126" i="1"/>
  <c r="BR126" i="1" s="1"/>
  <c r="F130" i="3" s="1"/>
  <c r="BQ142" i="1"/>
  <c r="BR142" i="1" s="1"/>
  <c r="F146" i="3" s="1"/>
  <c r="BQ158" i="1"/>
  <c r="BR158" i="1" s="1"/>
  <c r="F163" i="3" s="1"/>
  <c r="BQ174" i="1"/>
  <c r="BR174" i="1" s="1"/>
  <c r="F181" i="3" s="1"/>
  <c r="BQ190" i="1"/>
  <c r="BR190" i="1" s="1"/>
  <c r="F199" i="3" s="1"/>
  <c r="BQ206" i="1"/>
  <c r="BR206" i="1" s="1"/>
  <c r="F218" i="3" s="1"/>
  <c r="BQ221" i="1"/>
  <c r="BR221" i="1" s="1"/>
  <c r="F233" i="3" s="1"/>
  <c r="BQ235" i="1"/>
  <c r="BR235" i="1" s="1"/>
  <c r="F248" i="3" s="1"/>
  <c r="BQ246" i="1"/>
  <c r="BR246" i="1" s="1"/>
  <c r="F261" i="3" s="1"/>
  <c r="BU33" i="1"/>
  <c r="BV33" i="1" s="1"/>
  <c r="BU45" i="1"/>
  <c r="BU59" i="1"/>
  <c r="BU71" i="1"/>
  <c r="BU84" i="1"/>
  <c r="BV84" i="1" s="1"/>
  <c r="BU97" i="1"/>
  <c r="BV97" i="1" s="1"/>
  <c r="BU109" i="1"/>
  <c r="BU123" i="1"/>
  <c r="BV123" i="1" s="1"/>
  <c r="BU135" i="1"/>
  <c r="BU148" i="1"/>
  <c r="BU161" i="1"/>
  <c r="BU172" i="1"/>
  <c r="BV172" i="1" s="1"/>
  <c r="BU185" i="1"/>
  <c r="BV185" i="1" s="1"/>
  <c r="BU197" i="1"/>
  <c r="BV197" i="1" s="1"/>
  <c r="BU209" i="1"/>
  <c r="BU221" i="1"/>
  <c r="BU231" i="1"/>
  <c r="BU243" i="1"/>
  <c r="BQ33" i="1"/>
  <c r="BR33" i="1" s="1"/>
  <c r="F27" i="3" s="1"/>
  <c r="BQ49" i="1"/>
  <c r="BR49" i="1" s="1"/>
  <c r="F45" i="3" s="1"/>
  <c r="BQ65" i="1"/>
  <c r="BR65" i="1" s="1"/>
  <c r="F63" i="3" s="1"/>
  <c r="BQ81" i="1"/>
  <c r="BR81" i="1" s="1"/>
  <c r="F79" i="3" s="1"/>
  <c r="BQ97" i="1"/>
  <c r="BR97" i="1" s="1"/>
  <c r="F96" i="3" s="1"/>
  <c r="BQ113" i="1"/>
  <c r="BR113" i="1" s="1"/>
  <c r="F115" i="3" s="1"/>
  <c r="BQ129" i="1"/>
  <c r="BR129" i="1" s="1"/>
  <c r="F133" i="3" s="1"/>
  <c r="BQ145" i="1"/>
  <c r="BR145" i="1" s="1"/>
  <c r="F150" i="3" s="1"/>
  <c r="BQ161" i="1"/>
  <c r="BR161" i="1" s="1"/>
  <c r="F167" i="3" s="1"/>
  <c r="BQ177" i="1"/>
  <c r="BR177" i="1" s="1"/>
  <c r="F184" i="3" s="1"/>
  <c r="BQ193" i="1"/>
  <c r="BR193" i="1" s="1"/>
  <c r="F202" i="3" s="1"/>
  <c r="BQ209" i="1"/>
  <c r="BR209" i="1" s="1"/>
  <c r="F221" i="3" s="1"/>
  <c r="BQ222" i="1"/>
  <c r="BR222" i="1" s="1"/>
  <c r="F234" i="3" s="1"/>
  <c r="BQ236" i="1"/>
  <c r="BR236" i="1" s="1"/>
  <c r="BQ249" i="1"/>
  <c r="BR249" i="1" s="1"/>
  <c r="F264" i="3" s="1"/>
  <c r="BU35" i="1"/>
  <c r="BV35" i="1" s="1"/>
  <c r="BU47" i="1"/>
  <c r="BU60" i="1"/>
  <c r="BV60" i="1" s="1"/>
  <c r="BU73" i="1"/>
  <c r="BU85" i="1"/>
  <c r="BV85" i="1" s="1"/>
  <c r="BU99" i="1"/>
  <c r="BU111" i="1"/>
  <c r="BV111" i="1" s="1"/>
  <c r="BU124" i="1"/>
  <c r="BV124" i="1" s="1"/>
  <c r="BU137" i="1"/>
  <c r="BU149" i="1"/>
  <c r="BU163" i="1"/>
  <c r="BV163" i="1" s="1"/>
  <c r="BU173" i="1"/>
  <c r="BU187" i="1"/>
  <c r="BU198" i="1"/>
  <c r="BV198" i="1" s="1"/>
  <c r="BU211" i="1"/>
  <c r="BU223" i="1"/>
  <c r="BV223" i="1" s="1"/>
  <c r="BU233" i="1"/>
  <c r="BV233" i="1" s="1"/>
  <c r="BU244" i="1"/>
  <c r="BQ35" i="1"/>
  <c r="BR35" i="1" s="1"/>
  <c r="F29" i="3" s="1"/>
  <c r="BQ51" i="1"/>
  <c r="BR51" i="1" s="1"/>
  <c r="F47" i="3" s="1"/>
  <c r="BQ67" i="1"/>
  <c r="BR67" i="1" s="1"/>
  <c r="F65" i="3" s="1"/>
  <c r="BQ83" i="1"/>
  <c r="BR83" i="1" s="1"/>
  <c r="F81" i="3" s="1"/>
  <c r="BQ99" i="1"/>
  <c r="BR99" i="1" s="1"/>
  <c r="F98" i="3" s="1"/>
  <c r="BQ115" i="1"/>
  <c r="BR115" i="1" s="1"/>
  <c r="F117" i="3" s="1"/>
  <c r="BQ131" i="1"/>
  <c r="BR131" i="1" s="1"/>
  <c r="F135" i="3" s="1"/>
  <c r="BQ147" i="1"/>
  <c r="BR147" i="1" s="1"/>
  <c r="F152" i="3" s="1"/>
  <c r="BQ163" i="1"/>
  <c r="BR163" i="1" s="1"/>
  <c r="F170" i="3" s="1"/>
  <c r="BQ179" i="1"/>
  <c r="BR179" i="1" s="1"/>
  <c r="F186" i="3" s="1"/>
  <c r="BQ195" i="1"/>
  <c r="BR195" i="1" s="1"/>
  <c r="F204" i="3" s="1"/>
  <c r="BQ211" i="1"/>
  <c r="BR211" i="1" s="1"/>
  <c r="F223" i="3" s="1"/>
  <c r="BQ225" i="1"/>
  <c r="BR225" i="1" s="1"/>
  <c r="F237" i="3" s="1"/>
  <c r="BQ237" i="1"/>
  <c r="BR237" i="1" s="1"/>
  <c r="F251" i="3" s="1"/>
  <c r="BQ251" i="1"/>
  <c r="BR251" i="1" s="1"/>
  <c r="BQ36" i="1"/>
  <c r="BR36" i="1" s="1"/>
  <c r="F30" i="3" s="1"/>
  <c r="BQ164" i="1"/>
  <c r="BR164" i="1" s="1"/>
  <c r="F171" i="3" s="1"/>
  <c r="BU37" i="1"/>
  <c r="BU89" i="1"/>
  <c r="BU140" i="1"/>
  <c r="BU183" i="1"/>
  <c r="BV183" i="1" s="1"/>
  <c r="BU213" i="1"/>
  <c r="BU245" i="1"/>
  <c r="BU87" i="1"/>
  <c r="BQ52" i="1"/>
  <c r="BR52" i="1" s="1"/>
  <c r="F48" i="3" s="1"/>
  <c r="BQ180" i="1"/>
  <c r="BR180" i="1" s="1"/>
  <c r="F187" i="3" s="1"/>
  <c r="BU49" i="1"/>
  <c r="BU100" i="1"/>
  <c r="BU151" i="1"/>
  <c r="BU188" i="1"/>
  <c r="BU220" i="1"/>
  <c r="BV220" i="1" s="1"/>
  <c r="BU246" i="1"/>
  <c r="BV246" i="1" s="1"/>
  <c r="BU212" i="1"/>
  <c r="BV212" i="1" s="1"/>
  <c r="BQ68" i="1"/>
  <c r="BR68" i="1" s="1"/>
  <c r="F66" i="3" s="1"/>
  <c r="BQ196" i="1"/>
  <c r="BR196" i="1" s="1"/>
  <c r="BU51" i="1"/>
  <c r="BV51" i="1" s="1"/>
  <c r="BU101" i="1"/>
  <c r="BU153" i="1"/>
  <c r="BV153" i="1" s="1"/>
  <c r="BU189" i="1"/>
  <c r="BU225" i="1"/>
  <c r="BV225" i="1" s="1"/>
  <c r="BQ148" i="1"/>
  <c r="BR148" i="1" s="1"/>
  <c r="F153" i="3" s="1"/>
  <c r="BQ84" i="1"/>
  <c r="BR84" i="1" s="1"/>
  <c r="F82" i="3" s="1"/>
  <c r="BQ212" i="1"/>
  <c r="BR212" i="1" s="1"/>
  <c r="F224" i="3" s="1"/>
  <c r="BU61" i="1"/>
  <c r="BV61" i="1" s="1"/>
  <c r="BU113" i="1"/>
  <c r="BU164" i="1"/>
  <c r="BU196" i="1"/>
  <c r="BU226" i="1"/>
  <c r="BV226" i="1" s="1"/>
  <c r="BU241" i="1"/>
  <c r="BQ100" i="1"/>
  <c r="BR100" i="1" s="1"/>
  <c r="F99" i="3" s="1"/>
  <c r="BQ227" i="1"/>
  <c r="BR227" i="1" s="1"/>
  <c r="F239" i="3" s="1"/>
  <c r="BU63" i="1"/>
  <c r="BV63" i="1" s="1"/>
  <c r="BU115" i="1"/>
  <c r="BU165" i="1"/>
  <c r="BU199" i="1"/>
  <c r="BU230" i="1"/>
  <c r="BU139" i="1"/>
  <c r="BQ116" i="1"/>
  <c r="BR116" i="1" s="1"/>
  <c r="F118" i="3" s="1"/>
  <c r="BQ238" i="1"/>
  <c r="BR238" i="1" s="1"/>
  <c r="F252" i="3" s="1"/>
  <c r="BU23" i="1"/>
  <c r="BV23" i="1" s="1"/>
  <c r="BU75" i="1"/>
  <c r="BU125" i="1"/>
  <c r="BV125" i="1" s="1"/>
  <c r="BU171" i="1"/>
  <c r="BV171" i="1" s="1"/>
  <c r="BU201" i="1"/>
  <c r="BV201" i="1" s="1"/>
  <c r="BU235" i="1"/>
  <c r="BV235" i="1" s="1"/>
  <c r="BU36" i="1"/>
  <c r="BV36" i="1" s="1"/>
  <c r="BQ132" i="1"/>
  <c r="BR132" i="1" s="1"/>
  <c r="F136" i="3" s="1"/>
  <c r="BU25" i="1"/>
  <c r="BV25" i="1" s="1"/>
  <c r="BU76" i="1"/>
  <c r="BU127" i="1"/>
  <c r="BV127" i="1" s="1"/>
  <c r="BU175" i="1"/>
  <c r="BU207" i="1"/>
  <c r="BU236" i="1"/>
  <c r="BV236" i="1" s="1"/>
  <c r="BU177" i="1"/>
  <c r="BQ242" i="1"/>
  <c r="BR242" i="1" s="1"/>
  <c r="BU190" i="1"/>
  <c r="BU118" i="1"/>
  <c r="BV118" i="1" s="1"/>
  <c r="BQ234" i="1"/>
  <c r="BR234" i="1" s="1"/>
  <c r="BU182" i="1"/>
  <c r="BV182" i="1" s="1"/>
  <c r="BU110" i="1"/>
  <c r="BU46" i="1"/>
  <c r="BQ215" i="1"/>
  <c r="BR215" i="1" s="1"/>
  <c r="F227" i="3" s="1"/>
  <c r="BQ151" i="1"/>
  <c r="BR151" i="1" s="1"/>
  <c r="F156" i="3" s="1"/>
  <c r="BQ87" i="1"/>
  <c r="BR87" i="1" s="1"/>
  <c r="F85" i="3" s="1"/>
  <c r="BQ23" i="1"/>
  <c r="BR23" i="1" s="1"/>
  <c r="F17" i="3" s="1"/>
  <c r="BQ157" i="1"/>
  <c r="BR157" i="1" s="1"/>
  <c r="F162" i="3" s="1"/>
  <c r="BQ93" i="1"/>
  <c r="BR93" i="1" s="1"/>
  <c r="F91" i="3" s="1"/>
  <c r="BQ29" i="1"/>
  <c r="BR29" i="1" s="1"/>
  <c r="F23" i="3" s="1"/>
  <c r="BQ210" i="1"/>
  <c r="BR210" i="1" s="1"/>
  <c r="F222" i="3" s="1"/>
  <c r="BQ178" i="1"/>
  <c r="BR178" i="1" s="1"/>
  <c r="F185" i="3" s="1"/>
  <c r="BQ146" i="1"/>
  <c r="BR146" i="1" s="1"/>
  <c r="F151" i="3" s="1"/>
  <c r="BQ114" i="1"/>
  <c r="BR114" i="1" s="1"/>
  <c r="F116" i="3" s="1"/>
  <c r="BQ82" i="1"/>
  <c r="BR82" i="1" s="1"/>
  <c r="F80" i="3" s="1"/>
  <c r="BQ50" i="1"/>
  <c r="BR50" i="1" s="1"/>
  <c r="F46" i="3" s="1"/>
  <c r="BQ232" i="1"/>
  <c r="BR232" i="1" s="1"/>
  <c r="F244" i="3" s="1"/>
  <c r="BQ200" i="1"/>
  <c r="BR200" i="1" s="1"/>
  <c r="F211" i="3" s="1"/>
  <c r="BQ168" i="1"/>
  <c r="BR168" i="1" s="1"/>
  <c r="F175" i="3" s="1"/>
  <c r="BQ136" i="1"/>
  <c r="BR136" i="1" s="1"/>
  <c r="F140" i="3" s="1"/>
  <c r="BQ104" i="1"/>
  <c r="BR104" i="1" s="1"/>
  <c r="F103" i="3" s="1"/>
  <c r="BQ72" i="1"/>
  <c r="BR72" i="1" s="1"/>
  <c r="F70" i="3" s="1"/>
  <c r="BQ40" i="1"/>
  <c r="BR40" i="1" s="1"/>
  <c r="BU234" i="1"/>
  <c r="BU178" i="1"/>
  <c r="BV178" i="1" s="1"/>
  <c r="BU146" i="1"/>
  <c r="BU114" i="1"/>
  <c r="BU82" i="1"/>
  <c r="BU50" i="1"/>
  <c r="BV50" i="1" s="1"/>
  <c r="BU232" i="1"/>
  <c r="BU200" i="1"/>
  <c r="BU168" i="1"/>
  <c r="BU136" i="1"/>
  <c r="BU104" i="1"/>
  <c r="BU72" i="1"/>
  <c r="BV72" i="1" s="1"/>
  <c r="BU40" i="1"/>
  <c r="BQ194" i="1"/>
  <c r="BR194" i="1" s="1"/>
  <c r="F203" i="3" s="1"/>
  <c r="BQ98" i="1"/>
  <c r="BR98" i="1" s="1"/>
  <c r="F97" i="3" s="1"/>
  <c r="BQ34" i="1"/>
  <c r="BR34" i="1" s="1"/>
  <c r="F28" i="3" s="1"/>
  <c r="BQ152" i="1"/>
  <c r="BR152" i="1" s="1"/>
  <c r="F157" i="3" s="1"/>
  <c r="BQ56" i="1"/>
  <c r="BR56" i="1" s="1"/>
  <c r="F52" i="3" s="1"/>
  <c r="BU134" i="1"/>
  <c r="BV134" i="1" s="1"/>
  <c r="BQ181" i="1"/>
  <c r="BR181" i="1" s="1"/>
  <c r="F188" i="3" s="1"/>
  <c r="BU162" i="1"/>
  <c r="BV162" i="1" s="1"/>
  <c r="BU66" i="1"/>
  <c r="BV66" i="1" s="1"/>
  <c r="BU184" i="1"/>
  <c r="BU88" i="1"/>
  <c r="BQ226" i="1"/>
  <c r="BR226" i="1" s="1"/>
  <c r="F238" i="3" s="1"/>
  <c r="BU174" i="1"/>
  <c r="BV174" i="1" s="1"/>
  <c r="BU102" i="1"/>
  <c r="BU38" i="1"/>
  <c r="BV38" i="1" s="1"/>
  <c r="BQ207" i="1"/>
  <c r="BR207" i="1" s="1"/>
  <c r="F219" i="3" s="1"/>
  <c r="BQ143" i="1"/>
  <c r="BR143" i="1" s="1"/>
  <c r="F147" i="3" s="1"/>
  <c r="BQ79" i="1"/>
  <c r="BR79" i="1" s="1"/>
  <c r="F77" i="3" s="1"/>
  <c r="BQ213" i="1"/>
  <c r="BR213" i="1" s="1"/>
  <c r="F225" i="3" s="1"/>
  <c r="BQ149" i="1"/>
  <c r="BR149" i="1" s="1"/>
  <c r="F154" i="3" s="1"/>
  <c r="BQ85" i="1"/>
  <c r="BR85" i="1" s="1"/>
  <c r="F83" i="3" s="1"/>
  <c r="BU210" i="1"/>
  <c r="BQ248" i="1"/>
  <c r="BR248" i="1" s="1"/>
  <c r="F263" i="3" s="1"/>
  <c r="BU158" i="1"/>
  <c r="BV158" i="1" s="1"/>
  <c r="BU94" i="1"/>
  <c r="BU30" i="1"/>
  <c r="BQ199" i="1"/>
  <c r="BR199" i="1" s="1"/>
  <c r="F210" i="3" s="1"/>
  <c r="BQ135" i="1"/>
  <c r="BR135" i="1" s="1"/>
  <c r="F139" i="3" s="1"/>
  <c r="BQ71" i="1"/>
  <c r="BR71" i="1" s="1"/>
  <c r="F69" i="3" s="1"/>
  <c r="BQ205" i="1"/>
  <c r="BR205" i="1" s="1"/>
  <c r="F217" i="3" s="1"/>
  <c r="BQ141" i="1"/>
  <c r="BR141" i="1" s="1"/>
  <c r="F145" i="3" s="1"/>
  <c r="BQ77" i="1"/>
  <c r="BR77" i="1" s="1"/>
  <c r="F75" i="3" s="1"/>
  <c r="BQ202" i="1"/>
  <c r="BR202" i="1" s="1"/>
  <c r="F214" i="3" s="1"/>
  <c r="BQ170" i="1"/>
  <c r="BR170" i="1" s="1"/>
  <c r="F177" i="3" s="1"/>
  <c r="BQ138" i="1"/>
  <c r="BR138" i="1" s="1"/>
  <c r="F142" i="3" s="1"/>
  <c r="BQ106" i="1"/>
  <c r="BR106" i="1" s="1"/>
  <c r="F105" i="3" s="1"/>
  <c r="BQ74" i="1"/>
  <c r="BR74" i="1" s="1"/>
  <c r="F72" i="3" s="1"/>
  <c r="BQ42" i="1"/>
  <c r="BR42" i="1" s="1"/>
  <c r="F38" i="3" s="1"/>
  <c r="BQ224" i="1"/>
  <c r="BR224" i="1" s="1"/>
  <c r="F236" i="3" s="1"/>
  <c r="BQ192" i="1"/>
  <c r="BR192" i="1" s="1"/>
  <c r="F201" i="3" s="1"/>
  <c r="BQ160" i="1"/>
  <c r="BR160" i="1" s="1"/>
  <c r="BQ128" i="1"/>
  <c r="BR128" i="1" s="1"/>
  <c r="F132" i="3" s="1"/>
  <c r="BQ96" i="1"/>
  <c r="BR96" i="1" s="1"/>
  <c r="BQ64" i="1"/>
  <c r="BR64" i="1" s="1"/>
  <c r="F62" i="3" s="1"/>
  <c r="BQ32" i="1"/>
  <c r="BR32" i="1" s="1"/>
  <c r="F26" i="3" s="1"/>
  <c r="BU248" i="1"/>
  <c r="BU224" i="1"/>
  <c r="BU160" i="1"/>
  <c r="BV160" i="1" s="1"/>
  <c r="BU96" i="1"/>
  <c r="BU64" i="1"/>
  <c r="BU240" i="1"/>
  <c r="BV240" i="1" s="1"/>
  <c r="BU142" i="1"/>
  <c r="BV142" i="1" s="1"/>
  <c r="BQ247" i="1"/>
  <c r="BR247" i="1" s="1"/>
  <c r="F262" i="3" s="1"/>
  <c r="BQ183" i="1"/>
  <c r="BR183" i="1" s="1"/>
  <c r="F190" i="3" s="1"/>
  <c r="BQ119" i="1"/>
  <c r="BR119" i="1" s="1"/>
  <c r="F121" i="3" s="1"/>
  <c r="BQ55" i="1"/>
  <c r="BR55" i="1" s="1"/>
  <c r="F51" i="3" s="1"/>
  <c r="BQ125" i="1"/>
  <c r="BR125" i="1" s="1"/>
  <c r="F129" i="3" s="1"/>
  <c r="BQ130" i="1"/>
  <c r="BR130" i="1" s="1"/>
  <c r="F134" i="3" s="1"/>
  <c r="BQ216" i="1"/>
  <c r="BR216" i="1" s="1"/>
  <c r="F228" i="3" s="1"/>
  <c r="BQ120" i="1"/>
  <c r="BR120" i="1" s="1"/>
  <c r="F122" i="3" s="1"/>
  <c r="BQ24" i="1"/>
  <c r="BR24" i="1" s="1"/>
  <c r="F18" i="3" s="1"/>
  <c r="BU214" i="1"/>
  <c r="BV214" i="1" s="1"/>
  <c r="BQ53" i="1"/>
  <c r="BR53" i="1" s="1"/>
  <c r="F49" i="3" s="1"/>
  <c r="BU194" i="1"/>
  <c r="BV194" i="1" s="1"/>
  <c r="BU98" i="1"/>
  <c r="BU216" i="1"/>
  <c r="BU120" i="1"/>
  <c r="BQ240" i="1"/>
  <c r="BR240" i="1" s="1"/>
  <c r="F254" i="3" s="1"/>
  <c r="BU150" i="1"/>
  <c r="BU86" i="1"/>
  <c r="BU22" i="1"/>
  <c r="BV22" i="1" s="1"/>
  <c r="BQ191" i="1"/>
  <c r="BR191" i="1" s="1"/>
  <c r="F200" i="3" s="1"/>
  <c r="BQ127" i="1"/>
  <c r="BR127" i="1" s="1"/>
  <c r="F131" i="3" s="1"/>
  <c r="BQ63" i="1"/>
  <c r="BR63" i="1" s="1"/>
  <c r="F61" i="3" s="1"/>
  <c r="BQ197" i="1"/>
  <c r="BR197" i="1" s="1"/>
  <c r="F208" i="3" s="1"/>
  <c r="BQ133" i="1"/>
  <c r="BR133" i="1" s="1"/>
  <c r="F137" i="3" s="1"/>
  <c r="BQ69" i="1"/>
  <c r="BR69" i="1" s="1"/>
  <c r="F67" i="3" s="1"/>
  <c r="BU202" i="1"/>
  <c r="BU170" i="1"/>
  <c r="BU138" i="1"/>
  <c r="BU106" i="1"/>
  <c r="BV106" i="1" s="1"/>
  <c r="BU74" i="1"/>
  <c r="BV74" i="1" s="1"/>
  <c r="BU42" i="1"/>
  <c r="BU192" i="1"/>
  <c r="BU128" i="1"/>
  <c r="BU32" i="1"/>
  <c r="BU222" i="1"/>
  <c r="BV222" i="1" s="1"/>
  <c r="BU78" i="1"/>
  <c r="BV78" i="1" s="1"/>
  <c r="BQ189" i="1"/>
  <c r="BR189" i="1" s="1"/>
  <c r="BQ61" i="1"/>
  <c r="BR61" i="1" s="1"/>
  <c r="BQ162" i="1"/>
  <c r="BR162" i="1" s="1"/>
  <c r="BQ66" i="1"/>
  <c r="BR66" i="1" s="1"/>
  <c r="F64" i="3" s="1"/>
  <c r="BQ184" i="1"/>
  <c r="BR184" i="1" s="1"/>
  <c r="F191" i="3" s="1"/>
  <c r="BQ88" i="1"/>
  <c r="BR88" i="1" s="1"/>
  <c r="F86" i="3" s="1"/>
  <c r="BU70" i="1"/>
  <c r="BV70" i="1" s="1"/>
  <c r="BQ239" i="1"/>
  <c r="BR239" i="1" s="1"/>
  <c r="F253" i="3" s="1"/>
  <c r="BQ175" i="1"/>
  <c r="BR175" i="1" s="1"/>
  <c r="F182" i="3" s="1"/>
  <c r="BQ111" i="1"/>
  <c r="BR111" i="1" s="1"/>
  <c r="F113" i="3" s="1"/>
  <c r="BQ47" i="1"/>
  <c r="BR47" i="1" s="1"/>
  <c r="F43" i="3" s="1"/>
  <c r="BQ117" i="1"/>
  <c r="BR117" i="1" s="1"/>
  <c r="F119" i="3" s="1"/>
  <c r="BU130" i="1"/>
  <c r="BU34" i="1"/>
  <c r="BU152" i="1"/>
  <c r="BV152" i="1" s="1"/>
  <c r="BU56" i="1"/>
  <c r="BQ250" i="1"/>
  <c r="BR250" i="1" s="1"/>
  <c r="F265" i="3" s="1"/>
  <c r="BQ159" i="1"/>
  <c r="BR159" i="1" s="1"/>
  <c r="F164" i="3" s="1"/>
  <c r="BQ101" i="1"/>
  <c r="BR101" i="1" s="1"/>
  <c r="F100" i="3" s="1"/>
  <c r="BU186" i="1"/>
  <c r="BV186" i="1" s="1"/>
  <c r="BU58" i="1"/>
  <c r="BV58" i="1" s="1"/>
  <c r="BU144" i="1"/>
  <c r="BU250" i="1"/>
  <c r="BV250" i="1" s="1"/>
  <c r="BQ154" i="1"/>
  <c r="BR154" i="1" s="1"/>
  <c r="F159" i="3" s="1"/>
  <c r="BQ26" i="1"/>
  <c r="BR26" i="1" s="1"/>
  <c r="F20" i="3" s="1"/>
  <c r="BU242" i="1"/>
  <c r="BU112" i="1"/>
  <c r="BU62" i="1"/>
  <c r="BV62" i="1" s="1"/>
  <c r="BQ122" i="1"/>
  <c r="BR122" i="1" s="1"/>
  <c r="BQ186" i="1"/>
  <c r="BR186" i="1" s="1"/>
  <c r="F193" i="3" s="1"/>
  <c r="BU206" i="1"/>
  <c r="BV206" i="1" s="1"/>
  <c r="BQ103" i="1"/>
  <c r="BR103" i="1" s="1"/>
  <c r="F102" i="3" s="1"/>
  <c r="BQ45" i="1"/>
  <c r="BR45" i="1" s="1"/>
  <c r="F41" i="3" s="1"/>
  <c r="BQ112" i="1"/>
  <c r="BR112" i="1" s="1"/>
  <c r="F114" i="3" s="1"/>
  <c r="BU154" i="1"/>
  <c r="BQ39" i="1"/>
  <c r="BR39" i="1" s="1"/>
  <c r="F33" i="3" s="1"/>
  <c r="BQ80" i="1"/>
  <c r="BR80" i="1" s="1"/>
  <c r="F78" i="3" s="1"/>
  <c r="BU24" i="1"/>
  <c r="BU126" i="1"/>
  <c r="BQ95" i="1"/>
  <c r="BR95" i="1" s="1"/>
  <c r="F93" i="3" s="1"/>
  <c r="BQ37" i="1"/>
  <c r="BR37" i="1" s="1"/>
  <c r="F31" i="3" s="1"/>
  <c r="BU26" i="1"/>
  <c r="BQ208" i="1"/>
  <c r="BR208" i="1" s="1"/>
  <c r="F220" i="3" s="1"/>
  <c r="BQ58" i="1"/>
  <c r="BR58" i="1" s="1"/>
  <c r="F54" i="3" s="1"/>
  <c r="BU54" i="1"/>
  <c r="BQ31" i="1"/>
  <c r="BR31" i="1" s="1"/>
  <c r="F25" i="3" s="1"/>
  <c r="BU122" i="1"/>
  <c r="BV122" i="1" s="1"/>
  <c r="BU208" i="1"/>
  <c r="BV208" i="1" s="1"/>
  <c r="BU80" i="1"/>
  <c r="BU176" i="1"/>
  <c r="BQ167" i="1"/>
  <c r="BR167" i="1" s="1"/>
  <c r="F174" i="3" s="1"/>
  <c r="BQ109" i="1"/>
  <c r="BR109" i="1" s="1"/>
  <c r="BQ231" i="1"/>
  <c r="BR231" i="1" s="1"/>
  <c r="F243" i="3" s="1"/>
  <c r="BQ173" i="1"/>
  <c r="BR173" i="1" s="1"/>
  <c r="F180" i="3" s="1"/>
  <c r="BQ218" i="1"/>
  <c r="BR218" i="1" s="1"/>
  <c r="F230" i="3" s="1"/>
  <c r="BQ90" i="1"/>
  <c r="BR90" i="1" s="1"/>
  <c r="F88" i="3" s="1"/>
  <c r="BQ176" i="1"/>
  <c r="BR176" i="1" s="1"/>
  <c r="F183" i="3" s="1"/>
  <c r="BQ48" i="1"/>
  <c r="BR48" i="1" s="1"/>
  <c r="F44" i="3" s="1"/>
  <c r="BQ223" i="1"/>
  <c r="BR223" i="1" s="1"/>
  <c r="F235" i="3" s="1"/>
  <c r="BQ165" i="1"/>
  <c r="BR165" i="1" s="1"/>
  <c r="F172" i="3" s="1"/>
  <c r="BU218" i="1"/>
  <c r="BU90" i="1"/>
  <c r="BU48" i="1"/>
  <c r="BQ144" i="1"/>
  <c r="BR144" i="1" s="1"/>
  <c r="BU21" i="1"/>
  <c r="BV21" i="1" s="1"/>
  <c r="BU20" i="1"/>
  <c r="BV20" i="1" s="1"/>
  <c r="BU19" i="1"/>
  <c r="BV19" i="1" s="1"/>
  <c r="BQ21" i="1"/>
  <c r="BQ19" i="1"/>
  <c r="BQ20" i="1"/>
  <c r="B7" i="6"/>
  <c r="B7" i="3"/>
  <c r="BW62" i="1" l="1"/>
  <c r="CA62" i="1" s="1"/>
  <c r="H60" i="3"/>
  <c r="BW125" i="1"/>
  <c r="BY125" i="1" s="1"/>
  <c r="BZ125" i="1" s="1"/>
  <c r="H129" i="3"/>
  <c r="BW223" i="1"/>
  <c r="CA223" i="1" s="1"/>
  <c r="H235" i="3"/>
  <c r="F95" i="3"/>
  <c r="F94" i="3"/>
  <c r="BW123" i="1"/>
  <c r="BY123" i="1" s="1"/>
  <c r="BZ123" i="1" s="1"/>
  <c r="H127" i="3"/>
  <c r="BW20" i="1"/>
  <c r="CA20" i="1" s="1"/>
  <c r="H13" i="3"/>
  <c r="I13" i="3" s="1"/>
  <c r="F58" i="3"/>
  <c r="F59" i="3"/>
  <c r="BW74" i="1"/>
  <c r="BY74" i="1" s="1"/>
  <c r="BZ74" i="1" s="1"/>
  <c r="H72" i="3"/>
  <c r="BW25" i="1"/>
  <c r="CA25" i="1" s="1"/>
  <c r="H19" i="3"/>
  <c r="BW23" i="1"/>
  <c r="BY23" i="1" s="1"/>
  <c r="BZ23" i="1" s="1"/>
  <c r="H17" i="3"/>
  <c r="BW63" i="1"/>
  <c r="BY63" i="1" s="1"/>
  <c r="BZ63" i="1" s="1"/>
  <c r="H61" i="3"/>
  <c r="BW61" i="1"/>
  <c r="BY61" i="1" s="1"/>
  <c r="BZ61" i="1" s="1"/>
  <c r="H58" i="3"/>
  <c r="H59" i="3"/>
  <c r="BW51" i="1"/>
  <c r="CA51" i="1" s="1"/>
  <c r="H47" i="3"/>
  <c r="BW198" i="1"/>
  <c r="BY198" i="1" s="1"/>
  <c r="BZ198" i="1" s="1"/>
  <c r="H209" i="3"/>
  <c r="BW31" i="1"/>
  <c r="CA31" i="1" s="1"/>
  <c r="H25" i="3"/>
  <c r="F212" i="3"/>
  <c r="F213" i="3"/>
  <c r="BW203" i="1"/>
  <c r="BY203" i="1" s="1"/>
  <c r="BZ203" i="1" s="1"/>
  <c r="H215" i="3"/>
  <c r="BW33" i="1"/>
  <c r="BY33" i="1" s="1"/>
  <c r="BZ33" i="1" s="1"/>
  <c r="H27" i="3"/>
  <c r="BW118" i="1"/>
  <c r="CA118" i="1" s="1"/>
  <c r="H120" i="3"/>
  <c r="F197" i="3"/>
  <c r="F198" i="3"/>
  <c r="BW106" i="1"/>
  <c r="BY106" i="1" s="1"/>
  <c r="BZ106" i="1" s="1"/>
  <c r="H105" i="3"/>
  <c r="F165" i="3"/>
  <c r="F166" i="3"/>
  <c r="BW66" i="1"/>
  <c r="CA66" i="1" s="1"/>
  <c r="H64" i="3"/>
  <c r="BW50" i="1"/>
  <c r="CA50" i="1" s="1"/>
  <c r="H46" i="3"/>
  <c r="F256" i="3"/>
  <c r="F257" i="3"/>
  <c r="F207" i="3"/>
  <c r="F205" i="3"/>
  <c r="F206" i="3"/>
  <c r="BW85" i="1"/>
  <c r="BY85" i="1" s="1"/>
  <c r="BZ85" i="1" s="1"/>
  <c r="H83" i="3"/>
  <c r="BW197" i="1"/>
  <c r="BY197" i="1" s="1"/>
  <c r="BZ197" i="1" s="1"/>
  <c r="H208" i="3"/>
  <c r="BW97" i="1"/>
  <c r="BY97" i="1" s="1"/>
  <c r="BZ97" i="1" s="1"/>
  <c r="H96" i="3"/>
  <c r="BW121" i="1"/>
  <c r="CA121" i="1" s="1"/>
  <c r="H123" i="3"/>
  <c r="BW145" i="1"/>
  <c r="BY145" i="1" s="1"/>
  <c r="BZ145" i="1" s="1"/>
  <c r="H150" i="3"/>
  <c r="BW91" i="1"/>
  <c r="CA91" i="1" s="1"/>
  <c r="H89" i="3"/>
  <c r="BW142" i="1"/>
  <c r="BY142" i="1" s="1"/>
  <c r="BZ142" i="1" s="1"/>
  <c r="H146" i="3"/>
  <c r="F247" i="3"/>
  <c r="F246" i="3"/>
  <c r="BW19" i="1"/>
  <c r="CA19" i="1" s="1"/>
  <c r="H12" i="3"/>
  <c r="I12" i="3" s="1"/>
  <c r="BW21" i="1"/>
  <c r="CA21" i="1" s="1"/>
  <c r="H14" i="3"/>
  <c r="I14" i="3" s="1"/>
  <c r="BW78" i="1"/>
  <c r="BY78" i="1" s="1"/>
  <c r="BZ78" i="1" s="1"/>
  <c r="H76" i="3"/>
  <c r="BW194" i="1"/>
  <c r="CA194" i="1" s="1"/>
  <c r="H203" i="3"/>
  <c r="BW160" i="1"/>
  <c r="BY160" i="1" s="1"/>
  <c r="BZ160" i="1" s="1"/>
  <c r="H165" i="3"/>
  <c r="H166" i="3"/>
  <c r="BW158" i="1"/>
  <c r="BY158" i="1" s="1"/>
  <c r="BZ158" i="1" s="1"/>
  <c r="H163" i="3"/>
  <c r="BW162" i="1"/>
  <c r="BY162" i="1" s="1"/>
  <c r="BZ162" i="1" s="1"/>
  <c r="H168" i="3"/>
  <c r="H169" i="3"/>
  <c r="BW36" i="1"/>
  <c r="BY36" i="1" s="1"/>
  <c r="BZ36" i="1" s="1"/>
  <c r="H30" i="3"/>
  <c r="BW185" i="1"/>
  <c r="CA185" i="1" s="1"/>
  <c r="H192" i="3"/>
  <c r="BW84" i="1"/>
  <c r="BY84" i="1" s="1"/>
  <c r="BZ84" i="1" s="1"/>
  <c r="H82" i="3"/>
  <c r="F107" i="3"/>
  <c r="F108" i="3"/>
  <c r="F109" i="3"/>
  <c r="BW229" i="1"/>
  <c r="CA229" i="1" s="1"/>
  <c r="H241" i="3"/>
  <c r="BW29" i="1"/>
  <c r="BY29" i="1" s="1"/>
  <c r="BZ29" i="1" s="1"/>
  <c r="H23" i="3"/>
  <c r="BW249" i="1"/>
  <c r="BY249" i="1" s="1"/>
  <c r="BZ249" i="1" s="1"/>
  <c r="H264" i="3"/>
  <c r="BW156" i="1"/>
  <c r="CA156" i="1" s="1"/>
  <c r="H161" i="3"/>
  <c r="BW179" i="1"/>
  <c r="CA179" i="1" s="1"/>
  <c r="H186" i="3"/>
  <c r="BW77" i="1"/>
  <c r="BY77" i="1" s="1"/>
  <c r="BZ77" i="1" s="1"/>
  <c r="H75" i="3"/>
  <c r="F111" i="3"/>
  <c r="F110" i="3"/>
  <c r="BW124" i="1"/>
  <c r="CA124" i="1" s="1"/>
  <c r="H128" i="3"/>
  <c r="BW129" i="1"/>
  <c r="BY129" i="1" s="1"/>
  <c r="BZ129" i="1" s="1"/>
  <c r="H133" i="3"/>
  <c r="F34" i="3"/>
  <c r="F35" i="3"/>
  <c r="F36" i="3"/>
  <c r="BW183" i="1"/>
  <c r="BY183" i="1" s="1"/>
  <c r="BZ183" i="1" s="1"/>
  <c r="H190" i="3"/>
  <c r="F148" i="3"/>
  <c r="F149" i="3"/>
  <c r="BW206" i="1"/>
  <c r="BY206" i="1" s="1"/>
  <c r="BZ206" i="1" s="1"/>
  <c r="H218" i="3"/>
  <c r="BW70" i="1"/>
  <c r="BY70" i="1" s="1"/>
  <c r="BZ70" i="1" s="1"/>
  <c r="H68" i="3"/>
  <c r="BW222" i="1"/>
  <c r="BY222" i="1" s="1"/>
  <c r="BZ222" i="1" s="1"/>
  <c r="H234" i="3"/>
  <c r="BW22" i="1"/>
  <c r="BY22" i="1" s="1"/>
  <c r="BZ22" i="1" s="1"/>
  <c r="H15" i="3"/>
  <c r="H16" i="3"/>
  <c r="BW38" i="1"/>
  <c r="BY38" i="1" s="1"/>
  <c r="BZ38" i="1" s="1"/>
  <c r="H32" i="3"/>
  <c r="BW72" i="1"/>
  <c r="CA72" i="1" s="1"/>
  <c r="H70" i="3"/>
  <c r="BW236" i="1"/>
  <c r="BY236" i="1" s="1"/>
  <c r="BZ236" i="1" s="1"/>
  <c r="H249" i="3"/>
  <c r="H250" i="3"/>
  <c r="BW235" i="1"/>
  <c r="BY235" i="1" s="1"/>
  <c r="BZ235" i="1" s="1"/>
  <c r="H248" i="3"/>
  <c r="BW212" i="1"/>
  <c r="CA212" i="1" s="1"/>
  <c r="H224" i="3"/>
  <c r="BW163" i="1"/>
  <c r="CA163" i="1" s="1"/>
  <c r="H170" i="3"/>
  <c r="BW60" i="1"/>
  <c r="CA60" i="1" s="1"/>
  <c r="H57" i="3"/>
  <c r="BW172" i="1"/>
  <c r="CA172" i="1" s="1"/>
  <c r="H179" i="3"/>
  <c r="BW219" i="1"/>
  <c r="BY219" i="1" s="1"/>
  <c r="BZ219" i="1" s="1"/>
  <c r="H231" i="3"/>
  <c r="BW143" i="1"/>
  <c r="CA143" i="1" s="1"/>
  <c r="H147" i="3"/>
  <c r="BW41" i="1"/>
  <c r="BY41" i="1" s="1"/>
  <c r="BZ41" i="1" s="1"/>
  <c r="H37" i="3"/>
  <c r="BW186" i="1"/>
  <c r="CA186" i="1" s="1"/>
  <c r="H193" i="3"/>
  <c r="BW127" i="1"/>
  <c r="BY127" i="1" s="1"/>
  <c r="BZ127" i="1" s="1"/>
  <c r="H131" i="3"/>
  <c r="BW81" i="1"/>
  <c r="BY81" i="1" s="1"/>
  <c r="BZ81" i="1" s="1"/>
  <c r="H79" i="3"/>
  <c r="F168" i="3"/>
  <c r="F169" i="3"/>
  <c r="BW111" i="1"/>
  <c r="CA111" i="1" s="1"/>
  <c r="H113" i="3"/>
  <c r="F249" i="3"/>
  <c r="F250" i="3"/>
  <c r="BW169" i="1"/>
  <c r="CA169" i="1" s="1"/>
  <c r="H176" i="3"/>
  <c r="BW208" i="1"/>
  <c r="CA208" i="1" s="1"/>
  <c r="H220" i="3"/>
  <c r="BW122" i="1"/>
  <c r="BY122" i="1" s="1"/>
  <c r="BZ122" i="1" s="1"/>
  <c r="H125" i="3"/>
  <c r="H126" i="3"/>
  <c r="H124" i="3"/>
  <c r="BW152" i="1"/>
  <c r="CA152" i="1" s="1"/>
  <c r="H157" i="3"/>
  <c r="BW214" i="1"/>
  <c r="CA214" i="1" s="1"/>
  <c r="H226" i="3"/>
  <c r="BW134" i="1"/>
  <c r="CA134" i="1" s="1"/>
  <c r="H138" i="3"/>
  <c r="BW201" i="1"/>
  <c r="CA201" i="1" s="1"/>
  <c r="H213" i="3"/>
  <c r="H212" i="3"/>
  <c r="BW226" i="1"/>
  <c r="CA226" i="1" s="1"/>
  <c r="H238" i="3"/>
  <c r="BW225" i="1"/>
  <c r="CA225" i="1" s="1"/>
  <c r="H237" i="3"/>
  <c r="BW246" i="1"/>
  <c r="BY246" i="1" s="1"/>
  <c r="BZ246" i="1" s="1"/>
  <c r="H261" i="3"/>
  <c r="BW247" i="1"/>
  <c r="BY247" i="1" s="1"/>
  <c r="BZ247" i="1" s="1"/>
  <c r="H262" i="3"/>
  <c r="BW155" i="1"/>
  <c r="CA155" i="1" s="1"/>
  <c r="H160" i="3"/>
  <c r="BW153" i="1"/>
  <c r="BY153" i="1" s="1"/>
  <c r="BZ153" i="1" s="1"/>
  <c r="H158" i="3"/>
  <c r="BW240" i="1"/>
  <c r="BY240" i="1" s="1"/>
  <c r="BZ240" i="1" s="1"/>
  <c r="H254" i="3"/>
  <c r="BW68" i="1"/>
  <c r="CA68" i="1" s="1"/>
  <c r="H66" i="3"/>
  <c r="F55" i="3"/>
  <c r="F56" i="3"/>
  <c r="BW250" i="1"/>
  <c r="BY250" i="1" s="1"/>
  <c r="BZ250" i="1" s="1"/>
  <c r="H265" i="3"/>
  <c r="F124" i="3"/>
  <c r="F125" i="3"/>
  <c r="F126" i="3"/>
  <c r="BW58" i="1"/>
  <c r="BY58" i="1" s="1"/>
  <c r="BZ58" i="1" s="1"/>
  <c r="H54" i="3"/>
  <c r="BW174" i="1"/>
  <c r="CA174" i="1" s="1"/>
  <c r="H181" i="3"/>
  <c r="BW178" i="1"/>
  <c r="CA178" i="1" s="1"/>
  <c r="H185" i="3"/>
  <c r="BW182" i="1"/>
  <c r="BY182" i="1" s="1"/>
  <c r="BZ182" i="1" s="1"/>
  <c r="H189" i="3"/>
  <c r="BW171" i="1"/>
  <c r="BY171" i="1" s="1"/>
  <c r="BZ171" i="1" s="1"/>
  <c r="H178" i="3"/>
  <c r="BW220" i="1"/>
  <c r="CA220" i="1" s="1"/>
  <c r="H232" i="3"/>
  <c r="F266" i="3"/>
  <c r="F267" i="3"/>
  <c r="BW233" i="1"/>
  <c r="BY233" i="1" s="1"/>
  <c r="BZ233" i="1" s="1"/>
  <c r="H245" i="3"/>
  <c r="BW35" i="1"/>
  <c r="CA35" i="1" s="1"/>
  <c r="H29" i="3"/>
  <c r="F195" i="3"/>
  <c r="F196" i="3"/>
  <c r="BW93" i="1"/>
  <c r="BY93" i="1" s="1"/>
  <c r="BZ93" i="1" s="1"/>
  <c r="H91" i="3"/>
  <c r="BW217" i="1"/>
  <c r="CA217" i="1" s="1"/>
  <c r="H229" i="3"/>
  <c r="BW237" i="1"/>
  <c r="CA237" i="1" s="1"/>
  <c r="H251" i="3"/>
  <c r="F15" i="3"/>
  <c r="F16" i="3"/>
  <c r="BV188" i="1"/>
  <c r="BV181" i="1"/>
  <c r="BV154" i="1"/>
  <c r="BV88" i="1"/>
  <c r="BV200" i="1"/>
  <c r="BV76" i="1"/>
  <c r="BV75" i="1"/>
  <c r="BV115" i="1"/>
  <c r="BV113" i="1"/>
  <c r="BV101" i="1"/>
  <c r="BV151" i="1"/>
  <c r="BV211" i="1"/>
  <c r="BV221" i="1"/>
  <c r="BV147" i="1"/>
  <c r="BV44" i="1"/>
  <c r="BV193" i="1"/>
  <c r="BV92" i="1"/>
  <c r="BV215" i="1"/>
  <c r="BV116" i="1"/>
  <c r="BV231" i="1"/>
  <c r="BV27" i="1"/>
  <c r="BV112" i="1"/>
  <c r="BV42" i="1"/>
  <c r="BV120" i="1"/>
  <c r="BV176" i="1"/>
  <c r="BV26" i="1"/>
  <c r="BV242" i="1"/>
  <c r="BV216" i="1"/>
  <c r="BV64" i="1"/>
  <c r="BV30" i="1"/>
  <c r="BV184" i="1"/>
  <c r="BV232" i="1"/>
  <c r="BV190" i="1"/>
  <c r="BV100" i="1"/>
  <c r="BV140" i="1"/>
  <c r="BV99" i="1"/>
  <c r="BV209" i="1"/>
  <c r="BV109" i="1"/>
  <c r="BV133" i="1"/>
  <c r="BV251" i="1"/>
  <c r="BV157" i="1"/>
  <c r="BV55" i="1"/>
  <c r="BV180" i="1"/>
  <c r="BV79" i="1"/>
  <c r="BV103" i="1"/>
  <c r="BV192" i="1"/>
  <c r="BV234" i="1"/>
  <c r="BV164" i="1"/>
  <c r="BV213" i="1"/>
  <c r="BV57" i="1"/>
  <c r="BV227" i="1"/>
  <c r="BV80" i="1"/>
  <c r="BV98" i="1"/>
  <c r="BV96" i="1"/>
  <c r="BV94" i="1"/>
  <c r="BV49" i="1"/>
  <c r="BV89" i="1"/>
  <c r="BV187" i="1"/>
  <c r="BV239" i="1"/>
  <c r="BV43" i="1"/>
  <c r="BV167" i="1"/>
  <c r="BV67" i="1"/>
  <c r="BV191" i="1"/>
  <c r="BV168" i="1"/>
  <c r="BV165" i="1"/>
  <c r="BV56" i="1"/>
  <c r="BV138" i="1"/>
  <c r="BV40" i="1"/>
  <c r="BV82" i="1"/>
  <c r="BV177" i="1"/>
  <c r="BV37" i="1"/>
  <c r="BV173" i="1"/>
  <c r="BV73" i="1"/>
  <c r="BV108" i="1"/>
  <c r="BV132" i="1"/>
  <c r="BV53" i="1"/>
  <c r="BV159" i="1"/>
  <c r="BV126" i="1"/>
  <c r="BV170" i="1"/>
  <c r="BV224" i="1"/>
  <c r="BV114" i="1"/>
  <c r="BV46" i="1"/>
  <c r="BV139" i="1"/>
  <c r="BV241" i="1"/>
  <c r="BV71" i="1"/>
  <c r="BV95" i="1"/>
  <c r="BV119" i="1"/>
  <c r="BV238" i="1"/>
  <c r="BV166" i="1"/>
  <c r="BV65" i="1"/>
  <c r="BV135" i="1"/>
  <c r="BV204" i="1"/>
  <c r="BV48" i="1"/>
  <c r="BV90" i="1"/>
  <c r="BV24" i="1"/>
  <c r="BV144" i="1"/>
  <c r="BV34" i="1"/>
  <c r="BV32" i="1"/>
  <c r="BV202" i="1"/>
  <c r="BV86" i="1"/>
  <c r="BV248" i="1"/>
  <c r="BV210" i="1"/>
  <c r="BV102" i="1"/>
  <c r="BV104" i="1"/>
  <c r="BV146" i="1"/>
  <c r="BV110" i="1"/>
  <c r="BV207" i="1"/>
  <c r="BV230" i="1"/>
  <c r="BV87" i="1"/>
  <c r="BV244" i="1"/>
  <c r="BV149" i="1"/>
  <c r="BV47" i="1"/>
  <c r="BV161" i="1"/>
  <c r="BV59" i="1"/>
  <c r="BV83" i="1"/>
  <c r="BV205" i="1"/>
  <c r="BV107" i="1"/>
  <c r="BV228" i="1"/>
  <c r="BV131" i="1"/>
  <c r="BV28" i="1"/>
  <c r="BV52" i="1"/>
  <c r="BV105" i="1"/>
  <c r="BV218" i="1"/>
  <c r="BV54" i="1"/>
  <c r="BV130" i="1"/>
  <c r="BV128" i="1"/>
  <c r="BV150" i="1"/>
  <c r="BV136" i="1"/>
  <c r="BV175" i="1"/>
  <c r="BV199" i="1"/>
  <c r="BV196" i="1"/>
  <c r="BV189" i="1"/>
  <c r="BV245" i="1"/>
  <c r="BV137" i="1"/>
  <c r="BV243" i="1"/>
  <c r="BV148" i="1"/>
  <c r="BV45" i="1"/>
  <c r="BV69" i="1"/>
  <c r="BV195" i="1"/>
  <c r="BV117" i="1"/>
  <c r="BV141" i="1"/>
  <c r="BV39" i="1"/>
  <c r="BR20" i="1"/>
  <c r="F13" i="3" s="1"/>
  <c r="BR21" i="1"/>
  <c r="F14" i="3" s="1"/>
  <c r="BR19" i="1"/>
  <c r="F12" i="3" s="1"/>
  <c r="BY111" i="1" l="1"/>
  <c r="BZ111" i="1" s="1"/>
  <c r="CA197" i="1"/>
  <c r="CK197" i="1" s="1"/>
  <c r="CL197" i="1" s="1"/>
  <c r="CM197" i="1" s="1"/>
  <c r="CA63" i="1"/>
  <c r="BY35" i="1"/>
  <c r="BZ35" i="1" s="1"/>
  <c r="CA123" i="1"/>
  <c r="CK123" i="1" s="1"/>
  <c r="CL123" i="1" s="1"/>
  <c r="CM123" i="1" s="1"/>
  <c r="CA106" i="1"/>
  <c r="CK106" i="1" s="1"/>
  <c r="CL106" i="1" s="1"/>
  <c r="CM106" i="1" s="1"/>
  <c r="BY172" i="1"/>
  <c r="BZ172" i="1" s="1"/>
  <c r="BY25" i="1"/>
  <c r="BZ25" i="1" s="1"/>
  <c r="BY186" i="1"/>
  <c r="BZ186" i="1" s="1"/>
  <c r="BY62" i="1"/>
  <c r="BZ62" i="1" s="1"/>
  <c r="CA206" i="1"/>
  <c r="CA222" i="1"/>
  <c r="CK222" i="1" s="1"/>
  <c r="CL222" i="1" s="1"/>
  <c r="CM222" i="1" s="1"/>
  <c r="BY91" i="1"/>
  <c r="BZ91" i="1" s="1"/>
  <c r="BY20" i="1"/>
  <c r="BZ20" i="1" s="1"/>
  <c r="BY178" i="1"/>
  <c r="BZ178" i="1" s="1"/>
  <c r="BY134" i="1"/>
  <c r="BZ134" i="1" s="1"/>
  <c r="BY212" i="1"/>
  <c r="BZ212" i="1" s="1"/>
  <c r="BY185" i="1"/>
  <c r="BZ185" i="1" s="1"/>
  <c r="CA38" i="1"/>
  <c r="CA77" i="1"/>
  <c r="CK77" i="1" s="1"/>
  <c r="CL77" i="1" s="1"/>
  <c r="CM77" i="1" s="1"/>
  <c r="CA29" i="1"/>
  <c r="CK29" i="1" s="1"/>
  <c r="CL29" i="1" s="1"/>
  <c r="CM29" i="1" s="1"/>
  <c r="BY237" i="1"/>
  <c r="BZ237" i="1" s="1"/>
  <c r="CA127" i="1"/>
  <c r="CK127" i="1" s="1"/>
  <c r="CL127" i="1" s="1"/>
  <c r="CM127" i="1" s="1"/>
  <c r="CA70" i="1"/>
  <c r="CK70" i="1" s="1"/>
  <c r="CL70" i="1" s="1"/>
  <c r="CM70" i="1" s="1"/>
  <c r="CA246" i="1"/>
  <c r="CK246" i="1" s="1"/>
  <c r="CL246" i="1" s="1"/>
  <c r="CM246" i="1" s="1"/>
  <c r="CA203" i="1"/>
  <c r="CK203" i="1" s="1"/>
  <c r="CL203" i="1" s="1"/>
  <c r="CM203" i="1" s="1"/>
  <c r="CA93" i="1"/>
  <c r="CA171" i="1"/>
  <c r="CK171" i="1" s="1"/>
  <c r="CL171" i="1" s="1"/>
  <c r="CM171" i="1" s="1"/>
  <c r="BY223" i="1"/>
  <c r="BZ223" i="1" s="1"/>
  <c r="BY163" i="1"/>
  <c r="BZ163" i="1" s="1"/>
  <c r="CA235" i="1"/>
  <c r="CK235" i="1" s="1"/>
  <c r="CL235" i="1" s="1"/>
  <c r="CM235" i="1" s="1"/>
  <c r="BY51" i="1"/>
  <c r="BZ51" i="1" s="1"/>
  <c r="CA240" i="1"/>
  <c r="CK240" i="1" s="1"/>
  <c r="CL240" i="1" s="1"/>
  <c r="CM240" i="1" s="1"/>
  <c r="BY21" i="1"/>
  <c r="BZ21" i="1" s="1"/>
  <c r="BY143" i="1"/>
  <c r="BZ143" i="1" s="1"/>
  <c r="CA158" i="1"/>
  <c r="CK158" i="1" s="1"/>
  <c r="CL158" i="1" s="1"/>
  <c r="CM158" i="1" s="1"/>
  <c r="BY121" i="1"/>
  <c r="BZ121" i="1" s="1"/>
  <c r="BY201" i="1"/>
  <c r="BZ201" i="1" s="1"/>
  <c r="CA219" i="1"/>
  <c r="CK219" i="1" s="1"/>
  <c r="CL219" i="1" s="1"/>
  <c r="CM219" i="1" s="1"/>
  <c r="CA78" i="1"/>
  <c r="CK78" i="1" s="1"/>
  <c r="CL78" i="1" s="1"/>
  <c r="CM78" i="1" s="1"/>
  <c r="CA233" i="1"/>
  <c r="CK233" i="1" s="1"/>
  <c r="CL233" i="1" s="1"/>
  <c r="CM233" i="1" s="1"/>
  <c r="CA198" i="1"/>
  <c r="CK198" i="1" s="1"/>
  <c r="CL198" i="1" s="1"/>
  <c r="CM198" i="1" s="1"/>
  <c r="CA162" i="1"/>
  <c r="CA142" i="1"/>
  <c r="CK142" i="1" s="1"/>
  <c r="CL142" i="1" s="1"/>
  <c r="CM142" i="1" s="1"/>
  <c r="CA23" i="1"/>
  <c r="CK23" i="1" s="1"/>
  <c r="CL23" i="1" s="1"/>
  <c r="CM23" i="1" s="1"/>
  <c r="BY217" i="1"/>
  <c r="BZ217" i="1" s="1"/>
  <c r="CA182" i="1"/>
  <c r="CK182" i="1" s="1"/>
  <c r="CL182" i="1" s="1"/>
  <c r="CM182" i="1" s="1"/>
  <c r="CA33" i="1"/>
  <c r="CK33" i="1" s="1"/>
  <c r="CL33" i="1" s="1"/>
  <c r="CM33" i="1" s="1"/>
  <c r="BY72" i="1"/>
  <c r="BZ72" i="1" s="1"/>
  <c r="CA249" i="1"/>
  <c r="CK249" i="1" s="1"/>
  <c r="CL249" i="1" s="1"/>
  <c r="CM249" i="1" s="1"/>
  <c r="BY174" i="1"/>
  <c r="BZ174" i="1" s="1"/>
  <c r="CA84" i="1"/>
  <c r="CK84" i="1" s="1"/>
  <c r="CL84" i="1" s="1"/>
  <c r="CM84" i="1" s="1"/>
  <c r="CA97" i="1"/>
  <c r="CK97" i="1" s="1"/>
  <c r="CL97" i="1" s="1"/>
  <c r="CM97" i="1" s="1"/>
  <c r="CA125" i="1"/>
  <c r="CK125" i="1" s="1"/>
  <c r="CL125" i="1" s="1"/>
  <c r="CM125" i="1" s="1"/>
  <c r="BY208" i="1"/>
  <c r="BZ208" i="1" s="1"/>
  <c r="CA58" i="1"/>
  <c r="CK58" i="1" s="1"/>
  <c r="CL58" i="1" s="1"/>
  <c r="CM58" i="1" s="1"/>
  <c r="BY152" i="1"/>
  <c r="BZ152" i="1" s="1"/>
  <c r="BY155" i="1"/>
  <c r="BZ155" i="1" s="1"/>
  <c r="BY220" i="1"/>
  <c r="BZ220" i="1" s="1"/>
  <c r="CA36" i="1"/>
  <c r="CK36" i="1" s="1"/>
  <c r="CL36" i="1" s="1"/>
  <c r="CM36" i="1" s="1"/>
  <c r="CA160" i="1"/>
  <c r="CK160" i="1" s="1"/>
  <c r="CL160" i="1" s="1"/>
  <c r="CM160" i="1" s="1"/>
  <c r="CA145" i="1"/>
  <c r="CK145" i="1" s="1"/>
  <c r="CL145" i="1" s="1"/>
  <c r="CM145" i="1" s="1"/>
  <c r="CA85" i="1"/>
  <c r="CK85" i="1" s="1"/>
  <c r="CL85" i="1" s="1"/>
  <c r="CM85" i="1" s="1"/>
  <c r="BY31" i="1"/>
  <c r="BZ31" i="1" s="1"/>
  <c r="CA74" i="1"/>
  <c r="CK74" i="1" s="1"/>
  <c r="CL74" i="1" s="1"/>
  <c r="CM74" i="1" s="1"/>
  <c r="BY214" i="1"/>
  <c r="BZ214" i="1" s="1"/>
  <c r="BY60" i="1"/>
  <c r="BZ60" i="1" s="1"/>
  <c r="CA41" i="1"/>
  <c r="CK41" i="1" s="1"/>
  <c r="CL41" i="1" s="1"/>
  <c r="CM41" i="1" s="1"/>
  <c r="BY19" i="1"/>
  <c r="BZ19" i="1" s="1"/>
  <c r="CA22" i="1"/>
  <c r="CK22" i="1" s="1"/>
  <c r="CL22" i="1" s="1"/>
  <c r="CM22" i="1" s="1"/>
  <c r="CA61" i="1"/>
  <c r="CK61" i="1" s="1"/>
  <c r="CL61" i="1" s="1"/>
  <c r="CM61" i="1" s="1"/>
  <c r="CA250" i="1"/>
  <c r="CK250" i="1" s="1"/>
  <c r="CL250" i="1" s="1"/>
  <c r="CM250" i="1" s="1"/>
  <c r="CA122" i="1"/>
  <c r="CK122" i="1" s="1"/>
  <c r="CL122" i="1" s="1"/>
  <c r="CM122" i="1" s="1"/>
  <c r="BY194" i="1"/>
  <c r="BZ194" i="1" s="1"/>
  <c r="CA81" i="1"/>
  <c r="CK81" i="1" s="1"/>
  <c r="CL81" i="1" s="1"/>
  <c r="CM81" i="1" s="1"/>
  <c r="BY66" i="1"/>
  <c r="BZ66" i="1" s="1"/>
  <c r="BY169" i="1"/>
  <c r="BZ169" i="1" s="1"/>
  <c r="CA183" i="1"/>
  <c r="CK183" i="1" s="1"/>
  <c r="CL183" i="1" s="1"/>
  <c r="CM183" i="1" s="1"/>
  <c r="BY118" i="1"/>
  <c r="BZ118" i="1" s="1"/>
  <c r="CA129" i="1"/>
  <c r="CK129" i="1" s="1"/>
  <c r="CL129" i="1" s="1"/>
  <c r="CM129" i="1" s="1"/>
  <c r="BY179" i="1"/>
  <c r="BZ179" i="1" s="1"/>
  <c r="BY229" i="1"/>
  <c r="BZ229" i="1" s="1"/>
  <c r="BY225" i="1"/>
  <c r="BZ225" i="1" s="1"/>
  <c r="CA153" i="1"/>
  <c r="CK153" i="1" s="1"/>
  <c r="CL153" i="1" s="1"/>
  <c r="CM153" i="1" s="1"/>
  <c r="BY50" i="1"/>
  <c r="BZ50" i="1" s="1"/>
  <c r="I245" i="3"/>
  <c r="J245" i="3" s="1"/>
  <c r="K245" i="3" s="1"/>
  <c r="I176" i="3"/>
  <c r="J176" i="3" s="1"/>
  <c r="K176" i="3" s="1"/>
  <c r="I79" i="3"/>
  <c r="J79" i="3" s="1"/>
  <c r="K79" i="3" s="1"/>
  <c r="I147" i="3"/>
  <c r="J147" i="3" s="1"/>
  <c r="K147" i="3" s="1"/>
  <c r="I170" i="3"/>
  <c r="J170" i="3" s="1"/>
  <c r="K170" i="3" s="1"/>
  <c r="I234" i="3"/>
  <c r="J234" i="3" s="1"/>
  <c r="K234" i="3" s="1"/>
  <c r="I190" i="3"/>
  <c r="J190" i="3" s="1"/>
  <c r="K190" i="3" s="1"/>
  <c r="I169" i="3"/>
  <c r="J169" i="3" s="1"/>
  <c r="K169" i="3" s="1"/>
  <c r="I203" i="3"/>
  <c r="J203" i="3" s="1"/>
  <c r="K203" i="3" s="1"/>
  <c r="I123" i="3"/>
  <c r="J123" i="3" s="1"/>
  <c r="K123" i="3" s="1"/>
  <c r="I58" i="3"/>
  <c r="J58" i="3" s="1"/>
  <c r="K58" i="3" s="1"/>
  <c r="I72" i="3"/>
  <c r="J72" i="3" s="1"/>
  <c r="K72" i="3" s="1"/>
  <c r="BW45" i="1"/>
  <c r="CA45" i="1" s="1"/>
  <c r="H41" i="3"/>
  <c r="BW245" i="1"/>
  <c r="BY245" i="1" s="1"/>
  <c r="BZ245" i="1" s="1"/>
  <c r="H260" i="3"/>
  <c r="BW175" i="1"/>
  <c r="CA175" i="1" s="1"/>
  <c r="H182" i="3"/>
  <c r="BW150" i="1"/>
  <c r="BY150" i="1" s="1"/>
  <c r="BZ150" i="1" s="1"/>
  <c r="H155" i="3"/>
  <c r="BW83" i="1"/>
  <c r="BY83" i="1" s="1"/>
  <c r="H81" i="3"/>
  <c r="BW207" i="1"/>
  <c r="CA207" i="1" s="1"/>
  <c r="H219" i="3"/>
  <c r="BW248" i="1"/>
  <c r="CA248" i="1" s="1"/>
  <c r="H263" i="3"/>
  <c r="BW24" i="1"/>
  <c r="BY24" i="1" s="1"/>
  <c r="BZ24" i="1" s="1"/>
  <c r="H18" i="3"/>
  <c r="BW119" i="1"/>
  <c r="CA119" i="1" s="1"/>
  <c r="H121" i="3"/>
  <c r="BW170" i="1"/>
  <c r="BY170" i="1" s="1"/>
  <c r="BZ170" i="1" s="1"/>
  <c r="H177" i="3"/>
  <c r="BW159" i="1"/>
  <c r="BY159" i="1" s="1"/>
  <c r="BZ159" i="1" s="1"/>
  <c r="H164" i="3"/>
  <c r="BW132" i="1"/>
  <c r="BY132" i="1" s="1"/>
  <c r="H136" i="3"/>
  <c r="BW73" i="1"/>
  <c r="CA73" i="1" s="1"/>
  <c r="H71" i="3"/>
  <c r="BW138" i="1"/>
  <c r="BY138" i="1" s="1"/>
  <c r="H142" i="3"/>
  <c r="BW165" i="1"/>
  <c r="CA165" i="1" s="1"/>
  <c r="H172" i="3"/>
  <c r="BW227" i="1"/>
  <c r="CA227" i="1" s="1"/>
  <c r="H239" i="3"/>
  <c r="BW133" i="1"/>
  <c r="BY133" i="1" s="1"/>
  <c r="BZ133" i="1" s="1"/>
  <c r="H137" i="3"/>
  <c r="BW27" i="1"/>
  <c r="BY27" i="1" s="1"/>
  <c r="BZ27" i="1" s="1"/>
  <c r="H21" i="3"/>
  <c r="BW116" i="1"/>
  <c r="BY116" i="1" s="1"/>
  <c r="H118" i="3"/>
  <c r="BW44" i="1"/>
  <c r="CA44" i="1" s="1"/>
  <c r="H40" i="3"/>
  <c r="BW188" i="1"/>
  <c r="BY188" i="1" s="1"/>
  <c r="BZ188" i="1" s="1"/>
  <c r="H195" i="3"/>
  <c r="H196" i="3"/>
  <c r="I254" i="3"/>
  <c r="J254" i="3" s="1"/>
  <c r="K254" i="3" s="1"/>
  <c r="I212" i="3"/>
  <c r="J212" i="3" s="1"/>
  <c r="K212" i="3" s="1"/>
  <c r="I70" i="3"/>
  <c r="J70" i="3" s="1"/>
  <c r="K70" i="3" s="1"/>
  <c r="I264" i="3"/>
  <c r="J264" i="3" s="1"/>
  <c r="K264" i="3" s="1"/>
  <c r="I168" i="3"/>
  <c r="J168" i="3" s="1"/>
  <c r="K168" i="3" s="1"/>
  <c r="I64" i="3"/>
  <c r="J64" i="3" s="1"/>
  <c r="K64" i="3" s="1"/>
  <c r="I120" i="3"/>
  <c r="J120" i="3" s="1"/>
  <c r="K120" i="3" s="1"/>
  <c r="I25" i="3"/>
  <c r="J25" i="3" s="1"/>
  <c r="K25" i="3" s="1"/>
  <c r="BW69" i="1"/>
  <c r="BY69" i="1" s="1"/>
  <c r="H67" i="3"/>
  <c r="BW216" i="1"/>
  <c r="BY216" i="1" s="1"/>
  <c r="BZ216" i="1" s="1"/>
  <c r="H228" i="3"/>
  <c r="BW105" i="1"/>
  <c r="BY105" i="1" s="1"/>
  <c r="BZ105" i="1" s="1"/>
  <c r="H104" i="3"/>
  <c r="CA247" i="1"/>
  <c r="CK247" i="1" s="1"/>
  <c r="CL247" i="1" s="1"/>
  <c r="CM247" i="1" s="1"/>
  <c r="BW59" i="1"/>
  <c r="BY59" i="1" s="1"/>
  <c r="BZ59" i="1" s="1"/>
  <c r="H55" i="3"/>
  <c r="H56" i="3"/>
  <c r="BW110" i="1"/>
  <c r="CA110" i="1" s="1"/>
  <c r="H112" i="3"/>
  <c r="BW90" i="1"/>
  <c r="BY90" i="1" s="1"/>
  <c r="BZ90" i="1" s="1"/>
  <c r="H88" i="3"/>
  <c r="BW65" i="1"/>
  <c r="BY65" i="1" s="1"/>
  <c r="BZ65" i="1" s="1"/>
  <c r="H63" i="3"/>
  <c r="CA236" i="1"/>
  <c r="CK236" i="1" s="1"/>
  <c r="CL236" i="1" s="1"/>
  <c r="CM236" i="1" s="1"/>
  <c r="BY124" i="1"/>
  <c r="BZ124" i="1" s="1"/>
  <c r="BW53" i="1"/>
  <c r="BY53" i="1" s="1"/>
  <c r="H49" i="3"/>
  <c r="BW173" i="1"/>
  <c r="BY173" i="1" s="1"/>
  <c r="BZ173" i="1" s="1"/>
  <c r="H180" i="3"/>
  <c r="BW168" i="1"/>
  <c r="CA168" i="1" s="1"/>
  <c r="H175" i="3"/>
  <c r="BW57" i="1"/>
  <c r="CA57" i="1" s="1"/>
  <c r="H53" i="3"/>
  <c r="BW79" i="1"/>
  <c r="CA79" i="1" s="1"/>
  <c r="H77" i="3"/>
  <c r="BW109" i="1"/>
  <c r="BY109" i="1" s="1"/>
  <c r="BZ109" i="1" s="1"/>
  <c r="H110" i="3"/>
  <c r="H111" i="3"/>
  <c r="BW215" i="1"/>
  <c r="CA215" i="1" s="1"/>
  <c r="H227" i="3"/>
  <c r="BW147" i="1"/>
  <c r="BY147" i="1" s="1"/>
  <c r="BZ147" i="1" s="1"/>
  <c r="H152" i="3"/>
  <c r="I91" i="3"/>
  <c r="J91" i="3" s="1"/>
  <c r="K91" i="3" s="1"/>
  <c r="I185" i="3"/>
  <c r="J185" i="3" s="1"/>
  <c r="K185" i="3" s="1"/>
  <c r="I213" i="3"/>
  <c r="J213" i="3" s="1"/>
  <c r="K213" i="3" s="1"/>
  <c r="I124" i="3"/>
  <c r="J124" i="3" s="1"/>
  <c r="K124" i="3" s="1"/>
  <c r="I131" i="3"/>
  <c r="J131" i="3" s="1"/>
  <c r="K131" i="3" s="1"/>
  <c r="I231" i="3"/>
  <c r="J231" i="3" s="1"/>
  <c r="K231" i="3" s="1"/>
  <c r="I224" i="3"/>
  <c r="J224" i="3" s="1"/>
  <c r="K224" i="3" s="1"/>
  <c r="I68" i="3"/>
  <c r="J68" i="3" s="1"/>
  <c r="K68" i="3" s="1"/>
  <c r="Q68" i="3" s="1"/>
  <c r="R68" i="3" s="1"/>
  <c r="S68" i="3" s="1"/>
  <c r="I82" i="3"/>
  <c r="J82" i="3" s="1"/>
  <c r="K82" i="3" s="1"/>
  <c r="I76" i="3"/>
  <c r="J76" i="3" s="1"/>
  <c r="K76" i="3" s="1"/>
  <c r="I146" i="3"/>
  <c r="J146" i="3" s="1"/>
  <c r="K146" i="3" s="1"/>
  <c r="I96" i="3"/>
  <c r="J96" i="3" s="1"/>
  <c r="K96" i="3" s="1"/>
  <c r="I61" i="3"/>
  <c r="J61" i="3" s="1"/>
  <c r="K61" i="3" s="1"/>
  <c r="I235" i="3"/>
  <c r="J235" i="3" s="1"/>
  <c r="K235" i="3" s="1"/>
  <c r="BW239" i="1"/>
  <c r="BY239" i="1" s="1"/>
  <c r="BZ239" i="1" s="1"/>
  <c r="H253" i="3"/>
  <c r="BW94" i="1"/>
  <c r="CA94" i="1" s="1"/>
  <c r="H92" i="3"/>
  <c r="BW213" i="1"/>
  <c r="CA213" i="1" s="1"/>
  <c r="H225" i="3"/>
  <c r="BW180" i="1"/>
  <c r="CA180" i="1" s="1"/>
  <c r="H187" i="3"/>
  <c r="BW209" i="1"/>
  <c r="CA209" i="1" s="1"/>
  <c r="H221" i="3"/>
  <c r="BW190" i="1"/>
  <c r="BY190" i="1" s="1"/>
  <c r="BZ190" i="1" s="1"/>
  <c r="H199" i="3"/>
  <c r="BW242" i="1"/>
  <c r="BY242" i="1" s="1"/>
  <c r="BZ242" i="1" s="1"/>
  <c r="H256" i="3"/>
  <c r="H257" i="3"/>
  <c r="BW92" i="1"/>
  <c r="BY92" i="1" s="1"/>
  <c r="BZ92" i="1" s="1"/>
  <c r="H90" i="3"/>
  <c r="BW151" i="1"/>
  <c r="BY151" i="1" s="1"/>
  <c r="BZ151" i="1" s="1"/>
  <c r="H156" i="3"/>
  <c r="BW200" i="1"/>
  <c r="CA200" i="1" s="1"/>
  <c r="H211" i="3"/>
  <c r="I265" i="3"/>
  <c r="J265" i="3" s="1"/>
  <c r="K265" i="3" s="1"/>
  <c r="I158" i="3"/>
  <c r="J158" i="3" s="1"/>
  <c r="K158" i="3" s="1"/>
  <c r="I261" i="3"/>
  <c r="J261" i="3" s="1"/>
  <c r="K261" i="3" s="1"/>
  <c r="I126" i="3"/>
  <c r="J126" i="3" s="1"/>
  <c r="K126" i="3" s="1"/>
  <c r="I32" i="3"/>
  <c r="J32" i="3" s="1"/>
  <c r="K32" i="3" s="1"/>
  <c r="I75" i="3"/>
  <c r="J75" i="3" s="1"/>
  <c r="K75" i="3" s="1"/>
  <c r="I23" i="3"/>
  <c r="J23" i="3" s="1"/>
  <c r="K23" i="3" s="1"/>
  <c r="I163" i="3"/>
  <c r="J163" i="3" s="1"/>
  <c r="K163" i="3" s="1"/>
  <c r="I27" i="3"/>
  <c r="J27" i="3" s="1"/>
  <c r="K27" i="3" s="1"/>
  <c r="I209" i="3"/>
  <c r="J209" i="3" s="1"/>
  <c r="K209" i="3" s="1"/>
  <c r="BW43" i="1"/>
  <c r="BY43" i="1" s="1"/>
  <c r="BZ43" i="1" s="1"/>
  <c r="H39" i="3"/>
  <c r="BW76" i="1"/>
  <c r="BY76" i="1" s="1"/>
  <c r="BZ76" i="1" s="1"/>
  <c r="H74" i="3"/>
  <c r="I189" i="3"/>
  <c r="J189" i="3" s="1"/>
  <c r="K189" i="3" s="1"/>
  <c r="I157" i="3"/>
  <c r="J157" i="3" s="1"/>
  <c r="K157" i="3" s="1"/>
  <c r="BW148" i="1"/>
  <c r="CA148" i="1" s="1"/>
  <c r="H153" i="3"/>
  <c r="BW28" i="1"/>
  <c r="BY28" i="1" s="1"/>
  <c r="BZ28" i="1" s="1"/>
  <c r="H22" i="3"/>
  <c r="BW47" i="1"/>
  <c r="BY47" i="1" s="1"/>
  <c r="BZ47" i="1" s="1"/>
  <c r="H43" i="3"/>
  <c r="BY226" i="1"/>
  <c r="BZ226" i="1" s="1"/>
  <c r="BW104" i="1"/>
  <c r="CA104" i="1" s="1"/>
  <c r="H103" i="3"/>
  <c r="BW86" i="1"/>
  <c r="BY86" i="1" s="1"/>
  <c r="H84" i="3"/>
  <c r="BW204" i="1"/>
  <c r="BY204" i="1" s="1"/>
  <c r="H216" i="3"/>
  <c r="BW95" i="1"/>
  <c r="BY95" i="1" s="1"/>
  <c r="H93" i="3"/>
  <c r="BW46" i="1"/>
  <c r="CA46" i="1" s="1"/>
  <c r="H42" i="3"/>
  <c r="BY156" i="1"/>
  <c r="BZ156" i="1" s="1"/>
  <c r="BW108" i="1"/>
  <c r="BY108" i="1" s="1"/>
  <c r="BZ108" i="1" s="1"/>
  <c r="H109" i="3"/>
  <c r="H107" i="3"/>
  <c r="H108" i="3"/>
  <c r="BW56" i="1"/>
  <c r="BY56" i="1" s="1"/>
  <c r="BZ56" i="1" s="1"/>
  <c r="H52" i="3"/>
  <c r="BW187" i="1"/>
  <c r="CA187" i="1" s="1"/>
  <c r="H194" i="3"/>
  <c r="BW96" i="1"/>
  <c r="BY96" i="1" s="1"/>
  <c r="H94" i="3"/>
  <c r="H95" i="3"/>
  <c r="BW164" i="1"/>
  <c r="BY164" i="1" s="1"/>
  <c r="BZ164" i="1" s="1"/>
  <c r="H171" i="3"/>
  <c r="BW55" i="1"/>
  <c r="BY55" i="1" s="1"/>
  <c r="BZ55" i="1" s="1"/>
  <c r="H51" i="3"/>
  <c r="BW99" i="1"/>
  <c r="CA99" i="1" s="1"/>
  <c r="H98" i="3"/>
  <c r="BW232" i="1"/>
  <c r="BY232" i="1" s="1"/>
  <c r="BZ232" i="1" s="1"/>
  <c r="H244" i="3"/>
  <c r="BW26" i="1"/>
  <c r="BY26" i="1" s="1"/>
  <c r="BZ26" i="1" s="1"/>
  <c r="H20" i="3"/>
  <c r="BW231" i="1"/>
  <c r="CA231" i="1" s="1"/>
  <c r="H243" i="3"/>
  <c r="BW193" i="1"/>
  <c r="BY193" i="1" s="1"/>
  <c r="BZ193" i="1" s="1"/>
  <c r="H202" i="3"/>
  <c r="BW101" i="1"/>
  <c r="CA101" i="1" s="1"/>
  <c r="H100" i="3"/>
  <c r="BW88" i="1"/>
  <c r="CA88" i="1" s="1"/>
  <c r="H86" i="3"/>
  <c r="I232" i="3"/>
  <c r="J232" i="3" s="1"/>
  <c r="K232" i="3" s="1"/>
  <c r="I181" i="3"/>
  <c r="J181" i="3" s="1"/>
  <c r="K181" i="3" s="1"/>
  <c r="I138" i="3"/>
  <c r="J138" i="3" s="1"/>
  <c r="K138" i="3" s="1"/>
  <c r="I125" i="3"/>
  <c r="J125" i="3" s="1"/>
  <c r="K125" i="3" s="1"/>
  <c r="I113" i="3"/>
  <c r="J113" i="3" s="1"/>
  <c r="K113" i="3" s="1"/>
  <c r="I193" i="3"/>
  <c r="J193" i="3" s="1"/>
  <c r="K193" i="3" s="1"/>
  <c r="I179" i="3"/>
  <c r="J179" i="3" s="1"/>
  <c r="K179" i="3" s="1"/>
  <c r="I248" i="3"/>
  <c r="J248" i="3" s="1"/>
  <c r="K248" i="3" s="1"/>
  <c r="I218" i="3"/>
  <c r="J218" i="3" s="1"/>
  <c r="K218" i="3" s="1"/>
  <c r="I192" i="3"/>
  <c r="J192" i="3" s="1"/>
  <c r="K192" i="3" s="1"/>
  <c r="I89" i="3"/>
  <c r="J89" i="3" s="1"/>
  <c r="K89" i="3" s="1"/>
  <c r="I208" i="3"/>
  <c r="J208" i="3" s="1"/>
  <c r="K208" i="3" s="1"/>
  <c r="I17" i="3"/>
  <c r="J17" i="3" s="1"/>
  <c r="K17" i="3" s="1"/>
  <c r="I129" i="3"/>
  <c r="J129" i="3" s="1"/>
  <c r="K129" i="3" s="1"/>
  <c r="BW80" i="1"/>
  <c r="BY80" i="1" s="1"/>
  <c r="BZ80" i="1" s="1"/>
  <c r="H78" i="3"/>
  <c r="BW100" i="1"/>
  <c r="CA100" i="1" s="1"/>
  <c r="H99" i="3"/>
  <c r="BW211" i="1"/>
  <c r="CA211" i="1" s="1"/>
  <c r="H223" i="3"/>
  <c r="I229" i="3"/>
  <c r="J229" i="3" s="1"/>
  <c r="K229" i="3" s="1"/>
  <c r="BW117" i="1"/>
  <c r="BY117" i="1" s="1"/>
  <c r="H119" i="3"/>
  <c r="BW128" i="1"/>
  <c r="CA128" i="1" s="1"/>
  <c r="H132" i="3"/>
  <c r="BW166" i="1"/>
  <c r="CA166" i="1" s="1"/>
  <c r="H173" i="3"/>
  <c r="BW37" i="1"/>
  <c r="BY37" i="1" s="1"/>
  <c r="BZ37" i="1" s="1"/>
  <c r="H31" i="3"/>
  <c r="BW189" i="1"/>
  <c r="BY189" i="1" s="1"/>
  <c r="BZ189" i="1" s="1"/>
  <c r="H197" i="3"/>
  <c r="H198" i="3"/>
  <c r="BW131" i="1"/>
  <c r="BY131" i="1" s="1"/>
  <c r="BZ131" i="1" s="1"/>
  <c r="H135" i="3"/>
  <c r="BW149" i="1"/>
  <c r="BY149" i="1" s="1"/>
  <c r="H154" i="3"/>
  <c r="BW202" i="1"/>
  <c r="CA202" i="1" s="1"/>
  <c r="H214" i="3"/>
  <c r="BW135" i="1"/>
  <c r="BY135" i="1" s="1"/>
  <c r="BZ135" i="1" s="1"/>
  <c r="H139" i="3"/>
  <c r="BW71" i="1"/>
  <c r="BY71" i="1" s="1"/>
  <c r="BZ71" i="1" s="1"/>
  <c r="H69" i="3"/>
  <c r="BW114" i="1"/>
  <c r="CA114" i="1" s="1"/>
  <c r="H116" i="3"/>
  <c r="BW191" i="1"/>
  <c r="BY191" i="1" s="1"/>
  <c r="H200" i="3"/>
  <c r="BW89" i="1"/>
  <c r="CA89" i="1" s="1"/>
  <c r="H87" i="3"/>
  <c r="BW98" i="1"/>
  <c r="BY98" i="1" s="1"/>
  <c r="BZ98" i="1" s="1"/>
  <c r="H97" i="3"/>
  <c r="BW234" i="1"/>
  <c r="BY234" i="1" s="1"/>
  <c r="H246" i="3"/>
  <c r="H247" i="3"/>
  <c r="BW157" i="1"/>
  <c r="BY157" i="1" s="1"/>
  <c r="BZ157" i="1" s="1"/>
  <c r="H162" i="3"/>
  <c r="BW184" i="1"/>
  <c r="BY184" i="1" s="1"/>
  <c r="H191" i="3"/>
  <c r="BW176" i="1"/>
  <c r="CA176" i="1" s="1"/>
  <c r="H183" i="3"/>
  <c r="BY68" i="1"/>
  <c r="BZ68" i="1" s="1"/>
  <c r="BW221" i="1"/>
  <c r="CA221" i="1" s="1"/>
  <c r="H233" i="3"/>
  <c r="BW113" i="1"/>
  <c r="BY113" i="1" s="1"/>
  <c r="BZ113" i="1" s="1"/>
  <c r="H115" i="3"/>
  <c r="I160" i="3"/>
  <c r="J160" i="3" s="1"/>
  <c r="K160" i="3" s="1"/>
  <c r="I237" i="3"/>
  <c r="J237" i="3" s="1"/>
  <c r="K237" i="3" s="1"/>
  <c r="I16" i="3"/>
  <c r="J16" i="3" s="1"/>
  <c r="K16" i="3" s="1"/>
  <c r="I133" i="3"/>
  <c r="J133" i="3" s="1"/>
  <c r="K133" i="3" s="1"/>
  <c r="I186" i="3"/>
  <c r="J186" i="3" s="1"/>
  <c r="K186" i="3" s="1"/>
  <c r="I241" i="3"/>
  <c r="J241" i="3" s="1"/>
  <c r="K241" i="3" s="1"/>
  <c r="I166" i="3"/>
  <c r="J166" i="3" s="1"/>
  <c r="K166" i="3" s="1"/>
  <c r="I105" i="3"/>
  <c r="J105" i="3" s="1"/>
  <c r="K105" i="3" s="1"/>
  <c r="I215" i="3"/>
  <c r="J215" i="3" s="1"/>
  <c r="K215" i="3" s="1"/>
  <c r="I47" i="3"/>
  <c r="J47" i="3" s="1"/>
  <c r="K47" i="3" s="1"/>
  <c r="BW205" i="1"/>
  <c r="BY205" i="1" s="1"/>
  <c r="BZ205" i="1" s="1"/>
  <c r="H217" i="3"/>
  <c r="BW210" i="1"/>
  <c r="CA210" i="1" s="1"/>
  <c r="H222" i="3"/>
  <c r="BW144" i="1"/>
  <c r="CA144" i="1" s="1"/>
  <c r="H149" i="3"/>
  <c r="H148" i="3"/>
  <c r="BW238" i="1"/>
  <c r="CA238" i="1" s="1"/>
  <c r="H252" i="3"/>
  <c r="BW224" i="1"/>
  <c r="BY224" i="1" s="1"/>
  <c r="BZ224" i="1" s="1"/>
  <c r="H236" i="3"/>
  <c r="BW112" i="1"/>
  <c r="BY112" i="1" s="1"/>
  <c r="BZ112" i="1" s="1"/>
  <c r="H114" i="3"/>
  <c r="BW181" i="1"/>
  <c r="BY181" i="1" s="1"/>
  <c r="H188" i="3"/>
  <c r="BW196" i="1"/>
  <c r="BY196" i="1" s="1"/>
  <c r="BZ196" i="1" s="1"/>
  <c r="H205" i="3"/>
  <c r="H206" i="3"/>
  <c r="H207" i="3"/>
  <c r="BW39" i="1"/>
  <c r="CA39" i="1" s="1"/>
  <c r="H33" i="3"/>
  <c r="BW137" i="1"/>
  <c r="CA137" i="1" s="1"/>
  <c r="H141" i="3"/>
  <c r="BW199" i="1"/>
  <c r="BY199" i="1" s="1"/>
  <c r="BZ199" i="1" s="1"/>
  <c r="H210" i="3"/>
  <c r="BW136" i="1"/>
  <c r="BY136" i="1" s="1"/>
  <c r="H140" i="3"/>
  <c r="BW54" i="1"/>
  <c r="BY54" i="1" s="1"/>
  <c r="BZ54" i="1" s="1"/>
  <c r="H50" i="3"/>
  <c r="BW228" i="1"/>
  <c r="BY228" i="1" s="1"/>
  <c r="BZ228" i="1" s="1"/>
  <c r="H240" i="3"/>
  <c r="BW244" i="1"/>
  <c r="BY244" i="1" s="1"/>
  <c r="BZ244" i="1" s="1"/>
  <c r="H259" i="3"/>
  <c r="BW230" i="1"/>
  <c r="CA230" i="1" s="1"/>
  <c r="H242" i="3"/>
  <c r="BW32" i="1"/>
  <c r="BY32" i="1" s="1"/>
  <c r="BZ32" i="1" s="1"/>
  <c r="H26" i="3"/>
  <c r="BW241" i="1"/>
  <c r="CA241" i="1" s="1"/>
  <c r="H255" i="3"/>
  <c r="BW126" i="1"/>
  <c r="BY126" i="1" s="1"/>
  <c r="H130" i="3"/>
  <c r="BW177" i="1"/>
  <c r="BY177" i="1" s="1"/>
  <c r="BZ177" i="1" s="1"/>
  <c r="H184" i="3"/>
  <c r="BW67" i="1"/>
  <c r="CA67" i="1" s="1"/>
  <c r="H65" i="3"/>
  <c r="BW49" i="1"/>
  <c r="CA49" i="1" s="1"/>
  <c r="H45" i="3"/>
  <c r="BW192" i="1"/>
  <c r="CA192" i="1" s="1"/>
  <c r="H201" i="3"/>
  <c r="BW251" i="1"/>
  <c r="CA251" i="1" s="1"/>
  <c r="H266" i="3"/>
  <c r="H267" i="3"/>
  <c r="BW30" i="1"/>
  <c r="CA30" i="1" s="1"/>
  <c r="H24" i="3"/>
  <c r="BW120" i="1"/>
  <c r="BY120" i="1" s="1"/>
  <c r="H122" i="3"/>
  <c r="BW115" i="1"/>
  <c r="CA115" i="1" s="1"/>
  <c r="H117" i="3"/>
  <c r="I251" i="3"/>
  <c r="J251" i="3" s="1"/>
  <c r="K251" i="3" s="1"/>
  <c r="I29" i="3"/>
  <c r="J29" i="3" s="1"/>
  <c r="K29" i="3" s="1"/>
  <c r="I178" i="3"/>
  <c r="J178" i="3" s="1"/>
  <c r="K178" i="3" s="1"/>
  <c r="I54" i="3"/>
  <c r="J54" i="3" s="1"/>
  <c r="K54" i="3" s="1"/>
  <c r="I226" i="3"/>
  <c r="J226" i="3" s="1"/>
  <c r="K226" i="3" s="1"/>
  <c r="I220" i="3"/>
  <c r="J220" i="3" s="1"/>
  <c r="K220" i="3" s="1"/>
  <c r="I37" i="3"/>
  <c r="J37" i="3" s="1"/>
  <c r="K37" i="3" s="1"/>
  <c r="I57" i="3"/>
  <c r="J57" i="3" s="1"/>
  <c r="K57" i="3" s="1"/>
  <c r="I250" i="3"/>
  <c r="J250" i="3" s="1"/>
  <c r="K250" i="3" s="1"/>
  <c r="I15" i="3"/>
  <c r="J15" i="3" s="1"/>
  <c r="K15" i="3" s="1"/>
  <c r="I30" i="3"/>
  <c r="J30" i="3" s="1"/>
  <c r="K30" i="3" s="1"/>
  <c r="I165" i="3"/>
  <c r="J165" i="3" s="1"/>
  <c r="K165" i="3" s="1"/>
  <c r="I150" i="3"/>
  <c r="J150" i="3" s="1"/>
  <c r="K150" i="3" s="1"/>
  <c r="I83" i="3"/>
  <c r="J83" i="3" s="1"/>
  <c r="K83" i="3" s="1"/>
  <c r="I19" i="3"/>
  <c r="J19" i="3" s="1"/>
  <c r="K19" i="3" s="1"/>
  <c r="I127" i="3"/>
  <c r="J127" i="3" s="1"/>
  <c r="K127" i="3" s="1"/>
  <c r="I60" i="3"/>
  <c r="J60" i="3" s="1"/>
  <c r="K60" i="3" s="1"/>
  <c r="BW40" i="1"/>
  <c r="BY40" i="1" s="1"/>
  <c r="BZ40" i="1" s="1"/>
  <c r="H34" i="3"/>
  <c r="H35" i="3"/>
  <c r="H36" i="3"/>
  <c r="BW243" i="1"/>
  <c r="BY243" i="1" s="1"/>
  <c r="BZ243" i="1" s="1"/>
  <c r="H258" i="3"/>
  <c r="BW130" i="1"/>
  <c r="CA130" i="1" s="1"/>
  <c r="H134" i="3"/>
  <c r="BW161" i="1"/>
  <c r="BY161" i="1" s="1"/>
  <c r="BZ161" i="1" s="1"/>
  <c r="H167" i="3"/>
  <c r="BW146" i="1"/>
  <c r="CA146" i="1" s="1"/>
  <c r="H151" i="3"/>
  <c r="BW48" i="1"/>
  <c r="CA48" i="1" s="1"/>
  <c r="H44" i="3"/>
  <c r="BW141" i="1"/>
  <c r="CA141" i="1" s="1"/>
  <c r="H145" i="3"/>
  <c r="BW195" i="1"/>
  <c r="BY195" i="1" s="1"/>
  <c r="BZ195" i="1" s="1"/>
  <c r="H204" i="3"/>
  <c r="BW218" i="1"/>
  <c r="BY218" i="1" s="1"/>
  <c r="BZ218" i="1" s="1"/>
  <c r="H230" i="3"/>
  <c r="BW52" i="1"/>
  <c r="CA52" i="1" s="1"/>
  <c r="H48" i="3"/>
  <c r="BW107" i="1"/>
  <c r="BY107" i="1" s="1"/>
  <c r="BZ107" i="1" s="1"/>
  <c r="H106" i="3"/>
  <c r="BW87" i="1"/>
  <c r="BY87" i="1" s="1"/>
  <c r="BZ87" i="1" s="1"/>
  <c r="H85" i="3"/>
  <c r="BW102" i="1"/>
  <c r="BY102" i="1" s="1"/>
  <c r="H101" i="3"/>
  <c r="BW34" i="1"/>
  <c r="BY34" i="1" s="1"/>
  <c r="H28" i="3"/>
  <c r="BW139" i="1"/>
  <c r="CA139" i="1" s="1"/>
  <c r="H143" i="3"/>
  <c r="BW82" i="1"/>
  <c r="BY82" i="1" s="1"/>
  <c r="H80" i="3"/>
  <c r="BW167" i="1"/>
  <c r="BY167" i="1" s="1"/>
  <c r="BZ167" i="1" s="1"/>
  <c r="H174" i="3"/>
  <c r="BW103" i="1"/>
  <c r="BY103" i="1" s="1"/>
  <c r="BZ103" i="1" s="1"/>
  <c r="H102" i="3"/>
  <c r="BW140" i="1"/>
  <c r="CA140" i="1" s="1"/>
  <c r="H144" i="3"/>
  <c r="BW64" i="1"/>
  <c r="CA64" i="1" s="1"/>
  <c r="H62" i="3"/>
  <c r="BW42" i="1"/>
  <c r="BY42" i="1" s="1"/>
  <c r="BZ42" i="1" s="1"/>
  <c r="H38" i="3"/>
  <c r="BW75" i="1"/>
  <c r="CA75" i="1" s="1"/>
  <c r="H73" i="3"/>
  <c r="BW154" i="1"/>
  <c r="CA154" i="1" s="1"/>
  <c r="H159" i="3"/>
  <c r="I66" i="3"/>
  <c r="J66" i="3" s="1"/>
  <c r="K66" i="3" s="1"/>
  <c r="I262" i="3"/>
  <c r="J262" i="3" s="1"/>
  <c r="K262" i="3" s="1"/>
  <c r="I238" i="3"/>
  <c r="J238" i="3" s="1"/>
  <c r="K238" i="3" s="1"/>
  <c r="I249" i="3"/>
  <c r="J249" i="3" s="1"/>
  <c r="K249" i="3" s="1"/>
  <c r="I128" i="3"/>
  <c r="J128" i="3" s="1"/>
  <c r="K128" i="3" s="1"/>
  <c r="I161" i="3"/>
  <c r="J161" i="3" s="1"/>
  <c r="K161" i="3" s="1"/>
  <c r="I46" i="3"/>
  <c r="J46" i="3" s="1"/>
  <c r="K46" i="3" s="1"/>
  <c r="I59" i="3"/>
  <c r="J59" i="3" s="1"/>
  <c r="K59" i="3" s="1"/>
  <c r="CK143" i="1"/>
  <c r="CL143" i="1" s="1"/>
  <c r="CM143" i="1" s="1"/>
  <c r="CK206" i="1"/>
  <c r="CL206" i="1" s="1"/>
  <c r="CM206" i="1" s="1"/>
  <c r="CK162" i="1"/>
  <c r="CL162" i="1" s="1"/>
  <c r="CM162" i="1" s="1"/>
  <c r="CK93" i="1"/>
  <c r="CL93" i="1" s="1"/>
  <c r="CM93" i="1" s="1"/>
  <c r="CK60" i="1"/>
  <c r="CL60" i="1" s="1"/>
  <c r="CM60" i="1" s="1"/>
  <c r="CK63" i="1"/>
  <c r="CL63" i="1" s="1"/>
  <c r="CM63" i="1" s="1"/>
  <c r="CK38" i="1"/>
  <c r="CL38" i="1" s="1"/>
  <c r="CM38" i="1" s="1"/>
  <c r="CK174" i="1"/>
  <c r="CL174" i="1" s="1"/>
  <c r="CM174" i="1" s="1"/>
  <c r="CK111" i="1"/>
  <c r="CL111" i="1" s="1"/>
  <c r="CM111" i="1" s="1"/>
  <c r="J12" i="3"/>
  <c r="K12" i="3" s="1"/>
  <c r="J14" i="3"/>
  <c r="K14" i="3" s="1"/>
  <c r="J13" i="3"/>
  <c r="K13" i="3" s="1"/>
  <c r="CK134" i="1" l="1"/>
  <c r="CL134" i="1" s="1"/>
  <c r="CM134" i="1" s="1"/>
  <c r="CK178" i="1"/>
  <c r="CL178" i="1" s="1"/>
  <c r="CM178" i="1" s="1"/>
  <c r="CK172" i="1"/>
  <c r="CL172" i="1" s="1"/>
  <c r="CM172" i="1" s="1"/>
  <c r="BY148" i="1"/>
  <c r="BZ148" i="1" s="1"/>
  <c r="CK25" i="1"/>
  <c r="CL25" i="1" s="1"/>
  <c r="CM25" i="1" s="1"/>
  <c r="CK62" i="1"/>
  <c r="CL62" i="1" s="1"/>
  <c r="CM62" i="1" s="1"/>
  <c r="CK35" i="1"/>
  <c r="CL35" i="1" s="1"/>
  <c r="CM35" i="1" s="1"/>
  <c r="BY187" i="1"/>
  <c r="BZ187" i="1" s="1"/>
  <c r="CK186" i="1"/>
  <c r="CL186" i="1" s="1"/>
  <c r="CM186" i="1" s="1"/>
  <c r="CK237" i="1"/>
  <c r="CL237" i="1" s="1"/>
  <c r="CM237" i="1" s="1"/>
  <c r="CK185" i="1"/>
  <c r="CL185" i="1" s="1"/>
  <c r="CM185" i="1" s="1"/>
  <c r="CK20" i="1"/>
  <c r="CL20" i="1" s="1"/>
  <c r="CM20" i="1" s="1"/>
  <c r="CK163" i="1"/>
  <c r="CL163" i="1" s="1"/>
  <c r="CM163" i="1" s="1"/>
  <c r="CK91" i="1"/>
  <c r="CL91" i="1" s="1"/>
  <c r="CM91" i="1" s="1"/>
  <c r="CK212" i="1"/>
  <c r="CL212" i="1" s="1"/>
  <c r="CM212" i="1" s="1"/>
  <c r="CA26" i="1"/>
  <c r="CK121" i="1"/>
  <c r="CL121" i="1" s="1"/>
  <c r="CM121" i="1" s="1"/>
  <c r="CK201" i="1"/>
  <c r="CL201" i="1" s="1"/>
  <c r="CM201" i="1" s="1"/>
  <c r="CK21" i="1"/>
  <c r="CL21" i="1" s="1"/>
  <c r="CM21" i="1" s="1"/>
  <c r="CK217" i="1"/>
  <c r="CL217" i="1" s="1"/>
  <c r="CM217" i="1" s="1"/>
  <c r="BY248" i="1"/>
  <c r="BZ248" i="1" s="1"/>
  <c r="CK223" i="1"/>
  <c r="CL223" i="1" s="1"/>
  <c r="CM223" i="1" s="1"/>
  <c r="CA242" i="1"/>
  <c r="CK242" i="1" s="1"/>
  <c r="CL242" i="1" s="1"/>
  <c r="CM242" i="1" s="1"/>
  <c r="CK152" i="1"/>
  <c r="CL152" i="1" s="1"/>
  <c r="CM152" i="1" s="1"/>
  <c r="CK66" i="1"/>
  <c r="CL66" i="1" s="1"/>
  <c r="CM66" i="1" s="1"/>
  <c r="BY215" i="1"/>
  <c r="BZ215" i="1" s="1"/>
  <c r="BY211" i="1"/>
  <c r="BZ211" i="1" s="1"/>
  <c r="BY144" i="1"/>
  <c r="BZ144" i="1" s="1"/>
  <c r="CK51" i="1"/>
  <c r="CL51" i="1" s="1"/>
  <c r="CM51" i="1" s="1"/>
  <c r="CA234" i="1"/>
  <c r="BY114" i="1"/>
  <c r="BZ114" i="1" s="1"/>
  <c r="CA59" i="1"/>
  <c r="CK59" i="1" s="1"/>
  <c r="CL59" i="1" s="1"/>
  <c r="CM59" i="1" s="1"/>
  <c r="BY94" i="1"/>
  <c r="BZ94" i="1" s="1"/>
  <c r="CA149" i="1"/>
  <c r="CA190" i="1"/>
  <c r="CK190" i="1" s="1"/>
  <c r="CL190" i="1" s="1"/>
  <c r="CM190" i="1" s="1"/>
  <c r="BY141" i="1"/>
  <c r="BZ141" i="1" s="1"/>
  <c r="CK141" i="1" s="1"/>
  <c r="CL141" i="1" s="1"/>
  <c r="CM141" i="1" s="1"/>
  <c r="CA105" i="1"/>
  <c r="CK105" i="1" s="1"/>
  <c r="CL105" i="1" s="1"/>
  <c r="CM105" i="1" s="1"/>
  <c r="BY57" i="1"/>
  <c r="BZ57" i="1" s="1"/>
  <c r="CK72" i="1"/>
  <c r="CL72" i="1" s="1"/>
  <c r="CM72" i="1" s="1"/>
  <c r="CA69" i="1"/>
  <c r="CK179" i="1"/>
  <c r="CL179" i="1" s="1"/>
  <c r="CM179" i="1" s="1"/>
  <c r="CA56" i="1"/>
  <c r="CK56" i="1" s="1"/>
  <c r="CL56" i="1" s="1"/>
  <c r="CM56" i="1" s="1"/>
  <c r="CA173" i="1"/>
  <c r="CK173" i="1" s="1"/>
  <c r="CL173" i="1" s="1"/>
  <c r="CM173" i="1" s="1"/>
  <c r="CK208" i="1"/>
  <c r="CL208" i="1" s="1"/>
  <c r="CM208" i="1" s="1"/>
  <c r="BY213" i="1"/>
  <c r="BZ213" i="1" s="1"/>
  <c r="CA65" i="1"/>
  <c r="CK65" i="1" s="1"/>
  <c r="CL65" i="1" s="1"/>
  <c r="CM65" i="1" s="1"/>
  <c r="BY209" i="1"/>
  <c r="BZ209" i="1" s="1"/>
  <c r="CA191" i="1"/>
  <c r="BY168" i="1"/>
  <c r="BZ168" i="1" s="1"/>
  <c r="BY165" i="1"/>
  <c r="BZ165" i="1" s="1"/>
  <c r="CK225" i="1"/>
  <c r="CL225" i="1" s="1"/>
  <c r="CM225" i="1" s="1"/>
  <c r="CK220" i="1"/>
  <c r="CL220" i="1" s="1"/>
  <c r="CM220" i="1" s="1"/>
  <c r="BY119" i="1"/>
  <c r="BZ119" i="1" s="1"/>
  <c r="CA159" i="1"/>
  <c r="CK159" i="1" s="1"/>
  <c r="CL159" i="1" s="1"/>
  <c r="CM159" i="1" s="1"/>
  <c r="CK155" i="1"/>
  <c r="CL155" i="1" s="1"/>
  <c r="CM155" i="1" s="1"/>
  <c r="BY100" i="1"/>
  <c r="BZ100" i="1" s="1"/>
  <c r="CK100" i="1" s="1"/>
  <c r="CL100" i="1" s="1"/>
  <c r="CM100" i="1" s="1"/>
  <c r="CA133" i="1"/>
  <c r="CK133" i="1" s="1"/>
  <c r="CL133" i="1" s="1"/>
  <c r="CM133" i="1" s="1"/>
  <c r="BY175" i="1"/>
  <c r="BZ175" i="1" s="1"/>
  <c r="BY231" i="1"/>
  <c r="BZ231" i="1" s="1"/>
  <c r="CA98" i="1"/>
  <c r="CK98" i="1" s="1"/>
  <c r="CL98" i="1" s="1"/>
  <c r="CM98" i="1" s="1"/>
  <c r="CA116" i="1"/>
  <c r="BY46" i="1"/>
  <c r="BZ46" i="1" s="1"/>
  <c r="CK226" i="1"/>
  <c r="CL226" i="1" s="1"/>
  <c r="CM226" i="1" s="1"/>
  <c r="BY221" i="1"/>
  <c r="BZ221" i="1" s="1"/>
  <c r="CA239" i="1"/>
  <c r="CK239" i="1" s="1"/>
  <c r="CL239" i="1" s="1"/>
  <c r="CM239" i="1" s="1"/>
  <c r="BY67" i="1"/>
  <c r="BZ67" i="1" s="1"/>
  <c r="CA161" i="1"/>
  <c r="CK161" i="1" s="1"/>
  <c r="CL161" i="1" s="1"/>
  <c r="CM161" i="1" s="1"/>
  <c r="CA112" i="1"/>
  <c r="CK112" i="1" s="1"/>
  <c r="CL112" i="1" s="1"/>
  <c r="CM112" i="1" s="1"/>
  <c r="CA117" i="1"/>
  <c r="CA157" i="1"/>
  <c r="CK157" i="1" s="1"/>
  <c r="CL157" i="1" s="1"/>
  <c r="CM157" i="1" s="1"/>
  <c r="CA32" i="1"/>
  <c r="CK32" i="1" s="1"/>
  <c r="CL32" i="1" s="1"/>
  <c r="CM32" i="1" s="1"/>
  <c r="CA82" i="1"/>
  <c r="CA54" i="1"/>
  <c r="CK54" i="1" s="1"/>
  <c r="CL54" i="1" s="1"/>
  <c r="CM54" i="1" s="1"/>
  <c r="CA189" i="1"/>
  <c r="CK189" i="1" s="1"/>
  <c r="CL189" i="1" s="1"/>
  <c r="CM189" i="1" s="1"/>
  <c r="BY39" i="1"/>
  <c r="BZ39" i="1" s="1"/>
  <c r="CA40" i="1"/>
  <c r="CK40" i="1" s="1"/>
  <c r="CL40" i="1" s="1"/>
  <c r="CM40" i="1" s="1"/>
  <c r="BY64" i="1"/>
  <c r="BZ64" i="1" s="1"/>
  <c r="CA195" i="1"/>
  <c r="CK195" i="1" s="1"/>
  <c r="CL195" i="1" s="1"/>
  <c r="CM195" i="1" s="1"/>
  <c r="BY130" i="1"/>
  <c r="BZ130" i="1" s="1"/>
  <c r="CK130" i="1" s="1"/>
  <c r="CL130" i="1" s="1"/>
  <c r="CM130" i="1" s="1"/>
  <c r="BY202" i="1"/>
  <c r="BZ202" i="1" s="1"/>
  <c r="BY230" i="1"/>
  <c r="BZ230" i="1" s="1"/>
  <c r="CK169" i="1"/>
  <c r="CL169" i="1" s="1"/>
  <c r="CM169" i="1" s="1"/>
  <c r="BY251" i="1"/>
  <c r="BZ251" i="1" s="1"/>
  <c r="CK251" i="1" s="1"/>
  <c r="CL251" i="1" s="1"/>
  <c r="CM251" i="1" s="1"/>
  <c r="CK50" i="1"/>
  <c r="CL50" i="1" s="1"/>
  <c r="CM50" i="1" s="1"/>
  <c r="CA224" i="1"/>
  <c r="CK224" i="1" s="1"/>
  <c r="CL224" i="1" s="1"/>
  <c r="CM224" i="1" s="1"/>
  <c r="BY140" i="1"/>
  <c r="BZ140" i="1" s="1"/>
  <c r="CK19" i="1"/>
  <c r="CL19" i="1" s="1"/>
  <c r="CA177" i="1"/>
  <c r="CK177" i="1" s="1"/>
  <c r="CL177" i="1" s="1"/>
  <c r="CM177" i="1" s="1"/>
  <c r="CA136" i="1"/>
  <c r="CA95" i="1"/>
  <c r="BY88" i="1"/>
  <c r="BZ88" i="1" s="1"/>
  <c r="BY30" i="1"/>
  <c r="BZ30" i="1" s="1"/>
  <c r="BY44" i="1"/>
  <c r="BZ44" i="1" s="1"/>
  <c r="CA164" i="1"/>
  <c r="CK164" i="1" s="1"/>
  <c r="CL164" i="1" s="1"/>
  <c r="CM164" i="1" s="1"/>
  <c r="BY154" i="1"/>
  <c r="BZ154" i="1" s="1"/>
  <c r="CA80" i="1"/>
  <c r="CK80" i="1" s="1"/>
  <c r="CL80" i="1" s="1"/>
  <c r="CM80" i="1" s="1"/>
  <c r="Q249" i="3"/>
  <c r="R249" i="3" s="1"/>
  <c r="S249" i="3" s="1"/>
  <c r="CA107" i="1"/>
  <c r="CK107" i="1" s="1"/>
  <c r="CL107" i="1" s="1"/>
  <c r="CM107" i="1" s="1"/>
  <c r="Q96" i="3"/>
  <c r="R96" i="3" s="1"/>
  <c r="S96" i="3" s="1"/>
  <c r="CK124" i="1"/>
  <c r="CL124" i="1" s="1"/>
  <c r="CM124" i="1" s="1"/>
  <c r="BY180" i="1"/>
  <c r="BZ180" i="1" s="1"/>
  <c r="CA147" i="1"/>
  <c r="CK147" i="1" s="1"/>
  <c r="CL147" i="1" s="1"/>
  <c r="CM147" i="1" s="1"/>
  <c r="Q248" i="3"/>
  <c r="R248" i="3" s="1"/>
  <c r="S248" i="3" s="1"/>
  <c r="BY139" i="1"/>
  <c r="BZ139" i="1" s="1"/>
  <c r="Q82" i="3"/>
  <c r="R82" i="3" s="1"/>
  <c r="S82" i="3" s="1"/>
  <c r="CK194" i="1"/>
  <c r="CL194" i="1" s="1"/>
  <c r="CM194" i="1" s="1"/>
  <c r="CA87" i="1"/>
  <c r="CK87" i="1" s="1"/>
  <c r="CL87" i="1" s="1"/>
  <c r="CM87" i="1" s="1"/>
  <c r="CK214" i="1"/>
  <c r="CL214" i="1" s="1"/>
  <c r="CM214" i="1" s="1"/>
  <c r="Q138" i="3"/>
  <c r="R138" i="3" s="1"/>
  <c r="S138" i="3" s="1"/>
  <c r="BY192" i="1"/>
  <c r="BZ192" i="1" s="1"/>
  <c r="CA126" i="1"/>
  <c r="CA132" i="1"/>
  <c r="BY176" i="1"/>
  <c r="BZ176" i="1" s="1"/>
  <c r="CA199" i="1"/>
  <c r="CK199" i="1" s="1"/>
  <c r="CL199" i="1" s="1"/>
  <c r="CM199" i="1" s="1"/>
  <c r="CA150" i="1"/>
  <c r="CK150" i="1" s="1"/>
  <c r="CL150" i="1" s="1"/>
  <c r="CM150" i="1" s="1"/>
  <c r="CA24" i="1"/>
  <c r="CK24" i="1" s="1"/>
  <c r="CL24" i="1" s="1"/>
  <c r="CM24" i="1" s="1"/>
  <c r="BY137" i="1"/>
  <c r="BZ137" i="1" s="1"/>
  <c r="BY238" i="1"/>
  <c r="BZ238" i="1" s="1"/>
  <c r="BY227" i="1"/>
  <c r="BZ227" i="1" s="1"/>
  <c r="CK227" i="1" s="1"/>
  <c r="CL227" i="1" s="1"/>
  <c r="CM227" i="1" s="1"/>
  <c r="Q265" i="3"/>
  <c r="R265" i="3" s="1"/>
  <c r="S265" i="3" s="1"/>
  <c r="BY101" i="1"/>
  <c r="BZ101" i="1" s="1"/>
  <c r="CA204" i="1"/>
  <c r="CA232" i="1"/>
  <c r="CK232" i="1" s="1"/>
  <c r="CL232" i="1" s="1"/>
  <c r="CM232" i="1" s="1"/>
  <c r="CA196" i="1"/>
  <c r="CK196" i="1" s="1"/>
  <c r="CL196" i="1" s="1"/>
  <c r="CM196" i="1" s="1"/>
  <c r="CA244" i="1"/>
  <c r="CK244" i="1" s="1"/>
  <c r="CL244" i="1" s="1"/>
  <c r="CM244" i="1" s="1"/>
  <c r="BY49" i="1"/>
  <c r="BZ49" i="1" s="1"/>
  <c r="CK49" i="1" s="1"/>
  <c r="CL49" i="1" s="1"/>
  <c r="CM49" i="1" s="1"/>
  <c r="BY166" i="1"/>
  <c r="BZ166" i="1" s="1"/>
  <c r="CK229" i="1"/>
  <c r="CL229" i="1" s="1"/>
  <c r="CM229" i="1" s="1"/>
  <c r="BY99" i="1"/>
  <c r="BZ99" i="1" s="1"/>
  <c r="CK31" i="1"/>
  <c r="CL31" i="1" s="1"/>
  <c r="CM31" i="1" s="1"/>
  <c r="CA102" i="1"/>
  <c r="Q208" i="3"/>
  <c r="R208" i="3" s="1"/>
  <c r="S208" i="3" s="1"/>
  <c r="Q213" i="3"/>
  <c r="R213" i="3" s="1"/>
  <c r="S213" i="3" s="1"/>
  <c r="BZ82" i="1"/>
  <c r="CA218" i="1"/>
  <c r="CK218" i="1" s="1"/>
  <c r="CL218" i="1" s="1"/>
  <c r="CM218" i="1" s="1"/>
  <c r="CA170" i="1"/>
  <c r="CK170" i="1" s="1"/>
  <c r="CL170" i="1" s="1"/>
  <c r="CM170" i="1" s="1"/>
  <c r="CA120" i="1"/>
  <c r="Q209" i="3"/>
  <c r="R209" i="3" s="1"/>
  <c r="S209" i="3" s="1"/>
  <c r="Q190" i="3"/>
  <c r="R190" i="3" s="1"/>
  <c r="S190" i="3" s="1"/>
  <c r="BY128" i="1"/>
  <c r="BZ128" i="1" s="1"/>
  <c r="CA228" i="1"/>
  <c r="CK228" i="1" s="1"/>
  <c r="CL228" i="1" s="1"/>
  <c r="CM228" i="1" s="1"/>
  <c r="CA245" i="1"/>
  <c r="CK245" i="1" s="1"/>
  <c r="CL245" i="1" s="1"/>
  <c r="CM245" i="1" s="1"/>
  <c r="Q224" i="3"/>
  <c r="R224" i="3" s="1"/>
  <c r="Q72" i="3"/>
  <c r="R72" i="3" s="1"/>
  <c r="S72" i="3" s="1"/>
  <c r="BY241" i="1"/>
  <c r="BZ241" i="1" s="1"/>
  <c r="CA181" i="1"/>
  <c r="CA184" i="1"/>
  <c r="CA138" i="1"/>
  <c r="BY207" i="1"/>
  <c r="BZ207" i="1" s="1"/>
  <c r="CK207" i="1" s="1"/>
  <c r="CL207" i="1" s="1"/>
  <c r="CM207" i="1" s="1"/>
  <c r="CA131" i="1"/>
  <c r="CK131" i="1" s="1"/>
  <c r="CL131" i="1" s="1"/>
  <c r="CM131" i="1" s="1"/>
  <c r="CA193" i="1"/>
  <c r="CK193" i="1" s="1"/>
  <c r="CL193" i="1" s="1"/>
  <c r="CM193" i="1" s="1"/>
  <c r="CA151" i="1"/>
  <c r="CK151" i="1" s="1"/>
  <c r="CL151" i="1" s="1"/>
  <c r="CM151" i="1" s="1"/>
  <c r="Q127" i="3"/>
  <c r="R127" i="3" s="1"/>
  <c r="S127" i="3" s="1"/>
  <c r="Q58" i="3"/>
  <c r="R58" i="3" s="1"/>
  <c r="S58" i="3" s="1"/>
  <c r="CA27" i="1"/>
  <c r="CK27" i="1" s="1"/>
  <c r="CL27" i="1" s="1"/>
  <c r="CM27" i="1" s="1"/>
  <c r="CA71" i="1"/>
  <c r="CK71" i="1" s="1"/>
  <c r="CL71" i="1" s="1"/>
  <c r="CM71" i="1" s="1"/>
  <c r="CA86" i="1"/>
  <c r="CA43" i="1"/>
  <c r="CK43" i="1" s="1"/>
  <c r="CL43" i="1" s="1"/>
  <c r="CM43" i="1" s="1"/>
  <c r="CK118" i="1"/>
  <c r="CL118" i="1" s="1"/>
  <c r="CM118" i="1" s="1"/>
  <c r="CK156" i="1"/>
  <c r="CL156" i="1" s="1"/>
  <c r="CM156" i="1" s="1"/>
  <c r="Q25" i="3"/>
  <c r="R25" i="3" s="1"/>
  <c r="S25" i="3" s="1"/>
  <c r="BY104" i="1"/>
  <c r="BZ104" i="1" s="1"/>
  <c r="CK68" i="1"/>
  <c r="CL68" i="1" s="1"/>
  <c r="CM68" i="1" s="1"/>
  <c r="Q17" i="3"/>
  <c r="R17" i="3" s="1"/>
  <c r="S17" i="3" s="1"/>
  <c r="Q218" i="3"/>
  <c r="R218" i="3" s="1"/>
  <c r="S218" i="3" s="1"/>
  <c r="Q113" i="3"/>
  <c r="R113" i="3" s="1"/>
  <c r="S113" i="3" s="1"/>
  <c r="Q61" i="3"/>
  <c r="R61" i="3" s="1"/>
  <c r="S61" i="3" s="1"/>
  <c r="Q124" i="3"/>
  <c r="R124" i="3" s="1"/>
  <c r="S124" i="3" s="1"/>
  <c r="CA55" i="1"/>
  <c r="CK55" i="1" s="1"/>
  <c r="CL55" i="1" s="1"/>
  <c r="CM55" i="1" s="1"/>
  <c r="CA83" i="1"/>
  <c r="CA53" i="1"/>
  <c r="CA103" i="1"/>
  <c r="CK103" i="1" s="1"/>
  <c r="CL103" i="1" s="1"/>
  <c r="CM103" i="1" s="1"/>
  <c r="Q59" i="3"/>
  <c r="R59" i="3" s="1"/>
  <c r="S59" i="3" s="1"/>
  <c r="Q23" i="3"/>
  <c r="R23" i="3" s="1"/>
  <c r="S23" i="3" s="1"/>
  <c r="Q254" i="3"/>
  <c r="R254" i="3" s="1"/>
  <c r="S254" i="3" s="1"/>
  <c r="Q147" i="3"/>
  <c r="R147" i="3" s="1"/>
  <c r="S147" i="3" s="1"/>
  <c r="BY73" i="1"/>
  <c r="BZ73" i="1" s="1"/>
  <c r="BY45" i="1"/>
  <c r="BZ45" i="1" s="1"/>
  <c r="CA37" i="1"/>
  <c r="CK37" i="1" s="1"/>
  <c r="CL37" i="1" s="1"/>
  <c r="CM37" i="1" s="1"/>
  <c r="Q89" i="3"/>
  <c r="R89" i="3" s="1"/>
  <c r="S89" i="3" s="1"/>
  <c r="Q179" i="3"/>
  <c r="R179" i="3" s="1"/>
  <c r="S179" i="3" s="1"/>
  <c r="Q146" i="3"/>
  <c r="R146" i="3" s="1"/>
  <c r="S146" i="3" s="1"/>
  <c r="CA92" i="1"/>
  <c r="CK92" i="1" s="1"/>
  <c r="CL92" i="1" s="1"/>
  <c r="CM92" i="1" s="1"/>
  <c r="CA188" i="1"/>
  <c r="CK188" i="1" s="1"/>
  <c r="CL188" i="1" s="1"/>
  <c r="CM188" i="1" s="1"/>
  <c r="Q241" i="3"/>
  <c r="R241" i="3" s="1"/>
  <c r="S241" i="3" s="1"/>
  <c r="Q181" i="3"/>
  <c r="R181" i="3" s="1"/>
  <c r="S181" i="3" s="1"/>
  <c r="Q91" i="3"/>
  <c r="R91" i="3" s="1"/>
  <c r="S91" i="3" s="1"/>
  <c r="Q79" i="3"/>
  <c r="R79" i="3" s="1"/>
  <c r="S79" i="3" s="1"/>
  <c r="Q229" i="3"/>
  <c r="R229" i="3" s="1"/>
  <c r="S229" i="3" s="1"/>
  <c r="Q129" i="3"/>
  <c r="R129" i="3" s="1"/>
  <c r="S129" i="3" s="1"/>
  <c r="Q192" i="3"/>
  <c r="R192" i="3" s="1"/>
  <c r="S192" i="3" s="1"/>
  <c r="Q193" i="3"/>
  <c r="R193" i="3" s="1"/>
  <c r="S193" i="3" s="1"/>
  <c r="Q131" i="3"/>
  <c r="R131" i="3" s="1"/>
  <c r="S131" i="3" s="1"/>
  <c r="Q168" i="3"/>
  <c r="R168" i="3" s="1"/>
  <c r="S168" i="3" s="1"/>
  <c r="I207" i="3"/>
  <c r="J207" i="3" s="1"/>
  <c r="K207" i="3" s="1"/>
  <c r="I78" i="3"/>
  <c r="J78" i="3" s="1"/>
  <c r="K78" i="3" s="1"/>
  <c r="I100" i="3"/>
  <c r="J100" i="3" s="1"/>
  <c r="K100" i="3" s="1"/>
  <c r="I244" i="3"/>
  <c r="J244" i="3" s="1"/>
  <c r="K244" i="3" s="1"/>
  <c r="I95" i="3"/>
  <c r="J95" i="3" s="1"/>
  <c r="K95" i="3" s="1"/>
  <c r="I107" i="3"/>
  <c r="J107" i="3" s="1"/>
  <c r="K107" i="3" s="1"/>
  <c r="I216" i="3"/>
  <c r="J216" i="3" s="1"/>
  <c r="K216" i="3" s="1"/>
  <c r="I256" i="3"/>
  <c r="J256" i="3" s="1"/>
  <c r="K256" i="3" s="1"/>
  <c r="I225" i="3"/>
  <c r="J225" i="3" s="1"/>
  <c r="K225" i="3" s="1"/>
  <c r="I40" i="3"/>
  <c r="J40" i="3" s="1"/>
  <c r="K40" i="3" s="1"/>
  <c r="I239" i="3"/>
  <c r="J239" i="3" s="1"/>
  <c r="K239" i="3" s="1"/>
  <c r="I136" i="3"/>
  <c r="J136" i="3" s="1"/>
  <c r="K136" i="3" s="1"/>
  <c r="I18" i="3"/>
  <c r="J18" i="3" s="1"/>
  <c r="K18" i="3" s="1"/>
  <c r="I155" i="3"/>
  <c r="J155" i="3" s="1"/>
  <c r="K155" i="3" s="1"/>
  <c r="CA135" i="1"/>
  <c r="CK135" i="1" s="1"/>
  <c r="CL135" i="1" s="1"/>
  <c r="CM135" i="1" s="1"/>
  <c r="CA113" i="1"/>
  <c r="CK113" i="1" s="1"/>
  <c r="CL113" i="1" s="1"/>
  <c r="CM113" i="1" s="1"/>
  <c r="Q161" i="3"/>
  <c r="R161" i="3" s="1"/>
  <c r="S161" i="3" s="1"/>
  <c r="Q262" i="3"/>
  <c r="R262" i="3" s="1"/>
  <c r="S262" i="3" s="1"/>
  <c r="I38" i="3"/>
  <c r="J38" i="3" s="1"/>
  <c r="K38" i="3" s="1"/>
  <c r="I174" i="3"/>
  <c r="J174" i="3" s="1"/>
  <c r="K174" i="3" s="1"/>
  <c r="I101" i="3"/>
  <c r="J101" i="3" s="1"/>
  <c r="K101" i="3" s="1"/>
  <c r="I230" i="3"/>
  <c r="J230" i="3" s="1"/>
  <c r="K230" i="3" s="1"/>
  <c r="I151" i="3"/>
  <c r="J151" i="3" s="1"/>
  <c r="K151" i="3" s="1"/>
  <c r="I36" i="3"/>
  <c r="J36" i="3" s="1"/>
  <c r="K36" i="3" s="1"/>
  <c r="Q165" i="3"/>
  <c r="R165" i="3" s="1"/>
  <c r="S165" i="3" s="1"/>
  <c r="Q57" i="3"/>
  <c r="R57" i="3" s="1"/>
  <c r="S57" i="3" s="1"/>
  <c r="Q54" i="3"/>
  <c r="R54" i="3" s="1"/>
  <c r="S54" i="3" s="1"/>
  <c r="I117" i="3"/>
  <c r="J117" i="3" s="1"/>
  <c r="K117" i="3" s="1"/>
  <c r="I206" i="3"/>
  <c r="J206" i="3" s="1"/>
  <c r="K206" i="3" s="1"/>
  <c r="I217" i="3"/>
  <c r="J217" i="3" s="1"/>
  <c r="K217" i="3" s="1"/>
  <c r="Q166" i="3"/>
  <c r="R166" i="3" s="1"/>
  <c r="S166" i="3" s="1"/>
  <c r="Q16" i="3"/>
  <c r="R16" i="3" s="1"/>
  <c r="S16" i="3" s="1"/>
  <c r="I233" i="3"/>
  <c r="J233" i="3" s="1"/>
  <c r="K233" i="3" s="1"/>
  <c r="I200" i="3"/>
  <c r="J200" i="3" s="1"/>
  <c r="K200" i="3" s="1"/>
  <c r="I214" i="3"/>
  <c r="J214" i="3" s="1"/>
  <c r="K214" i="3" s="1"/>
  <c r="I94" i="3"/>
  <c r="J94" i="3" s="1"/>
  <c r="K94" i="3" s="1"/>
  <c r="I109" i="3"/>
  <c r="J109" i="3" s="1"/>
  <c r="K109" i="3" s="1"/>
  <c r="I22" i="3"/>
  <c r="J22" i="3" s="1"/>
  <c r="K22" i="3" s="1"/>
  <c r="I74" i="3"/>
  <c r="J74" i="3" s="1"/>
  <c r="K74" i="3" s="1"/>
  <c r="Q163" i="3"/>
  <c r="R163" i="3" s="1"/>
  <c r="S163" i="3" s="1"/>
  <c r="Q126" i="3"/>
  <c r="R126" i="3" s="1"/>
  <c r="S126" i="3" s="1"/>
  <c r="I211" i="3"/>
  <c r="J211" i="3" s="1"/>
  <c r="K211" i="3" s="1"/>
  <c r="I77" i="3"/>
  <c r="J77" i="3" s="1"/>
  <c r="K77" i="3" s="1"/>
  <c r="I49" i="3"/>
  <c r="J49" i="3" s="1"/>
  <c r="K49" i="3" s="1"/>
  <c r="I112" i="3"/>
  <c r="J112" i="3" s="1"/>
  <c r="K112" i="3" s="1"/>
  <c r="I228" i="3"/>
  <c r="J228" i="3" s="1"/>
  <c r="K228" i="3" s="1"/>
  <c r="Q64" i="3"/>
  <c r="R64" i="3" s="1"/>
  <c r="S64" i="3" s="1"/>
  <c r="Q212" i="3"/>
  <c r="R212" i="3" s="1"/>
  <c r="S212" i="3" s="1"/>
  <c r="Q169" i="3"/>
  <c r="R169" i="3" s="1"/>
  <c r="S169" i="3" s="1"/>
  <c r="I184" i="3"/>
  <c r="J184" i="3" s="1"/>
  <c r="K184" i="3" s="1"/>
  <c r="I259" i="3"/>
  <c r="J259" i="3" s="1"/>
  <c r="K259" i="3" s="1"/>
  <c r="I205" i="3"/>
  <c r="J205" i="3" s="1"/>
  <c r="K205" i="3" s="1"/>
  <c r="I31" i="3"/>
  <c r="J31" i="3" s="1"/>
  <c r="K31" i="3" s="1"/>
  <c r="I98" i="3"/>
  <c r="J98" i="3" s="1"/>
  <c r="K98" i="3" s="1"/>
  <c r="I199" i="3"/>
  <c r="J199" i="3" s="1"/>
  <c r="K199" i="3" s="1"/>
  <c r="I118" i="3"/>
  <c r="J118" i="3" s="1"/>
  <c r="K118" i="3" s="1"/>
  <c r="I164" i="3"/>
  <c r="J164" i="3" s="1"/>
  <c r="K164" i="3" s="1"/>
  <c r="BY75" i="1"/>
  <c r="BZ75" i="1" s="1"/>
  <c r="BY48" i="1"/>
  <c r="BZ48" i="1" s="1"/>
  <c r="CK48" i="1" s="1"/>
  <c r="CL48" i="1" s="1"/>
  <c r="CM48" i="1" s="1"/>
  <c r="CA96" i="1"/>
  <c r="BY52" i="1"/>
  <c r="BZ52" i="1" s="1"/>
  <c r="CK52" i="1" s="1"/>
  <c r="CL52" i="1" s="1"/>
  <c r="CM52" i="1" s="1"/>
  <c r="CA28" i="1"/>
  <c r="CK28" i="1" s="1"/>
  <c r="CL28" i="1" s="1"/>
  <c r="CM28" i="1" s="1"/>
  <c r="CA109" i="1"/>
  <c r="CK109" i="1" s="1"/>
  <c r="CL109" i="1" s="1"/>
  <c r="CM109" i="1" s="1"/>
  <c r="CA90" i="1"/>
  <c r="CK90" i="1" s="1"/>
  <c r="CL90" i="1" s="1"/>
  <c r="CM90" i="1" s="1"/>
  <c r="CA47" i="1"/>
  <c r="CK47" i="1" s="1"/>
  <c r="CL47" i="1" s="1"/>
  <c r="CM47" i="1" s="1"/>
  <c r="CA108" i="1"/>
  <c r="CK108" i="1" s="1"/>
  <c r="CL108" i="1" s="1"/>
  <c r="CM108" i="1" s="1"/>
  <c r="BY146" i="1"/>
  <c r="BZ146" i="1" s="1"/>
  <c r="Q128" i="3"/>
  <c r="R128" i="3" s="1"/>
  <c r="S128" i="3" s="1"/>
  <c r="Q66" i="3"/>
  <c r="R66" i="3" s="1"/>
  <c r="S66" i="3" s="1"/>
  <c r="I62" i="3"/>
  <c r="J62" i="3" s="1"/>
  <c r="K62" i="3" s="1"/>
  <c r="I80" i="3"/>
  <c r="J80" i="3" s="1"/>
  <c r="K80" i="3" s="1"/>
  <c r="I85" i="3"/>
  <c r="J85" i="3" s="1"/>
  <c r="K85" i="3" s="1"/>
  <c r="I204" i="3"/>
  <c r="J204" i="3" s="1"/>
  <c r="K204" i="3" s="1"/>
  <c r="I167" i="3"/>
  <c r="J167" i="3" s="1"/>
  <c r="K167" i="3" s="1"/>
  <c r="I34" i="3"/>
  <c r="J34" i="3" s="1"/>
  <c r="K34" i="3" s="1"/>
  <c r="Q19" i="3"/>
  <c r="R19" i="3" s="1"/>
  <c r="S19" i="3" s="1"/>
  <c r="Q30" i="3"/>
  <c r="R30" i="3" s="1"/>
  <c r="S30" i="3" s="1"/>
  <c r="Q37" i="3"/>
  <c r="R37" i="3" s="1"/>
  <c r="S37" i="3" s="1"/>
  <c r="Q178" i="3"/>
  <c r="R178" i="3" s="1"/>
  <c r="S178" i="3" s="1"/>
  <c r="I122" i="3"/>
  <c r="J122" i="3" s="1"/>
  <c r="K122" i="3" s="1"/>
  <c r="Q47" i="3"/>
  <c r="R47" i="3" s="1"/>
  <c r="S47" i="3" s="1"/>
  <c r="Q237" i="3"/>
  <c r="R237" i="3" s="1"/>
  <c r="S237" i="3" s="1"/>
  <c r="I246" i="3"/>
  <c r="J246" i="3" s="1"/>
  <c r="K246" i="3" s="1"/>
  <c r="I116" i="3"/>
  <c r="J116" i="3" s="1"/>
  <c r="K116" i="3" s="1"/>
  <c r="I154" i="3"/>
  <c r="J154" i="3" s="1"/>
  <c r="K154" i="3" s="1"/>
  <c r="I194" i="3"/>
  <c r="J194" i="3" s="1"/>
  <c r="K194" i="3" s="1"/>
  <c r="I153" i="3"/>
  <c r="J153" i="3" s="1"/>
  <c r="K153" i="3" s="1"/>
  <c r="I39" i="3"/>
  <c r="J39" i="3" s="1"/>
  <c r="K39" i="3" s="1"/>
  <c r="Q261" i="3"/>
  <c r="R261" i="3" s="1"/>
  <c r="S261" i="3" s="1"/>
  <c r="I156" i="3"/>
  <c r="J156" i="3" s="1"/>
  <c r="K156" i="3" s="1"/>
  <c r="I53" i="3"/>
  <c r="J53" i="3" s="1"/>
  <c r="K53" i="3" s="1"/>
  <c r="I56" i="3"/>
  <c r="J56" i="3" s="1"/>
  <c r="K56" i="3" s="1"/>
  <c r="I67" i="3"/>
  <c r="J67" i="3" s="1"/>
  <c r="K67" i="3" s="1"/>
  <c r="I242" i="3"/>
  <c r="J242" i="3" s="1"/>
  <c r="K242" i="3" s="1"/>
  <c r="I201" i="3"/>
  <c r="J201" i="3" s="1"/>
  <c r="K201" i="3" s="1"/>
  <c r="I210" i="3"/>
  <c r="J210" i="3" s="1"/>
  <c r="K210" i="3" s="1"/>
  <c r="I252" i="3"/>
  <c r="J252" i="3" s="1"/>
  <c r="K252" i="3" s="1"/>
  <c r="I247" i="3"/>
  <c r="J247" i="3" s="1"/>
  <c r="K247" i="3" s="1"/>
  <c r="I202" i="3"/>
  <c r="J202" i="3" s="1"/>
  <c r="K202" i="3" s="1"/>
  <c r="I84" i="3"/>
  <c r="J84" i="3" s="1"/>
  <c r="K84" i="3" s="1"/>
  <c r="I92" i="3"/>
  <c r="J92" i="3" s="1"/>
  <c r="K92" i="3" s="1"/>
  <c r="I152" i="3"/>
  <c r="J152" i="3" s="1"/>
  <c r="K152" i="3" s="1"/>
  <c r="I172" i="3"/>
  <c r="J172" i="3" s="1"/>
  <c r="K172" i="3" s="1"/>
  <c r="I263" i="3"/>
  <c r="J263" i="3" s="1"/>
  <c r="K263" i="3" s="1"/>
  <c r="I182" i="3"/>
  <c r="J182" i="3" s="1"/>
  <c r="K182" i="3" s="1"/>
  <c r="CA76" i="1"/>
  <c r="CK76" i="1" s="1"/>
  <c r="CL76" i="1" s="1"/>
  <c r="CM76" i="1" s="1"/>
  <c r="BY200" i="1"/>
  <c r="BZ200" i="1" s="1"/>
  <c r="CK200" i="1" s="1"/>
  <c r="CL200" i="1" s="1"/>
  <c r="CM200" i="1" s="1"/>
  <c r="I45" i="3"/>
  <c r="J45" i="3" s="1"/>
  <c r="K45" i="3" s="1"/>
  <c r="I255" i="3"/>
  <c r="J255" i="3" s="1"/>
  <c r="K255" i="3" s="1"/>
  <c r="I240" i="3"/>
  <c r="J240" i="3" s="1"/>
  <c r="K240" i="3" s="1"/>
  <c r="I141" i="3"/>
  <c r="J141" i="3" s="1"/>
  <c r="K141" i="3" s="1"/>
  <c r="I188" i="3"/>
  <c r="J188" i="3" s="1"/>
  <c r="K188" i="3" s="1"/>
  <c r="I148" i="3"/>
  <c r="J148" i="3" s="1"/>
  <c r="K148" i="3" s="1"/>
  <c r="I183" i="3"/>
  <c r="J183" i="3" s="1"/>
  <c r="K183" i="3" s="1"/>
  <c r="I173" i="3"/>
  <c r="J173" i="3" s="1"/>
  <c r="K173" i="3" s="1"/>
  <c r="I223" i="3"/>
  <c r="J223" i="3" s="1"/>
  <c r="K223" i="3" s="1"/>
  <c r="I243" i="3"/>
  <c r="J243" i="3" s="1"/>
  <c r="K243" i="3" s="1"/>
  <c r="I51" i="3"/>
  <c r="J51" i="3" s="1"/>
  <c r="K51" i="3" s="1"/>
  <c r="I42" i="3"/>
  <c r="J42" i="3" s="1"/>
  <c r="K42" i="3" s="1"/>
  <c r="I103" i="3"/>
  <c r="J103" i="3" s="1"/>
  <c r="K103" i="3" s="1"/>
  <c r="I221" i="3"/>
  <c r="J221" i="3" s="1"/>
  <c r="K221" i="3" s="1"/>
  <c r="I253" i="3"/>
  <c r="J253" i="3" s="1"/>
  <c r="K253" i="3" s="1"/>
  <c r="I227" i="3"/>
  <c r="J227" i="3" s="1"/>
  <c r="K227" i="3" s="1"/>
  <c r="I55" i="3"/>
  <c r="J55" i="3" s="1"/>
  <c r="K55" i="3" s="1"/>
  <c r="I21" i="3"/>
  <c r="J21" i="3" s="1"/>
  <c r="K21" i="3" s="1"/>
  <c r="I142" i="3"/>
  <c r="J142" i="3" s="1"/>
  <c r="K142" i="3" s="1"/>
  <c r="I177" i="3"/>
  <c r="J177" i="3" s="1"/>
  <c r="K177" i="3" s="1"/>
  <c r="I219" i="3"/>
  <c r="J219" i="3" s="1"/>
  <c r="K219" i="3" s="1"/>
  <c r="I260" i="3"/>
  <c r="J260" i="3" s="1"/>
  <c r="K260" i="3" s="1"/>
  <c r="Q123" i="3"/>
  <c r="R123" i="3" s="1"/>
  <c r="S123" i="3" s="1"/>
  <c r="Q234" i="3"/>
  <c r="R234" i="3" s="1"/>
  <c r="S234" i="3" s="1"/>
  <c r="Q176" i="3"/>
  <c r="R176" i="3" s="1"/>
  <c r="S176" i="3" s="1"/>
  <c r="I130" i="3"/>
  <c r="J130" i="3" s="1"/>
  <c r="K130" i="3" s="1"/>
  <c r="CA167" i="1"/>
  <c r="CK167" i="1" s="1"/>
  <c r="CL167" i="1" s="1"/>
  <c r="CM167" i="1" s="1"/>
  <c r="BY210" i="1"/>
  <c r="BZ210" i="1" s="1"/>
  <c r="CA42" i="1"/>
  <c r="CK42" i="1" s="1"/>
  <c r="CL42" i="1" s="1"/>
  <c r="CM42" i="1" s="1"/>
  <c r="CA34" i="1"/>
  <c r="CA216" i="1"/>
  <c r="CK216" i="1" s="1"/>
  <c r="CL216" i="1" s="1"/>
  <c r="CM216" i="1" s="1"/>
  <c r="I159" i="3"/>
  <c r="J159" i="3" s="1"/>
  <c r="K159" i="3" s="1"/>
  <c r="I144" i="3"/>
  <c r="J144" i="3" s="1"/>
  <c r="K144" i="3" s="1"/>
  <c r="I143" i="3"/>
  <c r="J143" i="3" s="1"/>
  <c r="K143" i="3" s="1"/>
  <c r="I106" i="3"/>
  <c r="J106" i="3" s="1"/>
  <c r="K106" i="3" s="1"/>
  <c r="I145" i="3"/>
  <c r="J145" i="3" s="1"/>
  <c r="K145" i="3" s="1"/>
  <c r="I134" i="3"/>
  <c r="J134" i="3" s="1"/>
  <c r="K134" i="3" s="1"/>
  <c r="Q83" i="3"/>
  <c r="R83" i="3" s="1"/>
  <c r="S83" i="3" s="1"/>
  <c r="Q15" i="3"/>
  <c r="R15" i="3" s="1"/>
  <c r="S15" i="3" s="1"/>
  <c r="Q220" i="3"/>
  <c r="R220" i="3" s="1"/>
  <c r="S220" i="3" s="1"/>
  <c r="Q29" i="3"/>
  <c r="R29" i="3" s="1"/>
  <c r="S29" i="3" s="1"/>
  <c r="I24" i="3"/>
  <c r="J24" i="3" s="1"/>
  <c r="K24" i="3" s="1"/>
  <c r="I149" i="3"/>
  <c r="J149" i="3" s="1"/>
  <c r="K149" i="3" s="1"/>
  <c r="Q215" i="3"/>
  <c r="R215" i="3" s="1"/>
  <c r="S215" i="3" s="1"/>
  <c r="Q186" i="3"/>
  <c r="R186" i="3" s="1"/>
  <c r="S186" i="3" s="1"/>
  <c r="Q160" i="3"/>
  <c r="R160" i="3" s="1"/>
  <c r="S160" i="3" s="1"/>
  <c r="I97" i="3"/>
  <c r="J97" i="3" s="1"/>
  <c r="K97" i="3" s="1"/>
  <c r="I69" i="3"/>
  <c r="J69" i="3" s="1"/>
  <c r="K69" i="3" s="1"/>
  <c r="I135" i="3"/>
  <c r="J135" i="3" s="1"/>
  <c r="K135" i="3" s="1"/>
  <c r="Q232" i="3"/>
  <c r="R232" i="3" s="1"/>
  <c r="S232" i="3" s="1"/>
  <c r="I52" i="3"/>
  <c r="J52" i="3" s="1"/>
  <c r="K52" i="3" s="1"/>
  <c r="Q157" i="3"/>
  <c r="R157" i="3" s="1"/>
  <c r="S157" i="3" s="1"/>
  <c r="Q75" i="3"/>
  <c r="R75" i="3" s="1"/>
  <c r="S75" i="3" s="1"/>
  <c r="Q158" i="3"/>
  <c r="R158" i="3" s="1"/>
  <c r="S158" i="3" s="1"/>
  <c r="I90" i="3"/>
  <c r="J90" i="3" s="1"/>
  <c r="K90" i="3" s="1"/>
  <c r="I175" i="3"/>
  <c r="J175" i="3" s="1"/>
  <c r="K175" i="3" s="1"/>
  <c r="I63" i="3"/>
  <c r="J63" i="3" s="1"/>
  <c r="K63" i="3" s="1"/>
  <c r="I196" i="3"/>
  <c r="J196" i="3" s="1"/>
  <c r="K196" i="3" s="1"/>
  <c r="I266" i="3"/>
  <c r="J266" i="3" s="1"/>
  <c r="K266" i="3" s="1"/>
  <c r="I236" i="3"/>
  <c r="J236" i="3" s="1"/>
  <c r="K236" i="3" s="1"/>
  <c r="I162" i="3"/>
  <c r="J162" i="3" s="1"/>
  <c r="K162" i="3" s="1"/>
  <c r="I119" i="3"/>
  <c r="J119" i="3" s="1"/>
  <c r="K119" i="3" s="1"/>
  <c r="I35" i="3"/>
  <c r="J35" i="3" s="1"/>
  <c r="K35" i="3" s="1"/>
  <c r="BY110" i="1"/>
  <c r="BZ110" i="1" s="1"/>
  <c r="BY79" i="1"/>
  <c r="BZ79" i="1" s="1"/>
  <c r="CK79" i="1" s="1"/>
  <c r="CL79" i="1" s="1"/>
  <c r="CM79" i="1" s="1"/>
  <c r="CA243" i="1"/>
  <c r="CK243" i="1" s="1"/>
  <c r="CL243" i="1" s="1"/>
  <c r="CM243" i="1" s="1"/>
  <c r="BY89" i="1"/>
  <c r="BZ89" i="1" s="1"/>
  <c r="CA205" i="1"/>
  <c r="CK205" i="1" s="1"/>
  <c r="CL205" i="1" s="1"/>
  <c r="CM205" i="1" s="1"/>
  <c r="BY115" i="1"/>
  <c r="BZ115" i="1" s="1"/>
  <c r="CK115" i="1" s="1"/>
  <c r="CL115" i="1" s="1"/>
  <c r="CM115" i="1" s="1"/>
  <c r="I65" i="3"/>
  <c r="J65" i="3" s="1"/>
  <c r="K65" i="3" s="1"/>
  <c r="I26" i="3"/>
  <c r="J26" i="3" s="1"/>
  <c r="K26" i="3" s="1"/>
  <c r="I50" i="3"/>
  <c r="J50" i="3" s="1"/>
  <c r="K50" i="3" s="1"/>
  <c r="I33" i="3"/>
  <c r="J33" i="3" s="1"/>
  <c r="K33" i="3" s="1"/>
  <c r="I114" i="3"/>
  <c r="J114" i="3" s="1"/>
  <c r="K114" i="3" s="1"/>
  <c r="I191" i="3"/>
  <c r="J191" i="3" s="1"/>
  <c r="K191" i="3" s="1"/>
  <c r="I132" i="3"/>
  <c r="J132" i="3" s="1"/>
  <c r="K132" i="3" s="1"/>
  <c r="I99" i="3"/>
  <c r="J99" i="3" s="1"/>
  <c r="K99" i="3" s="1"/>
  <c r="Q125" i="3"/>
  <c r="R125" i="3" s="1"/>
  <c r="S125" i="3" s="1"/>
  <c r="I86" i="3"/>
  <c r="J86" i="3" s="1"/>
  <c r="K86" i="3" s="1"/>
  <c r="I20" i="3"/>
  <c r="J20" i="3" s="1"/>
  <c r="K20" i="3" s="1"/>
  <c r="I171" i="3"/>
  <c r="J171" i="3" s="1"/>
  <c r="K171" i="3" s="1"/>
  <c r="I93" i="3"/>
  <c r="J93" i="3" s="1"/>
  <c r="K93" i="3" s="1"/>
  <c r="I187" i="3"/>
  <c r="J187" i="3" s="1"/>
  <c r="K187" i="3" s="1"/>
  <c r="Q235" i="3"/>
  <c r="R235" i="3" s="1"/>
  <c r="S235" i="3" s="1"/>
  <c r="Q76" i="3"/>
  <c r="R76" i="3" s="1"/>
  <c r="S76" i="3" s="1"/>
  <c r="Q231" i="3"/>
  <c r="R231" i="3" s="1"/>
  <c r="S231" i="3" s="1"/>
  <c r="Q185" i="3"/>
  <c r="R185" i="3" s="1"/>
  <c r="S185" i="3" s="1"/>
  <c r="I111" i="3"/>
  <c r="J111" i="3" s="1"/>
  <c r="K111" i="3" s="1"/>
  <c r="Q264" i="3"/>
  <c r="R264" i="3" s="1"/>
  <c r="S264" i="3" s="1"/>
  <c r="I195" i="3"/>
  <c r="J195" i="3" s="1"/>
  <c r="K195" i="3" s="1"/>
  <c r="I137" i="3"/>
  <c r="J137" i="3" s="1"/>
  <c r="K137" i="3" s="1"/>
  <c r="I71" i="3"/>
  <c r="J71" i="3" s="1"/>
  <c r="K71" i="3" s="1"/>
  <c r="I121" i="3"/>
  <c r="J121" i="3" s="1"/>
  <c r="K121" i="3" s="1"/>
  <c r="I81" i="3"/>
  <c r="J81" i="3" s="1"/>
  <c r="K81" i="3" s="1"/>
  <c r="I41" i="3"/>
  <c r="J41" i="3" s="1"/>
  <c r="K41" i="3" s="1"/>
  <c r="Q203" i="3"/>
  <c r="R203" i="3" s="1"/>
  <c r="S203" i="3" s="1"/>
  <c r="Q170" i="3"/>
  <c r="R170" i="3" s="1"/>
  <c r="S170" i="3" s="1"/>
  <c r="Q245" i="3"/>
  <c r="R245" i="3" s="1"/>
  <c r="S245" i="3" s="1"/>
  <c r="I140" i="3"/>
  <c r="J140" i="3" s="1"/>
  <c r="K140" i="3" s="1"/>
  <c r="I197" i="3"/>
  <c r="J197" i="3" s="1"/>
  <c r="K197" i="3" s="1"/>
  <c r="Q46" i="3"/>
  <c r="R46" i="3" s="1"/>
  <c r="S46" i="3" s="1"/>
  <c r="Q238" i="3"/>
  <c r="R238" i="3" s="1"/>
  <c r="S238" i="3" s="1"/>
  <c r="I73" i="3"/>
  <c r="J73" i="3" s="1"/>
  <c r="K73" i="3" s="1"/>
  <c r="I102" i="3"/>
  <c r="J102" i="3" s="1"/>
  <c r="K102" i="3" s="1"/>
  <c r="I28" i="3"/>
  <c r="J28" i="3" s="1"/>
  <c r="K28" i="3" s="1"/>
  <c r="I48" i="3"/>
  <c r="J48" i="3" s="1"/>
  <c r="K48" i="3" s="1"/>
  <c r="I44" i="3"/>
  <c r="J44" i="3" s="1"/>
  <c r="K44" i="3" s="1"/>
  <c r="I258" i="3"/>
  <c r="J258" i="3" s="1"/>
  <c r="K258" i="3" s="1"/>
  <c r="Q60" i="3"/>
  <c r="R60" i="3" s="1"/>
  <c r="S60" i="3" s="1"/>
  <c r="Q150" i="3"/>
  <c r="R150" i="3" s="1"/>
  <c r="S150" i="3" s="1"/>
  <c r="Q250" i="3"/>
  <c r="R250" i="3" s="1"/>
  <c r="S250" i="3" s="1"/>
  <c r="Q226" i="3"/>
  <c r="R226" i="3" s="1"/>
  <c r="S226" i="3" s="1"/>
  <c r="Q251" i="3"/>
  <c r="R251" i="3" s="1"/>
  <c r="S251" i="3" s="1"/>
  <c r="I267" i="3"/>
  <c r="J267" i="3" s="1"/>
  <c r="K267" i="3" s="1"/>
  <c r="I222" i="3"/>
  <c r="J222" i="3" s="1"/>
  <c r="K222" i="3" s="1"/>
  <c r="Q105" i="3"/>
  <c r="R105" i="3" s="1"/>
  <c r="S105" i="3" s="1"/>
  <c r="Q133" i="3"/>
  <c r="R133" i="3" s="1"/>
  <c r="S133" i="3" s="1"/>
  <c r="I115" i="3"/>
  <c r="J115" i="3" s="1"/>
  <c r="K115" i="3" s="1"/>
  <c r="I87" i="3"/>
  <c r="J87" i="3" s="1"/>
  <c r="K87" i="3" s="1"/>
  <c r="I139" i="3"/>
  <c r="J139" i="3" s="1"/>
  <c r="K139" i="3" s="1"/>
  <c r="I198" i="3"/>
  <c r="J198" i="3" s="1"/>
  <c r="K198" i="3" s="1"/>
  <c r="I108" i="3"/>
  <c r="J108" i="3" s="1"/>
  <c r="K108" i="3" s="1"/>
  <c r="I43" i="3"/>
  <c r="J43" i="3" s="1"/>
  <c r="K43" i="3" s="1"/>
  <c r="Q189" i="3"/>
  <c r="R189" i="3" s="1"/>
  <c r="S189" i="3" s="1"/>
  <c r="Q27" i="3"/>
  <c r="Q32" i="3"/>
  <c r="R32" i="3" s="1"/>
  <c r="S32" i="3" s="1"/>
  <c r="I257" i="3"/>
  <c r="J257" i="3" s="1"/>
  <c r="K257" i="3" s="1"/>
  <c r="I110" i="3"/>
  <c r="J110" i="3" s="1"/>
  <c r="K110" i="3" s="1"/>
  <c r="I180" i="3"/>
  <c r="J180" i="3" s="1"/>
  <c r="K180" i="3" s="1"/>
  <c r="I88" i="3"/>
  <c r="J88" i="3" s="1"/>
  <c r="K88" i="3" s="1"/>
  <c r="I104" i="3"/>
  <c r="J104" i="3" s="1"/>
  <c r="K104" i="3" s="1"/>
  <c r="Q120" i="3"/>
  <c r="R120" i="3" s="1"/>
  <c r="S120" i="3" s="1"/>
  <c r="Q70" i="3"/>
  <c r="R70" i="3" s="1"/>
  <c r="S70" i="3" s="1"/>
  <c r="CK148" i="1"/>
  <c r="CL148" i="1" s="1"/>
  <c r="CM148" i="1" s="1"/>
  <c r="BZ117" i="1"/>
  <c r="BZ96" i="1"/>
  <c r="BZ138" i="1"/>
  <c r="BZ86" i="1"/>
  <c r="CK26" i="1"/>
  <c r="CL26" i="1" s="1"/>
  <c r="CM26" i="1" s="1"/>
  <c r="BZ102" i="1"/>
  <c r="BZ132" i="1"/>
  <c r="BZ83" i="1"/>
  <c r="BZ184" i="1"/>
  <c r="BZ34" i="1"/>
  <c r="BZ53" i="1"/>
  <c r="BZ136" i="1"/>
  <c r="BZ234" i="1"/>
  <c r="BZ69" i="1"/>
  <c r="BZ95" i="1"/>
  <c r="BZ116" i="1"/>
  <c r="BZ191" i="1"/>
  <c r="BZ126" i="1"/>
  <c r="BZ204" i="1"/>
  <c r="BZ181" i="1"/>
  <c r="BZ120" i="1"/>
  <c r="BZ149" i="1"/>
  <c r="Q13" i="3"/>
  <c r="R13" i="3" s="1"/>
  <c r="S13" i="3" s="1"/>
  <c r="Q14" i="3"/>
  <c r="Q12" i="3"/>
  <c r="CK187" i="1" l="1"/>
  <c r="CL187" i="1" s="1"/>
  <c r="CM187" i="1" s="1"/>
  <c r="CK104" i="1"/>
  <c r="CL104" i="1" s="1"/>
  <c r="CM104" i="1" s="1"/>
  <c r="CK149" i="1"/>
  <c r="CL149" i="1" s="1"/>
  <c r="CM149" i="1" s="1"/>
  <c r="CK116" i="1"/>
  <c r="CL116" i="1" s="1"/>
  <c r="CM116" i="1" s="1"/>
  <c r="CK86" i="1"/>
  <c r="CL86" i="1" s="1"/>
  <c r="CM86" i="1" s="1"/>
  <c r="CK119" i="1"/>
  <c r="CL119" i="1" s="1"/>
  <c r="CM119" i="1" s="1"/>
  <c r="CK213" i="1"/>
  <c r="CL213" i="1" s="1"/>
  <c r="CM213" i="1" s="1"/>
  <c r="CK57" i="1"/>
  <c r="CL57" i="1" s="1"/>
  <c r="CM57" i="1" s="1"/>
  <c r="CK215" i="1"/>
  <c r="CL215" i="1" s="1"/>
  <c r="CM215" i="1" s="1"/>
  <c r="CK204" i="1"/>
  <c r="CL204" i="1" s="1"/>
  <c r="CM204" i="1" s="1"/>
  <c r="CK234" i="1"/>
  <c r="CL234" i="1" s="1"/>
  <c r="CM234" i="1" s="1"/>
  <c r="CK175" i="1"/>
  <c r="CL175" i="1" s="1"/>
  <c r="CM175" i="1" s="1"/>
  <c r="CK96" i="1"/>
  <c r="CL96" i="1" s="1"/>
  <c r="CM96" i="1" s="1"/>
  <c r="CK114" i="1"/>
  <c r="CL114" i="1" s="1"/>
  <c r="CM114" i="1" s="1"/>
  <c r="CK181" i="1"/>
  <c r="CL181" i="1" s="1"/>
  <c r="CM181" i="1" s="1"/>
  <c r="CK95" i="1"/>
  <c r="CL95" i="1" s="1"/>
  <c r="CM95" i="1" s="1"/>
  <c r="CK67" i="1"/>
  <c r="CL67" i="1" s="1"/>
  <c r="CM67" i="1" s="1"/>
  <c r="CK45" i="1"/>
  <c r="CL45" i="1" s="1"/>
  <c r="CM45" i="1" s="1"/>
  <c r="CK211" i="1"/>
  <c r="CL211" i="1" s="1"/>
  <c r="CM211" i="1" s="1"/>
  <c r="CK165" i="1"/>
  <c r="CL165" i="1" s="1"/>
  <c r="CM165" i="1" s="1"/>
  <c r="CK46" i="1"/>
  <c r="CL46" i="1" s="1"/>
  <c r="CM46" i="1" s="1"/>
  <c r="CK180" i="1"/>
  <c r="CL180" i="1" s="1"/>
  <c r="CM180" i="1" s="1"/>
  <c r="CK44" i="1"/>
  <c r="CL44" i="1" s="1"/>
  <c r="CM44" i="1" s="1"/>
  <c r="CK64" i="1"/>
  <c r="CL64" i="1" s="1"/>
  <c r="CM64" i="1" s="1"/>
  <c r="CK248" i="1"/>
  <c r="CL248" i="1" s="1"/>
  <c r="CM248" i="1" s="1"/>
  <c r="CK117" i="1"/>
  <c r="CL117" i="1" s="1"/>
  <c r="CM117" i="1" s="1"/>
  <c r="CK94" i="1"/>
  <c r="CL94" i="1" s="1"/>
  <c r="CM94" i="1" s="1"/>
  <c r="CK168" i="1"/>
  <c r="CL168" i="1" s="1"/>
  <c r="CM168" i="1" s="1"/>
  <c r="CK69" i="1"/>
  <c r="CL69" i="1" s="1"/>
  <c r="CM69" i="1" s="1"/>
  <c r="CK144" i="1"/>
  <c r="CL144" i="1" s="1"/>
  <c r="CM144" i="1" s="1"/>
  <c r="CK191" i="1"/>
  <c r="CL191" i="1" s="1"/>
  <c r="CM191" i="1" s="1"/>
  <c r="CK30" i="1"/>
  <c r="CL30" i="1" s="1"/>
  <c r="CM30" i="1" s="1"/>
  <c r="CK231" i="1"/>
  <c r="CL231" i="1" s="1"/>
  <c r="CM231" i="1" s="1"/>
  <c r="CK209" i="1"/>
  <c r="CL209" i="1" s="1"/>
  <c r="CM209" i="1" s="1"/>
  <c r="CK126" i="1"/>
  <c r="CL126" i="1" s="1"/>
  <c r="CM126" i="1" s="1"/>
  <c r="CK139" i="1"/>
  <c r="CL139" i="1" s="1"/>
  <c r="CM139" i="1" s="1"/>
  <c r="CK184" i="1"/>
  <c r="CL184" i="1" s="1"/>
  <c r="CM184" i="1" s="1"/>
  <c r="CK82" i="1"/>
  <c r="CL82" i="1" s="1"/>
  <c r="CM82" i="1" s="1"/>
  <c r="CK154" i="1"/>
  <c r="CL154" i="1" s="1"/>
  <c r="CM154" i="1" s="1"/>
  <c r="CK166" i="1"/>
  <c r="CL166" i="1" s="1"/>
  <c r="CM166" i="1" s="1"/>
  <c r="CK221" i="1"/>
  <c r="CL221" i="1" s="1"/>
  <c r="CM221" i="1" s="1"/>
  <c r="CK202" i="1"/>
  <c r="CL202" i="1" s="1"/>
  <c r="CM202" i="1" s="1"/>
  <c r="CK230" i="1"/>
  <c r="CL230" i="1" s="1"/>
  <c r="CM230" i="1" s="1"/>
  <c r="CK136" i="1"/>
  <c r="CL136" i="1" s="1"/>
  <c r="CM136" i="1" s="1"/>
  <c r="CK120" i="1"/>
  <c r="CL120" i="1" s="1"/>
  <c r="CM120" i="1" s="1"/>
  <c r="Q130" i="3"/>
  <c r="R130" i="3" s="1"/>
  <c r="S130" i="3" s="1"/>
  <c r="Q142" i="3"/>
  <c r="R142" i="3" s="1"/>
  <c r="S142" i="3" s="1"/>
  <c r="CK88" i="1"/>
  <c r="CL88" i="1" s="1"/>
  <c r="CM88" i="1" s="1"/>
  <c r="CK39" i="1"/>
  <c r="CL39" i="1" s="1"/>
  <c r="CM39" i="1" s="1"/>
  <c r="CK102" i="1"/>
  <c r="CL102" i="1" s="1"/>
  <c r="CM102" i="1" s="1"/>
  <c r="CK53" i="1"/>
  <c r="CL53" i="1" s="1"/>
  <c r="CM53" i="1" s="1"/>
  <c r="CK140" i="1"/>
  <c r="CL140" i="1" s="1"/>
  <c r="CM140" i="1" s="1"/>
  <c r="Q102" i="3"/>
  <c r="R102" i="3" s="1"/>
  <c r="S102" i="3" s="1"/>
  <c r="Q171" i="3"/>
  <c r="R171" i="3" s="1"/>
  <c r="S171" i="3" s="1"/>
  <c r="CK238" i="1"/>
  <c r="CL238" i="1" s="1"/>
  <c r="CM238" i="1" s="1"/>
  <c r="CK192" i="1"/>
  <c r="CL192" i="1" s="1"/>
  <c r="CM192" i="1" s="1"/>
  <c r="Q119" i="3"/>
  <c r="R119" i="3" s="1"/>
  <c r="S119" i="3" s="1"/>
  <c r="Q69" i="3"/>
  <c r="R69" i="3" s="1"/>
  <c r="S69" i="3" s="1"/>
  <c r="Q51" i="3"/>
  <c r="R51" i="3" s="1"/>
  <c r="S51" i="3" s="1"/>
  <c r="Q141" i="3"/>
  <c r="R141" i="3" s="1"/>
  <c r="S141" i="3" s="1"/>
  <c r="Q156" i="3"/>
  <c r="R156" i="3" s="1"/>
  <c r="S156" i="3" s="1"/>
  <c r="Q246" i="3"/>
  <c r="R246" i="3" s="1"/>
  <c r="S246" i="3" s="1"/>
  <c r="Q244" i="3"/>
  <c r="R244" i="3" s="1"/>
  <c r="S244" i="3" s="1"/>
  <c r="Q85" i="3"/>
  <c r="R85" i="3" s="1"/>
  <c r="S85" i="3" s="1"/>
  <c r="Q196" i="3"/>
  <c r="R196" i="3" s="1"/>
  <c r="S196" i="3" s="1"/>
  <c r="Q80" i="3"/>
  <c r="R80" i="3" s="1"/>
  <c r="S80" i="3" s="1"/>
  <c r="Q118" i="3"/>
  <c r="R118" i="3" s="1"/>
  <c r="S118" i="3" s="1"/>
  <c r="Q247" i="3"/>
  <c r="R247" i="3" s="1"/>
  <c r="S247" i="3" s="1"/>
  <c r="CK101" i="1"/>
  <c r="CL101" i="1" s="1"/>
  <c r="CM101" i="1" s="1"/>
  <c r="Q191" i="3"/>
  <c r="R191" i="3" s="1"/>
  <c r="S191" i="3" s="1"/>
  <c r="CK75" i="1"/>
  <c r="CL75" i="1" s="1"/>
  <c r="CM75" i="1" s="1"/>
  <c r="Q222" i="3"/>
  <c r="R222" i="3" s="1"/>
  <c r="S222" i="3" s="1"/>
  <c r="Q258" i="3"/>
  <c r="R258" i="3" s="1"/>
  <c r="S258" i="3" s="1"/>
  <c r="Q256" i="3"/>
  <c r="R256" i="3" s="1"/>
  <c r="S256" i="3" s="1"/>
  <c r="B17" i="6"/>
  <c r="CK128" i="1"/>
  <c r="CL128" i="1" s="1"/>
  <c r="CM128" i="1" s="1"/>
  <c r="CK176" i="1"/>
  <c r="CL176" i="1" s="1"/>
  <c r="CM176" i="1" s="1"/>
  <c r="CK99" i="1"/>
  <c r="CL99" i="1" s="1"/>
  <c r="CM99" i="1" s="1"/>
  <c r="CK137" i="1"/>
  <c r="CL137" i="1" s="1"/>
  <c r="CM137" i="1" s="1"/>
  <c r="CK132" i="1"/>
  <c r="CL132" i="1" s="1"/>
  <c r="CM132" i="1" s="1"/>
  <c r="CK138" i="1"/>
  <c r="CL138" i="1" s="1"/>
  <c r="CM138" i="1" s="1"/>
  <c r="Q28" i="3"/>
  <c r="R28" i="3" s="1"/>
  <c r="S28" i="3" s="1"/>
  <c r="Q140" i="3"/>
  <c r="R140" i="3" s="1"/>
  <c r="S140" i="3" s="1"/>
  <c r="Q143" i="3"/>
  <c r="R143" i="3" s="1"/>
  <c r="S143" i="3" s="1"/>
  <c r="Q253" i="3"/>
  <c r="R253" i="3" s="1"/>
  <c r="S253" i="3" s="1"/>
  <c r="Q242" i="3"/>
  <c r="R242" i="3" s="1"/>
  <c r="S242" i="3" s="1"/>
  <c r="CK241" i="1"/>
  <c r="CL241" i="1" s="1"/>
  <c r="CM241" i="1" s="1"/>
  <c r="Q180" i="3"/>
  <c r="R180" i="3" s="1"/>
  <c r="S180" i="3" s="1"/>
  <c r="Q43" i="3"/>
  <c r="R43" i="3" s="1"/>
  <c r="S43" i="3" s="1"/>
  <c r="Q65" i="3"/>
  <c r="R65" i="3" s="1"/>
  <c r="S65" i="3" s="1"/>
  <c r="Q34" i="3"/>
  <c r="R34" i="3" s="1"/>
  <c r="S34" i="3" s="1"/>
  <c r="Q174" i="3"/>
  <c r="R174" i="3" s="1"/>
  <c r="S174" i="3" s="1"/>
  <c r="Q257" i="3"/>
  <c r="R257" i="3" s="1"/>
  <c r="S257" i="3" s="1"/>
  <c r="Q20" i="3"/>
  <c r="R20" i="3" s="1"/>
  <c r="S20" i="3" s="1"/>
  <c r="Q114" i="3"/>
  <c r="R114" i="3" s="1"/>
  <c r="S114" i="3" s="1"/>
  <c r="Q167" i="3"/>
  <c r="R167" i="3" s="1"/>
  <c r="S167" i="3" s="1"/>
  <c r="CK34" i="1"/>
  <c r="CL34" i="1" s="1"/>
  <c r="CM34" i="1" s="1"/>
  <c r="CK83" i="1"/>
  <c r="CL83" i="1" s="1"/>
  <c r="CM83" i="1" s="1"/>
  <c r="Q121" i="3"/>
  <c r="R121" i="3" s="1"/>
  <c r="S121" i="3" s="1"/>
  <c r="Q97" i="3"/>
  <c r="R97" i="3" s="1"/>
  <c r="S97" i="3" s="1"/>
  <c r="Q205" i="3"/>
  <c r="R205" i="3" s="1"/>
  <c r="S205" i="3" s="1"/>
  <c r="Q112" i="3"/>
  <c r="R112" i="3" s="1"/>
  <c r="S112" i="3" s="1"/>
  <c r="Q74" i="3"/>
  <c r="R74" i="3" s="1"/>
  <c r="S74" i="3" s="1"/>
  <c r="Q100" i="3"/>
  <c r="R100" i="3" s="1"/>
  <c r="S100" i="3" s="1"/>
  <c r="Q49" i="3"/>
  <c r="R49" i="3" s="1"/>
  <c r="S49" i="3" s="1"/>
  <c r="Q201" i="3"/>
  <c r="R201" i="3" s="1"/>
  <c r="S201" i="3" s="1"/>
  <c r="Q164" i="3"/>
  <c r="R164" i="3" s="1"/>
  <c r="S164" i="3" s="1"/>
  <c r="Q200" i="3"/>
  <c r="R200" i="3" s="1"/>
  <c r="S200" i="3" s="1"/>
  <c r="CK73" i="1"/>
  <c r="CL73" i="1" s="1"/>
  <c r="CM73" i="1" s="1"/>
  <c r="Q233" i="3"/>
  <c r="R233" i="3" s="1"/>
  <c r="S233" i="3" s="1"/>
  <c r="CK210" i="1"/>
  <c r="CL210" i="1" s="1"/>
  <c r="CM210" i="1" s="1"/>
  <c r="Q104" i="3"/>
  <c r="R104" i="3" s="1"/>
  <c r="S104" i="3" s="1"/>
  <c r="Q139" i="3"/>
  <c r="R139" i="3" s="1"/>
  <c r="S139" i="3" s="1"/>
  <c r="Q267" i="3"/>
  <c r="R267" i="3" s="1"/>
  <c r="S267" i="3" s="1"/>
  <c r="Q86" i="3"/>
  <c r="R86" i="3" s="1"/>
  <c r="S86" i="3" s="1"/>
  <c r="Q63" i="3"/>
  <c r="R63" i="3" s="1"/>
  <c r="S63" i="3" s="1"/>
  <c r="Q52" i="3"/>
  <c r="R52" i="3" s="1"/>
  <c r="S52" i="3" s="1"/>
  <c r="Q67" i="3"/>
  <c r="R67" i="3" s="1"/>
  <c r="S67" i="3" s="1"/>
  <c r="Q153" i="3"/>
  <c r="R153" i="3" s="1"/>
  <c r="S153" i="3" s="1"/>
  <c r="Q94" i="3"/>
  <c r="R94" i="3" s="1"/>
  <c r="S94" i="3" s="1"/>
  <c r="Q38" i="3"/>
  <c r="R38" i="3" s="1"/>
  <c r="S38" i="3" s="1"/>
  <c r="Q195" i="3"/>
  <c r="R195" i="3" s="1"/>
  <c r="S195" i="3" s="1"/>
  <c r="Q187" i="3"/>
  <c r="R187" i="3" s="1"/>
  <c r="S187" i="3" s="1"/>
  <c r="Q162" i="3"/>
  <c r="R162" i="3" s="1"/>
  <c r="S162" i="3" s="1"/>
  <c r="Q21" i="3"/>
  <c r="R21" i="3" s="1"/>
  <c r="S21" i="3" s="1"/>
  <c r="Q173" i="3"/>
  <c r="R173" i="3" s="1"/>
  <c r="S173" i="3" s="1"/>
  <c r="Q152" i="3"/>
  <c r="R152" i="3" s="1"/>
  <c r="S152" i="3" s="1"/>
  <c r="Q252" i="3"/>
  <c r="R252" i="3" s="1"/>
  <c r="S252" i="3" s="1"/>
  <c r="Q36" i="3"/>
  <c r="R36" i="3" s="1"/>
  <c r="S36" i="3" s="1"/>
  <c r="Q136" i="3"/>
  <c r="R136" i="3" s="1"/>
  <c r="S136" i="3" s="1"/>
  <c r="Q88" i="3"/>
  <c r="R88" i="3" s="1"/>
  <c r="S88" i="3" s="1"/>
  <c r="Q48" i="3"/>
  <c r="R48" i="3" s="1"/>
  <c r="S48" i="3" s="1"/>
  <c r="Q175" i="3"/>
  <c r="R175" i="3" s="1"/>
  <c r="S175" i="3" s="1"/>
  <c r="Q194" i="3"/>
  <c r="R194" i="3" s="1"/>
  <c r="S194" i="3" s="1"/>
  <c r="Q214" i="3"/>
  <c r="R214" i="3" s="1"/>
  <c r="S214" i="3" s="1"/>
  <c r="Q217" i="3"/>
  <c r="R217" i="3" s="1"/>
  <c r="S217" i="3" s="1"/>
  <c r="Q197" i="3"/>
  <c r="R197" i="3" s="1"/>
  <c r="S197" i="3" s="1"/>
  <c r="Q81" i="3"/>
  <c r="R81" i="3" s="1"/>
  <c r="S81" i="3" s="1"/>
  <c r="Q26" i="3"/>
  <c r="R26" i="3" s="1"/>
  <c r="S26" i="3" s="1"/>
  <c r="Q236" i="3"/>
  <c r="R236" i="3" s="1"/>
  <c r="S236" i="3" s="1"/>
  <c r="Q106" i="3"/>
  <c r="R106" i="3" s="1"/>
  <c r="S106" i="3" s="1"/>
  <c r="Q260" i="3"/>
  <c r="R260" i="3" s="1"/>
  <c r="S260" i="3" s="1"/>
  <c r="Q42" i="3"/>
  <c r="R42" i="3" s="1"/>
  <c r="S42" i="3" s="1"/>
  <c r="Q183" i="3"/>
  <c r="R183" i="3" s="1"/>
  <c r="S183" i="3" s="1"/>
  <c r="Q92" i="3"/>
  <c r="R92" i="3" s="1"/>
  <c r="S92" i="3" s="1"/>
  <c r="Q239" i="3"/>
  <c r="R239" i="3" s="1"/>
  <c r="S239" i="3" s="1"/>
  <c r="Q198" i="3"/>
  <c r="R198" i="3" s="1"/>
  <c r="S198" i="3" s="1"/>
  <c r="Q41" i="3"/>
  <c r="R41" i="3" s="1"/>
  <c r="S41" i="3" s="1"/>
  <c r="Q137" i="3"/>
  <c r="R137" i="3" s="1"/>
  <c r="S137" i="3" s="1"/>
  <c r="Q132" i="3"/>
  <c r="R132" i="3" s="1"/>
  <c r="S132" i="3" s="1"/>
  <c r="Q50" i="3"/>
  <c r="R50" i="3" s="1"/>
  <c r="S50" i="3" s="1"/>
  <c r="Q24" i="3"/>
  <c r="R24" i="3" s="1"/>
  <c r="S24" i="3" s="1"/>
  <c r="Q145" i="3"/>
  <c r="R145" i="3" s="1"/>
  <c r="S145" i="3" s="1"/>
  <c r="Q159" i="3"/>
  <c r="R159" i="3" s="1"/>
  <c r="S159" i="3" s="1"/>
  <c r="Q177" i="3"/>
  <c r="R177" i="3" s="1"/>
  <c r="S177" i="3" s="1"/>
  <c r="Q227" i="3"/>
  <c r="R227" i="3" s="1"/>
  <c r="S227" i="3" s="1"/>
  <c r="Q103" i="3"/>
  <c r="R103" i="3" s="1"/>
  <c r="S103" i="3" s="1"/>
  <c r="Q223" i="3"/>
  <c r="R223" i="3" s="1"/>
  <c r="S223" i="3" s="1"/>
  <c r="Q188" i="3"/>
  <c r="R188" i="3" s="1"/>
  <c r="S188" i="3" s="1"/>
  <c r="Q45" i="3"/>
  <c r="R45" i="3" s="1"/>
  <c r="S45" i="3" s="1"/>
  <c r="Q172" i="3"/>
  <c r="R172" i="3" s="1"/>
  <c r="S172" i="3" s="1"/>
  <c r="Q202" i="3"/>
  <c r="R202" i="3" s="1"/>
  <c r="S202" i="3" s="1"/>
  <c r="Q53" i="3"/>
  <c r="R53" i="3" s="1"/>
  <c r="S53" i="3" s="1"/>
  <c r="Q98" i="3"/>
  <c r="R98" i="3" s="1"/>
  <c r="S98" i="3" s="1"/>
  <c r="Q184" i="3"/>
  <c r="R184" i="3" s="1"/>
  <c r="S184" i="3" s="1"/>
  <c r="Q101" i="3"/>
  <c r="R101" i="3" s="1"/>
  <c r="S101" i="3" s="1"/>
  <c r="Q216" i="3"/>
  <c r="R216" i="3" s="1"/>
  <c r="S216" i="3" s="1"/>
  <c r="S224" i="3"/>
  <c r="C17" i="6"/>
  <c r="Q154" i="3"/>
  <c r="R154" i="3" s="1"/>
  <c r="S154" i="3" s="1"/>
  <c r="Q122" i="3"/>
  <c r="R122" i="3" s="1"/>
  <c r="S122" i="3" s="1"/>
  <c r="Q62" i="3"/>
  <c r="R62" i="3" s="1"/>
  <c r="S62" i="3" s="1"/>
  <c r="Q31" i="3"/>
  <c r="R31" i="3" s="1"/>
  <c r="S31" i="3" s="1"/>
  <c r="Q77" i="3"/>
  <c r="R77" i="3" s="1"/>
  <c r="S77" i="3" s="1"/>
  <c r="Q22" i="3"/>
  <c r="R22" i="3" s="1"/>
  <c r="S22" i="3" s="1"/>
  <c r="Q206" i="3"/>
  <c r="R206" i="3" s="1"/>
  <c r="S206" i="3" s="1"/>
  <c r="Q155" i="3"/>
  <c r="R155" i="3" s="1"/>
  <c r="S155" i="3" s="1"/>
  <c r="Q40" i="3"/>
  <c r="R40" i="3" s="1"/>
  <c r="S40" i="3" s="1"/>
  <c r="Q107" i="3"/>
  <c r="R107" i="3" s="1"/>
  <c r="S107" i="3" s="1"/>
  <c r="Q78" i="3"/>
  <c r="R78" i="3" s="1"/>
  <c r="S78" i="3" s="1"/>
  <c r="CK146" i="1"/>
  <c r="CL146" i="1" s="1"/>
  <c r="CM146" i="1" s="1"/>
  <c r="R27" i="3"/>
  <c r="CK89" i="1"/>
  <c r="CL89" i="1" s="1"/>
  <c r="CM89" i="1" s="1"/>
  <c r="CK110" i="1"/>
  <c r="CL110" i="1" s="1"/>
  <c r="CM110" i="1" s="1"/>
  <c r="Q110" i="3"/>
  <c r="R110" i="3" s="1"/>
  <c r="S110" i="3" s="1"/>
  <c r="Q87" i="3"/>
  <c r="R87" i="3" s="1"/>
  <c r="S87" i="3" s="1"/>
  <c r="Q44" i="3"/>
  <c r="R44" i="3" s="1"/>
  <c r="S44" i="3" s="1"/>
  <c r="Q73" i="3"/>
  <c r="R73" i="3" s="1"/>
  <c r="S73" i="3" s="1"/>
  <c r="Q111" i="3"/>
  <c r="R111" i="3" s="1"/>
  <c r="S111" i="3" s="1"/>
  <c r="Q93" i="3"/>
  <c r="R93" i="3" s="1"/>
  <c r="S93" i="3" s="1"/>
  <c r="Q35" i="3"/>
  <c r="R35" i="3" s="1"/>
  <c r="S35" i="3" s="1"/>
  <c r="Q266" i="3"/>
  <c r="R266" i="3" s="1"/>
  <c r="S266" i="3" s="1"/>
  <c r="Q90" i="3"/>
  <c r="R90" i="3" s="1"/>
  <c r="S90" i="3" s="1"/>
  <c r="Q135" i="3"/>
  <c r="R135" i="3" s="1"/>
  <c r="S135" i="3" s="1"/>
  <c r="Q240" i="3"/>
  <c r="R240" i="3" s="1"/>
  <c r="S240" i="3" s="1"/>
  <c r="Q182" i="3"/>
  <c r="R182" i="3" s="1"/>
  <c r="S182" i="3" s="1"/>
  <c r="Q39" i="3"/>
  <c r="R39" i="3" s="1"/>
  <c r="S39" i="3" s="1"/>
  <c r="Q116" i="3"/>
  <c r="R116" i="3" s="1"/>
  <c r="S116" i="3" s="1"/>
  <c r="Q204" i="3"/>
  <c r="R204" i="3" s="1"/>
  <c r="S204" i="3" s="1"/>
  <c r="Q228" i="3"/>
  <c r="R228" i="3" s="1"/>
  <c r="S228" i="3" s="1"/>
  <c r="Q211" i="3"/>
  <c r="R211" i="3" s="1"/>
  <c r="S211" i="3" s="1"/>
  <c r="Q109" i="3"/>
  <c r="R109" i="3" s="1"/>
  <c r="S109" i="3" s="1"/>
  <c r="Q117" i="3"/>
  <c r="R117" i="3" s="1"/>
  <c r="S117" i="3" s="1"/>
  <c r="Q151" i="3"/>
  <c r="R151" i="3" s="1"/>
  <c r="S151" i="3" s="1"/>
  <c r="Q18" i="3"/>
  <c r="R18" i="3" s="1"/>
  <c r="S18" i="3" s="1"/>
  <c r="Q225" i="3"/>
  <c r="R225" i="3" s="1"/>
  <c r="S225" i="3" s="1"/>
  <c r="Q95" i="3"/>
  <c r="R95" i="3" s="1"/>
  <c r="S95" i="3" s="1"/>
  <c r="Q207" i="3"/>
  <c r="R207" i="3" s="1"/>
  <c r="S207" i="3" s="1"/>
  <c r="Q108" i="3"/>
  <c r="R108" i="3" s="1"/>
  <c r="S108" i="3" s="1"/>
  <c r="Q115" i="3"/>
  <c r="R115" i="3" s="1"/>
  <c r="S115" i="3" s="1"/>
  <c r="Q71" i="3"/>
  <c r="R71" i="3" s="1"/>
  <c r="S71" i="3" s="1"/>
  <c r="Q99" i="3"/>
  <c r="R99" i="3" s="1"/>
  <c r="S99" i="3" s="1"/>
  <c r="Q33" i="3"/>
  <c r="R33" i="3" s="1"/>
  <c r="S33" i="3" s="1"/>
  <c r="Q149" i="3"/>
  <c r="R149" i="3" s="1"/>
  <c r="S149" i="3" s="1"/>
  <c r="Q134" i="3"/>
  <c r="R134" i="3" s="1"/>
  <c r="S134" i="3" s="1"/>
  <c r="Q144" i="3"/>
  <c r="R144" i="3" s="1"/>
  <c r="S144" i="3" s="1"/>
  <c r="Q219" i="3"/>
  <c r="R219" i="3" s="1"/>
  <c r="S219" i="3" s="1"/>
  <c r="Q55" i="3"/>
  <c r="R55" i="3" s="1"/>
  <c r="S55" i="3" s="1"/>
  <c r="Q221" i="3"/>
  <c r="R221" i="3" s="1"/>
  <c r="S221" i="3" s="1"/>
  <c r="Q243" i="3"/>
  <c r="R243" i="3" s="1"/>
  <c r="S243" i="3" s="1"/>
  <c r="Q148" i="3"/>
  <c r="R148" i="3" s="1"/>
  <c r="S148" i="3" s="1"/>
  <c r="Q255" i="3"/>
  <c r="R255" i="3" s="1"/>
  <c r="S255" i="3" s="1"/>
  <c r="Q263" i="3"/>
  <c r="R263" i="3" s="1"/>
  <c r="S263" i="3" s="1"/>
  <c r="Q84" i="3"/>
  <c r="R84" i="3" s="1"/>
  <c r="S84" i="3" s="1"/>
  <c r="Q210" i="3"/>
  <c r="R210" i="3" s="1"/>
  <c r="S210" i="3" s="1"/>
  <c r="Q56" i="3"/>
  <c r="R56" i="3" s="1"/>
  <c r="S56" i="3" s="1"/>
  <c r="Q199" i="3"/>
  <c r="R199" i="3" s="1"/>
  <c r="S199" i="3" s="1"/>
  <c r="Q259" i="3"/>
  <c r="R259" i="3" s="1"/>
  <c r="S259" i="3" s="1"/>
  <c r="Q230" i="3"/>
  <c r="R230" i="3" s="1"/>
  <c r="S230" i="3" s="1"/>
  <c r="CM19" i="1"/>
  <c r="R14" i="3"/>
  <c r="R12" i="3"/>
  <c r="D17" i="6" l="1"/>
  <c r="B13" i="1"/>
  <c r="B11" i="6"/>
  <c r="B27" i="6" s="1"/>
  <c r="B19" i="6"/>
  <c r="C11" i="6"/>
  <c r="C27" i="6" s="1"/>
  <c r="E5" i="3"/>
  <c r="S27" i="3"/>
  <c r="C19" i="6"/>
  <c r="C22" i="6"/>
  <c r="B22" i="6"/>
  <c r="B14" i="1"/>
  <c r="S14" i="3"/>
  <c r="S12" i="3"/>
  <c r="D16" i="6"/>
  <c r="E6" i="3"/>
  <c r="B15" i="1" l="1"/>
  <c r="B23" i="6"/>
  <c r="B28" i="6" s="1"/>
  <c r="B29" i="6" s="1"/>
  <c r="D19" i="6"/>
  <c r="D22" i="6"/>
  <c r="E7" i="3"/>
  <c r="D27" i="6"/>
  <c r="D11" i="6"/>
  <c r="C23" i="6"/>
  <c r="D23" i="6" l="1"/>
  <c r="C28" i="6"/>
  <c r="C29" i="6" l="1"/>
  <c r="D29" i="6" s="1"/>
  <c r="D28" i="6"/>
</calcChain>
</file>

<file path=xl/sharedStrings.xml><?xml version="1.0" encoding="utf-8"?>
<sst xmlns="http://schemas.openxmlformats.org/spreadsheetml/2006/main" count="2061" uniqueCount="644">
  <si>
    <t>No</t>
  </si>
  <si>
    <t>Rekening</t>
  </si>
  <si>
    <t>Nomor PK</t>
  </si>
  <si>
    <t>Nama Debitur</t>
  </si>
  <si>
    <t>Kewajiban Pokok</t>
  </si>
  <si>
    <t>SP1</t>
  </si>
  <si>
    <t>SP2</t>
  </si>
  <si>
    <t>SP3</t>
  </si>
  <si>
    <t>Surat Pemberitahuan</t>
  </si>
  <si>
    <t>Update SLIK OJK</t>
  </si>
  <si>
    <t>Kondisi Debitur</t>
  </si>
  <si>
    <t>Bukti</t>
  </si>
  <si>
    <t>Tanggal Kunjungan</t>
  </si>
  <si>
    <t>Keterangan</t>
  </si>
  <si>
    <t>Gugatan Sederhana</t>
  </si>
  <si>
    <t>Pemanggilan Koran</t>
  </si>
  <si>
    <t>Iklan Cessie 1</t>
  </si>
  <si>
    <t>Iklan Cessie 2</t>
  </si>
  <si>
    <t>Upaya Tim Likuidasi Terhadap Debitur</t>
  </si>
  <si>
    <t>FORM 1</t>
  </si>
  <si>
    <t>FORM 2</t>
  </si>
  <si>
    <t>Upaya Tim Likuidasi Terhadap Agunan</t>
  </si>
  <si>
    <t>Surat Pemberitahuan?</t>
  </si>
  <si>
    <t>Update SLIK OJK?</t>
  </si>
  <si>
    <t>SP 1?</t>
  </si>
  <si>
    <t>SP2?</t>
  </si>
  <si>
    <t>SP3?</t>
  </si>
  <si>
    <t>Pemanggilan Koran?</t>
  </si>
  <si>
    <t>Iklan Cessie 1?</t>
  </si>
  <si>
    <t>Iklan Cessie 2?</t>
  </si>
  <si>
    <t>Gugatan Sederhana?</t>
  </si>
  <si>
    <t>Appraisal?</t>
  </si>
  <si>
    <t>Blokir Agunan?</t>
  </si>
  <si>
    <t>Penjualan Agunan?</t>
  </si>
  <si>
    <t>Lelang 1?</t>
  </si>
  <si>
    <t>Lelang 2?</t>
  </si>
  <si>
    <t>Target Upaya Berdasarkan Debitur</t>
  </si>
  <si>
    <t>Tidak ditemukan</t>
  </si>
  <si>
    <t>Meninggal</t>
  </si>
  <si>
    <t>Tidak memiliki kemampuan bayar</t>
  </si>
  <si>
    <t>Bulan Ke</t>
  </si>
  <si>
    <t>Nama Bulan</t>
  </si>
  <si>
    <t>Periode</t>
  </si>
  <si>
    <t>Tanggal CIU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</si>
  <si>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</si>
  <si>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</si>
  <si>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</si>
  <si>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</si>
  <si>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</si>
  <si>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</si>
  <si>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</si>
  <si>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</si>
  <si>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</si>
  <si>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</si>
  <si>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</si>
  <si>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</si>
  <si>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</si>
  <si>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</si>
  <si>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</si>
  <si>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</si>
  <si>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</si>
  <si>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</si>
  <si>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</si>
  <si>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</si>
  <si>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</si>
  <si>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</si>
  <si>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</si>
  <si>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</si>
  <si>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Kategori Agunan</t>
  </si>
  <si>
    <t>Agunan</t>
  </si>
  <si>
    <t>Pengikatan</t>
  </si>
  <si>
    <t>Target Upaya Berdasarkan Agunan</t>
  </si>
  <si>
    <t>Blokir Agunan</t>
  </si>
  <si>
    <t>Appraisal</t>
  </si>
  <si>
    <t>Lelang 1</t>
  </si>
  <si>
    <t>Lelang 2</t>
  </si>
  <si>
    <t>Penjualan Agunan</t>
  </si>
  <si>
    <t>SHM</t>
  </si>
  <si>
    <t>BPKB</t>
  </si>
  <si>
    <t>AJB</t>
  </si>
  <si>
    <t>SHT</t>
  </si>
  <si>
    <t>SJF</t>
  </si>
  <si>
    <t>Koperatif</t>
  </si>
  <si>
    <t>Tidak koperatif</t>
  </si>
  <si>
    <t>Tanah/Bangunan</t>
  </si>
  <si>
    <t>Kendaraan Bermotor</t>
  </si>
  <si>
    <t>SHGB</t>
  </si>
  <si>
    <t>APHT</t>
  </si>
  <si>
    <t>Kapal/Pesawat</t>
  </si>
  <si>
    <t>SHGU</t>
  </si>
  <si>
    <t>SKMHT</t>
  </si>
  <si>
    <t>Mesin/Alat Berat</t>
  </si>
  <si>
    <t>SKT/Girik/Letter C</t>
  </si>
  <si>
    <t>Tidak ada pengikatan</t>
  </si>
  <si>
    <t>Cash Collateral</t>
  </si>
  <si>
    <t>KTA</t>
  </si>
  <si>
    <t>PPJB</t>
  </si>
  <si>
    <t>Tanah/Bangunan &amp; Kendaraan Bermotor</t>
  </si>
  <si>
    <t>Akta Hibah</t>
  </si>
  <si>
    <t>Tanah/Bangunan &amp; Kapal/Pesawat</t>
  </si>
  <si>
    <t>Akta Pembagian Hak Bersama</t>
  </si>
  <si>
    <t>Tanah/Bangunan &amp; Mesin/Alat Berat</t>
  </si>
  <si>
    <t>Tanah/Bangunan &amp; Cash Collateral</t>
  </si>
  <si>
    <t>Kendaraan Bermotor &amp; Kapal/Pesawat</t>
  </si>
  <si>
    <t>Kendaraan Bermotor &amp; Mesin/Alat Berat</t>
  </si>
  <si>
    <t>Kendaraan Bermotor &amp; Cash Collateral</t>
  </si>
  <si>
    <t>Akta Fidusia</t>
  </si>
  <si>
    <t>Kapal/Pesawat &amp; Mesin/Alat Berat</t>
  </si>
  <si>
    <t>Kapal/Pesawat &amp; Cash Collateral</t>
  </si>
  <si>
    <t>Mesin/Alat Berat &amp; Cash Collateral</t>
  </si>
  <si>
    <t>Grosse Akta Pendaftaran Kapal</t>
  </si>
  <si>
    <t>Bukti kepemilikan pesawat udara</t>
  </si>
  <si>
    <t>Hipotik</t>
  </si>
  <si>
    <t>Invoice pembelian mesin/alat berat</t>
  </si>
  <si>
    <t>Giro</t>
  </si>
  <si>
    <t>Gadai</t>
  </si>
  <si>
    <t>Tabungan</t>
  </si>
  <si>
    <t>Deposito</t>
  </si>
  <si>
    <t>Logam mulia</t>
  </si>
  <si>
    <t>Tidak ada agunan</t>
  </si>
  <si>
    <t>Upaya Berdasarkan Agunan</t>
  </si>
  <si>
    <t>Upaya Berdasarkan Debitur</t>
  </si>
  <si>
    <t>Harus dilakukan</t>
  </si>
  <si>
    <t>Tidak harus namun telah dilakukan</t>
  </si>
  <si>
    <t>Tidak perlu dilakukan</t>
  </si>
  <si>
    <t>Set Off</t>
  </si>
  <si>
    <t>Target Upaya</t>
  </si>
  <si>
    <t>Realisasi</t>
  </si>
  <si>
    <t>Pencapaian</t>
  </si>
  <si>
    <t>Kalkulasi Upaya</t>
  </si>
  <si>
    <t>Total</t>
  </si>
  <si>
    <t>%</t>
  </si>
  <si>
    <t>Summary Upaya Penagihan Piutang oleh Tim Likuidasi</t>
  </si>
  <si>
    <t>Bank</t>
  </si>
  <si>
    <t>PT BPRS Hareukat (DL)</t>
  </si>
  <si>
    <t>3. Total Upaya</t>
  </si>
  <si>
    <t>Upaya</t>
  </si>
  <si>
    <t>Terhadap debitur</t>
  </si>
  <si>
    <t>Terhadap agunan</t>
  </si>
  <si>
    <t>Subtotal</t>
  </si>
  <si>
    <t>Kewajiban Bunga</t>
  </si>
  <si>
    <t>Kewajiban Denda</t>
  </si>
  <si>
    <t>Kewajiban Total</t>
  </si>
  <si>
    <t>Haircut</t>
  </si>
  <si>
    <t>1. Upaya terhadap debitur belum lunas</t>
  </si>
  <si>
    <t>2. Upaya terhadap agunan milik debitur belum lunas</t>
  </si>
  <si>
    <t>Lunas?</t>
  </si>
  <si>
    <t>Pencairan Aset per Bulan (diisi sampai dengan periode berlangsung)</t>
  </si>
  <si>
    <t>Total Pencairan</t>
  </si>
  <si>
    <t>Periode Haircut</t>
  </si>
  <si>
    <t>*kosongkan bila belum dilakukan (hapus dengan tombol "Delete")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</si>
  <si>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</si>
  <si>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</si>
  <si>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</si>
  <si>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</si>
  <si>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</si>
  <si>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</si>
  <si>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</si>
  <si>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</si>
  <si>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</si>
  <si>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</si>
  <si>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</si>
  <si>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</si>
  <si>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</si>
  <si>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</si>
  <si>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</si>
  <si>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</si>
  <si>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</si>
  <si>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</si>
  <si>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</si>
  <si>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</si>
  <si>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</si>
  <si>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</si>
  <si>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</si>
  <si>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</si>
  <si>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Angsuran Sesuai PK</t>
  </si>
  <si>
    <t>Waktu Lik.</t>
  </si>
  <si>
    <t>*jangka waktu likuidasi sesuai PKE (termasuk perpanjangan)</t>
  </si>
  <si>
    <t>Durasi</t>
  </si>
  <si>
    <t>Angsuran Diperhitungkan</t>
  </si>
  <si>
    <t>Wilayah Hukum</t>
  </si>
  <si>
    <t>BDL</t>
  </si>
  <si>
    <t>TP/TL</t>
  </si>
  <si>
    <t>Wilayah Hukum (Kabupaten/Kota)</t>
  </si>
  <si>
    <t>Haircut Diperhitungkan</t>
  </si>
  <si>
    <t>Set Off Diperhitungkan</t>
  </si>
  <si>
    <t>Ket:</t>
  </si>
  <si>
    <t>225/BBA/1452/VI/1994</t>
  </si>
  <si>
    <t>A F N A N</t>
  </si>
  <si>
    <t>52/MBA-02/1187/VI/2004</t>
  </si>
  <si>
    <t>A Z W A R</t>
  </si>
  <si>
    <t>054/BBA-03/0490/III/1996</t>
  </si>
  <si>
    <t>A. RAFAR MUSA</t>
  </si>
  <si>
    <t>036/BBA-03/0752/III/1997</t>
  </si>
  <si>
    <t>A. RAHMAN ABDULLAH</t>
  </si>
  <si>
    <t>075/BBA-03/0792/V/1997</t>
  </si>
  <si>
    <t>ABD. JABAR</t>
  </si>
  <si>
    <t>125/MBA-02/0333/XII/2000</t>
  </si>
  <si>
    <t>ABD. MANAF DAUD</t>
  </si>
  <si>
    <t>250/BBA-03/0686/XI/1996</t>
  </si>
  <si>
    <t>ABD. MUKTY ALI MUHAMMAD</t>
  </si>
  <si>
    <t>211/BBA-03/0647/IX/1996</t>
  </si>
  <si>
    <t>ABDUL JALIL</t>
  </si>
  <si>
    <t>24/MBA-NAD.K/0030/III/2004</t>
  </si>
  <si>
    <t>ABDUL MAJID, MD</t>
  </si>
  <si>
    <t>36/MBA-NAD.K/0042/IV/2004</t>
  </si>
  <si>
    <t>ABDUL WAHAB</t>
  </si>
  <si>
    <t>132/BBA-03/0849/VII/1997</t>
  </si>
  <si>
    <t>ABDULLAH</t>
  </si>
  <si>
    <t>077/MBA-02/0719/III/2002</t>
  </si>
  <si>
    <t>45/MBA-02/1417/II/2007</t>
  </si>
  <si>
    <t>071/BBA-03/0071/III/1995</t>
  </si>
  <si>
    <t>ABUBAKAR IBRAHIM</t>
  </si>
  <si>
    <t>52/MBA-SAT/1279/X/2006</t>
  </si>
  <si>
    <t>ADI SAIFUDDIN</t>
  </si>
  <si>
    <t>252/MBA-02/0894/IX/2002</t>
  </si>
  <si>
    <t>ADNAN AR</t>
  </si>
  <si>
    <t>227/MBA-02/0869/VIII/2002</t>
  </si>
  <si>
    <t>ADNAN SALEH</t>
  </si>
  <si>
    <t>004/BBA-03/0998/I/1999</t>
  </si>
  <si>
    <t>AFRIDA</t>
  </si>
  <si>
    <t>036/BBA-03/0036/II/1995</t>
  </si>
  <si>
    <t>AFZAL</t>
  </si>
  <si>
    <t>004/MDA-01/0038/III/2002</t>
  </si>
  <si>
    <t>AMIR FAUZI</t>
  </si>
  <si>
    <t>167/MBA-02/0809/VI/2002</t>
  </si>
  <si>
    <t>AMIRUDDIN HUSEIN</t>
  </si>
  <si>
    <t>239/BBA-03/0675/X/1996</t>
  </si>
  <si>
    <t>ANWAR</t>
  </si>
  <si>
    <t>001/MDA-01-0040/I/2003</t>
  </si>
  <si>
    <t>ARAHMAN IBRAHIM</t>
  </si>
  <si>
    <t>35/MBA-SAT/1262/IX/2006</t>
  </si>
  <si>
    <t>ASMADI YUSUF</t>
  </si>
  <si>
    <t>260/MBA/0288/VII/1992</t>
  </si>
  <si>
    <t>ASRIAL</t>
  </si>
  <si>
    <t>26/MBA-NAD.K/0032/III/2004</t>
  </si>
  <si>
    <t>AZHAR</t>
  </si>
  <si>
    <t>01/MDA-MC/0007/VI/2009</t>
  </si>
  <si>
    <t>AZHAR MUHAMMAD</t>
  </si>
  <si>
    <t>531/BBA/1758/XII/1994</t>
  </si>
  <si>
    <t>AZHARI</t>
  </si>
  <si>
    <t>50/MBA-02/1303/VI/2006</t>
  </si>
  <si>
    <t>BAHRI IBRAHIM</t>
  </si>
  <si>
    <t>116/BBA-03/0552/V/1996</t>
  </si>
  <si>
    <t>BAKHTIAR AM</t>
  </si>
  <si>
    <t>110/BBA-03/1104/XI/1999</t>
  </si>
  <si>
    <t>BALUKIAH RUDDIN, SH</t>
  </si>
  <si>
    <t>124/MBA-02/1070/VIII/2003</t>
  </si>
  <si>
    <t>BANTA HARIADY. A.Hd</t>
  </si>
  <si>
    <t>84/MBA-02/1456/IV/2007</t>
  </si>
  <si>
    <t>BASRI</t>
  </si>
  <si>
    <t>45/MDA/0073/I/1992</t>
  </si>
  <si>
    <t>BASRI DAUD</t>
  </si>
  <si>
    <t>019/MBA-02/0180/VI/1999</t>
  </si>
  <si>
    <t>BONA HARISTA</t>
  </si>
  <si>
    <t>186/BBA-03/1413/V/1994</t>
  </si>
  <si>
    <t>BUCHARI</t>
  </si>
  <si>
    <t>04/BAT-05/0004/X/1996</t>
  </si>
  <si>
    <t>CHALIDI</t>
  </si>
  <si>
    <t>004/BBA-03/1210/III/2001</t>
  </si>
  <si>
    <t>CUT FAUZIAH</t>
  </si>
  <si>
    <t>159/BBA-03/0876/X/1997</t>
  </si>
  <si>
    <t>CUT RATNA</t>
  </si>
  <si>
    <t>256/MBA-02/0898/IX/2002</t>
  </si>
  <si>
    <t>CUT SANIAH</t>
  </si>
  <si>
    <t>08/MBA-02/1380/I/2007</t>
  </si>
  <si>
    <t>CUT YUSRIATI UMAR</t>
  </si>
  <si>
    <t>036/MBA-02/0244/VIII/2000</t>
  </si>
  <si>
    <t>DAFRIAN</t>
  </si>
  <si>
    <t>163/MBA-02/0805/VI/2002</t>
  </si>
  <si>
    <t>DRH. TEUKU KHALID</t>
  </si>
  <si>
    <t>789/BBA/0789/IV/1993</t>
  </si>
  <si>
    <t>DRS. JAMALUDDIN</t>
  </si>
  <si>
    <t>122/MBA-02/0459/V/2001</t>
  </si>
  <si>
    <t>DRS. KARIMUDDIN</t>
  </si>
  <si>
    <t>065/BBA-03/1059/VII/1999</t>
  </si>
  <si>
    <t>DRS. M. JAMIL</t>
  </si>
  <si>
    <t>181/BBA-03/0181/VI/1995</t>
  </si>
  <si>
    <t>DRS. MAHDI AR</t>
  </si>
  <si>
    <t>165/BBA-03/0165/V/1995</t>
  </si>
  <si>
    <t>DRS. MANSUR M.KIRAN</t>
  </si>
  <si>
    <t>184/BBA-03/0901/XII/1997</t>
  </si>
  <si>
    <t>DRS. MUSLIM MAHMUD</t>
  </si>
  <si>
    <t>073/BBA-03/0979/X/98</t>
  </si>
  <si>
    <t>DRS. NASRUDDIN</t>
  </si>
  <si>
    <t>172/BBA-03/0889/XI/1997</t>
  </si>
  <si>
    <t>DRS. SAIFUDDIN</t>
  </si>
  <si>
    <t>267/MBA-02/0604/XI/2001</t>
  </si>
  <si>
    <t>DRS. T. ANDI KESUMA</t>
  </si>
  <si>
    <t>148/MBA-02/1094/IX/2003</t>
  </si>
  <si>
    <t>DRS. TARMIZI</t>
  </si>
  <si>
    <t>275/MBA-02/0917/X/2002</t>
  </si>
  <si>
    <t>DRS.BASYIR AR</t>
  </si>
  <si>
    <t>289/BBA-03/0289/VIII/1995</t>
  </si>
  <si>
    <t>DRS.JAKFAR KARIM YASKA</t>
  </si>
  <si>
    <t>164/BBA-03/0164/V/1995</t>
  </si>
  <si>
    <t>EDY ELIZON</t>
  </si>
  <si>
    <t>020/BBA-03/1014/IV/1999</t>
  </si>
  <si>
    <t>FACHRURRAZI, SH</t>
  </si>
  <si>
    <t>19/MDA/0019/XII/1991</t>
  </si>
  <si>
    <t>FAJRI</t>
  </si>
  <si>
    <t>339/MBA/0367/VIII/1992</t>
  </si>
  <si>
    <t>FAJRUN</t>
  </si>
  <si>
    <t>825/BBA/0825/V/1993</t>
  </si>
  <si>
    <t>FAKRI</t>
  </si>
  <si>
    <t>10/MBA-ADB/038/VIII/2008</t>
  </si>
  <si>
    <t>FATIMAH</t>
  </si>
  <si>
    <t>151/MBA-02/0793/VI/2002</t>
  </si>
  <si>
    <t>FERRI ZULFIKAR</t>
  </si>
  <si>
    <t>462/BBA/1688/X/1994</t>
  </si>
  <si>
    <t>FUADY MUHAJIR</t>
  </si>
  <si>
    <t>048/MBA-02/0690/II/2002</t>
  </si>
  <si>
    <t>H U S N I</t>
  </si>
  <si>
    <t>032/BBA-03/1151/IV/2000</t>
  </si>
  <si>
    <t>HAFIFUDDIN HANAFIAH</t>
  </si>
  <si>
    <t>162/BBA-03/0598/VII/1996</t>
  </si>
  <si>
    <t>HAMDANI</t>
  </si>
  <si>
    <t>009/BBA-03/1128/II/2000</t>
  </si>
  <si>
    <t>HANAFIAH YUSUF</t>
  </si>
  <si>
    <t>138/MBA/0166/V/1992</t>
  </si>
  <si>
    <t>HASANUDDIN</t>
  </si>
  <si>
    <t>024/MDA/0024/XII/1991</t>
  </si>
  <si>
    <t>319/BBA-03/0319/VII/1995</t>
  </si>
  <si>
    <t>HUSAINI AHMAD</t>
  </si>
  <si>
    <t>05/MBA-ADB/033/IV/2008</t>
  </si>
  <si>
    <t>HUSNA</t>
  </si>
  <si>
    <t>013/BBA-03/1007/II/1999</t>
  </si>
  <si>
    <t>I  M  R  A  N</t>
  </si>
  <si>
    <t>084/BBA-03/0990/XII/1998</t>
  </si>
  <si>
    <t>I D R I S</t>
  </si>
  <si>
    <t>149/MBA-02/0486/VI/2001</t>
  </si>
  <si>
    <t>I D R U S</t>
  </si>
  <si>
    <t>104/MBA/0132/IV/1992</t>
  </si>
  <si>
    <t>IBRAHIM M</t>
  </si>
  <si>
    <t>723/BBA/0723/III/1993</t>
  </si>
  <si>
    <t>IDRIS</t>
  </si>
  <si>
    <t>207/MBA-02/0849/VIII/2002</t>
  </si>
  <si>
    <t>125/BBA-03/0125/IV/1995</t>
  </si>
  <si>
    <t>IDRIS IBRAHIM</t>
  </si>
  <si>
    <t>137/BBA-03/0854/VIII/1997</t>
  </si>
  <si>
    <t>ILYAS</t>
  </si>
  <si>
    <t>088/BBA-03/0994/XII/1998</t>
  </si>
  <si>
    <t>009/MBA-02/0651/I/2002</t>
  </si>
  <si>
    <t>ILYAS M. ALI</t>
  </si>
  <si>
    <t>079/MBA-02/0721/III/2002</t>
  </si>
  <si>
    <t>ILYAS M. DAUD</t>
  </si>
  <si>
    <t>030/MBA-02/0238/VII/2000</t>
  </si>
  <si>
    <t>IR. JAHIDIN</t>
  </si>
  <si>
    <t>249/MBA-02/0586/X/2001</t>
  </si>
  <si>
    <t>IR. SOFYAN AHMAD</t>
  </si>
  <si>
    <t>081/BBA-03/1200/IX/2000</t>
  </si>
  <si>
    <t>IR. SYAMSUL BAHRI/HAMDANI</t>
  </si>
  <si>
    <t>229/MBA-02/0871/VIII/2002</t>
  </si>
  <si>
    <t>IRFAN KAMARUL</t>
  </si>
  <si>
    <t>061/MBA-02/0398/III/2001</t>
  </si>
  <si>
    <t>IRWANSYAH</t>
  </si>
  <si>
    <t>008/MDA/0008/I/1992</t>
  </si>
  <si>
    <t>ISKANDAR</t>
  </si>
  <si>
    <t>146/MBA-02/1092/IX/2003</t>
  </si>
  <si>
    <t>020/MBA-NAD.K/0026/II/2004</t>
  </si>
  <si>
    <t>261/BBA/0880/V/1993</t>
  </si>
  <si>
    <t>ISKANDAR AZIS</t>
  </si>
  <si>
    <t>079/MDA/0079/I/1992</t>
  </si>
  <si>
    <t>ISMAIL IBRAHIM</t>
  </si>
  <si>
    <t>273/MBA-02/0915/X/2002</t>
  </si>
  <si>
    <t>ISRIN. HS</t>
  </si>
  <si>
    <t>086/BBA-03/1205/XII/2000</t>
  </si>
  <si>
    <t>JAILANI</t>
  </si>
  <si>
    <t>183/MBA-02/0825/VII/2002</t>
  </si>
  <si>
    <t>JAILANI HASAN</t>
  </si>
  <si>
    <t>165/BBA-03/0601/VII/1996</t>
  </si>
  <si>
    <t>JAILANI M. AMIN</t>
  </si>
  <si>
    <t>294/MBA-02/0631/XII/2001</t>
  </si>
  <si>
    <t>JAKFAR</t>
  </si>
  <si>
    <t>048/MBA-02/2162/II/2010</t>
  </si>
  <si>
    <t>065/BBA-03/0501/III/1996</t>
  </si>
  <si>
    <t>JAMHUR</t>
  </si>
  <si>
    <t>146/BBA-03/0146/V/1995</t>
  </si>
  <si>
    <t>JUARIAH</t>
  </si>
  <si>
    <t>030/MBA-02/0191/VIII/1999</t>
  </si>
  <si>
    <t>KAMAL HASAN</t>
  </si>
  <si>
    <t>149/BBA-03/0866/VIII/97</t>
  </si>
  <si>
    <t>KAMARUDDIN</t>
  </si>
  <si>
    <t>27/MBA-NAD.K/0139/IX/2006</t>
  </si>
  <si>
    <t>284/MBA-02/2398/XI/2010</t>
  </si>
  <si>
    <t>KHAIRUL</t>
  </si>
  <si>
    <t>130/MBA-02/0467/V/2001</t>
  </si>
  <si>
    <t>KHAIRUSMAN ELGA</t>
  </si>
  <si>
    <t>14/MBA-SAT/1241/III/2006</t>
  </si>
  <si>
    <t>LUKMAN ZZ</t>
  </si>
  <si>
    <t>015/MBA-NAD.K/0021/II/2004</t>
  </si>
  <si>
    <t>M. AMIN</t>
  </si>
  <si>
    <t>195/MBA-02/1567/VII/2007</t>
  </si>
  <si>
    <t>M. AMIN AB</t>
  </si>
  <si>
    <t>108/MBA-02/0750/IV/2002</t>
  </si>
  <si>
    <t>M. ARISA</t>
  </si>
  <si>
    <t>411/BBA-03/0411/XI/1995</t>
  </si>
  <si>
    <t>M. DAHLAN USMAN</t>
  </si>
  <si>
    <t>135/MBA-02/1507/V/2007</t>
  </si>
  <si>
    <t>M. HASYIM</t>
  </si>
  <si>
    <t>652/BBA/0652/II/1993</t>
  </si>
  <si>
    <t>M. HUSIN UBIT</t>
  </si>
  <si>
    <t>349/BBA-03/0349/IX/1995</t>
  </si>
  <si>
    <t>M. JAMIL</t>
  </si>
  <si>
    <t>260/MBA-02/2374/X/2010</t>
  </si>
  <si>
    <t>033/BBA-03/0750/III/1997</t>
  </si>
  <si>
    <t>M. JAMIL BASYAH</t>
  </si>
  <si>
    <t>38/MBA-NAD.K/0044/V/2004</t>
  </si>
  <si>
    <t>M. NUR</t>
  </si>
  <si>
    <t>26/MBA-NAD.K/0138/IX/2006</t>
  </si>
  <si>
    <t>M. SALIM</t>
  </si>
  <si>
    <t>067/MBA-02/0275/IX/2000</t>
  </si>
  <si>
    <t>M. SUFI</t>
  </si>
  <si>
    <t>081/BBA-03/0987/XII/1998</t>
  </si>
  <si>
    <t>M. SUYETNO RAHARJO</t>
  </si>
  <si>
    <t>192/BBA/1421/VI/1994</t>
  </si>
  <si>
    <t>M. SYUKRI HS</t>
  </si>
  <si>
    <t>015/MBA-02/0223/VI/2000</t>
  </si>
  <si>
    <t>M. YAHYA THAIB</t>
  </si>
  <si>
    <t>192/BBA-03/0192/VI/1995</t>
  </si>
  <si>
    <t>M. YUSUF ALI</t>
  </si>
  <si>
    <t>143/MBA-02/2257/V/2010</t>
  </si>
  <si>
    <t>076/MBA-02/0718/III/2002</t>
  </si>
  <si>
    <t>M. YUSUF BY</t>
  </si>
  <si>
    <t>029/BBA-03/1023/IV/1999</t>
  </si>
  <si>
    <t>M.THAIB RAYEK</t>
  </si>
  <si>
    <t>050/MBA-02/0085/X/1996</t>
  </si>
  <si>
    <t>MAHYUDDIN YUSUF</t>
  </si>
  <si>
    <t>178/MBA-02/1550/VII/2007</t>
  </si>
  <si>
    <t>MAKHRUZAR, SE</t>
  </si>
  <si>
    <t>063/BBA-03/0063/III/1995</t>
  </si>
  <si>
    <t>MANSURIA</t>
  </si>
  <si>
    <t>97/BBA-03/0097/IV/1995</t>
  </si>
  <si>
    <t>MARIANA</t>
  </si>
  <si>
    <t>256/MBA-02/0593/X/2001</t>
  </si>
  <si>
    <t>MARZUKI</t>
  </si>
  <si>
    <t>027/MBA-02/0235/VII/2000</t>
  </si>
  <si>
    <t>MASWADI</t>
  </si>
  <si>
    <t>15/MDA/0015/XII/1991</t>
  </si>
  <si>
    <t>MUHAMMAD</t>
  </si>
  <si>
    <t>040/BBA-03/0946/V/1998</t>
  </si>
  <si>
    <t>MUHAMMAD AL IDRUS/S.JAKFAR</t>
  </si>
  <si>
    <t>007/BBA-03/1225/III/2002</t>
  </si>
  <si>
    <t>MUHAMMAD AR, SH</t>
  </si>
  <si>
    <t>157/BBA-03/0874/IX/1997</t>
  </si>
  <si>
    <t>MUHAMMAD ASYEK</t>
  </si>
  <si>
    <t>1001/BBA/1001/VIII/93</t>
  </si>
  <si>
    <t>MUHAMMAD JAMIL</t>
  </si>
  <si>
    <t>048/BBA-03/1042/VI/1999</t>
  </si>
  <si>
    <t>MUHAMMAD NAZIR</t>
  </si>
  <si>
    <t>131/MBA-02/2245/V/2010</t>
  </si>
  <si>
    <t>MUHIDI</t>
  </si>
  <si>
    <t>119/BBA-03/0555/V/1996</t>
  </si>
  <si>
    <t>MUHSEN</t>
  </si>
  <si>
    <t>028/MBA-02/0974/II/2003</t>
  </si>
  <si>
    <t>MULYADI</t>
  </si>
  <si>
    <t>032/MBA-02/0674/II/2002</t>
  </si>
  <si>
    <t>MUZAKIR</t>
  </si>
  <si>
    <t>144/MBA-02/1090/IX/2003</t>
  </si>
  <si>
    <t>01/MBA-ADB/029/I/2008</t>
  </si>
  <si>
    <t>NAIMAH</t>
  </si>
  <si>
    <t>133/BBA-03/0850/VIII/1997</t>
  </si>
  <si>
    <t>NAIMAH HAMID</t>
  </si>
  <si>
    <t>49/MBA-NAD.K/0093/IX/2005</t>
  </si>
  <si>
    <t>NAJIMUDDIN</t>
  </si>
  <si>
    <t>101/BBA-03/0101/IV/1995</t>
  </si>
  <si>
    <t>NASRUDDIN</t>
  </si>
  <si>
    <t>197/MBA-02/1569/VIII/2007</t>
  </si>
  <si>
    <t>NORASYIDAH</t>
  </si>
  <si>
    <t>082/MBA-02/0419/IV/2001</t>
  </si>
  <si>
    <t>NUR CAHAYA</t>
  </si>
  <si>
    <t>119/MBA-02/0761/IV/2002</t>
  </si>
  <si>
    <t>NURDIN</t>
  </si>
  <si>
    <t>09/MBA-ADB/037/VIII/2008</t>
  </si>
  <si>
    <t>NURKHAIRAN</t>
  </si>
  <si>
    <t>036/BBA-03/030/IV/1999</t>
  </si>
  <si>
    <t>NURMAINIS</t>
  </si>
  <si>
    <t>427/BBA-03/0427/XII/1995</t>
  </si>
  <si>
    <t>NURSEHAN</t>
  </si>
  <si>
    <t>36/MBA-SAT/1123/XI/2005</t>
  </si>
  <si>
    <t>NURYUSRA</t>
  </si>
  <si>
    <t>186/BBA-03/0622/VIII/1996</t>
  </si>
  <si>
    <t>RAFI'AH</t>
  </si>
  <si>
    <t>27/MBA-ADB/0027/XII/2007</t>
  </si>
  <si>
    <t>RATNA MUTIA DEWI</t>
  </si>
  <si>
    <t>072/MBA-02/0280/IX/2000</t>
  </si>
  <si>
    <t>RAZALI</t>
  </si>
  <si>
    <t>178/BBA-03/0895/XII/1997</t>
  </si>
  <si>
    <t>RAZALI USMAN</t>
  </si>
  <si>
    <t>132/MBA-02/1504/V/2007</t>
  </si>
  <si>
    <t>RIDWAN</t>
  </si>
  <si>
    <t>02/MBA-SAT/1229/I/2006</t>
  </si>
  <si>
    <t>RIDWAN JALIL</t>
  </si>
  <si>
    <t>226/MBA-02/0868/VIII/2002</t>
  </si>
  <si>
    <t>RINALDI BUDIMAN</t>
  </si>
  <si>
    <t>031/BBA-03/1025/IV/1999</t>
  </si>
  <si>
    <t>ROHANA</t>
  </si>
  <si>
    <t>090/MBA-02/0298/X/2000</t>
  </si>
  <si>
    <t>ROSDIANA</t>
  </si>
  <si>
    <t>160/MBA-02/1106/IX/2003</t>
  </si>
  <si>
    <t>ROSMAITI</t>
  </si>
  <si>
    <t>084/BBA-03/1203/X/2000</t>
  </si>
  <si>
    <t>ROSMANIAR</t>
  </si>
  <si>
    <t>005/MDA-01/0006/VII/2000</t>
  </si>
  <si>
    <t>RUHAYA ALI</t>
  </si>
  <si>
    <t>069/MBA-02/0277/IX/2000</t>
  </si>
  <si>
    <t>RUKIAH</t>
  </si>
  <si>
    <t>22/MDA/0022/XII/1991</t>
  </si>
  <si>
    <t>RUSDI</t>
  </si>
  <si>
    <t>218/MBA-02/0555/IX/2001</t>
  </si>
  <si>
    <t>227/BBA-03/0663/X/1996</t>
  </si>
  <si>
    <t>RUSLI ULEE KARENG</t>
  </si>
  <si>
    <t>002/BBA-03/1220/II/2002</t>
  </si>
  <si>
    <t>S Y A M S U L</t>
  </si>
  <si>
    <t>187/MBA-02/1807/XI/2008</t>
  </si>
  <si>
    <t>SABIRIN</t>
  </si>
  <si>
    <t>131/BBA-03/0848/VII/1997</t>
  </si>
  <si>
    <t>SAFWAN NAHDI</t>
  </si>
  <si>
    <t>024/MBA-02/0118/VIII/1997</t>
  </si>
  <si>
    <t>SAID YUSUF</t>
  </si>
  <si>
    <t>093/MBA-02/1713/V/2008</t>
  </si>
  <si>
    <t>SAIFUL BAHRI</t>
  </si>
  <si>
    <t>127/MBA-02/1073/VIII/2003</t>
  </si>
  <si>
    <t>SAKDIAH</t>
  </si>
  <si>
    <t>67/MBA-02/1439/III/2007</t>
  </si>
  <si>
    <t>SALBIANI</t>
  </si>
  <si>
    <t>120/BBA-03/1114/XII/1999</t>
  </si>
  <si>
    <t>SALMAH/RIDWAN YOCOB</t>
  </si>
  <si>
    <t>273/BBA-03/0709/XII/1996</t>
  </si>
  <si>
    <t>SALMI</t>
  </si>
  <si>
    <t>187/BBA-03/0623/VIII/96</t>
  </si>
  <si>
    <t>SALMIAH SALEH</t>
  </si>
  <si>
    <t>111/BBA-03/0111/IV/1995</t>
  </si>
  <si>
    <t>SAMSIDAR</t>
  </si>
  <si>
    <t>029/MBA-02/0123/XI/1997</t>
  </si>
  <si>
    <t>SANUSI TGK. ALI</t>
  </si>
  <si>
    <t>088/BBA-03/0805/V/1997</t>
  </si>
  <si>
    <t>SAYUNI</t>
  </si>
  <si>
    <t>123/MBA-02/0460/V/2001</t>
  </si>
  <si>
    <t>SELLY HALIDAR</t>
  </si>
  <si>
    <t>092/MBA-02/0300/X/2000</t>
  </si>
  <si>
    <t>SHABRI USMAN</t>
  </si>
  <si>
    <t>079/BBA-03/0796/V/1997</t>
  </si>
  <si>
    <t>SOFIAN ST.RADJO BILANG</t>
  </si>
  <si>
    <t>095/BBA-03/1089/IX/1999</t>
  </si>
  <si>
    <t>SRI BOWO HARIANI</t>
  </si>
  <si>
    <t>054/BBA-03/1048/VI/1999</t>
  </si>
  <si>
    <t>SUDIRMAN ABUBAKAR, SH</t>
  </si>
  <si>
    <t>17/MBA-02/1270/IV/2006</t>
  </si>
  <si>
    <t>SULAIMAN</t>
  </si>
  <si>
    <t>090/MBA-02/2204/IV/2010</t>
  </si>
  <si>
    <t>05/BAT-05/0005/X/1996</t>
  </si>
  <si>
    <t>SULAIMAN ISHAK</t>
  </si>
  <si>
    <t>500/BBA-03/1727/XI/1994</t>
  </si>
  <si>
    <t>SUNARDI</t>
  </si>
  <si>
    <t>170/MBA-02/0507/VII/2001</t>
  </si>
  <si>
    <t>SUPARMAN</t>
  </si>
  <si>
    <t>100/BBA-03/1094/X/1999</t>
  </si>
  <si>
    <t>SUPRIYADI</t>
  </si>
  <si>
    <t>228/MBA-02/1600/IX/2007</t>
  </si>
  <si>
    <t>SYAHRUL RAZI</t>
  </si>
  <si>
    <t>010/BBA-03/0727/I/1997</t>
  </si>
  <si>
    <t>SYAMSUAR</t>
  </si>
  <si>
    <t>085/MBA-02/0293/X/2000</t>
  </si>
  <si>
    <t>SYAMSUL RIZAL, AM</t>
  </si>
  <si>
    <t>291/MBA-02/0628/XI/2001</t>
  </si>
  <si>
    <t>SYARIFAH MAISARAH</t>
  </si>
  <si>
    <t>751/BBA/0751/III/1993</t>
  </si>
  <si>
    <t>SYUKRI AHMAD</t>
  </si>
  <si>
    <t>160/MBA-02/0497/VI/2001</t>
  </si>
  <si>
    <t>T A R M I Z I</t>
  </si>
  <si>
    <t>100/MBA-02/0742/IV/2002</t>
  </si>
  <si>
    <t>T. ASKHARI</t>
  </si>
  <si>
    <t>035/MDA/0035/I/1992</t>
  </si>
  <si>
    <t>T. MUHAMMAD</t>
  </si>
  <si>
    <t>053/MBA-02/2167/II/2010</t>
  </si>
  <si>
    <t>T. SAMSUAR</t>
  </si>
  <si>
    <t>1066/BBA/1066/IX/1993</t>
  </si>
  <si>
    <t>T.M. YUSUF</t>
  </si>
  <si>
    <t>32/MBA-02/1404/II/2007</t>
  </si>
  <si>
    <t>TASWIN</t>
  </si>
  <si>
    <t>173/MBA-02/0516/VII/2001</t>
  </si>
  <si>
    <t>TAUFIQ</t>
  </si>
  <si>
    <t>032/MBA-NAD.K/0038/IV/2004</t>
  </si>
  <si>
    <t>UMAR. YS</t>
  </si>
  <si>
    <t>437/BBA/1664/X/1994</t>
  </si>
  <si>
    <t>USMAN</t>
  </si>
  <si>
    <t>37/MBA-02/1172/IV/2004</t>
  </si>
  <si>
    <t>WARDAH</t>
  </si>
  <si>
    <t>517/BBA/1744/XII/1994</t>
  </si>
  <si>
    <t>YOSMERIZA</t>
  </si>
  <si>
    <t>08/MBA-ADB/036/VII/2008</t>
  </si>
  <si>
    <t>YUSLINAR</t>
  </si>
  <si>
    <t>045/BBA-03/0481/III/1996</t>
  </si>
  <si>
    <t>YUSNA</t>
  </si>
  <si>
    <t>100/MBA-02/1353/XII/2006</t>
  </si>
  <si>
    <t>YUSRI</t>
  </si>
  <si>
    <t>166/BBA-03/602/VII/1996</t>
  </si>
  <si>
    <t>YUSRI D</t>
  </si>
  <si>
    <t>36/MBA-02/1408/II/2007</t>
  </si>
  <si>
    <t>YUSRIZAL</t>
  </si>
  <si>
    <t>59/MDA/0087/II/1992</t>
  </si>
  <si>
    <t>YUSUF</t>
  </si>
  <si>
    <t>065/MBA-02/1011/IV/2003</t>
  </si>
  <si>
    <t>ZAHRUDDIN YUSUF, SH</t>
  </si>
  <si>
    <t>358/BBA-03/0358/IX/1995</t>
  </si>
  <si>
    <t>ZAINAL ABDULLAH</t>
  </si>
  <si>
    <t>243/BBA-03/0679/X/1996</t>
  </si>
  <si>
    <t>ZAINAL ABIDIN USMAN</t>
  </si>
  <si>
    <t>919/BBA/0919/VI/1993</t>
  </si>
  <si>
    <t>ZAINAL EFENDI</t>
  </si>
  <si>
    <t>034/MDA/0034/I/1992</t>
  </si>
  <si>
    <t>ZAINUDDIN</t>
  </si>
  <si>
    <t>107/MBA-02/1360/XII/2006</t>
  </si>
  <si>
    <t>ZAINUDDIN DAUD</t>
  </si>
  <si>
    <t>013/BBA-03/0730/I/1997</t>
  </si>
  <si>
    <t>ZAINUDDIN PB</t>
  </si>
  <si>
    <t>11/MBA-NAD.K/0123/II/2006</t>
  </si>
  <si>
    <t>ZAINUDDIN YS</t>
  </si>
  <si>
    <t>191//BBA-03/0191/VI/1995</t>
  </si>
  <si>
    <t>ZAINUN</t>
  </si>
  <si>
    <t>150/MBA-02/2264/VI/2010</t>
  </si>
  <si>
    <t>017/MBA-02/0963/I/2003</t>
  </si>
  <si>
    <t>ZAKARIA</t>
  </si>
  <si>
    <t>155/MBA-02/1101/IX/2003</t>
  </si>
  <si>
    <t>088/BBA-03/0524/IV/1996</t>
  </si>
  <si>
    <t>ZAMZAMI</t>
  </si>
  <si>
    <t>006/BBA-03/0723/I/1997</t>
  </si>
  <si>
    <t>ZAMZAMI AG</t>
  </si>
  <si>
    <t>06/MBA-02/1141/I/2004</t>
  </si>
  <si>
    <t>ZULFITRI</t>
  </si>
  <si>
    <t>299/MBA-02/0636/XII/2001</t>
  </si>
  <si>
    <t>ZULHAMSYAH</t>
  </si>
  <si>
    <t>103//MBA-02/0440/V/2001</t>
  </si>
  <si>
    <t>ZULKARNAINI</t>
  </si>
  <si>
    <t>291/MBA-02/0933/XI/2002</t>
  </si>
  <si>
    <t>ZULKIFLI Z</t>
  </si>
  <si>
    <t>Aceh Besar</t>
  </si>
  <si>
    <t>Tidak Ada Agunan</t>
  </si>
  <si>
    <t>Akta Tukar Menukar</t>
  </si>
  <si>
    <t>TDK BS DI BLOKIR/TDK ADA DATA DI SAMSAT ACEH</t>
  </si>
  <si>
    <t>Lunas</t>
  </si>
  <si>
    <t>DOK AGUNAN TDK ADA</t>
  </si>
  <si>
    <t>NOPOL LUAR ACEH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</si>
</sst>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[$-409]d\-mmm\-yy;@"/>
    <numFmt numFmtId="165" formatCode="[$-409]mmm\-yyyy;@"/>
    <numFmt numFmtId="166" formatCode="[$-409]dd\-mmm\-yyyy;@"/>
    <numFmt numFmtId="167" formatCode="#&quot; bulan&quot;"/>
  </numFmts>
  <fonts count="9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Book Antiqua"/>
      <family val="1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Book Antiqua"/>
      <family val="1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Font="1"/>
    <xf numFmtId="165" fontId="0" fillId="0" borderId="0" xfId="0" applyNumberFormat="1"/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NumberFormat="1" applyBorder="1"/>
    <xf numFmtId="0" fontId="0" fillId="4" borderId="2" xfId="0" applyFont="1" applyFill="1" applyBorder="1"/>
    <xf numFmtId="0" fontId="0" fillId="0" borderId="0" xfId="0" applyFont="1" applyFill="1" applyBorder="1"/>
    <xf numFmtId="0" fontId="0" fillId="0" borderId="7" xfId="0" applyBorder="1"/>
    <xf numFmtId="0" fontId="3" fillId="0" borderId="0" xfId="0" applyFont="1"/>
    <xf numFmtId="10" fontId="0" fillId="0" borderId="7" xfId="0" applyNumberFormat="1" applyBorder="1"/>
    <xf numFmtId="0" fontId="3" fillId="0" borderId="2" xfId="0" applyFont="1" applyBorder="1"/>
    <xf numFmtId="10" fontId="3" fillId="0" borderId="2" xfId="0" applyNumberFormat="1" applyFont="1" applyBorder="1"/>
    <xf numFmtId="0" fontId="0" fillId="4" borderId="2" xfId="0" applyFill="1" applyBorder="1" applyAlignment="1">
      <alignment horizontal="center"/>
    </xf>
    <xf numFmtId="0" fontId="0" fillId="0" borderId="0" xfId="0" applyFill="1"/>
    <xf numFmtId="0" fontId="3" fillId="0" borderId="2" xfId="0" applyFont="1" applyFill="1" applyBorder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0" fontId="0" fillId="0" borderId="0" xfId="0" applyProtection="1"/>
    <xf numFmtId="0" fontId="5" fillId="0" borderId="0" xfId="0" applyFont="1" applyProtection="1"/>
    <xf numFmtId="0" fontId="0" fillId="0" borderId="0" xfId="0" applyFont="1" applyProtection="1"/>
    <xf numFmtId="0" fontId="0" fillId="4" borderId="2" xfId="0" applyFont="1" applyFill="1" applyBorder="1" applyProtection="1"/>
    <xf numFmtId="0" fontId="3" fillId="0" borderId="0" xfId="0" applyFont="1" applyProtection="1"/>
    <xf numFmtId="0" fontId="0" fillId="0" borderId="3" xfId="0" applyBorder="1" applyProtection="1"/>
    <xf numFmtId="0" fontId="0" fillId="0" borderId="6" xfId="0" applyBorder="1" applyProtection="1"/>
    <xf numFmtId="165" fontId="0" fillId="0" borderId="2" xfId="0" applyNumberFormat="1" applyBorder="1" applyProtection="1"/>
    <xf numFmtId="0" fontId="0" fillId="0" borderId="4" xfId="0" applyBorder="1" applyProtection="1"/>
    <xf numFmtId="0" fontId="0" fillId="0" borderId="7" xfId="0" applyBorder="1" applyProtection="1"/>
    <xf numFmtId="0" fontId="3" fillId="4" borderId="5" xfId="0" applyFont="1" applyFill="1" applyBorder="1" applyProtection="1"/>
    <xf numFmtId="0" fontId="0" fillId="0" borderId="0" xfId="0" applyFont="1" applyFill="1" applyBorder="1" applyProtection="1"/>
    <xf numFmtId="0" fontId="0" fillId="0" borderId="0" xfId="0" applyNumberFormat="1" applyBorder="1" applyProtection="1"/>
    <xf numFmtId="0" fontId="2" fillId="0" borderId="0" xfId="0" applyFont="1" applyFill="1" applyProtection="1"/>
    <xf numFmtId="0" fontId="0" fillId="0" borderId="0" xfId="0" applyAlignment="1" applyProtection="1">
      <alignment horizontal="center" vertical="center" wrapText="1"/>
    </xf>
    <xf numFmtId="0" fontId="2" fillId="7" borderId="0" xfId="0" applyFont="1" applyFill="1" applyAlignment="1" applyProtection="1">
      <alignment horizontal="center" vertical="center" wrapText="1"/>
    </xf>
    <xf numFmtId="0" fontId="0" fillId="0" borderId="0" xfId="0" applyNumberFormat="1" applyProtection="1"/>
    <xf numFmtId="10" fontId="0" fillId="0" borderId="0" xfId="0" applyNumberFormat="1" applyProtection="1"/>
    <xf numFmtId="41" fontId="0" fillId="0" borderId="0" xfId="0" applyNumberFormat="1" applyProtection="1">
      <protection locked="0"/>
    </xf>
    <xf numFmtId="0" fontId="1" fillId="8" borderId="1" xfId="0" applyFont="1" applyFill="1" applyBorder="1" applyAlignment="1" applyProtection="1">
      <alignment vertical="center"/>
    </xf>
    <xf numFmtId="10" fontId="3" fillId="4" borderId="2" xfId="0" applyNumberFormat="1" applyFont="1" applyFill="1" applyBorder="1" applyProtection="1"/>
    <xf numFmtId="41" fontId="0" fillId="0" borderId="0" xfId="0" applyNumberFormat="1" applyProtection="1"/>
    <xf numFmtId="165" fontId="0" fillId="0" borderId="0" xfId="0" applyNumberFormat="1" applyProtection="1">
      <protection locked="0"/>
    </xf>
    <xf numFmtId="166" fontId="0" fillId="0" borderId="2" xfId="0" applyNumberFormat="1" applyBorder="1" applyProtection="1"/>
    <xf numFmtId="0" fontId="0" fillId="0" borderId="0" xfId="0" applyBorder="1" applyProtection="1"/>
    <xf numFmtId="10" fontId="3" fillId="0" borderId="0" xfId="0" applyNumberFormat="1" applyFont="1" applyFill="1" applyBorder="1" applyProtection="1"/>
    <xf numFmtId="0" fontId="3" fillId="0" borderId="0" xfId="0" applyFont="1" applyFill="1" applyBorder="1" applyProtection="1"/>
    <xf numFmtId="0" fontId="0" fillId="0" borderId="0" xfId="0" applyFill="1" applyProtection="1"/>
    <xf numFmtId="167" fontId="0" fillId="0" borderId="2" xfId="0" applyNumberFormat="1" applyBorder="1" applyProtection="1"/>
    <xf numFmtId="167" fontId="0" fillId="0" borderId="0" xfId="0" applyNumberFormat="1" applyProtection="1">
      <protection locked="0"/>
    </xf>
    <xf numFmtId="0" fontId="2" fillId="0" borderId="0" xfId="0" applyFont="1" applyFill="1" applyAlignment="1" applyProtection="1">
      <alignment horizontal="left"/>
    </xf>
    <xf numFmtId="0" fontId="0" fillId="4" borderId="0" xfId="0" applyFill="1" applyAlignment="1" applyProtection="1">
      <alignment horizontal="center" vertical="center" wrapText="1"/>
    </xf>
    <xf numFmtId="0" fontId="0" fillId="4" borderId="2" xfId="0" applyNumberFormat="1" applyFill="1" applyBorder="1" applyProtection="1"/>
    <xf numFmtId="0" fontId="1" fillId="8" borderId="1" xfId="0" applyFont="1" applyFill="1" applyBorder="1" applyAlignment="1" applyProtection="1">
      <alignment horizontal="center" vertical="center"/>
    </xf>
    <xf numFmtId="0" fontId="6" fillId="0" borderId="0" xfId="0" applyFont="1" applyProtection="1"/>
    <xf numFmtId="0" fontId="7" fillId="0" borderId="0" xfId="0" applyFont="1" applyProtection="1"/>
    <xf numFmtId="0" fontId="7" fillId="4" borderId="2" xfId="0" applyFont="1" applyFill="1" applyBorder="1" applyProtection="1"/>
    <xf numFmtId="0" fontId="8" fillId="0" borderId="0" xfId="0" applyFont="1" applyProtection="1">
      <protection locked="0"/>
    </xf>
    <xf numFmtId="0" fontId="8" fillId="0" borderId="0" xfId="0" applyFont="1" applyProtection="1"/>
    <xf numFmtId="165" fontId="7" fillId="0" borderId="0" xfId="0" applyNumberFormat="1" applyFont="1" applyBorder="1" applyProtection="1"/>
    <xf numFmtId="166" fontId="7" fillId="0" borderId="2" xfId="0" applyNumberFormat="1" applyFont="1" applyBorder="1" applyProtection="1">
      <protection locked="0"/>
    </xf>
    <xf numFmtId="165" fontId="7" fillId="0" borderId="2" xfId="0" applyNumberFormat="1" applyFont="1" applyBorder="1" applyProtection="1">
      <protection locked="0"/>
    </xf>
    <xf numFmtId="0" fontId="7" fillId="6" borderId="0" xfId="0" applyFont="1" applyFill="1" applyProtection="1"/>
    <xf numFmtId="14" fontId="7" fillId="0" borderId="0" xfId="0" applyNumberFormat="1" applyFont="1" applyProtection="1"/>
    <xf numFmtId="0" fontId="7" fillId="5" borderId="0" xfId="0" applyFont="1" applyFill="1" applyProtection="1"/>
    <xf numFmtId="0" fontId="7" fillId="4" borderId="2" xfId="0" applyNumberFormat="1" applyFont="1" applyFill="1" applyBorder="1" applyProtection="1"/>
    <xf numFmtId="0" fontId="7" fillId="7" borderId="0" xfId="0" applyFont="1" applyFill="1" applyProtection="1"/>
    <xf numFmtId="167" fontId="7" fillId="0" borderId="2" xfId="0" applyNumberFormat="1" applyFont="1" applyBorder="1" applyProtection="1">
      <protection locked="0"/>
    </xf>
    <xf numFmtId="0" fontId="7" fillId="0" borderId="0" xfId="0" applyFont="1" applyFill="1" applyProtection="1"/>
    <xf numFmtId="2" fontId="7" fillId="0" borderId="0" xfId="0" applyNumberFormat="1" applyFont="1" applyFill="1" applyBorder="1" applyProtection="1"/>
    <xf numFmtId="0" fontId="7" fillId="0" borderId="0" xfId="0" applyNumberFormat="1" applyFont="1" applyBorder="1" applyProtection="1"/>
    <xf numFmtId="0" fontId="7" fillId="0" borderId="3" xfId="0" applyFont="1" applyBorder="1" applyProtection="1"/>
    <xf numFmtId="0" fontId="7" fillId="0" borderId="6" xfId="0" applyFont="1" applyBorder="1" applyProtection="1"/>
    <xf numFmtId="0" fontId="7" fillId="0" borderId="4" xfId="0" applyFont="1" applyBorder="1" applyProtection="1"/>
    <xf numFmtId="0" fontId="7" fillId="0" borderId="7" xfId="0" applyFont="1" applyBorder="1" applyProtection="1"/>
    <xf numFmtId="0" fontId="8" fillId="4" borderId="5" xfId="0" applyFont="1" applyFill="1" applyBorder="1" applyProtection="1"/>
    <xf numFmtId="10" fontId="8" fillId="4" borderId="2" xfId="0" applyNumberFormat="1" applyFont="1" applyFill="1" applyBorder="1" applyProtection="1"/>
    <xf numFmtId="0" fontId="0" fillId="0" borderId="0" xfId="0" applyNumberFormat="1" applyProtection="1">
      <protection locked="0"/>
    </xf>
    <xf numFmtId="0" fontId="2" fillId="7" borderId="0" xfId="0" applyFont="1" applyFill="1" applyProtection="1"/>
    <xf numFmtId="0" fontId="7" fillId="4" borderId="2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4" fillId="7" borderId="1" xfId="0" applyFont="1" applyFill="1" applyBorder="1" applyAlignment="1" applyProtection="1">
      <alignment horizontal="center" vertical="center"/>
    </xf>
    <xf numFmtId="0" fontId="1" fillId="8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0" fillId="6" borderId="0" xfId="0" applyFill="1" applyAlignment="1" applyProtection="1">
      <alignment horizontal="left"/>
    </xf>
    <xf numFmtId="0" fontId="2" fillId="7" borderId="0" xfId="0" applyFont="1" applyFill="1" applyAlignment="1" applyProtection="1">
      <alignment horizontal="left"/>
    </xf>
    <xf numFmtId="0" fontId="0" fillId="5" borderId="0" xfId="0" applyFill="1" applyAlignment="1" applyProtection="1">
      <alignment horizontal="left"/>
    </xf>
  </cellXfs>
  <cellStyles count="1">
    <cellStyle name="Normal" xfId="0" builtinId="0"/>
  </cellStyles>
  <dxfs count="133">
    <dxf>
      <numFmt numFmtId="14" formatCode="0.00%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164" formatCode="[$-409]d\-mmm\-yy;@"/>
      <protection locked="0" hidden="0"/>
    </dxf>
    <dxf>
      <numFmt numFmtId="164" formatCode="[$-409]d\-mmm\-yy;@"/>
      <protection locked="0" hidden="0"/>
    </dxf>
    <dxf>
      <numFmt numFmtId="164" formatCode="[$-409]d\-mmm\-yy;@"/>
      <protection locked="0" hidden="0"/>
    </dxf>
    <dxf>
      <numFmt numFmtId="164" formatCode="[$-409]d\-mmm\-yy;@"/>
      <protection locked="0" hidden="0"/>
    </dxf>
    <dxf>
      <numFmt numFmtId="164" formatCode="[$-409]d\-mmm\-yy;@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0" hidden="0"/>
    </dxf>
    <dxf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1" hidden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67" formatCode="#&quot; bulan&quot;"/>
      <protection locked="0" hidden="0"/>
    </dxf>
    <dxf>
      <numFmt numFmtId="165" formatCode="[$-409]mmm\-yyyy;@"/>
    </dxf>
    <dxf>
      <numFmt numFmtId="14" formatCode="0.00%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164" formatCode="[$-409]d\-mmm\-yy;@"/>
      <protection locked="0" hidden="0"/>
    </dxf>
    <dxf>
      <numFmt numFmtId="164" formatCode="[$-409]d\-mmm\-yy;@"/>
      <protection locked="0" hidden="0"/>
    </dxf>
    <dxf>
      <numFmt numFmtId="164" formatCode="[$-409]d\-mmm\-yy;@"/>
      <protection locked="0" hidden="0"/>
    </dxf>
    <dxf>
      <numFmt numFmtId="164" formatCode="[$-409]d\-mmm\-yy;@"/>
      <protection locked="0" hidden="0"/>
    </dxf>
    <dxf>
      <numFmt numFmtId="164" formatCode="[$-409]d\-mmm\-yy;@"/>
      <protection locked="0" hidden="0"/>
    </dxf>
    <dxf>
      <numFmt numFmtId="164" formatCode="[$-409]d\-mmm\-yy;@"/>
      <protection locked="0" hidden="0"/>
    </dxf>
    <dxf>
      <numFmt numFmtId="164" formatCode="[$-409]d\-mmm\-yy;@"/>
      <protection locked="0" hidden="0"/>
    </dxf>
    <dxf>
      <numFmt numFmtId="164" formatCode="[$-409]d\-mmm\-yy;@"/>
      <protection locked="0" hidden="0"/>
    </dxf>
    <dxf>
      <numFmt numFmtId="164" formatCode="[$-409]d\-mmm\-yy;@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165" formatCode="[$-409]mmm\-yyyy;@"/>
      <protection locked="0" hidden="0"/>
    </dxf>
    <dxf>
      <numFmt numFmtId="33" formatCode="_(* #,##0_);_(* \(#,##0\);_(* &quot;-&quot;_);_(@_)"/>
      <protection locked="0" hidden="0"/>
    </dxf>
    <dxf>
      <numFmt numFmtId="0" formatCode="General"/>
      <protection locked="0" hidden="0"/>
    </dxf>
    <dxf>
      <numFmt numFmtId="164" formatCode="[$-409]d\-mmm\-yy;@"/>
      <protection locked="0" hidden="0"/>
    </dxf>
    <dxf>
      <protection locked="0" hidden="0"/>
    </dxf>
    <dxf>
      <protection locked="0" hidden="0"/>
    </dxf>
    <dxf>
      <numFmt numFmtId="0" formatCode="General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1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numFmt numFmtId="33" formatCode="_(* #,##0_);_(* \(#,##0\);_(* &quot;-&quot;_);_(@_)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protection locked="0" hidden="0"/>
    </dxf>
    <dxf>
      <alignment horizontal="center" vertical="center" textRotation="0" wrapText="1" indent="0" justifyLastLine="0" shrinkToFit="0" readingOrder="0"/>
      <protection locked="1" hidden="0"/>
    </dxf>
    <dxf>
      <font>
        <b/>
        <i val="0"/>
        <color rgb="FFC0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paya_Debitur" displayName="Upaya_Debitur" ref="A18:CM251" totalsRowShown="0" headerRowDxfId="121" dataDxfId="120">
  <autoFilter ref="A18:CM251" xr:uid="{00000000-0009-0000-0100-000001000000}"/>
  <tableColumns count="91">
    <tableColumn id="1" xr3:uid="{00000000-0010-0000-0000-000001000000}" name="No" dataDxfId="119"/>
    <tableColumn id="2" xr3:uid="{00000000-0010-0000-0000-000002000000}" name="Rekening" dataDxfId="118"/>
    <tableColumn id="3" xr3:uid="{00000000-0010-0000-0000-000003000000}" name="Nomor PK" dataDxfId="117"/>
    <tableColumn id="4" xr3:uid="{00000000-0010-0000-0000-000004000000}" name="Nama Debitur" dataDxfId="116"/>
    <tableColumn id="5" xr3:uid="{00000000-0010-0000-0000-000005000000}" name="Kewajiban Pokok" dataDxfId="115"/>
    <tableColumn id="6" xr3:uid="{00000000-0010-0000-0000-000006000000}" name="Kewajiban Bunga" dataDxfId="114"/>
    <tableColumn id="7" xr3:uid="{00000000-0010-0000-0000-000007000000}" name="Kewajiban Denda" dataDxfId="113"/>
    <tableColumn id="8" xr3:uid="{00000000-0010-0000-0000-000008000000}" name="Kewajiban Total" dataDxfId="112">
      <calculatedColumnFormula>SUM(Upaya_Debitur[[#This Row],[Kewajiban Pokok]:[Kewajiban Denda]])</calculatedColumnFormula>
    </tableColumn>
    <tableColumn id="89" xr3:uid="{00000000-0010-0000-0000-000059000000}" name="Angsuran Sesuai PK" dataDxfId="111"/>
    <tableColumn id="90" xr3:uid="{00000000-0010-0000-0000-00005A000000}" name="Angsuran Diperhitungkan" dataDxfId="110">
      <calculatedColumnFormula>IF(ISNUMBER(Upaya_Debitur[[#This Row],[Angsuran Sesuai PK]]),Upaya_Debitur[[#This Row],[Angsuran Sesuai PK]],1)</calculatedColumnFormula>
    </tableColumn>
    <tableColumn id="91" xr3:uid="{00000000-0010-0000-0000-00005B000000}" name="Wilayah Hukum" dataDxfId="109"/>
    <tableColumn id="9" xr3:uid="{00000000-0010-0000-0000-000009000000}" name="Kondisi Debitur" dataDxfId="108"/>
    <tableColumn id="10" xr3:uid="{00000000-0010-0000-0000-00000A000000}" name="Bukti" dataDxfId="107"/>
    <tableColumn id="11" xr3:uid="{00000000-0010-0000-0000-00000B000000}" name="Tanggal Kunjungan" dataDxfId="106"/>
    <tableColumn id="12" xr3:uid="{00000000-0010-0000-0000-00000C000000}" name="Keterangan" dataDxfId="105"/>
    <tableColumn id="63" xr3:uid="{00000000-0010-0000-0000-00003F000000}" name="Haircut" dataDxfId="104"/>
    <tableColumn id="65" xr3:uid="{00000000-0010-0000-0000-000041000000}" name="Periode Haircut" dataDxfId="103"/>
    <tableColumn id="64" xr3:uid="{00000000-0010-0000-0000-000040000000}" name="Set Off" dataDxfId="102"/>
    <tableColumn id="25" xr3:uid="{00000000-0010-0000-0000-000019000000}" name="Haircut Diperhitungkan" dataDxfId="101">
      <calculatedColumnFormula>IF(Upaya_Debitur[[#This Row],[Periode Haircut]]="",0,IF(Upaya_Debitur[[#This Row],[Periode Haircut]]&lt;=$B$6,Upaya_Debitur[[#This Row],[Haircut]],0))</calculatedColumnFormula>
    </tableColumn>
    <tableColumn id="22" xr3:uid="{00000000-0010-0000-0000-000016000000}" name="Set Off Diperhitungkan" dataDxfId="100">
      <calculatedColumnFormula>IF($B$10="",0,IF($B$10&lt;=$B$6,Upaya_Debitur[[#This Row],[Set Off]],0))</calculatedColumnFormula>
    </tableColumn>
    <tableColumn id="50" xr3:uid="{00000000-0010-0000-0000-000032000000}" name="1" dataDxfId="99"/>
    <tableColumn id="51" xr3:uid="{00000000-0010-0000-0000-000033000000}" name="2" dataDxfId="98"/>
    <tableColumn id="52" xr3:uid="{00000000-0010-0000-0000-000034000000}" name="3" dataDxfId="97"/>
    <tableColumn id="53" xr3:uid="{00000000-0010-0000-0000-000035000000}" name="4" dataDxfId="96"/>
    <tableColumn id="54" xr3:uid="{00000000-0010-0000-0000-000036000000}" name="5" dataDxfId="95"/>
    <tableColumn id="55" xr3:uid="{00000000-0010-0000-0000-000037000000}" name="6" dataDxfId="94"/>
    <tableColumn id="56" xr3:uid="{00000000-0010-0000-0000-000038000000}" name="7" dataDxfId="93"/>
    <tableColumn id="57" xr3:uid="{00000000-0010-0000-0000-000039000000}" name="8" dataDxfId="92"/>
    <tableColumn id="58" xr3:uid="{00000000-0010-0000-0000-00003A000000}" name="9" dataDxfId="91"/>
    <tableColumn id="59" xr3:uid="{00000000-0010-0000-0000-00003B000000}" name="10" dataDxfId="90"/>
    <tableColumn id="60" xr3:uid="{00000000-0010-0000-0000-00003C000000}" name="11" dataDxfId="89"/>
    <tableColumn id="61" xr3:uid="{00000000-0010-0000-0000-00003D000000}" name="12" dataDxfId="88"/>
    <tableColumn id="38" xr3:uid="{00000000-0010-0000-0000-000026000000}" name="13" dataDxfId="87"/>
    <tableColumn id="39" xr3:uid="{00000000-0010-0000-0000-000027000000}" name="14" dataDxfId="86"/>
    <tableColumn id="40" xr3:uid="{00000000-0010-0000-0000-000028000000}" name="15" dataDxfId="85"/>
    <tableColumn id="41" xr3:uid="{00000000-0010-0000-0000-000029000000}" name="16" dataDxfId="84"/>
    <tableColumn id="42" xr3:uid="{00000000-0010-0000-0000-00002A000000}" name="17" dataDxfId="83"/>
    <tableColumn id="43" xr3:uid="{00000000-0010-0000-0000-00002B000000}" name="18" dataDxfId="82"/>
    <tableColumn id="44" xr3:uid="{00000000-0010-0000-0000-00002C000000}" name="19" dataDxfId="81"/>
    <tableColumn id="45" xr3:uid="{00000000-0010-0000-0000-00002D000000}" name="20" dataDxfId="80"/>
    <tableColumn id="46" xr3:uid="{00000000-0010-0000-0000-00002E000000}" name="21" dataDxfId="79"/>
    <tableColumn id="47" xr3:uid="{00000000-0010-0000-0000-00002F000000}" name="22" dataDxfId="78"/>
    <tableColumn id="48" xr3:uid="{00000000-0010-0000-0000-000030000000}" name="23" dataDxfId="77"/>
    <tableColumn id="49" xr3:uid="{00000000-0010-0000-0000-000031000000}" name="24" dataDxfId="76"/>
    <tableColumn id="62" xr3:uid="{00000000-0010-0000-0000-00003E000000}" name="25" dataDxfId="75"/>
    <tableColumn id="66" xr3:uid="{00000000-0010-0000-0000-000042000000}" name="26" dataDxfId="74"/>
    <tableColumn id="67" xr3:uid="{00000000-0010-0000-0000-000043000000}" name="27" dataDxfId="73"/>
    <tableColumn id="68" xr3:uid="{00000000-0010-0000-0000-000044000000}" name="28" dataDxfId="72"/>
    <tableColumn id="69" xr3:uid="{00000000-0010-0000-0000-000045000000}" name="29" dataDxfId="71"/>
    <tableColumn id="70" xr3:uid="{00000000-0010-0000-0000-000046000000}" name="30" dataDxfId="70"/>
    <tableColumn id="71" xr3:uid="{00000000-0010-0000-0000-000047000000}" name="31" dataDxfId="69"/>
    <tableColumn id="72" xr3:uid="{00000000-0010-0000-0000-000048000000}" name="32" dataDxfId="68"/>
    <tableColumn id="73" xr3:uid="{00000000-0010-0000-0000-000049000000}" name="33" dataDxfId="67"/>
    <tableColumn id="74" xr3:uid="{00000000-0010-0000-0000-00004A000000}" name="34" dataDxfId="66"/>
    <tableColumn id="75" xr3:uid="{00000000-0010-0000-0000-00004B000000}" name="35" dataDxfId="65"/>
    <tableColumn id="76" xr3:uid="{00000000-0010-0000-0000-00004C000000}" name="36" dataDxfId="64"/>
    <tableColumn id="77" xr3:uid="{00000000-0010-0000-0000-00004D000000}" name="37" dataDxfId="63"/>
    <tableColumn id="78" xr3:uid="{00000000-0010-0000-0000-00004E000000}" name="38" dataDxfId="62"/>
    <tableColumn id="79" xr3:uid="{00000000-0010-0000-0000-00004F000000}" name="39" dataDxfId="61"/>
    <tableColumn id="80" xr3:uid="{00000000-0010-0000-0000-000050000000}" name="40" dataDxfId="60"/>
    <tableColumn id="81" xr3:uid="{00000000-0010-0000-0000-000051000000}" name="41" dataDxfId="59"/>
    <tableColumn id="82" xr3:uid="{00000000-0010-0000-0000-000052000000}" name="42" dataDxfId="58"/>
    <tableColumn id="83" xr3:uid="{00000000-0010-0000-0000-000053000000}" name="43" dataDxfId="57"/>
    <tableColumn id="84" xr3:uid="{00000000-0010-0000-0000-000054000000}" name="44" dataDxfId="56"/>
    <tableColumn id="85" xr3:uid="{00000000-0010-0000-0000-000055000000}" name="45" dataDxfId="55"/>
    <tableColumn id="86" xr3:uid="{00000000-0010-0000-0000-000056000000}" name="46" dataDxfId="54"/>
    <tableColumn id="87" xr3:uid="{00000000-0010-0000-0000-000057000000}" name="47" dataDxfId="53"/>
    <tableColumn id="88" xr3:uid="{00000000-0010-0000-0000-000058000000}" name="48" dataDxfId="52"/>
    <tableColumn id="37" xr3:uid="{00000000-0010-0000-0000-000025000000}" name="Total Pencairan" dataDxfId="51">
      <calculatedColumnFormula>SUM(OFFSET(Upaya_Debitur[[#This Row],[Haircut Diperhitungkan]],0,0,1,$B$7+2))</calculatedColumnFormula>
    </tableColumn>
    <tableColumn id="29" xr3:uid="{00000000-0010-0000-0000-00001D000000}" name="Lunas?" dataDxfId="50">
      <calculatedColumnFormula>IF(Upaya_Debitur[[#This Row],[Total Pencairan]]&gt;=Upaya_Debitur[[#This Row],[Kewajiban Total]],"Lunas","Belum Lunas")</calculatedColumnFormula>
    </tableColumn>
    <tableColumn id="30" xr3:uid="{00000000-0010-0000-0000-00001E000000}" name="Surat Pemberitahuan?" dataDxfId="49">
      <calculatedColumnFormula>"Ya"</calculatedColumnFormula>
    </tableColumn>
    <tableColumn id="31" xr3:uid="{00000000-0010-0000-0000-00001F000000}" name="Update SLIK OJK?" dataDxfId="48">
      <calculatedColumnFormula>"Ya"</calculatedColumnFormula>
    </tableColumn>
    <tableColumn id="32" xr3:uid="{00000000-0010-0000-0000-000020000000}" name="SP 1?" dataDxfId="47">
      <calculatedColumnFormula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calculatedColumnFormula>
    </tableColumn>
    <tableColumn id="33" xr3:uid="{00000000-0010-0000-0000-000021000000}" name="SP2?" dataDxfId="46">
      <calculatedColumnFormula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calculatedColumnFormula>
    </tableColumn>
    <tableColumn id="34" xr3:uid="{00000000-0010-0000-0000-000022000000}" name="SP3?" dataDxfId="45">
      <calculatedColumnFormula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calculatedColumnFormula>
    </tableColumn>
    <tableColumn id="35" xr3:uid="{00000000-0010-0000-0000-000023000000}" name="Pemanggilan Koran?" dataDxfId="44">
      <calculatedColumnFormula>IF(Upaya_Debitur[[#This Row],[Kondisi Debitur]]="Tidak ditemukan","Ya","Tidak")</calculatedColumnFormula>
    </tableColumn>
    <tableColumn id="36" xr3:uid="{00000000-0010-0000-0000-000024000000}" name="Iklan Cessie 1?" dataDxfId="43">
      <calculatedColumnFormula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calculatedColumnFormula>
    </tableColumn>
    <tableColumn id="23" xr3:uid="{00000000-0010-0000-0000-000017000000}" name="Iklan Cessie 2?" dataDxfId="42">
      <calculatedColumnFormula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calculatedColumnFormula>
    </tableColumn>
    <tableColumn id="24" xr3:uid="{00000000-0010-0000-0000-000018000000}" name="Gugatan Sederhana?" dataDxfId="41">
      <calculatedColumnFormula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calculatedColumnFormula>
    </tableColumn>
    <tableColumn id="13" xr3:uid="{00000000-0010-0000-0000-00000D000000}" name="Surat Pemberitahuan" dataDxfId="40"/>
    <tableColumn id="14" xr3:uid="{00000000-0010-0000-0000-00000E000000}" name="Update SLIK OJK" dataDxfId="39"/>
    <tableColumn id="15" xr3:uid="{00000000-0010-0000-0000-00000F000000}" name="SP1" dataDxfId="38"/>
    <tableColumn id="16" xr3:uid="{00000000-0010-0000-0000-000010000000}" name="SP2" dataDxfId="37"/>
    <tableColumn id="17" xr3:uid="{00000000-0010-0000-0000-000011000000}" name="SP3" dataDxfId="36"/>
    <tableColumn id="19" xr3:uid="{00000000-0010-0000-0000-000013000000}" name="Pemanggilan Koran" dataDxfId="35"/>
    <tableColumn id="20" xr3:uid="{00000000-0010-0000-0000-000014000000}" name="Iklan Cessie 1" dataDxfId="34"/>
    <tableColumn id="21" xr3:uid="{00000000-0010-0000-0000-000015000000}" name="Iklan Cessie 2" dataDxfId="33"/>
    <tableColumn id="18" xr3:uid="{00000000-0010-0000-0000-000012000000}" name="Gugatan Sederhana" dataDxfId="32"/>
    <tableColumn id="26" xr3:uid="{00000000-0010-0000-0000-00001A000000}" name="Target Upaya" dataDxfId="31">
      <calculatedColumnFormula>COUNTIF(Upaya_Debitur[[#This Row],[Surat Pemberitahuan?]:[Gugatan Sederhana?]],"Ya")</calculatedColumnFormula>
    </tableColumn>
    <tableColumn id="27" xr3:uid="{00000000-0010-0000-0000-00001B000000}" name="Realisasi" dataDxfId="30">
      <calculatedColumnFormula>Upaya_Debitur[[#This Row],[Target Upaya]]-COUNTIFS(Upaya_Debitur[[#This Row],[Surat Pemberitahuan?]:[Gugatan Sederhana?]],"Ya",Upaya_Debitur[[#This Row],[Surat Pemberitahuan]:[Gugatan Sederhana]],"")</calculatedColumnFormula>
    </tableColumn>
    <tableColumn id="28" xr3:uid="{00000000-0010-0000-0000-00001C000000}" name="Pencapaian" dataDxfId="29">
      <calculatedColumnFormula>IF(ISNUMBER(Upaya_Debitur[[#This Row],[Realisasi]]/Upaya_Debitur[[#This Row],[Target Upaya]]),Upaya_Debitur[[#This Row],[Realisasi]]/Upaya_Debitur[[#This Row],[Target Upaya]],1)</calculatedColumnFormula>
    </tableColumn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Periode" displayName="Periode" ref="CQ18:CS66" totalsRowShown="0">
  <autoFilter ref="CQ18:CS66" xr:uid="{00000000-0009-0000-0100-000004000000}"/>
  <tableColumns count="3">
    <tableColumn id="1" xr3:uid="{00000000-0010-0000-0100-000001000000}" name="Bulan Ke"/>
    <tableColumn id="2" xr3:uid="{00000000-0010-0000-0100-000002000000}" name="Nama Bulan" dataDxfId="28"/>
    <tableColumn id="3" xr3:uid="{00000000-0010-0000-0100-000003000000}" name="Durasi" dataDxfId="27">
      <calculatedColumnFormula>Periode[[#This Row],[Bulan Ke]]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2000000}" name="Kondisi_Debitur" displayName="Kondisi_Debitur" ref="CU18:CU23" totalsRowShown="0">
  <autoFilter ref="CU18:CU23" xr:uid="{00000000-0009-0000-0100-000016000000}"/>
  <tableColumns count="1">
    <tableColumn id="1" xr3:uid="{00000000-0010-0000-0200-000001000000}" name="Kondisi Debitu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Upaya_Agunan" displayName="Upaya_Agunan" ref="A11:S267" totalsRowShown="0" headerRowDxfId="20" dataDxfId="19">
  <autoFilter ref="A11:S267" xr:uid="{00000000-0009-0000-0100-000002000000}"/>
  <tableColumns count="19">
    <tableColumn id="1" xr3:uid="{00000000-0010-0000-0300-000001000000}" name="No" dataDxfId="18"/>
    <tableColumn id="2" xr3:uid="{00000000-0010-0000-0300-000002000000}" name="Nomor PK" dataDxfId="17"/>
    <tableColumn id="3" xr3:uid="{00000000-0010-0000-0300-000003000000}" name="Kategori Agunan" dataDxfId="16"/>
    <tableColumn id="4" xr3:uid="{00000000-0010-0000-0300-000004000000}" name="Agunan" dataDxfId="15"/>
    <tableColumn id="13" xr3:uid="{00000000-0010-0000-0300-00000D000000}" name="Pengikatan" dataDxfId="14"/>
    <tableColumn id="18" xr3:uid="{00000000-0010-0000-0300-000012000000}" name="Lunas?" dataDxfId="13">
      <calculatedColumnFormula>INDEX(Upaya_Debitur[Lunas?],MATCH(Upaya_Agunan[[#This Row],[Nomor PK]],Upaya_Debitur[Nomor PK],0))</calculatedColumnFormula>
    </tableColumn>
    <tableColumn id="14" xr3:uid="{00000000-0010-0000-0300-00000E000000}" name="Blokir Agunan?" dataDxfId="12">
      <calculatedColumnFormula>IF(OR(Upaya_Agunan[[#This Row],[Agunan]]="SHM",Upaya_Agunan[[#This Row],[Agunan]]="BPKB"),"Ya","Tidak")</calculatedColumnFormula>
    </tableColumn>
    <tableColumn id="15" xr3:uid="{00000000-0010-0000-0300-00000F000000}" name="Appraisal?" dataDxfId="11">
      <calculatedColumnFormula>IF(AND(INDEX(Upaya_Debitur[],MATCH(Upaya_Agunan[[#This Row],[Nomor PK]],Upaya_Debitur[Nomor PK],0),74)="Ya",OR(Upaya_Agunan[[#This Row],[Pengikatan]]="SHT",Upaya_Agunan[[#This Row],[Pengikatan]]="SJF")),"Ya","Tidak")</calculatedColumnFormula>
    </tableColumn>
    <tableColumn id="16" xr3:uid="{00000000-0010-0000-0300-000010000000}" name="Lelang 1?" dataDxfId="10">
      <calculatedColumnFormula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calculatedColumnFormula>
    </tableColumn>
    <tableColumn id="17" xr3:uid="{00000000-0010-0000-0300-000011000000}" name="Lelang 2?" dataDxfId="9">
      <calculatedColumnFormula>IF(AND(DATEDIF($B$5,$B$6,"D")&gt;=150,Upaya_Agunan[[#This Row],[Lelang 1?]]="Ya"),"Ya","Tidak")</calculatedColumnFormula>
    </tableColumn>
    <tableColumn id="19" xr3:uid="{00000000-0010-0000-0300-000013000000}" name="Penjualan Agunan?" dataDxfId="8">
      <calculatedColumnFormula>IF(AND(DATEDIF($B$5,$B$6,"D")&gt;=180,Upaya_Agunan[[#This Row],[Lelang 2?]]="Ya"),"Ya","Tidak")</calculatedColumnFormula>
    </tableColumn>
    <tableColumn id="5" xr3:uid="{00000000-0010-0000-0300-000005000000}" name="Blokir Agunan" dataDxfId="7"/>
    <tableColumn id="6" xr3:uid="{00000000-0010-0000-0300-000006000000}" name="Appraisal" dataDxfId="6"/>
    <tableColumn id="7" xr3:uid="{00000000-0010-0000-0300-000007000000}" name="Lelang 1" dataDxfId="5"/>
    <tableColumn id="8" xr3:uid="{00000000-0010-0000-0300-000008000000}" name="Lelang 2" dataDxfId="4"/>
    <tableColumn id="9" xr3:uid="{00000000-0010-0000-0300-000009000000}" name="Penjualan Agunan" dataDxfId="3"/>
    <tableColumn id="10" xr3:uid="{00000000-0010-0000-0300-00000A000000}" name="Target Upaya" dataDxfId="2">
      <calculatedColumnFormula>COUNTIF(Upaya_Agunan[[#This Row],[Blokir Agunan?]:[Penjualan Agunan?]],"Ya")</calculatedColumnFormula>
    </tableColumn>
    <tableColumn id="11" xr3:uid="{00000000-0010-0000-0300-00000B000000}" name="Realisasi" dataDxfId="1">
      <calculatedColumnFormula>Upaya_Agunan[[#This Row],[Target Upaya]]-COUNTIFS(Upaya_Agunan[[#This Row],[Blokir Agunan?]:[Penjualan Agunan?]],"Ya",Upaya_Agunan[[#This Row],[Blokir Agunan]:[Penjualan Agunan]],"")</calculatedColumnFormula>
    </tableColumn>
    <tableColumn id="12" xr3:uid="{00000000-0010-0000-0300-00000C000000}" name="Pencapaian" dataDxfId="0">
      <calculatedColumnFormula>IF(ISNUMBER(Upaya_Agunan[[#This Row],[Realisasi]]/Upaya_Agunan[[#This Row],[Target Upaya]]),Upaya_Agunan[[#This Row],[Realisasi]]/Upaya_Agunan[[#This Row],[Target Upaya]],1)</calculatedColumnFormula>
    </tableColumn>
  </tableColumns>
  <tableStyleInfo name="TableStyleLight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Kategori_Agunan" displayName="Kategori_Agunan" ref="W11:W27" totalsRowShown="0">
  <autoFilter ref="W11:W27" xr:uid="{00000000-0009-0000-0100-000007000000}"/>
  <tableColumns count="1">
    <tableColumn id="1" xr3:uid="{00000000-0010-0000-0400-000001000000}" name="Kategori Aguna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Agunan" displayName="Agunan" ref="Y11:Y28" totalsRowShown="0">
  <autoFilter ref="Y11:Y28" xr:uid="{00000000-0009-0000-0100-000003000000}"/>
  <tableColumns count="1">
    <tableColumn id="1" xr3:uid="{00000000-0010-0000-0500-000001000000}" name="Aguna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6000000}" name="Pengikatan" displayName="Pengikatan" ref="AA11:AA19" totalsRowShown="0">
  <autoFilter ref="AA11:AA19" xr:uid="{00000000-0009-0000-0100-00001E000000}"/>
  <tableColumns count="1">
    <tableColumn id="1" xr3:uid="{00000000-0010-0000-0600-000001000000}" name="Pengik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U251"/>
  <sheetViews>
    <sheetView zoomScale="67" zoomScaleNormal="70" workbookViewId="0">
      <pane xSplit="6" ySplit="18" topLeftCell="S19" activePane="bottomRight" state="frozen"/>
      <selection pane="topRight" activeCell="G1" sqref="G1"/>
      <selection pane="bottomLeft" activeCell="A19" sqref="A19"/>
      <selection pane="bottomRight"/>
    </sheetView>
  </sheetViews>
  <sheetFormatPr defaultColWidth="0" defaultRowHeight="14.4" x14ac:dyDescent="0.3"/>
  <cols>
    <col min="1" max="1" width="13.44140625" style="16" customWidth="1"/>
    <col min="2" max="3" width="17" style="16" customWidth="1"/>
    <col min="4" max="4" width="19.6640625" style="16" customWidth="1"/>
    <col min="5" max="8" width="17.33203125" style="16" customWidth="1"/>
    <col min="9" max="11" width="16.6640625" style="16" customWidth="1"/>
    <col min="12" max="12" width="15.6640625" style="16" customWidth="1"/>
    <col min="13" max="13" width="8.88671875" style="16" customWidth="1"/>
    <col min="14" max="14" width="11.109375" style="16" customWidth="1"/>
    <col min="15" max="15" width="17.6640625" style="16" customWidth="1"/>
    <col min="16" max="16" width="16.6640625" style="16" customWidth="1"/>
    <col min="17" max="17" width="11.109375" style="16" customWidth="1"/>
    <col min="18" max="20" width="16.6640625" style="16" customWidth="1"/>
    <col min="21" max="35" width="7.33203125" style="16" customWidth="1"/>
    <col min="36" max="68" width="7.33203125" style="16" hidden="1" customWidth="1"/>
    <col min="69" max="69" width="16.6640625" style="16" customWidth="1"/>
    <col min="70" max="70" width="9" style="16" customWidth="1"/>
    <col min="71" max="79" width="10" style="16" hidden="1" customWidth="1"/>
    <col min="80" max="88" width="10" style="16" customWidth="1"/>
    <col min="89" max="91" width="11.44140625" style="16" customWidth="1"/>
    <col min="92" max="16384" width="8.88671875" style="16" hidden="1"/>
  </cols>
  <sheetData>
    <row r="1" spans="1:84" s="54" customFormat="1" ht="18" x14ac:dyDescent="0.35">
      <c r="A1" s="53" t="s">
        <v>19</v>
      </c>
    </row>
    <row r="2" spans="1:84" s="54" customFormat="1" ht="18" x14ac:dyDescent="0.35">
      <c r="A2" s="53" t="s">
        <v>18</v>
      </c>
    </row>
    <row r="3" spans="1:84" s="54" customFormat="1" x14ac:dyDescent="0.3"/>
    <row r="4" spans="1:84" s="54" customFormat="1" x14ac:dyDescent="0.3">
      <c r="A4" s="55" t="s">
        <v>133</v>
      </c>
      <c r="B4" s="56" t="s">
        <v>134</v>
      </c>
      <c r="D4" s="57" t="s">
        <v>183</v>
      </c>
      <c r="E4" s="58"/>
    </row>
    <row r="5" spans="1:84" s="54" customFormat="1" x14ac:dyDescent="0.3">
      <c r="A5" s="55" t="s">
        <v>43</v>
      </c>
      <c r="B5" s="59">
        <v>43749</v>
      </c>
      <c r="D5" s="78" t="s">
        <v>181</v>
      </c>
      <c r="E5" s="60" t="s">
        <v>637</v>
      </c>
      <c r="CB5" s="54" t="s">
        <v>186</v>
      </c>
      <c r="CC5" s="61" t="s">
        <v>122</v>
      </c>
      <c r="CD5" s="61"/>
      <c r="CE5" s="61"/>
      <c r="CF5" s="61"/>
    </row>
    <row r="6" spans="1:84" s="54" customFormat="1" x14ac:dyDescent="0.3">
      <c r="A6" s="55" t="s">
        <v>42</v>
      </c>
      <c r="B6" s="60">
        <v>44196</v>
      </c>
      <c r="C6" s="62"/>
      <c r="D6" s="78" t="s">
        <v>182</v>
      </c>
      <c r="E6" s="60"/>
      <c r="CC6" s="63" t="s">
        <v>123</v>
      </c>
      <c r="CD6" s="63"/>
      <c r="CE6" s="63"/>
      <c r="CF6" s="63"/>
    </row>
    <row r="7" spans="1:84" s="54" customFormat="1" x14ac:dyDescent="0.3">
      <c r="A7" s="55" t="s">
        <v>40</v>
      </c>
      <c r="B7" s="64">
        <f>INDEX(Periode[],MATCH(B6,Periode[Nama Bulan],0),1)</f>
        <v>15</v>
      </c>
      <c r="D7" s="67"/>
      <c r="E7" s="60"/>
      <c r="CC7" s="77" t="s">
        <v>124</v>
      </c>
      <c r="CD7" s="65"/>
      <c r="CE7" s="65"/>
      <c r="CF7" s="65"/>
    </row>
    <row r="8" spans="1:84" s="54" customFormat="1" x14ac:dyDescent="0.3">
      <c r="A8" s="55" t="s">
        <v>176</v>
      </c>
      <c r="B8" s="66">
        <v>15</v>
      </c>
      <c r="D8" s="67"/>
      <c r="E8" s="60"/>
      <c r="H8" s="67"/>
      <c r="I8" s="67"/>
      <c r="J8" s="67"/>
      <c r="K8" s="67"/>
      <c r="L8" s="67"/>
      <c r="M8" s="67"/>
    </row>
    <row r="9" spans="1:84" s="54" customFormat="1" x14ac:dyDescent="0.3">
      <c r="A9" s="68" t="s">
        <v>177</v>
      </c>
      <c r="B9" s="69"/>
      <c r="D9" s="67"/>
      <c r="E9" s="60"/>
    </row>
    <row r="10" spans="1:84" s="54" customFormat="1" x14ac:dyDescent="0.3">
      <c r="A10" s="55" t="s">
        <v>125</v>
      </c>
      <c r="B10" s="60"/>
      <c r="D10" s="67"/>
      <c r="E10" s="60"/>
    </row>
    <row r="11" spans="1:84" s="54" customFormat="1" x14ac:dyDescent="0.3">
      <c r="A11" s="54" t="s">
        <v>150</v>
      </c>
      <c r="B11" s="58"/>
      <c r="D11" s="67"/>
      <c r="E11" s="60"/>
    </row>
    <row r="12" spans="1:84" s="54" customFormat="1" x14ac:dyDescent="0.3">
      <c r="B12" s="58"/>
      <c r="D12" s="67"/>
      <c r="E12" s="60"/>
    </row>
    <row r="13" spans="1:84" s="54" customFormat="1" x14ac:dyDescent="0.3">
      <c r="A13" s="70" t="s">
        <v>126</v>
      </c>
      <c r="B13" s="71">
        <f ca="1">SUM(Upaya_Debitur[Target Upaya])</f>
        <v>1695</v>
      </c>
      <c r="E13" s="67"/>
      <c r="F13" s="67"/>
    </row>
    <row r="14" spans="1:84" s="54" customFormat="1" x14ac:dyDescent="0.3">
      <c r="A14" s="72" t="s">
        <v>127</v>
      </c>
      <c r="B14" s="73">
        <f ca="1">SUM(Upaya_Debitur[Realisasi])</f>
        <v>1695</v>
      </c>
      <c r="E14" s="67"/>
      <c r="F14" s="67"/>
    </row>
    <row r="15" spans="1:84" s="54" customFormat="1" x14ac:dyDescent="0.3">
      <c r="A15" s="74" t="s">
        <v>128</v>
      </c>
      <c r="B15" s="75">
        <f ca="1">IF(ISNUMBER(B14/B13),B14/B13,1)</f>
        <v>1</v>
      </c>
      <c r="E15" s="67"/>
      <c r="F15" s="67"/>
    </row>
    <row r="16" spans="1:84" s="54" customFormat="1" x14ac:dyDescent="0.3">
      <c r="B16" s="58"/>
      <c r="E16" s="67"/>
      <c r="F16" s="67"/>
    </row>
    <row r="17" spans="1:99" s="19" customFormat="1" x14ac:dyDescent="0.3">
      <c r="P17" s="82" t="s">
        <v>143</v>
      </c>
      <c r="Q17" s="82"/>
      <c r="R17" s="52" t="s">
        <v>125</v>
      </c>
      <c r="S17" s="38"/>
      <c r="T17" s="38"/>
      <c r="U17" s="83" t="s">
        <v>147</v>
      </c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38"/>
      <c r="BR17" s="38"/>
      <c r="BS17" s="79" t="s">
        <v>36</v>
      </c>
      <c r="BT17" s="79"/>
      <c r="BU17" s="79"/>
      <c r="BV17" s="79"/>
      <c r="BW17" s="79"/>
      <c r="BX17" s="79"/>
      <c r="BY17" s="79"/>
      <c r="BZ17" s="79"/>
      <c r="CA17" s="79"/>
      <c r="CB17" s="80" t="s">
        <v>121</v>
      </c>
      <c r="CC17" s="80"/>
      <c r="CD17" s="80"/>
      <c r="CE17" s="80"/>
      <c r="CF17" s="80"/>
      <c r="CG17" s="80"/>
      <c r="CH17" s="80"/>
      <c r="CI17" s="80"/>
      <c r="CJ17" s="80"/>
      <c r="CK17" s="81" t="s">
        <v>129</v>
      </c>
      <c r="CL17" s="81"/>
      <c r="CM17" s="81"/>
    </row>
    <row r="18" spans="1:99" s="33" customFormat="1" ht="43.2" x14ac:dyDescent="0.3">
      <c r="A18" s="33" t="s">
        <v>0</v>
      </c>
      <c r="B18" s="33" t="s">
        <v>1</v>
      </c>
      <c r="C18" s="33" t="s">
        <v>2</v>
      </c>
      <c r="D18" s="33" t="s">
        <v>3</v>
      </c>
      <c r="E18" s="33" t="s">
        <v>4</v>
      </c>
      <c r="F18" s="33" t="s">
        <v>140</v>
      </c>
      <c r="G18" s="33" t="s">
        <v>141</v>
      </c>
      <c r="H18" s="34" t="s">
        <v>142</v>
      </c>
      <c r="I18" s="33" t="s">
        <v>175</v>
      </c>
      <c r="J18" s="34" t="s">
        <v>179</v>
      </c>
      <c r="K18" s="50" t="s">
        <v>180</v>
      </c>
      <c r="L18" s="50" t="s">
        <v>10</v>
      </c>
      <c r="M18" s="50" t="s">
        <v>11</v>
      </c>
      <c r="N18" s="50" t="s">
        <v>12</v>
      </c>
      <c r="O18" s="33" t="s">
        <v>13</v>
      </c>
      <c r="P18" s="33" t="s">
        <v>143</v>
      </c>
      <c r="Q18" s="33" t="s">
        <v>149</v>
      </c>
      <c r="R18" s="33" t="s">
        <v>125</v>
      </c>
      <c r="S18" s="34" t="s">
        <v>184</v>
      </c>
      <c r="T18" s="34" t="s">
        <v>185</v>
      </c>
      <c r="U18" s="33" t="s">
        <v>44</v>
      </c>
      <c r="V18" s="33" t="s">
        <v>45</v>
      </c>
      <c r="W18" s="33" t="s">
        <v>46</v>
      </c>
      <c r="X18" s="33" t="s">
        <v>47</v>
      </c>
      <c r="Y18" s="33" t="s">
        <v>48</v>
      </c>
      <c r="Z18" s="33" t="s">
        <v>49</v>
      </c>
      <c r="AA18" s="33" t="s">
        <v>50</v>
      </c>
      <c r="AB18" s="33" t="s">
        <v>51</v>
      </c>
      <c r="AC18" s="33" t="s">
        <v>52</v>
      </c>
      <c r="AD18" s="33" t="s">
        <v>53</v>
      </c>
      <c r="AE18" s="33" t="s">
        <v>54</v>
      </c>
      <c r="AF18" s="33" t="s">
        <v>55</v>
      </c>
      <c r="AG18" s="33" t="s">
        <v>56</v>
      </c>
      <c r="AH18" s="33" t="s">
        <v>57</v>
      </c>
      <c r="AI18" s="33" t="s">
        <v>58</v>
      </c>
      <c r="AJ18" s="33" t="s">
        <v>59</v>
      </c>
      <c r="AK18" s="33" t="s">
        <v>60</v>
      </c>
      <c r="AL18" s="33" t="s">
        <v>61</v>
      </c>
      <c r="AM18" s="33" t="s">
        <v>62</v>
      </c>
      <c r="AN18" s="33" t="s">
        <v>63</v>
      </c>
      <c r="AO18" s="33" t="s">
        <v>64</v>
      </c>
      <c r="AP18" s="33" t="s">
        <v>65</v>
      </c>
      <c r="AQ18" s="33" t="s">
        <v>66</v>
      </c>
      <c r="AR18" s="33" t="s">
        <v>67</v>
      </c>
      <c r="AS18" s="33" t="s">
        <v>151</v>
      </c>
      <c r="AT18" s="33" t="s">
        <v>152</v>
      </c>
      <c r="AU18" s="33" t="s">
        <v>153</v>
      </c>
      <c r="AV18" s="33" t="s">
        <v>154</v>
      </c>
      <c r="AW18" s="33" t="s">
        <v>155</v>
      </c>
      <c r="AX18" s="33" t="s">
        <v>156</v>
      </c>
      <c r="AY18" s="33" t="s">
        <v>157</v>
      </c>
      <c r="AZ18" s="33" t="s">
        <v>158</v>
      </c>
      <c r="BA18" s="33" t="s">
        <v>159</v>
      </c>
      <c r="BB18" s="33" t="s">
        <v>160</v>
      </c>
      <c r="BC18" s="33" t="s">
        <v>161</v>
      </c>
      <c r="BD18" s="33" t="s">
        <v>162</v>
      </c>
      <c r="BE18" s="33" t="s">
        <v>163</v>
      </c>
      <c r="BF18" s="33" t="s">
        <v>164</v>
      </c>
      <c r="BG18" s="33" t="s">
        <v>165</v>
      </c>
      <c r="BH18" s="33" t="s">
        <v>166</v>
      </c>
      <c r="BI18" s="33" t="s">
        <v>167</v>
      </c>
      <c r="BJ18" s="33" t="s">
        <v>168</v>
      </c>
      <c r="BK18" s="33" t="s">
        <v>169</v>
      </c>
      <c r="BL18" s="33" t="s">
        <v>170</v>
      </c>
      <c r="BM18" s="33" t="s">
        <v>171</v>
      </c>
      <c r="BN18" s="33" t="s">
        <v>172</v>
      </c>
      <c r="BO18" s="33" t="s">
        <v>173</v>
      </c>
      <c r="BP18" s="33" t="s">
        <v>174</v>
      </c>
      <c r="BQ18" s="33" t="s">
        <v>148</v>
      </c>
      <c r="BR18" s="33" t="s">
        <v>146</v>
      </c>
      <c r="BS18" s="33" t="s">
        <v>22</v>
      </c>
      <c r="BT18" s="33" t="s">
        <v>23</v>
      </c>
      <c r="BU18" s="33" t="s">
        <v>24</v>
      </c>
      <c r="BV18" s="33" t="s">
        <v>25</v>
      </c>
      <c r="BW18" s="33" t="s">
        <v>26</v>
      </c>
      <c r="BX18" s="33" t="s">
        <v>27</v>
      </c>
      <c r="BY18" s="33" t="s">
        <v>28</v>
      </c>
      <c r="BZ18" s="33" t="s">
        <v>29</v>
      </c>
      <c r="CA18" s="33" t="s">
        <v>30</v>
      </c>
      <c r="CB18" s="33" t="s">
        <v>8</v>
      </c>
      <c r="CC18" s="33" t="s">
        <v>9</v>
      </c>
      <c r="CD18" s="33" t="s">
        <v>5</v>
      </c>
      <c r="CE18" s="33" t="s">
        <v>6</v>
      </c>
      <c r="CF18" s="33" t="s">
        <v>7</v>
      </c>
      <c r="CG18" s="33" t="s">
        <v>15</v>
      </c>
      <c r="CH18" s="33" t="s">
        <v>16</v>
      </c>
      <c r="CI18" s="33" t="s">
        <v>17</v>
      </c>
      <c r="CJ18" s="33" t="s">
        <v>14</v>
      </c>
      <c r="CK18" s="34" t="s">
        <v>126</v>
      </c>
      <c r="CL18" s="34" t="s">
        <v>127</v>
      </c>
      <c r="CM18" s="34" t="s">
        <v>128</v>
      </c>
      <c r="CQ18" t="s">
        <v>40</v>
      </c>
      <c r="CR18" t="s">
        <v>41</v>
      </c>
      <c r="CS18" s="33" t="s">
        <v>178</v>
      </c>
      <c r="CU18" t="s">
        <v>10</v>
      </c>
    </row>
    <row r="19" spans="1:99" x14ac:dyDescent="0.3">
      <c r="A19" s="16">
        <v>1</v>
      </c>
      <c r="B19" s="17"/>
      <c r="C19" s="17" t="s">
        <v>187</v>
      </c>
      <c r="D19" s="16" t="s">
        <v>188</v>
      </c>
      <c r="E19" s="37">
        <v>4850000</v>
      </c>
      <c r="F19" s="37">
        <v>0</v>
      </c>
      <c r="G19" s="37">
        <v>0</v>
      </c>
      <c r="H19" s="40">
        <f>SUM(Upaya_Debitur[[#This Row],[Kewajiban Pokok]:[Kewajiban Denda]])</f>
        <v>4850000</v>
      </c>
      <c r="I19" s="37"/>
      <c r="J19" s="40">
        <f>IF(ISNUMBER(Upaya_Debitur[[#This Row],[Angsuran Sesuai PK]]),Upaya_Debitur[[#This Row],[Angsuran Sesuai PK]],1)</f>
        <v>1</v>
      </c>
      <c r="K19" s="76"/>
      <c r="L19" s="16" t="s">
        <v>37</v>
      </c>
      <c r="N19" s="18"/>
      <c r="P19" s="37"/>
      <c r="Q19" s="41"/>
      <c r="R19" s="37"/>
      <c r="S19" s="40">
        <f>IF(Upaya_Debitur[[#This Row],[Periode Haircut]]="",0,IF(Upaya_Debitur[[#This Row],[Periode Haircut]]&lt;=$B$6,Upaya_Debitur[[#This Row],[Haircut]],0))</f>
        <v>0</v>
      </c>
      <c r="T19" s="40">
        <f>IF($B$10="",0,IF($B$10&lt;=$B$6,Upaya_Debitur[[#This Row],[Set Off]],0))</f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0</v>
      </c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40">
        <f ca="1">SUM(OFFSET(Upaya_Debitur[[#This Row],[Haircut Diperhitungkan]],0,0,1,$B$7+2))</f>
        <v>0</v>
      </c>
      <c r="BR19" s="19" t="str">
        <f ca="1">IF(Upaya_Debitur[[#This Row],[Total Pencairan]]&gt;=Upaya_Debitur[[#This Row],[Kewajiban Total]],"Lunas","Belum Lunas")</f>
        <v>Belum Lunas</v>
      </c>
      <c r="BS19" s="19" t="str">
        <f t="shared" ref="BS19:BS21" si="0">"Ya"</f>
        <v>Ya</v>
      </c>
      <c r="BT19" s="19" t="str">
        <f t="shared" ref="BT19:BT21" si="1">"Ya"</f>
        <v>Ya</v>
      </c>
      <c r="BU19" s="19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9" s="19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9" s="19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9" s="19" t="str">
        <f>IF(Upaya_Debitur[[#This Row],[Kondisi Debitur]]="Tidak ditemukan","Ya","Tidak")</f>
        <v>Ya</v>
      </c>
      <c r="BY19" s="19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9" s="19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9" s="19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9" s="18">
        <v>43781</v>
      </c>
      <c r="CC19" s="18">
        <v>43999</v>
      </c>
      <c r="CD19" s="18">
        <v>43826</v>
      </c>
      <c r="CE19" s="18">
        <v>43871</v>
      </c>
      <c r="CF19" s="18">
        <v>43887</v>
      </c>
      <c r="CG19" s="18">
        <v>44035</v>
      </c>
      <c r="CH19" s="18">
        <v>44057</v>
      </c>
      <c r="CI19" s="18">
        <v>44077</v>
      </c>
      <c r="CJ19" s="18"/>
      <c r="CK19" s="35">
        <f ca="1">COUNTIF(Upaya_Debitur[[#This Row],[Surat Pemberitahuan?]:[Gugatan Sederhana?]],"Ya")</f>
        <v>8</v>
      </c>
      <c r="CL19" s="35">
        <f ca="1">Upaya_Debitur[[#This Row],[Target Upaya]]-COUNTIFS(Upaya_Debitur[[#This Row],[Surat Pemberitahuan?]:[Gugatan Sederhana?]],"Ya",Upaya_Debitur[[#This Row],[Surat Pemberitahuan]:[Gugatan Sederhana]],"")</f>
        <v>8</v>
      </c>
      <c r="CM19" s="36">
        <f ca="1">IF(ISNUMBER(Upaya_Debitur[[#This Row],[Realisasi]]/Upaya_Debitur[[#This Row],[Target Upaya]]),Upaya_Debitur[[#This Row],[Realisasi]]/Upaya_Debitur[[#This Row],[Target Upaya]],1)</f>
        <v>1</v>
      </c>
      <c r="CQ19">
        <v>1</v>
      </c>
      <c r="CR19" s="2">
        <f>DATE(YEAR('Upaya Debitur'!B5),MONTH('Upaya Debitur'!B5)+1,1)-1</f>
        <v>43769</v>
      </c>
      <c r="CS19" s="48">
        <f>Periode[[#This Row],[Bulan Ke]]</f>
        <v>1</v>
      </c>
      <c r="CU19" t="s">
        <v>82</v>
      </c>
    </row>
    <row r="20" spans="1:99" x14ac:dyDescent="0.3">
      <c r="A20" s="16">
        <v>2</v>
      </c>
      <c r="B20" s="17"/>
      <c r="C20" s="17" t="s">
        <v>189</v>
      </c>
      <c r="D20" s="16" t="s">
        <v>190</v>
      </c>
      <c r="E20" s="37">
        <v>1925196</v>
      </c>
      <c r="F20" s="37">
        <v>0</v>
      </c>
      <c r="G20" s="37">
        <v>0</v>
      </c>
      <c r="H20" s="40">
        <f>SUM(Upaya_Debitur[[#This Row],[Kewajiban Pokok]:[Kewajiban Denda]])</f>
        <v>1925196</v>
      </c>
      <c r="I20" s="37"/>
      <c r="J20" s="40">
        <f>IF(ISNUMBER(Upaya_Debitur[[#This Row],[Angsuran Sesuai PK]]),Upaya_Debitur[[#This Row],[Angsuran Sesuai PK]],1)</f>
        <v>1</v>
      </c>
      <c r="K20" s="76"/>
      <c r="L20" s="16" t="s">
        <v>37</v>
      </c>
      <c r="N20" s="18"/>
      <c r="P20" s="37"/>
      <c r="Q20" s="41"/>
      <c r="R20" s="37"/>
      <c r="S20" s="40">
        <f>IF(Upaya_Debitur[[#This Row],[Periode Haircut]]="",0,IF(Upaya_Debitur[[#This Row],[Periode Haircut]]&lt;=$B$6,Upaya_Debitur[[#This Row],[Haircut]],0))</f>
        <v>0</v>
      </c>
      <c r="T20" s="40">
        <f>IF($B$10="",0,IF($B$10&lt;=$B$6,Upaya_Debitur[[#This Row],[Set Off]],0))</f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0</v>
      </c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40">
        <f ca="1">SUM(OFFSET(Upaya_Debitur[[#This Row],[Haircut Diperhitungkan]],0,0,1,$B$7+2))</f>
        <v>0</v>
      </c>
      <c r="BR20" s="19" t="str">
        <f ca="1">IF(Upaya_Debitur[[#This Row],[Total Pencairan]]&gt;=Upaya_Debitur[[#This Row],[Kewajiban Total]],"Lunas","Belum Lunas")</f>
        <v>Belum Lunas</v>
      </c>
      <c r="BS20" s="19" t="str">
        <f t="shared" si="0"/>
        <v>Ya</v>
      </c>
      <c r="BT20" s="19" t="str">
        <f t="shared" si="1"/>
        <v>Ya</v>
      </c>
      <c r="BU20" s="19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0" s="19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0" s="19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0" s="19" t="str">
        <f>IF(Upaya_Debitur[[#This Row],[Kondisi Debitur]]="Tidak ditemukan","Ya","Tidak")</f>
        <v>Ya</v>
      </c>
      <c r="BY20" s="19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0" s="19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0" s="19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0" s="18">
        <v>43781</v>
      </c>
      <c r="CC20" s="18">
        <v>43999</v>
      </c>
      <c r="CD20" s="18">
        <v>43826</v>
      </c>
      <c r="CE20" s="18">
        <v>43871</v>
      </c>
      <c r="CF20" s="18">
        <v>43887</v>
      </c>
      <c r="CG20" s="18">
        <v>43888</v>
      </c>
      <c r="CH20" s="18">
        <v>44057</v>
      </c>
      <c r="CI20" s="18">
        <v>44077</v>
      </c>
      <c r="CJ20" s="18"/>
      <c r="CK20" s="35">
        <f ca="1">COUNTIF(Upaya_Debitur[[#This Row],[Surat Pemberitahuan?]:[Gugatan Sederhana?]],"Ya")</f>
        <v>8</v>
      </c>
      <c r="CL20" s="35">
        <f ca="1">Upaya_Debitur[[#This Row],[Target Upaya]]-COUNTIFS(Upaya_Debitur[[#This Row],[Surat Pemberitahuan?]:[Gugatan Sederhana?]],"Ya",Upaya_Debitur[[#This Row],[Surat Pemberitahuan]:[Gugatan Sederhana]],"")</f>
        <v>8</v>
      </c>
      <c r="CM20" s="36">
        <f ca="1">IF(ISNUMBER(Upaya_Debitur[[#This Row],[Realisasi]]/Upaya_Debitur[[#This Row],[Target Upaya]]),Upaya_Debitur[[#This Row],[Realisasi]]/Upaya_Debitur[[#This Row],[Target Upaya]],1)</f>
        <v>1</v>
      </c>
      <c r="CQ20">
        <v>2</v>
      </c>
      <c r="CR20" s="2">
        <f t="shared" ref="CR20:CR66" si="2">DATE(YEAR(CR19),MONTH(CR19)+2,1)-1</f>
        <v>43799</v>
      </c>
      <c r="CS20" s="48">
        <f>Periode[[#This Row],[Bulan Ke]]</f>
        <v>2</v>
      </c>
      <c r="CU20" t="s">
        <v>83</v>
      </c>
    </row>
    <row r="21" spans="1:99" x14ac:dyDescent="0.3">
      <c r="A21" s="16">
        <v>3</v>
      </c>
      <c r="B21" s="17"/>
      <c r="C21" s="17" t="s">
        <v>191</v>
      </c>
      <c r="D21" s="16" t="s">
        <v>192</v>
      </c>
      <c r="E21" s="37">
        <v>1039806</v>
      </c>
      <c r="F21" s="37">
        <v>0</v>
      </c>
      <c r="G21" s="37">
        <v>0</v>
      </c>
      <c r="H21" s="40">
        <f>SUM(Upaya_Debitur[[#This Row],[Kewajiban Pokok]:[Kewajiban Denda]])</f>
        <v>1039806</v>
      </c>
      <c r="I21" s="37"/>
      <c r="J21" s="40">
        <f>IF(ISNUMBER(Upaya_Debitur[[#This Row],[Angsuran Sesuai PK]]),Upaya_Debitur[[#This Row],[Angsuran Sesuai PK]],1)</f>
        <v>1</v>
      </c>
      <c r="K21" s="76"/>
      <c r="L21" s="16" t="s">
        <v>37</v>
      </c>
      <c r="N21" s="18"/>
      <c r="P21" s="37"/>
      <c r="Q21" s="41"/>
      <c r="R21" s="37"/>
      <c r="S21" s="40">
        <f>IF(Upaya_Debitur[[#This Row],[Periode Haircut]]="",0,IF(Upaya_Debitur[[#This Row],[Periode Haircut]]&lt;=$B$6,Upaya_Debitur[[#This Row],[Haircut]],0))</f>
        <v>0</v>
      </c>
      <c r="T21" s="40">
        <f>IF($B$10="",0,IF($B$10&lt;=$B$6,Upaya_Debitur[[#This Row],[Set Off]],0))</f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40">
        <f ca="1">SUM(OFFSET(Upaya_Debitur[[#This Row],[Haircut Diperhitungkan]],0,0,1,$B$7+2))</f>
        <v>0</v>
      </c>
      <c r="BR21" s="19" t="str">
        <f ca="1">IF(Upaya_Debitur[[#This Row],[Total Pencairan]]&gt;=Upaya_Debitur[[#This Row],[Kewajiban Total]],"Lunas","Belum Lunas")</f>
        <v>Belum Lunas</v>
      </c>
      <c r="BS21" s="19" t="str">
        <f t="shared" si="0"/>
        <v>Ya</v>
      </c>
      <c r="BT21" s="19" t="str">
        <f t="shared" si="1"/>
        <v>Ya</v>
      </c>
      <c r="BU21" s="19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1" s="19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1" s="19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1" s="19" t="str">
        <f>IF(Upaya_Debitur[[#This Row],[Kondisi Debitur]]="Tidak ditemukan","Ya","Tidak")</f>
        <v>Ya</v>
      </c>
      <c r="BY21" s="19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1" s="19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1" s="19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1" s="18">
        <v>43781</v>
      </c>
      <c r="CC21" s="18">
        <v>43999</v>
      </c>
      <c r="CD21" s="18">
        <v>43826</v>
      </c>
      <c r="CE21" s="18">
        <v>43871</v>
      </c>
      <c r="CF21" s="18">
        <v>43887</v>
      </c>
      <c r="CG21" s="18">
        <v>43888</v>
      </c>
      <c r="CH21" s="18">
        <v>44057</v>
      </c>
      <c r="CI21" s="18">
        <v>44077</v>
      </c>
      <c r="CJ21" s="18"/>
      <c r="CK21" s="35">
        <f ca="1">COUNTIF(Upaya_Debitur[[#This Row],[Surat Pemberitahuan?]:[Gugatan Sederhana?]],"Ya")</f>
        <v>8</v>
      </c>
      <c r="CL21" s="35">
        <f ca="1">Upaya_Debitur[[#This Row],[Target Upaya]]-COUNTIFS(Upaya_Debitur[[#This Row],[Surat Pemberitahuan?]:[Gugatan Sederhana?]],"Ya",Upaya_Debitur[[#This Row],[Surat Pemberitahuan]:[Gugatan Sederhana]],"")</f>
        <v>8</v>
      </c>
      <c r="CM21" s="36">
        <f ca="1">IF(ISNUMBER(Upaya_Debitur[[#This Row],[Realisasi]]/Upaya_Debitur[[#This Row],[Target Upaya]]),Upaya_Debitur[[#This Row],[Realisasi]]/Upaya_Debitur[[#This Row],[Target Upaya]],1)</f>
        <v>1</v>
      </c>
      <c r="CQ21">
        <v>3</v>
      </c>
      <c r="CR21" s="2">
        <f t="shared" si="2"/>
        <v>43830</v>
      </c>
      <c r="CS21" s="48">
        <f>Periode[[#This Row],[Bulan Ke]]</f>
        <v>3</v>
      </c>
      <c r="CU21" t="s">
        <v>37</v>
      </c>
    </row>
    <row r="22" spans="1:99" x14ac:dyDescent="0.3">
      <c r="A22" s="16">
        <v>4</v>
      </c>
      <c r="B22" s="17"/>
      <c r="C22" s="17" t="s">
        <v>193</v>
      </c>
      <c r="D22" s="16" t="s">
        <v>194</v>
      </c>
      <c r="E22" s="37">
        <v>4510000</v>
      </c>
      <c r="F22" s="37">
        <v>0</v>
      </c>
      <c r="G22" s="37">
        <v>0</v>
      </c>
      <c r="H22" s="40">
        <f>SUM(Upaya_Debitur[[#This Row],[Kewajiban Pokok]:[Kewajiban Denda]])</f>
        <v>4510000</v>
      </c>
      <c r="I22" s="37"/>
      <c r="J22" s="40">
        <f>IF(ISNUMBER(Upaya_Debitur[[#This Row],[Angsuran Sesuai PK]]),Upaya_Debitur[[#This Row],[Angsuran Sesuai PK]],1)</f>
        <v>1</v>
      </c>
      <c r="K22" s="76"/>
      <c r="L22" s="16" t="s">
        <v>38</v>
      </c>
      <c r="N22" s="18"/>
      <c r="O22" s="76"/>
      <c r="P22" s="37"/>
      <c r="Q22" s="41"/>
      <c r="R22" s="37"/>
      <c r="S22" s="40">
        <f>IF(Upaya_Debitur[[#This Row],[Periode Haircut]]="",0,IF(Upaya_Debitur[[#This Row],[Periode Haircut]]&lt;=$B$6,Upaya_Debitur[[#This Row],[Haircut]],0))</f>
        <v>0</v>
      </c>
      <c r="T22" s="40">
        <f>IF($B$10="",0,IF($B$10&lt;=$B$6,Upaya_Debitur[[#This Row],[Set Off]],0))</f>
        <v>0</v>
      </c>
      <c r="U22" s="37">
        <v>0</v>
      </c>
      <c r="V22" s="37">
        <v>0</v>
      </c>
      <c r="W22" s="37">
        <v>0</v>
      </c>
      <c r="X22" s="37">
        <v>0</v>
      </c>
      <c r="Y22" s="37">
        <v>70000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40">
        <f ca="1">SUM(OFFSET(Upaya_Debitur[[#This Row],[Haircut Diperhitungkan]],0,0,1,$B$7+2))</f>
        <v>70000</v>
      </c>
      <c r="BR22" s="35" t="str">
        <f ca="1">IF(Upaya_Debitur[[#This Row],[Total Pencairan]]&gt;=Upaya_Debitur[[#This Row],[Kewajiban Total]],"Lunas","Belum Lunas")</f>
        <v>Belum Lunas</v>
      </c>
      <c r="BS22" s="35" t="str">
        <f t="shared" ref="BS22:BS85" si="3">"Ya"</f>
        <v>Ya</v>
      </c>
      <c r="BT22" s="35" t="str">
        <f t="shared" ref="BT22:BT85" si="4">"Ya"</f>
        <v>Ya</v>
      </c>
      <c r="BU2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2" s="35" t="str">
        <f>IF(Upaya_Debitur[[#This Row],[Kondisi Debitur]]="Tidak ditemukan","Ya","Tidak")</f>
        <v>Tidak</v>
      </c>
      <c r="BY2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2" s="18">
        <v>43781</v>
      </c>
      <c r="CC22" s="18">
        <v>43999</v>
      </c>
      <c r="CD22" s="18">
        <v>43826</v>
      </c>
      <c r="CE22" s="18">
        <v>43871</v>
      </c>
      <c r="CF22" s="18">
        <v>43887</v>
      </c>
      <c r="CG22" s="18"/>
      <c r="CH22" s="18">
        <v>44057</v>
      </c>
      <c r="CI22" s="18">
        <v>44077</v>
      </c>
      <c r="CJ22" s="18"/>
      <c r="CK22" s="35">
        <f ca="1">COUNTIF(Upaya_Debitur[[#This Row],[Surat Pemberitahuan?]:[Gugatan Sederhana?]],"Ya")</f>
        <v>7</v>
      </c>
      <c r="CL22" s="35">
        <f ca="1">Upaya_Debitur[[#This Row],[Target Upaya]]-COUNTIFS(Upaya_Debitur[[#This Row],[Surat Pemberitahuan?]:[Gugatan Sederhana?]],"Ya",Upaya_Debitur[[#This Row],[Surat Pemberitahuan]:[Gugatan Sederhana]],"")</f>
        <v>7</v>
      </c>
      <c r="CM22" s="36">
        <f ca="1">IF(ISNUMBER(Upaya_Debitur[[#This Row],[Realisasi]]/Upaya_Debitur[[#This Row],[Target Upaya]]),Upaya_Debitur[[#This Row],[Realisasi]]/Upaya_Debitur[[#This Row],[Target Upaya]],1)</f>
        <v>1</v>
      </c>
      <c r="CQ22">
        <v>4</v>
      </c>
      <c r="CR22" s="2">
        <f t="shared" si="2"/>
        <v>43861</v>
      </c>
      <c r="CS22" s="48">
        <f>Periode[[#This Row],[Bulan Ke]]</f>
        <v>4</v>
      </c>
      <c r="CU22" t="s">
        <v>38</v>
      </c>
    </row>
    <row r="23" spans="1:99" x14ac:dyDescent="0.3">
      <c r="A23" s="16">
        <v>5</v>
      </c>
      <c r="B23" s="17"/>
      <c r="C23" s="17" t="s">
        <v>195</v>
      </c>
      <c r="D23" s="16" t="s">
        <v>196</v>
      </c>
      <c r="E23" s="37">
        <v>2205725</v>
      </c>
      <c r="F23" s="37">
        <v>0</v>
      </c>
      <c r="G23" s="37">
        <v>0</v>
      </c>
      <c r="H23" s="40">
        <f>SUM(Upaya_Debitur[[#This Row],[Kewajiban Pokok]:[Kewajiban Denda]])</f>
        <v>2205725</v>
      </c>
      <c r="I23" s="37"/>
      <c r="J23" s="40">
        <f>IF(ISNUMBER(Upaya_Debitur[[#This Row],[Angsuran Sesuai PK]]),Upaya_Debitur[[#This Row],[Angsuran Sesuai PK]],1)</f>
        <v>1</v>
      </c>
      <c r="K23" s="76"/>
      <c r="L23" s="16" t="s">
        <v>83</v>
      </c>
      <c r="N23" s="18"/>
      <c r="O23" s="76"/>
      <c r="P23" s="37"/>
      <c r="Q23" s="41"/>
      <c r="R23" s="37"/>
      <c r="S23" s="40">
        <f>IF(Upaya_Debitur[[#This Row],[Periode Haircut]]="",0,IF(Upaya_Debitur[[#This Row],[Periode Haircut]]&lt;=$B$6,Upaya_Debitur[[#This Row],[Haircut]],0))</f>
        <v>0</v>
      </c>
      <c r="T23" s="40">
        <f>IF($B$10="",0,IF($B$10&lt;=$B$6,Upaya_Debitur[[#This Row],[Set Off]],0))</f>
        <v>0</v>
      </c>
      <c r="U23" s="37">
        <v>0</v>
      </c>
      <c r="V23" s="37">
        <v>2205725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40">
        <f ca="1">SUM(OFFSET(Upaya_Debitur[[#This Row],[Haircut Diperhitungkan]],0,0,1,$B$7+2))</f>
        <v>2205725</v>
      </c>
      <c r="BR23" s="35" t="str">
        <f ca="1">IF(Upaya_Debitur[[#This Row],[Total Pencairan]]&gt;=Upaya_Debitur[[#This Row],[Kewajiban Total]],"Lunas","Belum Lunas")</f>
        <v>Lunas</v>
      </c>
      <c r="BS23" s="35" t="str">
        <f t="shared" si="3"/>
        <v>Ya</v>
      </c>
      <c r="BT23" s="35" t="str">
        <f t="shared" si="4"/>
        <v>Ya</v>
      </c>
      <c r="BU2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2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2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23" s="35" t="str">
        <f>IF(Upaya_Debitur[[#This Row],[Kondisi Debitur]]="Tidak ditemukan","Ya","Tidak")</f>
        <v>Tidak</v>
      </c>
      <c r="BY2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2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2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3" s="18">
        <v>43781</v>
      </c>
      <c r="CC23" s="18">
        <v>43871</v>
      </c>
      <c r="CD23" s="18"/>
      <c r="CE23" s="18"/>
      <c r="CF23" s="18"/>
      <c r="CG23" s="18"/>
      <c r="CH23" s="18">
        <v>44057</v>
      </c>
      <c r="CI23" s="18">
        <v>44077</v>
      </c>
      <c r="CJ23" s="18"/>
      <c r="CK23" s="35">
        <f ca="1">COUNTIF(Upaya_Debitur[[#This Row],[Surat Pemberitahuan?]:[Gugatan Sederhana?]],"Ya")</f>
        <v>2</v>
      </c>
      <c r="CL23" s="35">
        <f ca="1">Upaya_Debitur[[#This Row],[Target Upaya]]-COUNTIFS(Upaya_Debitur[[#This Row],[Surat Pemberitahuan?]:[Gugatan Sederhana?]],"Ya",Upaya_Debitur[[#This Row],[Surat Pemberitahuan]:[Gugatan Sederhana]],"")</f>
        <v>2</v>
      </c>
      <c r="CM23" s="36">
        <f ca="1">IF(ISNUMBER(Upaya_Debitur[[#This Row],[Realisasi]]/Upaya_Debitur[[#This Row],[Target Upaya]]),Upaya_Debitur[[#This Row],[Realisasi]]/Upaya_Debitur[[#This Row],[Target Upaya]],1)</f>
        <v>1</v>
      </c>
      <c r="CQ23">
        <v>5</v>
      </c>
      <c r="CR23" s="2">
        <f t="shared" si="2"/>
        <v>43890</v>
      </c>
      <c r="CS23" s="48">
        <f>Periode[[#This Row],[Bulan Ke]]</f>
        <v>5</v>
      </c>
      <c r="CU23" t="s">
        <v>39</v>
      </c>
    </row>
    <row r="24" spans="1:99" x14ac:dyDescent="0.3">
      <c r="A24" s="16">
        <v>6</v>
      </c>
      <c r="B24" s="17"/>
      <c r="C24" s="17" t="s">
        <v>197</v>
      </c>
      <c r="D24" s="16" t="s">
        <v>198</v>
      </c>
      <c r="E24" s="37">
        <v>1356853</v>
      </c>
      <c r="F24" s="37">
        <v>0</v>
      </c>
      <c r="G24" s="37">
        <v>0</v>
      </c>
      <c r="H24" s="40">
        <f>SUM(Upaya_Debitur[[#This Row],[Kewajiban Pokok]:[Kewajiban Denda]])</f>
        <v>1356853</v>
      </c>
      <c r="I24" s="37"/>
      <c r="J24" s="40">
        <f>IF(ISNUMBER(Upaya_Debitur[[#This Row],[Angsuran Sesuai PK]]),Upaya_Debitur[[#This Row],[Angsuran Sesuai PK]],1)</f>
        <v>1</v>
      </c>
      <c r="K24" s="76"/>
      <c r="L24" s="16" t="s">
        <v>83</v>
      </c>
      <c r="N24" s="18"/>
      <c r="O24" s="76"/>
      <c r="P24" s="37"/>
      <c r="Q24" s="41"/>
      <c r="R24" s="37"/>
      <c r="S24" s="40">
        <f>IF(Upaya_Debitur[[#This Row],[Periode Haircut]]="",0,IF(Upaya_Debitur[[#This Row],[Periode Haircut]]&lt;=$B$6,Upaya_Debitur[[#This Row],[Haircut]],0))</f>
        <v>0</v>
      </c>
      <c r="T24" s="40">
        <f>IF($B$10="",0,IF($B$10&lt;=$B$6,Upaya_Debitur[[#This Row],[Set Off]],0))</f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40">
        <f ca="1">SUM(OFFSET(Upaya_Debitur[[#This Row],[Haircut Diperhitungkan]],0,0,1,$B$7+2))</f>
        <v>0</v>
      </c>
      <c r="BR24" s="35" t="str">
        <f ca="1">IF(Upaya_Debitur[[#This Row],[Total Pencairan]]&gt;=Upaya_Debitur[[#This Row],[Kewajiban Total]],"Lunas","Belum Lunas")</f>
        <v>Belum Lunas</v>
      </c>
      <c r="BS24" s="35" t="str">
        <f t="shared" si="3"/>
        <v>Ya</v>
      </c>
      <c r="BT24" s="35" t="str">
        <f t="shared" si="4"/>
        <v>Ya</v>
      </c>
      <c r="BU2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4" s="35" t="str">
        <f>IF(Upaya_Debitur[[#This Row],[Kondisi Debitur]]="Tidak ditemukan","Ya","Tidak")</f>
        <v>Tidak</v>
      </c>
      <c r="BY2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4" s="18">
        <v>43781</v>
      </c>
      <c r="CC24" s="18">
        <v>43999</v>
      </c>
      <c r="CD24" s="18">
        <v>43826</v>
      </c>
      <c r="CE24" s="18">
        <v>43871</v>
      </c>
      <c r="CF24" s="18">
        <v>43887</v>
      </c>
      <c r="CG24" s="18">
        <v>43888</v>
      </c>
      <c r="CH24" s="18">
        <v>44057</v>
      </c>
      <c r="CI24" s="18">
        <v>44077</v>
      </c>
      <c r="CJ24" s="18"/>
      <c r="CK24" s="35">
        <f ca="1">COUNTIF(Upaya_Debitur[[#This Row],[Surat Pemberitahuan?]:[Gugatan Sederhana?]],"Ya")</f>
        <v>7</v>
      </c>
      <c r="CL24" s="35">
        <f ca="1">Upaya_Debitur[[#This Row],[Target Upaya]]-COUNTIFS(Upaya_Debitur[[#This Row],[Surat Pemberitahuan?]:[Gugatan Sederhana?]],"Ya",Upaya_Debitur[[#This Row],[Surat Pemberitahuan]:[Gugatan Sederhana]],"")</f>
        <v>7</v>
      </c>
      <c r="CM24" s="36">
        <f ca="1">IF(ISNUMBER(Upaya_Debitur[[#This Row],[Realisasi]]/Upaya_Debitur[[#This Row],[Target Upaya]]),Upaya_Debitur[[#This Row],[Realisasi]]/Upaya_Debitur[[#This Row],[Target Upaya]],1)</f>
        <v>1</v>
      </c>
      <c r="CQ24">
        <v>6</v>
      </c>
      <c r="CR24" s="2">
        <f t="shared" si="2"/>
        <v>43921</v>
      </c>
      <c r="CS24" s="48">
        <f>Periode[[#This Row],[Bulan Ke]]</f>
        <v>6</v>
      </c>
    </row>
    <row r="25" spans="1:99" x14ac:dyDescent="0.3">
      <c r="A25" s="16">
        <v>7</v>
      </c>
      <c r="B25" s="17"/>
      <c r="C25" s="17" t="s">
        <v>199</v>
      </c>
      <c r="D25" s="16" t="s">
        <v>200</v>
      </c>
      <c r="E25" s="37">
        <v>4824450</v>
      </c>
      <c r="F25" s="37">
        <v>0</v>
      </c>
      <c r="G25" s="37">
        <v>0</v>
      </c>
      <c r="H25" s="40">
        <f>SUM(Upaya_Debitur[[#This Row],[Kewajiban Pokok]:[Kewajiban Denda]])</f>
        <v>4824450</v>
      </c>
      <c r="I25" s="37"/>
      <c r="J25" s="40">
        <f>IF(ISNUMBER(Upaya_Debitur[[#This Row],[Angsuran Sesuai PK]]),Upaya_Debitur[[#This Row],[Angsuran Sesuai PK]],1)</f>
        <v>1</v>
      </c>
      <c r="K25" s="76"/>
      <c r="L25" s="16" t="s">
        <v>83</v>
      </c>
      <c r="N25" s="18"/>
      <c r="O25" s="76"/>
      <c r="P25" s="37"/>
      <c r="Q25" s="41"/>
      <c r="R25" s="37"/>
      <c r="S25" s="40">
        <f>IF(Upaya_Debitur[[#This Row],[Periode Haircut]]="",0,IF(Upaya_Debitur[[#This Row],[Periode Haircut]]&lt;=$B$6,Upaya_Debitur[[#This Row],[Haircut]],0))</f>
        <v>0</v>
      </c>
      <c r="T25" s="40">
        <f>IF($B$10="",0,IF($B$10&lt;=$B$6,Upaya_Debitur[[#This Row],[Set Off]],0))</f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40">
        <f ca="1">SUM(OFFSET(Upaya_Debitur[[#This Row],[Haircut Diperhitungkan]],0,0,1,$B$7+2))</f>
        <v>0</v>
      </c>
      <c r="BR25" s="35" t="str">
        <f ca="1">IF(Upaya_Debitur[[#This Row],[Total Pencairan]]&gt;=Upaya_Debitur[[#This Row],[Kewajiban Total]],"Lunas","Belum Lunas")</f>
        <v>Belum Lunas</v>
      </c>
      <c r="BS25" s="35" t="str">
        <f t="shared" si="3"/>
        <v>Ya</v>
      </c>
      <c r="BT25" s="35" t="str">
        <f t="shared" si="4"/>
        <v>Ya</v>
      </c>
      <c r="BU2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5" s="35" t="str">
        <f>IF(Upaya_Debitur[[#This Row],[Kondisi Debitur]]="Tidak ditemukan","Ya","Tidak")</f>
        <v>Tidak</v>
      </c>
      <c r="BY2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5" s="18">
        <v>43781</v>
      </c>
      <c r="CC25" s="18">
        <v>43999</v>
      </c>
      <c r="CD25" s="18">
        <v>43826</v>
      </c>
      <c r="CE25" s="18">
        <v>43871</v>
      </c>
      <c r="CF25" s="18">
        <v>43887</v>
      </c>
      <c r="CG25" s="18"/>
      <c r="CH25" s="18">
        <v>44057</v>
      </c>
      <c r="CI25" s="18">
        <v>44077</v>
      </c>
      <c r="CJ25" s="18"/>
      <c r="CK25" s="35">
        <f ca="1">COUNTIF(Upaya_Debitur[[#This Row],[Surat Pemberitahuan?]:[Gugatan Sederhana?]],"Ya")</f>
        <v>7</v>
      </c>
      <c r="CL25" s="35">
        <f ca="1">Upaya_Debitur[[#This Row],[Target Upaya]]-COUNTIFS(Upaya_Debitur[[#This Row],[Surat Pemberitahuan?]:[Gugatan Sederhana?]],"Ya",Upaya_Debitur[[#This Row],[Surat Pemberitahuan]:[Gugatan Sederhana]],"")</f>
        <v>7</v>
      </c>
      <c r="CM25" s="36">
        <f ca="1">IF(ISNUMBER(Upaya_Debitur[[#This Row],[Realisasi]]/Upaya_Debitur[[#This Row],[Target Upaya]]),Upaya_Debitur[[#This Row],[Realisasi]]/Upaya_Debitur[[#This Row],[Target Upaya]],1)</f>
        <v>1</v>
      </c>
      <c r="CQ25">
        <v>7</v>
      </c>
      <c r="CR25" s="2">
        <f t="shared" si="2"/>
        <v>43951</v>
      </c>
      <c r="CS25" s="48">
        <f>Periode[[#This Row],[Bulan Ke]]</f>
        <v>7</v>
      </c>
    </row>
    <row r="26" spans="1:99" x14ac:dyDescent="0.3">
      <c r="A26" s="16">
        <v>8</v>
      </c>
      <c r="B26" s="17"/>
      <c r="C26" s="17" t="s">
        <v>201</v>
      </c>
      <c r="D26" s="16" t="s">
        <v>202</v>
      </c>
      <c r="E26" s="37">
        <v>1500000</v>
      </c>
      <c r="F26" s="37">
        <v>0</v>
      </c>
      <c r="G26" s="37">
        <v>0</v>
      </c>
      <c r="H26" s="40">
        <f>SUM(Upaya_Debitur[[#This Row],[Kewajiban Pokok]:[Kewajiban Denda]])</f>
        <v>1500000</v>
      </c>
      <c r="I26" s="37"/>
      <c r="J26" s="40">
        <f>IF(ISNUMBER(Upaya_Debitur[[#This Row],[Angsuran Sesuai PK]]),Upaya_Debitur[[#This Row],[Angsuran Sesuai PK]],1)</f>
        <v>1</v>
      </c>
      <c r="K26" s="76"/>
      <c r="L26" s="16" t="s">
        <v>83</v>
      </c>
      <c r="N26" s="18"/>
      <c r="O26" s="76"/>
      <c r="P26" s="37"/>
      <c r="Q26" s="41"/>
      <c r="R26" s="37"/>
      <c r="S26" s="40">
        <f>IF(Upaya_Debitur[[#This Row],[Periode Haircut]]="",0,IF(Upaya_Debitur[[#This Row],[Periode Haircut]]&lt;=$B$6,Upaya_Debitur[[#This Row],[Haircut]],0))</f>
        <v>0</v>
      </c>
      <c r="T26" s="40">
        <f>IF($B$10="",0,IF($B$10&lt;=$B$6,Upaya_Debitur[[#This Row],[Set Off]],0))</f>
        <v>0</v>
      </c>
      <c r="U26" s="37">
        <v>0</v>
      </c>
      <c r="V26" s="37">
        <v>0</v>
      </c>
      <c r="W26" s="37">
        <v>1500000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40">
        <f ca="1">SUM(OFFSET(Upaya_Debitur[[#This Row],[Haircut Diperhitungkan]],0,0,1,$B$7+2))</f>
        <v>1500000</v>
      </c>
      <c r="BR26" s="35" t="str">
        <f ca="1">IF(Upaya_Debitur[[#This Row],[Total Pencairan]]&gt;=Upaya_Debitur[[#This Row],[Kewajiban Total]],"Lunas","Belum Lunas")</f>
        <v>Lunas</v>
      </c>
      <c r="BS26" s="35" t="str">
        <f t="shared" si="3"/>
        <v>Ya</v>
      </c>
      <c r="BT26" s="35" t="str">
        <f t="shared" si="4"/>
        <v>Ya</v>
      </c>
      <c r="BU2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2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2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26" s="35" t="str">
        <f>IF(Upaya_Debitur[[#This Row],[Kondisi Debitur]]="Tidak ditemukan","Ya","Tidak")</f>
        <v>Tidak</v>
      </c>
      <c r="BY2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2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2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6" s="18">
        <v>43781</v>
      </c>
      <c r="CC26" s="18">
        <v>43871</v>
      </c>
      <c r="CD26" s="18"/>
      <c r="CE26" s="18"/>
      <c r="CF26" s="18"/>
      <c r="CG26" s="18">
        <v>43888</v>
      </c>
      <c r="CH26" s="18">
        <v>44057</v>
      </c>
      <c r="CI26" s="18">
        <v>44077</v>
      </c>
      <c r="CJ26" s="18"/>
      <c r="CK26" s="35">
        <f ca="1">COUNTIF(Upaya_Debitur[[#This Row],[Surat Pemberitahuan?]:[Gugatan Sederhana?]],"Ya")</f>
        <v>2</v>
      </c>
      <c r="CL26" s="35">
        <f ca="1">Upaya_Debitur[[#This Row],[Target Upaya]]-COUNTIFS(Upaya_Debitur[[#This Row],[Surat Pemberitahuan?]:[Gugatan Sederhana?]],"Ya",Upaya_Debitur[[#This Row],[Surat Pemberitahuan]:[Gugatan Sederhana]],"")</f>
        <v>2</v>
      </c>
      <c r="CM26" s="36">
        <f ca="1">IF(ISNUMBER(Upaya_Debitur[[#This Row],[Realisasi]]/Upaya_Debitur[[#This Row],[Target Upaya]]),Upaya_Debitur[[#This Row],[Realisasi]]/Upaya_Debitur[[#This Row],[Target Upaya]],1)</f>
        <v>1</v>
      </c>
      <c r="CQ26">
        <v>8</v>
      </c>
      <c r="CR26" s="2">
        <f t="shared" si="2"/>
        <v>43982</v>
      </c>
      <c r="CS26" s="48">
        <f>Periode[[#This Row],[Bulan Ke]]</f>
        <v>8</v>
      </c>
    </row>
    <row r="27" spans="1:99" x14ac:dyDescent="0.3">
      <c r="A27" s="16">
        <v>9</v>
      </c>
      <c r="B27" s="17"/>
      <c r="C27" s="17" t="s">
        <v>203</v>
      </c>
      <c r="D27" s="16" t="s">
        <v>204</v>
      </c>
      <c r="E27" s="37">
        <v>440000</v>
      </c>
      <c r="F27" s="37">
        <v>0</v>
      </c>
      <c r="G27" s="37">
        <v>0</v>
      </c>
      <c r="H27" s="40">
        <f>SUM(Upaya_Debitur[[#This Row],[Kewajiban Pokok]:[Kewajiban Denda]])</f>
        <v>440000</v>
      </c>
      <c r="I27" s="37"/>
      <c r="J27" s="40">
        <f>IF(ISNUMBER(Upaya_Debitur[[#This Row],[Angsuran Sesuai PK]]),Upaya_Debitur[[#This Row],[Angsuran Sesuai PK]],1)</f>
        <v>1</v>
      </c>
      <c r="K27" s="76"/>
      <c r="L27" s="16" t="s">
        <v>37</v>
      </c>
      <c r="N27" s="18"/>
      <c r="O27" s="76"/>
      <c r="P27" s="37"/>
      <c r="Q27" s="41"/>
      <c r="R27" s="37"/>
      <c r="S27" s="40">
        <f>IF(Upaya_Debitur[[#This Row],[Periode Haircut]]="",0,IF(Upaya_Debitur[[#This Row],[Periode Haircut]]&lt;=$B$6,Upaya_Debitur[[#This Row],[Haircut]],0))</f>
        <v>0</v>
      </c>
      <c r="T27" s="40">
        <f>IF($B$10="",0,IF($B$10&lt;=$B$6,Upaya_Debitur[[#This Row],[Set Off]],0))</f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37">
        <v>0</v>
      </c>
      <c r="AH27" s="37">
        <v>0</v>
      </c>
      <c r="AI27" s="37">
        <v>0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40">
        <f ca="1">SUM(OFFSET(Upaya_Debitur[[#This Row],[Haircut Diperhitungkan]],0,0,1,$B$7+2))</f>
        <v>0</v>
      </c>
      <c r="BR27" s="35" t="str">
        <f ca="1">IF(Upaya_Debitur[[#This Row],[Total Pencairan]]&gt;=Upaya_Debitur[[#This Row],[Kewajiban Total]],"Lunas","Belum Lunas")</f>
        <v>Belum Lunas</v>
      </c>
      <c r="BS27" s="35" t="str">
        <f t="shared" si="3"/>
        <v>Ya</v>
      </c>
      <c r="BT27" s="35" t="str">
        <f t="shared" si="4"/>
        <v>Ya</v>
      </c>
      <c r="BU2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7" s="35" t="str">
        <f>IF(Upaya_Debitur[[#This Row],[Kondisi Debitur]]="Tidak ditemukan","Ya","Tidak")</f>
        <v>Ya</v>
      </c>
      <c r="BY2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7" s="18">
        <v>43781</v>
      </c>
      <c r="CC27" s="18">
        <v>43999</v>
      </c>
      <c r="CD27" s="18">
        <v>43826</v>
      </c>
      <c r="CE27" s="18">
        <v>43871</v>
      </c>
      <c r="CF27" s="18">
        <v>43887</v>
      </c>
      <c r="CG27" s="18">
        <v>44035</v>
      </c>
      <c r="CH27" s="18">
        <v>44057</v>
      </c>
      <c r="CI27" s="18">
        <v>44077</v>
      </c>
      <c r="CJ27" s="18"/>
      <c r="CK27" s="35">
        <f ca="1">COUNTIF(Upaya_Debitur[[#This Row],[Surat Pemberitahuan?]:[Gugatan Sederhana?]],"Ya")</f>
        <v>8</v>
      </c>
      <c r="CL27" s="35">
        <f ca="1">Upaya_Debitur[[#This Row],[Target Upaya]]-COUNTIFS(Upaya_Debitur[[#This Row],[Surat Pemberitahuan?]:[Gugatan Sederhana?]],"Ya",Upaya_Debitur[[#This Row],[Surat Pemberitahuan]:[Gugatan Sederhana]],"")</f>
        <v>8</v>
      </c>
      <c r="CM27" s="36">
        <f ca="1">IF(ISNUMBER(Upaya_Debitur[[#This Row],[Realisasi]]/Upaya_Debitur[[#This Row],[Target Upaya]]),Upaya_Debitur[[#This Row],[Realisasi]]/Upaya_Debitur[[#This Row],[Target Upaya]],1)</f>
        <v>1</v>
      </c>
      <c r="CQ27">
        <v>9</v>
      </c>
      <c r="CR27" s="2">
        <f t="shared" si="2"/>
        <v>44012</v>
      </c>
      <c r="CS27" s="48">
        <f>Periode[[#This Row],[Bulan Ke]]</f>
        <v>9</v>
      </c>
    </row>
    <row r="28" spans="1:99" x14ac:dyDescent="0.3">
      <c r="A28" s="16">
        <v>10</v>
      </c>
      <c r="B28" s="17"/>
      <c r="C28" s="17" t="s">
        <v>205</v>
      </c>
      <c r="D28" s="16" t="s">
        <v>206</v>
      </c>
      <c r="E28" s="37">
        <v>4000000</v>
      </c>
      <c r="F28" s="37">
        <v>0</v>
      </c>
      <c r="G28" s="37">
        <v>0</v>
      </c>
      <c r="H28" s="40">
        <f>SUM(Upaya_Debitur[[#This Row],[Kewajiban Pokok]:[Kewajiban Denda]])</f>
        <v>4000000</v>
      </c>
      <c r="I28" s="37"/>
      <c r="J28" s="40">
        <f>IF(ISNUMBER(Upaya_Debitur[[#This Row],[Angsuran Sesuai PK]]),Upaya_Debitur[[#This Row],[Angsuran Sesuai PK]],1)</f>
        <v>1</v>
      </c>
      <c r="K28" s="76"/>
      <c r="L28" s="16" t="s">
        <v>83</v>
      </c>
      <c r="N28" s="18"/>
      <c r="O28" s="76"/>
      <c r="P28" s="37"/>
      <c r="Q28" s="41"/>
      <c r="R28" s="37"/>
      <c r="S28" s="40">
        <f>IF(Upaya_Debitur[[#This Row],[Periode Haircut]]="",0,IF(Upaya_Debitur[[#This Row],[Periode Haircut]]&lt;=$B$6,Upaya_Debitur[[#This Row],[Haircut]],0))</f>
        <v>0</v>
      </c>
      <c r="T28" s="40">
        <f>IF($B$10="",0,IF($B$10&lt;=$B$6,Upaya_Debitur[[#This Row],[Set Off]],0))</f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7">
        <v>0</v>
      </c>
      <c r="AH28" s="37">
        <v>0</v>
      </c>
      <c r="AI28" s="37">
        <v>0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40">
        <f ca="1">SUM(OFFSET(Upaya_Debitur[[#This Row],[Haircut Diperhitungkan]],0,0,1,$B$7+2))</f>
        <v>0</v>
      </c>
      <c r="BR28" s="35" t="str">
        <f ca="1">IF(Upaya_Debitur[[#This Row],[Total Pencairan]]&gt;=Upaya_Debitur[[#This Row],[Kewajiban Total]],"Lunas","Belum Lunas")</f>
        <v>Belum Lunas</v>
      </c>
      <c r="BS28" s="35" t="str">
        <f t="shared" si="3"/>
        <v>Ya</v>
      </c>
      <c r="BT28" s="35" t="str">
        <f t="shared" si="4"/>
        <v>Ya</v>
      </c>
      <c r="BU2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8" s="35" t="str">
        <f>IF(Upaya_Debitur[[#This Row],[Kondisi Debitur]]="Tidak ditemukan","Ya","Tidak")</f>
        <v>Tidak</v>
      </c>
      <c r="BY2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8" s="18">
        <v>43781</v>
      </c>
      <c r="CC28" s="18">
        <v>43999</v>
      </c>
      <c r="CD28" s="18">
        <v>43826</v>
      </c>
      <c r="CE28" s="18">
        <v>43871</v>
      </c>
      <c r="CF28" s="18">
        <v>43887</v>
      </c>
      <c r="CG28" s="18">
        <v>43888</v>
      </c>
      <c r="CH28" s="18">
        <v>44057</v>
      </c>
      <c r="CI28" s="18">
        <v>44077</v>
      </c>
      <c r="CJ28" s="18"/>
      <c r="CK28" s="35">
        <f ca="1">COUNTIF(Upaya_Debitur[[#This Row],[Surat Pemberitahuan?]:[Gugatan Sederhana?]],"Ya")</f>
        <v>7</v>
      </c>
      <c r="CL28" s="35">
        <f ca="1">Upaya_Debitur[[#This Row],[Target Upaya]]-COUNTIFS(Upaya_Debitur[[#This Row],[Surat Pemberitahuan?]:[Gugatan Sederhana?]],"Ya",Upaya_Debitur[[#This Row],[Surat Pemberitahuan]:[Gugatan Sederhana]],"")</f>
        <v>7</v>
      </c>
      <c r="CM28" s="36">
        <f ca="1">IF(ISNUMBER(Upaya_Debitur[[#This Row],[Realisasi]]/Upaya_Debitur[[#This Row],[Target Upaya]]),Upaya_Debitur[[#This Row],[Realisasi]]/Upaya_Debitur[[#This Row],[Target Upaya]],1)</f>
        <v>1</v>
      </c>
      <c r="CQ28">
        <v>10</v>
      </c>
      <c r="CR28" s="2">
        <f t="shared" si="2"/>
        <v>44043</v>
      </c>
      <c r="CS28" s="48">
        <f>Periode[[#This Row],[Bulan Ke]]</f>
        <v>10</v>
      </c>
    </row>
    <row r="29" spans="1:99" x14ac:dyDescent="0.3">
      <c r="A29" s="16">
        <v>11</v>
      </c>
      <c r="B29" s="17"/>
      <c r="C29" s="17" t="s">
        <v>207</v>
      </c>
      <c r="D29" s="16" t="s">
        <v>208</v>
      </c>
      <c r="E29" s="37">
        <v>271500</v>
      </c>
      <c r="F29" s="37">
        <v>0</v>
      </c>
      <c r="G29" s="37">
        <v>0</v>
      </c>
      <c r="H29" s="40">
        <f>SUM(Upaya_Debitur[[#This Row],[Kewajiban Pokok]:[Kewajiban Denda]])</f>
        <v>271500</v>
      </c>
      <c r="I29" s="37"/>
      <c r="J29" s="40">
        <f>IF(ISNUMBER(Upaya_Debitur[[#This Row],[Angsuran Sesuai PK]]),Upaya_Debitur[[#This Row],[Angsuran Sesuai PK]],1)</f>
        <v>1</v>
      </c>
      <c r="K29" s="76"/>
      <c r="L29" s="16" t="s">
        <v>37</v>
      </c>
      <c r="N29" s="18"/>
      <c r="O29" s="76"/>
      <c r="P29" s="37"/>
      <c r="Q29" s="41"/>
      <c r="R29" s="37"/>
      <c r="S29" s="40">
        <f>IF(Upaya_Debitur[[#This Row],[Periode Haircut]]="",0,IF(Upaya_Debitur[[#This Row],[Periode Haircut]]&lt;=$B$6,Upaya_Debitur[[#This Row],[Haircut]],0))</f>
        <v>0</v>
      </c>
      <c r="T29" s="40">
        <f>IF($B$10="",0,IF($B$10&lt;=$B$6,Upaya_Debitur[[#This Row],[Set Off]],0))</f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7">
        <v>0</v>
      </c>
      <c r="AH29" s="37">
        <v>0</v>
      </c>
      <c r="AI29" s="37">
        <v>0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40">
        <f ca="1">SUM(OFFSET(Upaya_Debitur[[#This Row],[Haircut Diperhitungkan]],0,0,1,$B$7+2))</f>
        <v>0</v>
      </c>
      <c r="BR29" s="35" t="str">
        <f ca="1">IF(Upaya_Debitur[[#This Row],[Total Pencairan]]&gt;=Upaya_Debitur[[#This Row],[Kewajiban Total]],"Lunas","Belum Lunas")</f>
        <v>Belum Lunas</v>
      </c>
      <c r="BS29" s="35" t="str">
        <f t="shared" si="3"/>
        <v>Ya</v>
      </c>
      <c r="BT29" s="35" t="str">
        <f t="shared" si="4"/>
        <v>Ya</v>
      </c>
      <c r="BU2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9" s="35" t="str">
        <f>IF(Upaya_Debitur[[#This Row],[Kondisi Debitur]]="Tidak ditemukan","Ya","Tidak")</f>
        <v>Ya</v>
      </c>
      <c r="BY2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9" s="18">
        <v>43781</v>
      </c>
      <c r="CC29" s="18">
        <v>43999</v>
      </c>
      <c r="CD29" s="18">
        <v>43826</v>
      </c>
      <c r="CE29" s="18">
        <v>43871</v>
      </c>
      <c r="CF29" s="18">
        <v>43887</v>
      </c>
      <c r="CG29" s="18">
        <v>44035</v>
      </c>
      <c r="CH29" s="18">
        <v>44057</v>
      </c>
      <c r="CI29" s="18">
        <v>44077</v>
      </c>
      <c r="CJ29" s="18"/>
      <c r="CK29" s="35">
        <f ca="1">COUNTIF(Upaya_Debitur[[#This Row],[Surat Pemberitahuan?]:[Gugatan Sederhana?]],"Ya")</f>
        <v>8</v>
      </c>
      <c r="CL29" s="35">
        <f ca="1">Upaya_Debitur[[#This Row],[Target Upaya]]-COUNTIFS(Upaya_Debitur[[#This Row],[Surat Pemberitahuan?]:[Gugatan Sederhana?]],"Ya",Upaya_Debitur[[#This Row],[Surat Pemberitahuan]:[Gugatan Sederhana]],"")</f>
        <v>8</v>
      </c>
      <c r="CM29" s="36">
        <f ca="1">IF(ISNUMBER(Upaya_Debitur[[#This Row],[Realisasi]]/Upaya_Debitur[[#This Row],[Target Upaya]]),Upaya_Debitur[[#This Row],[Realisasi]]/Upaya_Debitur[[#This Row],[Target Upaya]],1)</f>
        <v>1</v>
      </c>
      <c r="CQ29">
        <v>11</v>
      </c>
      <c r="CR29" s="2">
        <f t="shared" si="2"/>
        <v>44074</v>
      </c>
      <c r="CS29" s="48">
        <f>Periode[[#This Row],[Bulan Ke]]</f>
        <v>11</v>
      </c>
    </row>
    <row r="30" spans="1:99" x14ac:dyDescent="0.3">
      <c r="A30" s="16">
        <v>12</v>
      </c>
      <c r="B30" s="17"/>
      <c r="C30" s="17" t="s">
        <v>209</v>
      </c>
      <c r="D30" s="16" t="s">
        <v>208</v>
      </c>
      <c r="E30" s="37">
        <v>5000000</v>
      </c>
      <c r="F30" s="37">
        <v>0</v>
      </c>
      <c r="G30" s="37">
        <v>0</v>
      </c>
      <c r="H30" s="40">
        <f>SUM(Upaya_Debitur[[#This Row],[Kewajiban Pokok]:[Kewajiban Denda]])</f>
        <v>5000000</v>
      </c>
      <c r="I30" s="37"/>
      <c r="J30" s="40">
        <f>IF(ISNUMBER(Upaya_Debitur[[#This Row],[Angsuran Sesuai PK]]),Upaya_Debitur[[#This Row],[Angsuran Sesuai PK]],1)</f>
        <v>1</v>
      </c>
      <c r="K30" s="76"/>
      <c r="L30" s="16" t="s">
        <v>83</v>
      </c>
      <c r="N30" s="18"/>
      <c r="O30" s="76"/>
      <c r="P30" s="37"/>
      <c r="Q30" s="41"/>
      <c r="R30" s="37"/>
      <c r="S30" s="40">
        <f>IF(Upaya_Debitur[[#This Row],[Periode Haircut]]="",0,IF(Upaya_Debitur[[#This Row],[Periode Haircut]]&lt;=$B$6,Upaya_Debitur[[#This Row],[Haircut]],0))</f>
        <v>0</v>
      </c>
      <c r="T30" s="40">
        <f>IF($B$10="",0,IF($B$10&lt;=$B$6,Upaya_Debitur[[#This Row],[Set Off]],0))</f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7">
        <v>0</v>
      </c>
      <c r="AH30" s="37">
        <v>0</v>
      </c>
      <c r="AI30" s="37">
        <v>0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40">
        <f ca="1">SUM(OFFSET(Upaya_Debitur[[#This Row],[Haircut Diperhitungkan]],0,0,1,$B$7+2))</f>
        <v>0</v>
      </c>
      <c r="BR30" s="35" t="str">
        <f ca="1">IF(Upaya_Debitur[[#This Row],[Total Pencairan]]&gt;=Upaya_Debitur[[#This Row],[Kewajiban Total]],"Lunas","Belum Lunas")</f>
        <v>Belum Lunas</v>
      </c>
      <c r="BS30" s="35" t="str">
        <f t="shared" si="3"/>
        <v>Ya</v>
      </c>
      <c r="BT30" s="35" t="str">
        <f t="shared" si="4"/>
        <v>Ya</v>
      </c>
      <c r="BU3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3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3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30" s="35" t="str">
        <f>IF(Upaya_Debitur[[#This Row],[Kondisi Debitur]]="Tidak ditemukan","Ya","Tidak")</f>
        <v>Tidak</v>
      </c>
      <c r="BY3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3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3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30" s="18">
        <v>43781</v>
      </c>
      <c r="CC30" s="18">
        <v>43999</v>
      </c>
      <c r="CD30" s="18">
        <v>43826</v>
      </c>
      <c r="CE30" s="18">
        <v>43871</v>
      </c>
      <c r="CF30" s="18">
        <v>43887</v>
      </c>
      <c r="CG30" s="18">
        <v>43888</v>
      </c>
      <c r="CH30" s="18">
        <v>44057</v>
      </c>
      <c r="CI30" s="18">
        <v>44077</v>
      </c>
      <c r="CJ30" s="18"/>
      <c r="CK30" s="35">
        <f ca="1">COUNTIF(Upaya_Debitur[[#This Row],[Surat Pemberitahuan?]:[Gugatan Sederhana?]],"Ya")</f>
        <v>7</v>
      </c>
      <c r="CL30" s="35">
        <f ca="1">Upaya_Debitur[[#This Row],[Target Upaya]]-COUNTIFS(Upaya_Debitur[[#This Row],[Surat Pemberitahuan?]:[Gugatan Sederhana?]],"Ya",Upaya_Debitur[[#This Row],[Surat Pemberitahuan]:[Gugatan Sederhana]],"")</f>
        <v>7</v>
      </c>
      <c r="CM30" s="36">
        <f ca="1">IF(ISNUMBER(Upaya_Debitur[[#This Row],[Realisasi]]/Upaya_Debitur[[#This Row],[Target Upaya]]),Upaya_Debitur[[#This Row],[Realisasi]]/Upaya_Debitur[[#This Row],[Target Upaya]],1)</f>
        <v>1</v>
      </c>
      <c r="CQ30">
        <v>12</v>
      </c>
      <c r="CR30" s="2">
        <f t="shared" si="2"/>
        <v>44104</v>
      </c>
      <c r="CS30" s="48">
        <f>Periode[[#This Row],[Bulan Ke]]</f>
        <v>12</v>
      </c>
    </row>
    <row r="31" spans="1:99" x14ac:dyDescent="0.3">
      <c r="A31" s="16">
        <v>13</v>
      </c>
      <c r="B31" s="17"/>
      <c r="C31" s="17" t="s">
        <v>210</v>
      </c>
      <c r="D31" s="16" t="s">
        <v>208</v>
      </c>
      <c r="E31" s="37">
        <v>661000</v>
      </c>
      <c r="F31" s="37">
        <v>0</v>
      </c>
      <c r="G31" s="37">
        <v>0</v>
      </c>
      <c r="H31" s="40">
        <f>SUM(Upaya_Debitur[[#This Row],[Kewajiban Pokok]:[Kewajiban Denda]])</f>
        <v>661000</v>
      </c>
      <c r="I31" s="37"/>
      <c r="J31" s="40">
        <f>IF(ISNUMBER(Upaya_Debitur[[#This Row],[Angsuran Sesuai PK]]),Upaya_Debitur[[#This Row],[Angsuran Sesuai PK]],1)</f>
        <v>1</v>
      </c>
      <c r="K31" s="76"/>
      <c r="L31" s="16" t="s">
        <v>83</v>
      </c>
      <c r="N31" s="18"/>
      <c r="O31" s="76"/>
      <c r="P31" s="37"/>
      <c r="Q31" s="41"/>
      <c r="R31" s="37"/>
      <c r="S31" s="40">
        <f>IF(Upaya_Debitur[[#This Row],[Periode Haircut]]="",0,IF(Upaya_Debitur[[#This Row],[Periode Haircut]]&lt;=$B$6,Upaya_Debitur[[#This Row],[Haircut]],0))</f>
        <v>0</v>
      </c>
      <c r="T31" s="40">
        <f>IF($B$10="",0,IF($B$10&lt;=$B$6,Upaya_Debitur[[#This Row],[Set Off]],0))</f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37">
        <v>0</v>
      </c>
      <c r="AC31" s="37">
        <v>0</v>
      </c>
      <c r="AD31" s="37">
        <v>0</v>
      </c>
      <c r="AE31" s="37">
        <v>0</v>
      </c>
      <c r="AF31" s="37">
        <v>0</v>
      </c>
      <c r="AG31" s="37">
        <v>0</v>
      </c>
      <c r="AH31" s="37">
        <v>0</v>
      </c>
      <c r="AI31" s="37">
        <v>0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40">
        <f ca="1">SUM(OFFSET(Upaya_Debitur[[#This Row],[Haircut Diperhitungkan]],0,0,1,$B$7+2))</f>
        <v>0</v>
      </c>
      <c r="BR31" s="35" t="str">
        <f ca="1">IF(Upaya_Debitur[[#This Row],[Total Pencairan]]&gt;=Upaya_Debitur[[#This Row],[Kewajiban Total]],"Lunas","Belum Lunas")</f>
        <v>Belum Lunas</v>
      </c>
      <c r="BS31" s="35" t="str">
        <f t="shared" si="3"/>
        <v>Ya</v>
      </c>
      <c r="BT31" s="35" t="str">
        <f t="shared" si="4"/>
        <v>Ya</v>
      </c>
      <c r="BU3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3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3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31" s="35" t="str">
        <f>IF(Upaya_Debitur[[#This Row],[Kondisi Debitur]]="Tidak ditemukan","Ya","Tidak")</f>
        <v>Tidak</v>
      </c>
      <c r="BY3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3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3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31" s="18">
        <v>43781</v>
      </c>
      <c r="CC31" s="18">
        <v>43999</v>
      </c>
      <c r="CD31" s="18">
        <v>43826</v>
      </c>
      <c r="CE31" s="18">
        <v>43871</v>
      </c>
      <c r="CF31" s="18">
        <v>43887</v>
      </c>
      <c r="CG31" s="18">
        <v>43888</v>
      </c>
      <c r="CH31" s="18">
        <v>44057</v>
      </c>
      <c r="CI31" s="18">
        <v>44077</v>
      </c>
      <c r="CJ31" s="18"/>
      <c r="CK31" s="35">
        <f ca="1">COUNTIF(Upaya_Debitur[[#This Row],[Surat Pemberitahuan?]:[Gugatan Sederhana?]],"Ya")</f>
        <v>7</v>
      </c>
      <c r="CL31" s="35">
        <f ca="1">Upaya_Debitur[[#This Row],[Target Upaya]]-COUNTIFS(Upaya_Debitur[[#This Row],[Surat Pemberitahuan?]:[Gugatan Sederhana?]],"Ya",Upaya_Debitur[[#This Row],[Surat Pemberitahuan]:[Gugatan Sederhana]],"")</f>
        <v>7</v>
      </c>
      <c r="CM31" s="36">
        <f ca="1">IF(ISNUMBER(Upaya_Debitur[[#This Row],[Realisasi]]/Upaya_Debitur[[#This Row],[Target Upaya]]),Upaya_Debitur[[#This Row],[Realisasi]]/Upaya_Debitur[[#This Row],[Target Upaya]],1)</f>
        <v>1</v>
      </c>
      <c r="CQ31">
        <v>13</v>
      </c>
      <c r="CR31" s="2">
        <f t="shared" si="2"/>
        <v>44135</v>
      </c>
      <c r="CS31" s="48">
        <f>Periode[[#This Row],[Bulan Ke]]</f>
        <v>13</v>
      </c>
    </row>
    <row r="32" spans="1:99" x14ac:dyDescent="0.3">
      <c r="A32" s="16">
        <v>14</v>
      </c>
      <c r="B32" s="17"/>
      <c r="C32" s="17" t="s">
        <v>211</v>
      </c>
      <c r="D32" s="16" t="s">
        <v>212</v>
      </c>
      <c r="E32" s="37">
        <v>443303</v>
      </c>
      <c r="F32" s="37">
        <v>0</v>
      </c>
      <c r="G32" s="37">
        <v>0</v>
      </c>
      <c r="H32" s="40">
        <f>SUM(Upaya_Debitur[[#This Row],[Kewajiban Pokok]:[Kewajiban Denda]])</f>
        <v>443303</v>
      </c>
      <c r="I32" s="37"/>
      <c r="J32" s="40">
        <f>IF(ISNUMBER(Upaya_Debitur[[#This Row],[Angsuran Sesuai PK]]),Upaya_Debitur[[#This Row],[Angsuran Sesuai PK]],1)</f>
        <v>1</v>
      </c>
      <c r="K32" s="76"/>
      <c r="L32" s="16" t="s">
        <v>37</v>
      </c>
      <c r="N32" s="18"/>
      <c r="O32" s="76"/>
      <c r="P32" s="37"/>
      <c r="Q32" s="41"/>
      <c r="R32" s="37"/>
      <c r="S32" s="40">
        <f>IF(Upaya_Debitur[[#This Row],[Periode Haircut]]="",0,IF(Upaya_Debitur[[#This Row],[Periode Haircut]]&lt;=$B$6,Upaya_Debitur[[#This Row],[Haircut]],0))</f>
        <v>0</v>
      </c>
      <c r="T32" s="40">
        <f>IF($B$10="",0,IF($B$10&lt;=$B$6,Upaya_Debitur[[#This Row],[Set Off]],0))</f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  <c r="AD32" s="37">
        <v>0</v>
      </c>
      <c r="AE32" s="37">
        <v>0</v>
      </c>
      <c r="AF32" s="37">
        <v>0</v>
      </c>
      <c r="AG32" s="37">
        <v>0</v>
      </c>
      <c r="AH32" s="37">
        <v>0</v>
      </c>
      <c r="AI32" s="37">
        <v>0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40">
        <f ca="1">SUM(OFFSET(Upaya_Debitur[[#This Row],[Haircut Diperhitungkan]],0,0,1,$B$7+2))</f>
        <v>0</v>
      </c>
      <c r="BR32" s="35" t="str">
        <f ca="1">IF(Upaya_Debitur[[#This Row],[Total Pencairan]]&gt;=Upaya_Debitur[[#This Row],[Kewajiban Total]],"Lunas","Belum Lunas")</f>
        <v>Belum Lunas</v>
      </c>
      <c r="BS32" s="35" t="str">
        <f t="shared" si="3"/>
        <v>Ya</v>
      </c>
      <c r="BT32" s="35" t="str">
        <f t="shared" si="4"/>
        <v>Ya</v>
      </c>
      <c r="BU3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3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3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32" s="35" t="str">
        <f>IF(Upaya_Debitur[[#This Row],[Kondisi Debitur]]="Tidak ditemukan","Ya","Tidak")</f>
        <v>Ya</v>
      </c>
      <c r="BY3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3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3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32" s="18">
        <v>43781</v>
      </c>
      <c r="CC32" s="18">
        <v>43999</v>
      </c>
      <c r="CD32" s="18">
        <v>43826</v>
      </c>
      <c r="CE32" s="18">
        <v>43871</v>
      </c>
      <c r="CF32" s="18">
        <v>43887</v>
      </c>
      <c r="CG32" s="18">
        <v>44035</v>
      </c>
      <c r="CH32" s="18">
        <v>44057</v>
      </c>
      <c r="CI32" s="18">
        <v>44077</v>
      </c>
      <c r="CJ32" s="18"/>
      <c r="CK32" s="35">
        <f ca="1">COUNTIF(Upaya_Debitur[[#This Row],[Surat Pemberitahuan?]:[Gugatan Sederhana?]],"Ya")</f>
        <v>8</v>
      </c>
      <c r="CL32" s="35">
        <f ca="1">Upaya_Debitur[[#This Row],[Target Upaya]]-COUNTIFS(Upaya_Debitur[[#This Row],[Surat Pemberitahuan?]:[Gugatan Sederhana?]],"Ya",Upaya_Debitur[[#This Row],[Surat Pemberitahuan]:[Gugatan Sederhana]],"")</f>
        <v>8</v>
      </c>
      <c r="CM32" s="36">
        <f ca="1">IF(ISNUMBER(Upaya_Debitur[[#This Row],[Realisasi]]/Upaya_Debitur[[#This Row],[Target Upaya]]),Upaya_Debitur[[#This Row],[Realisasi]]/Upaya_Debitur[[#This Row],[Target Upaya]],1)</f>
        <v>1</v>
      </c>
      <c r="CQ32">
        <v>14</v>
      </c>
      <c r="CR32" s="2">
        <f t="shared" si="2"/>
        <v>44165</v>
      </c>
      <c r="CS32" s="48">
        <f>Periode[[#This Row],[Bulan Ke]]</f>
        <v>14</v>
      </c>
    </row>
    <row r="33" spans="1:97" x14ac:dyDescent="0.3">
      <c r="A33" s="16">
        <v>15</v>
      </c>
      <c r="B33" s="17"/>
      <c r="C33" s="17" t="s">
        <v>213</v>
      </c>
      <c r="D33" s="16" t="s">
        <v>214</v>
      </c>
      <c r="E33" s="37">
        <v>464750</v>
      </c>
      <c r="F33" s="37">
        <v>0</v>
      </c>
      <c r="G33" s="37">
        <v>0</v>
      </c>
      <c r="H33" s="40">
        <f>SUM(Upaya_Debitur[[#This Row],[Kewajiban Pokok]:[Kewajiban Denda]])</f>
        <v>464750</v>
      </c>
      <c r="I33" s="37"/>
      <c r="J33" s="40">
        <f>IF(ISNUMBER(Upaya_Debitur[[#This Row],[Angsuran Sesuai PK]]),Upaya_Debitur[[#This Row],[Angsuran Sesuai PK]],1)</f>
        <v>1</v>
      </c>
      <c r="K33" s="76"/>
      <c r="L33" s="16" t="s">
        <v>37</v>
      </c>
      <c r="N33" s="18"/>
      <c r="O33" s="76"/>
      <c r="P33" s="37"/>
      <c r="Q33" s="41"/>
      <c r="R33" s="37"/>
      <c r="S33" s="40">
        <f>IF(Upaya_Debitur[[#This Row],[Periode Haircut]]="",0,IF(Upaya_Debitur[[#This Row],[Periode Haircut]]&lt;=$B$6,Upaya_Debitur[[#This Row],[Haircut]],0))</f>
        <v>0</v>
      </c>
      <c r="T33" s="40">
        <f>IF($B$10="",0,IF($B$10&lt;=$B$6,Upaya_Debitur[[#This Row],[Set Off]],0))</f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  <c r="AD33" s="37">
        <v>0</v>
      </c>
      <c r="AE33" s="37">
        <v>0</v>
      </c>
      <c r="AF33" s="37">
        <v>0</v>
      </c>
      <c r="AG33" s="37">
        <v>0</v>
      </c>
      <c r="AH33" s="37">
        <v>0</v>
      </c>
      <c r="AI33" s="37">
        <v>0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40">
        <f ca="1">SUM(OFFSET(Upaya_Debitur[[#This Row],[Haircut Diperhitungkan]],0,0,1,$B$7+2))</f>
        <v>0</v>
      </c>
      <c r="BR33" s="35" t="str">
        <f ca="1">IF(Upaya_Debitur[[#This Row],[Total Pencairan]]&gt;=Upaya_Debitur[[#This Row],[Kewajiban Total]],"Lunas","Belum Lunas")</f>
        <v>Belum Lunas</v>
      </c>
      <c r="BS33" s="35" t="str">
        <f t="shared" si="3"/>
        <v>Ya</v>
      </c>
      <c r="BT33" s="35" t="str">
        <f t="shared" si="4"/>
        <v>Ya</v>
      </c>
      <c r="BU3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3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3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33" s="35" t="str">
        <f>IF(Upaya_Debitur[[#This Row],[Kondisi Debitur]]="Tidak ditemukan","Ya","Tidak")</f>
        <v>Ya</v>
      </c>
      <c r="BY3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3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3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33" s="18">
        <v>43781</v>
      </c>
      <c r="CC33" s="18">
        <v>43999</v>
      </c>
      <c r="CD33" s="18">
        <v>43826</v>
      </c>
      <c r="CE33" s="18">
        <v>43871</v>
      </c>
      <c r="CF33" s="18">
        <v>43887</v>
      </c>
      <c r="CG33" s="18">
        <v>44035</v>
      </c>
      <c r="CH33" s="18">
        <v>44057</v>
      </c>
      <c r="CI33" s="18">
        <v>44077</v>
      </c>
      <c r="CJ33" s="18"/>
      <c r="CK33" s="35">
        <f ca="1">COUNTIF(Upaya_Debitur[[#This Row],[Surat Pemberitahuan?]:[Gugatan Sederhana?]],"Ya")</f>
        <v>8</v>
      </c>
      <c r="CL33" s="35">
        <f ca="1">Upaya_Debitur[[#This Row],[Target Upaya]]-COUNTIFS(Upaya_Debitur[[#This Row],[Surat Pemberitahuan?]:[Gugatan Sederhana?]],"Ya",Upaya_Debitur[[#This Row],[Surat Pemberitahuan]:[Gugatan Sederhana]],"")</f>
        <v>8</v>
      </c>
      <c r="CM33" s="36">
        <f ca="1">IF(ISNUMBER(Upaya_Debitur[[#This Row],[Realisasi]]/Upaya_Debitur[[#This Row],[Target Upaya]]),Upaya_Debitur[[#This Row],[Realisasi]]/Upaya_Debitur[[#This Row],[Target Upaya]],1)</f>
        <v>1</v>
      </c>
      <c r="CQ33">
        <v>15</v>
      </c>
      <c r="CR33" s="2">
        <f t="shared" si="2"/>
        <v>44196</v>
      </c>
      <c r="CS33" s="48">
        <f>Periode[[#This Row],[Bulan Ke]]</f>
        <v>15</v>
      </c>
    </row>
    <row r="34" spans="1:97" x14ac:dyDescent="0.3">
      <c r="A34" s="16">
        <v>16</v>
      </c>
      <c r="B34" s="17"/>
      <c r="C34" s="17" t="s">
        <v>215</v>
      </c>
      <c r="D34" s="16" t="s">
        <v>216</v>
      </c>
      <c r="E34" s="37">
        <v>1126700</v>
      </c>
      <c r="F34" s="37">
        <v>0</v>
      </c>
      <c r="G34" s="37">
        <v>0</v>
      </c>
      <c r="H34" s="40">
        <f>SUM(Upaya_Debitur[[#This Row],[Kewajiban Pokok]:[Kewajiban Denda]])</f>
        <v>1126700</v>
      </c>
      <c r="I34" s="37"/>
      <c r="J34" s="40">
        <f>IF(ISNUMBER(Upaya_Debitur[[#This Row],[Angsuran Sesuai PK]]),Upaya_Debitur[[#This Row],[Angsuran Sesuai PK]],1)</f>
        <v>1</v>
      </c>
      <c r="K34" s="76"/>
      <c r="L34" s="16" t="s">
        <v>37</v>
      </c>
      <c r="N34" s="18"/>
      <c r="O34" s="76"/>
      <c r="P34" s="37"/>
      <c r="Q34" s="41"/>
      <c r="R34" s="37"/>
      <c r="S34" s="40">
        <f>IF(Upaya_Debitur[[#This Row],[Periode Haircut]]="",0,IF(Upaya_Debitur[[#This Row],[Periode Haircut]]&lt;=$B$6,Upaya_Debitur[[#This Row],[Haircut]],0))</f>
        <v>0</v>
      </c>
      <c r="T34" s="40">
        <f>IF($B$10="",0,IF($B$10&lt;=$B$6,Upaya_Debitur[[#This Row],[Set Off]],0))</f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40">
        <f ca="1">SUM(OFFSET(Upaya_Debitur[[#This Row],[Haircut Diperhitungkan]],0,0,1,$B$7+2))</f>
        <v>0</v>
      </c>
      <c r="BR34" s="35" t="str">
        <f ca="1">IF(Upaya_Debitur[[#This Row],[Total Pencairan]]&gt;=Upaya_Debitur[[#This Row],[Kewajiban Total]],"Lunas","Belum Lunas")</f>
        <v>Belum Lunas</v>
      </c>
      <c r="BS34" s="35" t="str">
        <f t="shared" si="3"/>
        <v>Ya</v>
      </c>
      <c r="BT34" s="35" t="str">
        <f t="shared" si="4"/>
        <v>Ya</v>
      </c>
      <c r="BU3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3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3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34" s="35" t="str">
        <f>IF(Upaya_Debitur[[#This Row],[Kondisi Debitur]]="Tidak ditemukan","Ya","Tidak")</f>
        <v>Ya</v>
      </c>
      <c r="BY3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3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3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34" s="18">
        <v>43781</v>
      </c>
      <c r="CC34" s="18">
        <v>43999</v>
      </c>
      <c r="CD34" s="18">
        <v>43826</v>
      </c>
      <c r="CE34" s="18">
        <v>43871</v>
      </c>
      <c r="CF34" s="18">
        <v>43887</v>
      </c>
      <c r="CG34" s="18">
        <v>43888</v>
      </c>
      <c r="CH34" s="18">
        <v>44057</v>
      </c>
      <c r="CI34" s="18">
        <v>44077</v>
      </c>
      <c r="CJ34" s="18"/>
      <c r="CK34" s="35">
        <f ca="1">COUNTIF(Upaya_Debitur[[#This Row],[Surat Pemberitahuan?]:[Gugatan Sederhana?]],"Ya")</f>
        <v>8</v>
      </c>
      <c r="CL34" s="35">
        <f ca="1">Upaya_Debitur[[#This Row],[Target Upaya]]-COUNTIFS(Upaya_Debitur[[#This Row],[Surat Pemberitahuan?]:[Gugatan Sederhana?]],"Ya",Upaya_Debitur[[#This Row],[Surat Pemberitahuan]:[Gugatan Sederhana]],"")</f>
        <v>8</v>
      </c>
      <c r="CM34" s="36">
        <f ca="1">IF(ISNUMBER(Upaya_Debitur[[#This Row],[Realisasi]]/Upaya_Debitur[[#This Row],[Target Upaya]]),Upaya_Debitur[[#This Row],[Realisasi]]/Upaya_Debitur[[#This Row],[Target Upaya]],1)</f>
        <v>1</v>
      </c>
      <c r="CQ34">
        <v>16</v>
      </c>
      <c r="CR34" s="2">
        <f t="shared" si="2"/>
        <v>44227</v>
      </c>
      <c r="CS34" s="48">
        <f>Periode[[#This Row],[Bulan Ke]]</f>
        <v>16</v>
      </c>
    </row>
    <row r="35" spans="1:97" x14ac:dyDescent="0.3">
      <c r="A35" s="16">
        <v>17</v>
      </c>
      <c r="B35" s="17"/>
      <c r="C35" s="17" t="s">
        <v>217</v>
      </c>
      <c r="D35" s="16" t="s">
        <v>218</v>
      </c>
      <c r="E35" s="37">
        <v>350000</v>
      </c>
      <c r="F35" s="37">
        <v>0</v>
      </c>
      <c r="G35" s="37">
        <v>0</v>
      </c>
      <c r="H35" s="40">
        <f>SUM(Upaya_Debitur[[#This Row],[Kewajiban Pokok]:[Kewajiban Denda]])</f>
        <v>350000</v>
      </c>
      <c r="I35" s="37"/>
      <c r="J35" s="40">
        <f>IF(ISNUMBER(Upaya_Debitur[[#This Row],[Angsuran Sesuai PK]]),Upaya_Debitur[[#This Row],[Angsuran Sesuai PK]],1)</f>
        <v>1</v>
      </c>
      <c r="K35" s="76"/>
      <c r="L35" s="16" t="s">
        <v>37</v>
      </c>
      <c r="N35" s="18"/>
      <c r="O35" s="76"/>
      <c r="P35" s="37"/>
      <c r="Q35" s="41"/>
      <c r="R35" s="37"/>
      <c r="S35" s="40">
        <f>IF(Upaya_Debitur[[#This Row],[Periode Haircut]]="",0,IF(Upaya_Debitur[[#This Row],[Periode Haircut]]&lt;=$B$6,Upaya_Debitur[[#This Row],[Haircut]],0))</f>
        <v>0</v>
      </c>
      <c r="T35" s="40">
        <f>IF($B$10="",0,IF($B$10&lt;=$B$6,Upaya_Debitur[[#This Row],[Set Off]],0))</f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v>0</v>
      </c>
      <c r="AG35" s="37">
        <v>0</v>
      </c>
      <c r="AH35" s="37">
        <v>0</v>
      </c>
      <c r="AI35" s="37">
        <v>0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40">
        <f ca="1">SUM(OFFSET(Upaya_Debitur[[#This Row],[Haircut Diperhitungkan]],0,0,1,$B$7+2))</f>
        <v>0</v>
      </c>
      <c r="BR35" s="35" t="str">
        <f ca="1">IF(Upaya_Debitur[[#This Row],[Total Pencairan]]&gt;=Upaya_Debitur[[#This Row],[Kewajiban Total]],"Lunas","Belum Lunas")</f>
        <v>Belum Lunas</v>
      </c>
      <c r="BS35" s="35" t="str">
        <f t="shared" si="3"/>
        <v>Ya</v>
      </c>
      <c r="BT35" s="35" t="str">
        <f t="shared" si="4"/>
        <v>Ya</v>
      </c>
      <c r="BU3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3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3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35" s="35" t="str">
        <f>IF(Upaya_Debitur[[#This Row],[Kondisi Debitur]]="Tidak ditemukan","Ya","Tidak")</f>
        <v>Ya</v>
      </c>
      <c r="BY3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3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3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35" s="18">
        <v>43781</v>
      </c>
      <c r="CC35" s="18">
        <v>43999</v>
      </c>
      <c r="CD35" s="18">
        <v>43826</v>
      </c>
      <c r="CE35" s="18">
        <v>43871</v>
      </c>
      <c r="CF35" s="18">
        <v>43887</v>
      </c>
      <c r="CG35" s="18">
        <v>44035</v>
      </c>
      <c r="CH35" s="18">
        <v>44057</v>
      </c>
      <c r="CI35" s="18">
        <v>44077</v>
      </c>
      <c r="CJ35" s="18"/>
      <c r="CK35" s="35">
        <f ca="1">COUNTIF(Upaya_Debitur[[#This Row],[Surat Pemberitahuan?]:[Gugatan Sederhana?]],"Ya")</f>
        <v>8</v>
      </c>
      <c r="CL35" s="35">
        <f ca="1">Upaya_Debitur[[#This Row],[Target Upaya]]-COUNTIFS(Upaya_Debitur[[#This Row],[Surat Pemberitahuan?]:[Gugatan Sederhana?]],"Ya",Upaya_Debitur[[#This Row],[Surat Pemberitahuan]:[Gugatan Sederhana]],"")</f>
        <v>8</v>
      </c>
      <c r="CM35" s="36">
        <f ca="1">IF(ISNUMBER(Upaya_Debitur[[#This Row],[Realisasi]]/Upaya_Debitur[[#This Row],[Target Upaya]]),Upaya_Debitur[[#This Row],[Realisasi]]/Upaya_Debitur[[#This Row],[Target Upaya]],1)</f>
        <v>1</v>
      </c>
      <c r="CQ35">
        <v>17</v>
      </c>
      <c r="CR35" s="2">
        <f t="shared" si="2"/>
        <v>44255</v>
      </c>
      <c r="CS35" s="48">
        <f>Periode[[#This Row],[Bulan Ke]]</f>
        <v>17</v>
      </c>
    </row>
    <row r="36" spans="1:97" x14ac:dyDescent="0.3">
      <c r="A36" s="16">
        <v>18</v>
      </c>
      <c r="B36" s="17"/>
      <c r="C36" s="17" t="s">
        <v>219</v>
      </c>
      <c r="D36" s="16" t="s">
        <v>220</v>
      </c>
      <c r="E36" s="37">
        <v>151000</v>
      </c>
      <c r="F36" s="37">
        <v>0</v>
      </c>
      <c r="G36" s="37">
        <v>0</v>
      </c>
      <c r="H36" s="40">
        <f>SUM(Upaya_Debitur[[#This Row],[Kewajiban Pokok]:[Kewajiban Denda]])</f>
        <v>151000</v>
      </c>
      <c r="I36" s="37"/>
      <c r="J36" s="40">
        <f>IF(ISNUMBER(Upaya_Debitur[[#This Row],[Angsuran Sesuai PK]]),Upaya_Debitur[[#This Row],[Angsuran Sesuai PK]],1)</f>
        <v>1</v>
      </c>
      <c r="K36" s="76"/>
      <c r="L36" s="16" t="s">
        <v>37</v>
      </c>
      <c r="N36" s="18"/>
      <c r="O36" s="76"/>
      <c r="P36" s="37"/>
      <c r="Q36" s="41"/>
      <c r="R36" s="37"/>
      <c r="S36" s="40">
        <f>IF(Upaya_Debitur[[#This Row],[Periode Haircut]]="",0,IF(Upaya_Debitur[[#This Row],[Periode Haircut]]&lt;=$B$6,Upaya_Debitur[[#This Row],[Haircut]],0))</f>
        <v>0</v>
      </c>
      <c r="T36" s="40">
        <f>IF($B$10="",0,IF($B$10&lt;=$B$6,Upaya_Debitur[[#This Row],[Set Off]],0))</f>
        <v>0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  <c r="AD36" s="37">
        <v>0</v>
      </c>
      <c r="AE36" s="37">
        <v>0</v>
      </c>
      <c r="AF36" s="37">
        <v>0</v>
      </c>
      <c r="AG36" s="37">
        <v>0</v>
      </c>
      <c r="AH36" s="37">
        <v>0</v>
      </c>
      <c r="AI36" s="37">
        <v>0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40">
        <f ca="1">SUM(OFFSET(Upaya_Debitur[[#This Row],[Haircut Diperhitungkan]],0,0,1,$B$7+2))</f>
        <v>0</v>
      </c>
      <c r="BR36" s="35" t="str">
        <f ca="1">IF(Upaya_Debitur[[#This Row],[Total Pencairan]]&gt;=Upaya_Debitur[[#This Row],[Kewajiban Total]],"Lunas","Belum Lunas")</f>
        <v>Belum Lunas</v>
      </c>
      <c r="BS36" s="35" t="str">
        <f t="shared" si="3"/>
        <v>Ya</v>
      </c>
      <c r="BT36" s="35" t="str">
        <f t="shared" si="4"/>
        <v>Ya</v>
      </c>
      <c r="BU3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3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3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36" s="35" t="str">
        <f>IF(Upaya_Debitur[[#This Row],[Kondisi Debitur]]="Tidak ditemukan","Ya","Tidak")</f>
        <v>Ya</v>
      </c>
      <c r="BY3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3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3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36" s="18">
        <v>43781</v>
      </c>
      <c r="CC36" s="18">
        <v>43999</v>
      </c>
      <c r="CD36" s="18">
        <v>43826</v>
      </c>
      <c r="CE36" s="18">
        <v>43871</v>
      </c>
      <c r="CF36" s="18">
        <v>43887</v>
      </c>
      <c r="CG36" s="18">
        <v>44035</v>
      </c>
      <c r="CH36" s="18">
        <v>44057</v>
      </c>
      <c r="CI36" s="18">
        <v>44077</v>
      </c>
      <c r="CJ36" s="18"/>
      <c r="CK36" s="35">
        <f ca="1">COUNTIF(Upaya_Debitur[[#This Row],[Surat Pemberitahuan?]:[Gugatan Sederhana?]],"Ya")</f>
        <v>8</v>
      </c>
      <c r="CL36" s="35">
        <f ca="1">Upaya_Debitur[[#This Row],[Target Upaya]]-COUNTIFS(Upaya_Debitur[[#This Row],[Surat Pemberitahuan?]:[Gugatan Sederhana?]],"Ya",Upaya_Debitur[[#This Row],[Surat Pemberitahuan]:[Gugatan Sederhana]],"")</f>
        <v>8</v>
      </c>
      <c r="CM36" s="36">
        <f ca="1">IF(ISNUMBER(Upaya_Debitur[[#This Row],[Realisasi]]/Upaya_Debitur[[#This Row],[Target Upaya]]),Upaya_Debitur[[#This Row],[Realisasi]]/Upaya_Debitur[[#This Row],[Target Upaya]],1)</f>
        <v>1</v>
      </c>
      <c r="CQ36">
        <v>18</v>
      </c>
      <c r="CR36" s="2">
        <f t="shared" si="2"/>
        <v>44286</v>
      </c>
      <c r="CS36" s="48">
        <f>Periode[[#This Row],[Bulan Ke]]</f>
        <v>18</v>
      </c>
    </row>
    <row r="37" spans="1:97" x14ac:dyDescent="0.3">
      <c r="A37" s="16">
        <v>19</v>
      </c>
      <c r="B37" s="17"/>
      <c r="C37" s="17" t="s">
        <v>221</v>
      </c>
      <c r="D37" s="16" t="s">
        <v>222</v>
      </c>
      <c r="E37" s="37">
        <v>643575</v>
      </c>
      <c r="F37" s="37">
        <v>0</v>
      </c>
      <c r="G37" s="37">
        <v>0</v>
      </c>
      <c r="H37" s="40">
        <f>SUM(Upaya_Debitur[[#This Row],[Kewajiban Pokok]:[Kewajiban Denda]])</f>
        <v>643575</v>
      </c>
      <c r="I37" s="37"/>
      <c r="J37" s="40">
        <f>IF(ISNUMBER(Upaya_Debitur[[#This Row],[Angsuran Sesuai PK]]),Upaya_Debitur[[#This Row],[Angsuran Sesuai PK]],1)</f>
        <v>1</v>
      </c>
      <c r="K37" s="76"/>
      <c r="L37" s="16" t="s">
        <v>37</v>
      </c>
      <c r="N37" s="18"/>
      <c r="O37" s="76"/>
      <c r="P37" s="37"/>
      <c r="Q37" s="41"/>
      <c r="R37" s="37"/>
      <c r="S37" s="40">
        <f>IF(Upaya_Debitur[[#This Row],[Periode Haircut]]="",0,IF(Upaya_Debitur[[#This Row],[Periode Haircut]]&lt;=$B$6,Upaya_Debitur[[#This Row],[Haircut]],0))</f>
        <v>0</v>
      </c>
      <c r="T37" s="40">
        <f>IF($B$10="",0,IF($B$10&lt;=$B$6,Upaya_Debitur[[#This Row],[Set Off]],0))</f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  <c r="AH37" s="37">
        <v>0</v>
      </c>
      <c r="AI37" s="37">
        <v>0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40">
        <f ca="1">SUM(OFFSET(Upaya_Debitur[[#This Row],[Haircut Diperhitungkan]],0,0,1,$B$7+2))</f>
        <v>0</v>
      </c>
      <c r="BR37" s="35" t="str">
        <f ca="1">IF(Upaya_Debitur[[#This Row],[Total Pencairan]]&gt;=Upaya_Debitur[[#This Row],[Kewajiban Total]],"Lunas","Belum Lunas")</f>
        <v>Belum Lunas</v>
      </c>
      <c r="BS37" s="35" t="str">
        <f t="shared" si="3"/>
        <v>Ya</v>
      </c>
      <c r="BT37" s="35" t="str">
        <f t="shared" si="4"/>
        <v>Ya</v>
      </c>
      <c r="BU3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3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3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37" s="35" t="str">
        <f>IF(Upaya_Debitur[[#This Row],[Kondisi Debitur]]="Tidak ditemukan","Ya","Tidak")</f>
        <v>Ya</v>
      </c>
      <c r="BY3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3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3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37" s="18">
        <v>43781</v>
      </c>
      <c r="CC37" s="18">
        <v>43999</v>
      </c>
      <c r="CD37" s="18">
        <v>43826</v>
      </c>
      <c r="CE37" s="18">
        <v>43871</v>
      </c>
      <c r="CF37" s="18">
        <v>43887</v>
      </c>
      <c r="CG37" s="18">
        <v>43888</v>
      </c>
      <c r="CH37" s="18">
        <v>44057</v>
      </c>
      <c r="CI37" s="18">
        <v>44077</v>
      </c>
      <c r="CJ37" s="18"/>
      <c r="CK37" s="35">
        <f ca="1">COUNTIF(Upaya_Debitur[[#This Row],[Surat Pemberitahuan?]:[Gugatan Sederhana?]],"Ya")</f>
        <v>8</v>
      </c>
      <c r="CL37" s="35">
        <f ca="1">Upaya_Debitur[[#This Row],[Target Upaya]]-COUNTIFS(Upaya_Debitur[[#This Row],[Surat Pemberitahuan?]:[Gugatan Sederhana?]],"Ya",Upaya_Debitur[[#This Row],[Surat Pemberitahuan]:[Gugatan Sederhana]],"")</f>
        <v>8</v>
      </c>
      <c r="CM37" s="36">
        <f ca="1">IF(ISNUMBER(Upaya_Debitur[[#This Row],[Realisasi]]/Upaya_Debitur[[#This Row],[Target Upaya]]),Upaya_Debitur[[#This Row],[Realisasi]]/Upaya_Debitur[[#This Row],[Target Upaya]],1)</f>
        <v>1</v>
      </c>
      <c r="CQ37">
        <v>19</v>
      </c>
      <c r="CR37" s="2">
        <f t="shared" si="2"/>
        <v>44316</v>
      </c>
      <c r="CS37" s="48">
        <f>Periode[[#This Row],[Bulan Ke]]</f>
        <v>19</v>
      </c>
    </row>
    <row r="38" spans="1:97" x14ac:dyDescent="0.3">
      <c r="A38" s="16">
        <v>20</v>
      </c>
      <c r="B38" s="17"/>
      <c r="C38" s="17" t="s">
        <v>223</v>
      </c>
      <c r="D38" s="16" t="s">
        <v>224</v>
      </c>
      <c r="E38" s="37">
        <v>9000000</v>
      </c>
      <c r="F38" s="37">
        <v>0</v>
      </c>
      <c r="G38" s="37">
        <v>0</v>
      </c>
      <c r="H38" s="40">
        <f>SUM(Upaya_Debitur[[#This Row],[Kewajiban Pokok]:[Kewajiban Denda]])</f>
        <v>9000000</v>
      </c>
      <c r="I38" s="37"/>
      <c r="J38" s="40">
        <f>IF(ISNUMBER(Upaya_Debitur[[#This Row],[Angsuran Sesuai PK]]),Upaya_Debitur[[#This Row],[Angsuran Sesuai PK]],1)</f>
        <v>1</v>
      </c>
      <c r="K38" s="76"/>
      <c r="L38" s="16" t="s">
        <v>37</v>
      </c>
      <c r="N38" s="18"/>
      <c r="O38" s="76"/>
      <c r="P38" s="37"/>
      <c r="Q38" s="41"/>
      <c r="R38" s="37"/>
      <c r="S38" s="40">
        <f>IF(Upaya_Debitur[[#This Row],[Periode Haircut]]="",0,IF(Upaya_Debitur[[#This Row],[Periode Haircut]]&lt;=$B$6,Upaya_Debitur[[#This Row],[Haircut]],0))</f>
        <v>0</v>
      </c>
      <c r="T38" s="40">
        <f>IF($B$10="",0,IF($B$10&lt;=$B$6,Upaya_Debitur[[#This Row],[Set Off]],0))</f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  <c r="AH38" s="37">
        <v>0</v>
      </c>
      <c r="AI38" s="37">
        <v>0</v>
      </c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40">
        <f ca="1">SUM(OFFSET(Upaya_Debitur[[#This Row],[Haircut Diperhitungkan]],0,0,1,$B$7+2))</f>
        <v>0</v>
      </c>
      <c r="BR38" s="35" t="str">
        <f ca="1">IF(Upaya_Debitur[[#This Row],[Total Pencairan]]&gt;=Upaya_Debitur[[#This Row],[Kewajiban Total]],"Lunas","Belum Lunas")</f>
        <v>Belum Lunas</v>
      </c>
      <c r="BS38" s="35" t="str">
        <f t="shared" si="3"/>
        <v>Ya</v>
      </c>
      <c r="BT38" s="35" t="str">
        <f t="shared" si="4"/>
        <v>Ya</v>
      </c>
      <c r="BU3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3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3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38" s="35" t="str">
        <f>IF(Upaya_Debitur[[#This Row],[Kondisi Debitur]]="Tidak ditemukan","Ya","Tidak")</f>
        <v>Ya</v>
      </c>
      <c r="BY3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3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3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38" s="18">
        <v>43781</v>
      </c>
      <c r="CC38" s="18">
        <v>43999</v>
      </c>
      <c r="CD38" s="18">
        <v>43826</v>
      </c>
      <c r="CE38" s="18">
        <v>43871</v>
      </c>
      <c r="CF38" s="18">
        <v>43887</v>
      </c>
      <c r="CG38" s="18">
        <v>44035</v>
      </c>
      <c r="CH38" s="18">
        <v>44057</v>
      </c>
      <c r="CI38" s="18">
        <v>44077</v>
      </c>
      <c r="CJ38" s="18"/>
      <c r="CK38" s="35">
        <f ca="1">COUNTIF(Upaya_Debitur[[#This Row],[Surat Pemberitahuan?]:[Gugatan Sederhana?]],"Ya")</f>
        <v>8</v>
      </c>
      <c r="CL38" s="35">
        <f ca="1">Upaya_Debitur[[#This Row],[Target Upaya]]-COUNTIFS(Upaya_Debitur[[#This Row],[Surat Pemberitahuan?]:[Gugatan Sederhana?]],"Ya",Upaya_Debitur[[#This Row],[Surat Pemberitahuan]:[Gugatan Sederhana]],"")</f>
        <v>8</v>
      </c>
      <c r="CM38" s="36">
        <f ca="1">IF(ISNUMBER(Upaya_Debitur[[#This Row],[Realisasi]]/Upaya_Debitur[[#This Row],[Target Upaya]]),Upaya_Debitur[[#This Row],[Realisasi]]/Upaya_Debitur[[#This Row],[Target Upaya]],1)</f>
        <v>1</v>
      </c>
      <c r="CQ38">
        <v>20</v>
      </c>
      <c r="CR38" s="2">
        <f t="shared" si="2"/>
        <v>44347</v>
      </c>
      <c r="CS38" s="48">
        <f>Periode[[#This Row],[Bulan Ke]]</f>
        <v>20</v>
      </c>
    </row>
    <row r="39" spans="1:97" x14ac:dyDescent="0.3">
      <c r="A39" s="16">
        <v>21</v>
      </c>
      <c r="B39" s="17"/>
      <c r="C39" s="17" t="s">
        <v>225</v>
      </c>
      <c r="D39" s="16" t="s">
        <v>226</v>
      </c>
      <c r="E39" s="37">
        <v>551075</v>
      </c>
      <c r="F39" s="37">
        <v>0</v>
      </c>
      <c r="G39" s="37">
        <v>0</v>
      </c>
      <c r="H39" s="40">
        <f>SUM(Upaya_Debitur[[#This Row],[Kewajiban Pokok]:[Kewajiban Denda]])</f>
        <v>551075</v>
      </c>
      <c r="I39" s="37"/>
      <c r="J39" s="40">
        <f>IF(ISNUMBER(Upaya_Debitur[[#This Row],[Angsuran Sesuai PK]]),Upaya_Debitur[[#This Row],[Angsuran Sesuai PK]],1)</f>
        <v>1</v>
      </c>
      <c r="K39" s="76"/>
      <c r="L39" s="16" t="s">
        <v>37</v>
      </c>
      <c r="N39" s="18"/>
      <c r="O39" s="76"/>
      <c r="P39" s="37"/>
      <c r="Q39" s="41"/>
      <c r="R39" s="37"/>
      <c r="S39" s="40">
        <f>IF(Upaya_Debitur[[#This Row],[Periode Haircut]]="",0,IF(Upaya_Debitur[[#This Row],[Periode Haircut]]&lt;=$B$6,Upaya_Debitur[[#This Row],[Haircut]],0))</f>
        <v>0</v>
      </c>
      <c r="T39" s="40">
        <f>IF($B$10="",0,IF($B$10&lt;=$B$6,Upaya_Debitur[[#This Row],[Set Off]],0))</f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  <c r="AH39" s="37">
        <v>0</v>
      </c>
      <c r="AI39" s="37">
        <v>0</v>
      </c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40">
        <f ca="1">SUM(OFFSET(Upaya_Debitur[[#This Row],[Haircut Diperhitungkan]],0,0,1,$B$7+2))</f>
        <v>0</v>
      </c>
      <c r="BR39" s="35" t="str">
        <f ca="1">IF(Upaya_Debitur[[#This Row],[Total Pencairan]]&gt;=Upaya_Debitur[[#This Row],[Kewajiban Total]],"Lunas","Belum Lunas")</f>
        <v>Belum Lunas</v>
      </c>
      <c r="BS39" s="35" t="str">
        <f t="shared" si="3"/>
        <v>Ya</v>
      </c>
      <c r="BT39" s="35" t="str">
        <f t="shared" si="4"/>
        <v>Ya</v>
      </c>
      <c r="BU3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3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3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39" s="35" t="str">
        <f>IF(Upaya_Debitur[[#This Row],[Kondisi Debitur]]="Tidak ditemukan","Ya","Tidak")</f>
        <v>Ya</v>
      </c>
      <c r="BY3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3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3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39" s="18">
        <v>43781</v>
      </c>
      <c r="CC39" s="18">
        <v>43999</v>
      </c>
      <c r="CD39" s="18">
        <v>43826</v>
      </c>
      <c r="CE39" s="18">
        <v>43871</v>
      </c>
      <c r="CF39" s="18">
        <v>43887</v>
      </c>
      <c r="CG39" s="18">
        <v>43888</v>
      </c>
      <c r="CH39" s="18">
        <v>44057</v>
      </c>
      <c r="CI39" s="18">
        <v>44077</v>
      </c>
      <c r="CJ39" s="18"/>
      <c r="CK39" s="35">
        <f ca="1">COUNTIF(Upaya_Debitur[[#This Row],[Surat Pemberitahuan?]:[Gugatan Sederhana?]],"Ya")</f>
        <v>8</v>
      </c>
      <c r="CL39" s="35">
        <f ca="1">Upaya_Debitur[[#This Row],[Target Upaya]]-COUNTIFS(Upaya_Debitur[[#This Row],[Surat Pemberitahuan?]:[Gugatan Sederhana?]],"Ya",Upaya_Debitur[[#This Row],[Surat Pemberitahuan]:[Gugatan Sederhana]],"")</f>
        <v>8</v>
      </c>
      <c r="CM39" s="36">
        <f ca="1">IF(ISNUMBER(Upaya_Debitur[[#This Row],[Realisasi]]/Upaya_Debitur[[#This Row],[Target Upaya]]),Upaya_Debitur[[#This Row],[Realisasi]]/Upaya_Debitur[[#This Row],[Target Upaya]],1)</f>
        <v>1</v>
      </c>
      <c r="CQ39">
        <v>21</v>
      </c>
      <c r="CR39" s="2">
        <f t="shared" si="2"/>
        <v>44377</v>
      </c>
      <c r="CS39" s="48">
        <f>Periode[[#This Row],[Bulan Ke]]</f>
        <v>21</v>
      </c>
    </row>
    <row r="40" spans="1:97" x14ac:dyDescent="0.3">
      <c r="A40" s="16">
        <v>22</v>
      </c>
      <c r="B40" s="17"/>
      <c r="C40" s="17" t="s">
        <v>227</v>
      </c>
      <c r="D40" s="16" t="s">
        <v>228</v>
      </c>
      <c r="E40" s="37">
        <v>4925000</v>
      </c>
      <c r="F40" s="37">
        <v>0</v>
      </c>
      <c r="G40" s="37">
        <v>0</v>
      </c>
      <c r="H40" s="40">
        <f>SUM(Upaya_Debitur[[#This Row],[Kewajiban Pokok]:[Kewajiban Denda]])</f>
        <v>4925000</v>
      </c>
      <c r="I40" s="37"/>
      <c r="J40" s="40">
        <f>IF(ISNUMBER(Upaya_Debitur[[#This Row],[Angsuran Sesuai PK]]),Upaya_Debitur[[#This Row],[Angsuran Sesuai PK]],1)</f>
        <v>1</v>
      </c>
      <c r="K40" s="76"/>
      <c r="L40" s="16" t="s">
        <v>37</v>
      </c>
      <c r="N40" s="18"/>
      <c r="O40" s="76"/>
      <c r="P40" s="37"/>
      <c r="Q40" s="41"/>
      <c r="R40" s="37"/>
      <c r="S40" s="40">
        <f>IF(Upaya_Debitur[[#This Row],[Periode Haircut]]="",0,IF(Upaya_Debitur[[#This Row],[Periode Haircut]]&lt;=$B$6,Upaya_Debitur[[#This Row],[Haircut]],0))</f>
        <v>0</v>
      </c>
      <c r="T40" s="40">
        <f>IF($B$10="",0,IF($B$10&lt;=$B$6,Upaya_Debitur[[#This Row],[Set Off]],0))</f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  <c r="AH40" s="37">
        <v>0</v>
      </c>
      <c r="AI40" s="37">
        <v>0</v>
      </c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40">
        <f ca="1">SUM(OFFSET(Upaya_Debitur[[#This Row],[Haircut Diperhitungkan]],0,0,1,$B$7+2))</f>
        <v>0</v>
      </c>
      <c r="BR40" s="35" t="str">
        <f ca="1">IF(Upaya_Debitur[[#This Row],[Total Pencairan]]&gt;=Upaya_Debitur[[#This Row],[Kewajiban Total]],"Lunas","Belum Lunas")</f>
        <v>Belum Lunas</v>
      </c>
      <c r="BS40" s="35" t="str">
        <f t="shared" si="3"/>
        <v>Ya</v>
      </c>
      <c r="BT40" s="35" t="str">
        <f t="shared" si="4"/>
        <v>Ya</v>
      </c>
      <c r="BU4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4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4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40" s="35" t="str">
        <f>IF(Upaya_Debitur[[#This Row],[Kondisi Debitur]]="Tidak ditemukan","Ya","Tidak")</f>
        <v>Ya</v>
      </c>
      <c r="BY4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4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4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40" s="18">
        <v>43781</v>
      </c>
      <c r="CC40" s="18">
        <v>43999</v>
      </c>
      <c r="CD40" s="18">
        <v>43826</v>
      </c>
      <c r="CE40" s="18">
        <v>43871</v>
      </c>
      <c r="CF40" s="18">
        <v>43887</v>
      </c>
      <c r="CG40" s="18">
        <v>43888</v>
      </c>
      <c r="CH40" s="18">
        <v>44057</v>
      </c>
      <c r="CI40" s="18">
        <v>44077</v>
      </c>
      <c r="CJ40" s="18"/>
      <c r="CK40" s="35">
        <f ca="1">COUNTIF(Upaya_Debitur[[#This Row],[Surat Pemberitahuan?]:[Gugatan Sederhana?]],"Ya")</f>
        <v>8</v>
      </c>
      <c r="CL40" s="35">
        <f ca="1">Upaya_Debitur[[#This Row],[Target Upaya]]-COUNTIFS(Upaya_Debitur[[#This Row],[Surat Pemberitahuan?]:[Gugatan Sederhana?]],"Ya",Upaya_Debitur[[#This Row],[Surat Pemberitahuan]:[Gugatan Sederhana]],"")</f>
        <v>8</v>
      </c>
      <c r="CM40" s="36">
        <f ca="1">IF(ISNUMBER(Upaya_Debitur[[#This Row],[Realisasi]]/Upaya_Debitur[[#This Row],[Target Upaya]]),Upaya_Debitur[[#This Row],[Realisasi]]/Upaya_Debitur[[#This Row],[Target Upaya]],1)</f>
        <v>1</v>
      </c>
      <c r="CQ40">
        <v>22</v>
      </c>
      <c r="CR40" s="2">
        <f t="shared" si="2"/>
        <v>44408</v>
      </c>
      <c r="CS40" s="48">
        <f>Periode[[#This Row],[Bulan Ke]]</f>
        <v>22</v>
      </c>
    </row>
    <row r="41" spans="1:97" x14ac:dyDescent="0.3">
      <c r="A41" s="16">
        <v>23</v>
      </c>
      <c r="B41" s="17"/>
      <c r="C41" s="17" t="s">
        <v>229</v>
      </c>
      <c r="D41" s="16" t="s">
        <v>230</v>
      </c>
      <c r="E41" s="37">
        <v>1500000</v>
      </c>
      <c r="F41" s="37">
        <v>0</v>
      </c>
      <c r="G41" s="37">
        <v>0</v>
      </c>
      <c r="H41" s="40">
        <f>SUM(Upaya_Debitur[[#This Row],[Kewajiban Pokok]:[Kewajiban Denda]])</f>
        <v>1500000</v>
      </c>
      <c r="I41" s="37"/>
      <c r="J41" s="40">
        <f>IF(ISNUMBER(Upaya_Debitur[[#This Row],[Angsuran Sesuai PK]]),Upaya_Debitur[[#This Row],[Angsuran Sesuai PK]],1)</f>
        <v>1</v>
      </c>
      <c r="K41" s="76"/>
      <c r="L41" s="16" t="s">
        <v>37</v>
      </c>
      <c r="N41" s="18"/>
      <c r="O41" s="76"/>
      <c r="P41" s="37"/>
      <c r="Q41" s="41"/>
      <c r="R41" s="37"/>
      <c r="S41" s="40">
        <f>IF(Upaya_Debitur[[#This Row],[Periode Haircut]]="",0,IF(Upaya_Debitur[[#This Row],[Periode Haircut]]&lt;=$B$6,Upaya_Debitur[[#This Row],[Haircut]],0))</f>
        <v>0</v>
      </c>
      <c r="T41" s="40">
        <f>IF($B$10="",0,IF($B$10&lt;=$B$6,Upaya_Debitur[[#This Row],[Set Off]],0))</f>
        <v>0</v>
      </c>
      <c r="U41" s="37">
        <v>0</v>
      </c>
      <c r="V41" s="37">
        <v>0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  <c r="AD41" s="37">
        <v>0</v>
      </c>
      <c r="AE41" s="37">
        <v>0</v>
      </c>
      <c r="AF41" s="37">
        <v>0</v>
      </c>
      <c r="AG41" s="37">
        <v>0</v>
      </c>
      <c r="AH41" s="37">
        <v>0</v>
      </c>
      <c r="AI41" s="37">
        <v>0</v>
      </c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40">
        <f ca="1">SUM(OFFSET(Upaya_Debitur[[#This Row],[Haircut Diperhitungkan]],0,0,1,$B$7+2))</f>
        <v>0</v>
      </c>
      <c r="BR41" s="35" t="str">
        <f ca="1">IF(Upaya_Debitur[[#This Row],[Total Pencairan]]&gt;=Upaya_Debitur[[#This Row],[Kewajiban Total]],"Lunas","Belum Lunas")</f>
        <v>Belum Lunas</v>
      </c>
      <c r="BS41" s="35" t="str">
        <f t="shared" si="3"/>
        <v>Ya</v>
      </c>
      <c r="BT41" s="35" t="str">
        <f t="shared" si="4"/>
        <v>Ya</v>
      </c>
      <c r="BU4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4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4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41" s="35" t="str">
        <f>IF(Upaya_Debitur[[#This Row],[Kondisi Debitur]]="Tidak ditemukan","Ya","Tidak")</f>
        <v>Ya</v>
      </c>
      <c r="BY4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4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4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41" s="18">
        <v>43781</v>
      </c>
      <c r="CC41" s="18">
        <v>43999</v>
      </c>
      <c r="CD41" s="18">
        <v>43826</v>
      </c>
      <c r="CE41" s="18">
        <v>43871</v>
      </c>
      <c r="CF41" s="18">
        <v>43887</v>
      </c>
      <c r="CG41" s="18">
        <v>43888</v>
      </c>
      <c r="CH41" s="18">
        <v>44057</v>
      </c>
      <c r="CI41" s="18">
        <v>44077</v>
      </c>
      <c r="CJ41" s="18"/>
      <c r="CK41" s="35">
        <f ca="1">COUNTIF(Upaya_Debitur[[#This Row],[Surat Pemberitahuan?]:[Gugatan Sederhana?]],"Ya")</f>
        <v>8</v>
      </c>
      <c r="CL41" s="35">
        <f ca="1">Upaya_Debitur[[#This Row],[Target Upaya]]-COUNTIFS(Upaya_Debitur[[#This Row],[Surat Pemberitahuan?]:[Gugatan Sederhana?]],"Ya",Upaya_Debitur[[#This Row],[Surat Pemberitahuan]:[Gugatan Sederhana]],"")</f>
        <v>8</v>
      </c>
      <c r="CM41" s="36">
        <f ca="1">IF(ISNUMBER(Upaya_Debitur[[#This Row],[Realisasi]]/Upaya_Debitur[[#This Row],[Target Upaya]]),Upaya_Debitur[[#This Row],[Realisasi]]/Upaya_Debitur[[#This Row],[Target Upaya]],1)</f>
        <v>1</v>
      </c>
      <c r="CQ41">
        <v>23</v>
      </c>
      <c r="CR41" s="2">
        <f t="shared" si="2"/>
        <v>44439</v>
      </c>
      <c r="CS41" s="48">
        <f>Periode[[#This Row],[Bulan Ke]]</f>
        <v>23</v>
      </c>
    </row>
    <row r="42" spans="1:97" x14ac:dyDescent="0.3">
      <c r="A42" s="16">
        <v>24</v>
      </c>
      <c r="B42" s="17"/>
      <c r="C42" s="17" t="s">
        <v>231</v>
      </c>
      <c r="D42" s="16" t="s">
        <v>232</v>
      </c>
      <c r="E42" s="37">
        <v>1231713</v>
      </c>
      <c r="F42" s="37">
        <v>0</v>
      </c>
      <c r="G42" s="37">
        <v>0</v>
      </c>
      <c r="H42" s="40">
        <f>SUM(Upaya_Debitur[[#This Row],[Kewajiban Pokok]:[Kewajiban Denda]])</f>
        <v>1231713</v>
      </c>
      <c r="I42" s="37"/>
      <c r="J42" s="40">
        <f>IF(ISNUMBER(Upaya_Debitur[[#This Row],[Angsuran Sesuai PK]]),Upaya_Debitur[[#This Row],[Angsuran Sesuai PK]],1)</f>
        <v>1</v>
      </c>
      <c r="K42" s="76"/>
      <c r="L42" s="16" t="s">
        <v>37</v>
      </c>
      <c r="N42" s="18"/>
      <c r="O42" s="76"/>
      <c r="P42" s="37"/>
      <c r="Q42" s="41"/>
      <c r="R42" s="37"/>
      <c r="S42" s="40">
        <f>IF(Upaya_Debitur[[#This Row],[Periode Haircut]]="",0,IF(Upaya_Debitur[[#This Row],[Periode Haircut]]&lt;=$B$6,Upaya_Debitur[[#This Row],[Haircut]],0))</f>
        <v>0</v>
      </c>
      <c r="T42" s="40">
        <f>IF($B$10="",0,IF($B$10&lt;=$B$6,Upaya_Debitur[[#This Row],[Set Off]],0))</f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  <c r="AH42" s="37">
        <v>0</v>
      </c>
      <c r="AI42" s="37">
        <v>0</v>
      </c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40">
        <f ca="1">SUM(OFFSET(Upaya_Debitur[[#This Row],[Haircut Diperhitungkan]],0,0,1,$B$7+2))</f>
        <v>0</v>
      </c>
      <c r="BR42" s="35" t="str">
        <f ca="1">IF(Upaya_Debitur[[#This Row],[Total Pencairan]]&gt;=Upaya_Debitur[[#This Row],[Kewajiban Total]],"Lunas","Belum Lunas")</f>
        <v>Belum Lunas</v>
      </c>
      <c r="BS42" s="35" t="str">
        <f t="shared" si="3"/>
        <v>Ya</v>
      </c>
      <c r="BT42" s="35" t="str">
        <f t="shared" si="4"/>
        <v>Ya</v>
      </c>
      <c r="BU4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4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4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42" s="35" t="str">
        <f>IF(Upaya_Debitur[[#This Row],[Kondisi Debitur]]="Tidak ditemukan","Ya","Tidak")</f>
        <v>Ya</v>
      </c>
      <c r="BY4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4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4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42" s="18">
        <v>43781</v>
      </c>
      <c r="CC42" s="18">
        <v>43999</v>
      </c>
      <c r="CD42" s="18">
        <v>43826</v>
      </c>
      <c r="CE42" s="18">
        <v>43871</v>
      </c>
      <c r="CF42" s="18">
        <v>43887</v>
      </c>
      <c r="CG42" s="18">
        <v>43888</v>
      </c>
      <c r="CH42" s="18">
        <v>44057</v>
      </c>
      <c r="CI42" s="18">
        <v>44077</v>
      </c>
      <c r="CJ42" s="18"/>
      <c r="CK42" s="35">
        <f ca="1">COUNTIF(Upaya_Debitur[[#This Row],[Surat Pemberitahuan?]:[Gugatan Sederhana?]],"Ya")</f>
        <v>8</v>
      </c>
      <c r="CL42" s="35">
        <f ca="1">Upaya_Debitur[[#This Row],[Target Upaya]]-COUNTIFS(Upaya_Debitur[[#This Row],[Surat Pemberitahuan?]:[Gugatan Sederhana?]],"Ya",Upaya_Debitur[[#This Row],[Surat Pemberitahuan]:[Gugatan Sederhana]],"")</f>
        <v>8</v>
      </c>
      <c r="CM42" s="36">
        <f ca="1">IF(ISNUMBER(Upaya_Debitur[[#This Row],[Realisasi]]/Upaya_Debitur[[#This Row],[Target Upaya]]),Upaya_Debitur[[#This Row],[Realisasi]]/Upaya_Debitur[[#This Row],[Target Upaya]],1)</f>
        <v>1</v>
      </c>
      <c r="CQ42">
        <v>24</v>
      </c>
      <c r="CR42" s="2">
        <f t="shared" si="2"/>
        <v>44469</v>
      </c>
      <c r="CS42" s="48">
        <f>Periode[[#This Row],[Bulan Ke]]</f>
        <v>24</v>
      </c>
    </row>
    <row r="43" spans="1:97" x14ac:dyDescent="0.3">
      <c r="A43" s="16">
        <v>25</v>
      </c>
      <c r="B43" s="17"/>
      <c r="C43" s="17" t="s">
        <v>233</v>
      </c>
      <c r="D43" s="16" t="s">
        <v>234</v>
      </c>
      <c r="E43" s="37">
        <v>444325</v>
      </c>
      <c r="F43" s="37">
        <v>0</v>
      </c>
      <c r="G43" s="37">
        <v>0</v>
      </c>
      <c r="H43" s="40">
        <f>SUM(Upaya_Debitur[[#This Row],[Kewajiban Pokok]:[Kewajiban Denda]])</f>
        <v>444325</v>
      </c>
      <c r="I43" s="37"/>
      <c r="J43" s="40">
        <f>IF(ISNUMBER(Upaya_Debitur[[#This Row],[Angsuran Sesuai PK]]),Upaya_Debitur[[#This Row],[Angsuran Sesuai PK]],1)</f>
        <v>1</v>
      </c>
      <c r="K43" s="76"/>
      <c r="L43" s="16" t="s">
        <v>37</v>
      </c>
      <c r="N43" s="18"/>
      <c r="O43" s="76"/>
      <c r="P43" s="37"/>
      <c r="Q43" s="41"/>
      <c r="R43" s="37"/>
      <c r="S43" s="40">
        <f>IF(Upaya_Debitur[[#This Row],[Periode Haircut]]="",0,IF(Upaya_Debitur[[#This Row],[Periode Haircut]]&lt;=$B$6,Upaya_Debitur[[#This Row],[Haircut]],0))</f>
        <v>0</v>
      </c>
      <c r="T43" s="40">
        <f>IF($B$10="",0,IF($B$10&lt;=$B$6,Upaya_Debitur[[#This Row],[Set Off]],0))</f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  <c r="AH43" s="37">
        <v>0</v>
      </c>
      <c r="AI43" s="37">
        <v>0</v>
      </c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40">
        <f ca="1">SUM(OFFSET(Upaya_Debitur[[#This Row],[Haircut Diperhitungkan]],0,0,1,$B$7+2))</f>
        <v>0</v>
      </c>
      <c r="BR43" s="35" t="str">
        <f ca="1">IF(Upaya_Debitur[[#This Row],[Total Pencairan]]&gt;=Upaya_Debitur[[#This Row],[Kewajiban Total]],"Lunas","Belum Lunas")</f>
        <v>Belum Lunas</v>
      </c>
      <c r="BS43" s="35" t="str">
        <f t="shared" si="3"/>
        <v>Ya</v>
      </c>
      <c r="BT43" s="35" t="str">
        <f t="shared" si="4"/>
        <v>Ya</v>
      </c>
      <c r="BU4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4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4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43" s="35" t="str">
        <f>IF(Upaya_Debitur[[#This Row],[Kondisi Debitur]]="Tidak ditemukan","Ya","Tidak")</f>
        <v>Ya</v>
      </c>
      <c r="BY4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4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4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43" s="18">
        <v>43781</v>
      </c>
      <c r="CC43" s="18">
        <v>43999</v>
      </c>
      <c r="CD43" s="18">
        <v>43826</v>
      </c>
      <c r="CE43" s="18">
        <v>43871</v>
      </c>
      <c r="CF43" s="18">
        <v>43887</v>
      </c>
      <c r="CG43" s="18">
        <v>44035</v>
      </c>
      <c r="CH43" s="18">
        <v>44057</v>
      </c>
      <c r="CI43" s="18">
        <v>44077</v>
      </c>
      <c r="CJ43" s="18"/>
      <c r="CK43" s="35">
        <f ca="1">COUNTIF(Upaya_Debitur[[#This Row],[Surat Pemberitahuan?]:[Gugatan Sederhana?]],"Ya")</f>
        <v>8</v>
      </c>
      <c r="CL43" s="35">
        <f ca="1">Upaya_Debitur[[#This Row],[Target Upaya]]-COUNTIFS(Upaya_Debitur[[#This Row],[Surat Pemberitahuan?]:[Gugatan Sederhana?]],"Ya",Upaya_Debitur[[#This Row],[Surat Pemberitahuan]:[Gugatan Sederhana]],"")</f>
        <v>8</v>
      </c>
      <c r="CM43" s="36">
        <f ca="1">IF(ISNUMBER(Upaya_Debitur[[#This Row],[Realisasi]]/Upaya_Debitur[[#This Row],[Target Upaya]]),Upaya_Debitur[[#This Row],[Realisasi]]/Upaya_Debitur[[#This Row],[Target Upaya]],1)</f>
        <v>1</v>
      </c>
      <c r="CQ43">
        <v>25</v>
      </c>
      <c r="CR43" s="2">
        <f t="shared" si="2"/>
        <v>44500</v>
      </c>
      <c r="CS43" s="48">
        <f>Periode[[#This Row],[Bulan Ke]]</f>
        <v>25</v>
      </c>
    </row>
    <row r="44" spans="1:97" x14ac:dyDescent="0.3">
      <c r="A44" s="16">
        <v>26</v>
      </c>
      <c r="B44" s="17"/>
      <c r="C44" s="17" t="s">
        <v>235</v>
      </c>
      <c r="D44" s="16" t="s">
        <v>236</v>
      </c>
      <c r="E44" s="37">
        <v>2595553</v>
      </c>
      <c r="F44" s="37">
        <v>0</v>
      </c>
      <c r="G44" s="37">
        <v>0</v>
      </c>
      <c r="H44" s="40">
        <f>SUM(Upaya_Debitur[[#This Row],[Kewajiban Pokok]:[Kewajiban Denda]])</f>
        <v>2595553</v>
      </c>
      <c r="I44" s="37"/>
      <c r="J44" s="40">
        <f>IF(ISNUMBER(Upaya_Debitur[[#This Row],[Angsuran Sesuai PK]]),Upaya_Debitur[[#This Row],[Angsuran Sesuai PK]],1)</f>
        <v>1</v>
      </c>
      <c r="K44" s="76"/>
      <c r="L44" s="16" t="s">
        <v>83</v>
      </c>
      <c r="N44" s="18"/>
      <c r="O44" s="76"/>
      <c r="P44" s="37"/>
      <c r="Q44" s="41"/>
      <c r="R44" s="37"/>
      <c r="S44" s="40">
        <f>IF(Upaya_Debitur[[#This Row],[Periode Haircut]]="",0,IF(Upaya_Debitur[[#This Row],[Periode Haircut]]&lt;=$B$6,Upaya_Debitur[[#This Row],[Haircut]],0))</f>
        <v>0</v>
      </c>
      <c r="T44" s="40">
        <f>IF($B$10="",0,IF($B$10&lt;=$B$6,Upaya_Debitur[[#This Row],[Set Off]],0))</f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  <c r="AH44" s="37">
        <v>0</v>
      </c>
      <c r="AI44" s="37">
        <v>0</v>
      </c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40">
        <f ca="1">SUM(OFFSET(Upaya_Debitur[[#This Row],[Haircut Diperhitungkan]],0,0,1,$B$7+2))</f>
        <v>0</v>
      </c>
      <c r="BR44" s="35" t="str">
        <f ca="1">IF(Upaya_Debitur[[#This Row],[Total Pencairan]]&gt;=Upaya_Debitur[[#This Row],[Kewajiban Total]],"Lunas","Belum Lunas")</f>
        <v>Belum Lunas</v>
      </c>
      <c r="BS44" s="35" t="str">
        <f t="shared" si="3"/>
        <v>Ya</v>
      </c>
      <c r="BT44" s="35" t="str">
        <f t="shared" si="4"/>
        <v>Ya</v>
      </c>
      <c r="BU4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4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4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44" s="35" t="str">
        <f>IF(Upaya_Debitur[[#This Row],[Kondisi Debitur]]="Tidak ditemukan","Ya","Tidak")</f>
        <v>Tidak</v>
      </c>
      <c r="BY4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4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4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44" s="18">
        <v>43781</v>
      </c>
      <c r="CC44" s="18">
        <v>43999</v>
      </c>
      <c r="CD44" s="18">
        <v>43826</v>
      </c>
      <c r="CE44" s="18">
        <v>43871</v>
      </c>
      <c r="CF44" s="18">
        <v>43887</v>
      </c>
      <c r="CG44" s="18">
        <v>43888</v>
      </c>
      <c r="CH44" s="18">
        <v>44057</v>
      </c>
      <c r="CI44" s="18">
        <v>44077</v>
      </c>
      <c r="CJ44" s="18"/>
      <c r="CK44" s="35">
        <f ca="1">COUNTIF(Upaya_Debitur[[#This Row],[Surat Pemberitahuan?]:[Gugatan Sederhana?]],"Ya")</f>
        <v>7</v>
      </c>
      <c r="CL44" s="35">
        <f ca="1">Upaya_Debitur[[#This Row],[Target Upaya]]-COUNTIFS(Upaya_Debitur[[#This Row],[Surat Pemberitahuan?]:[Gugatan Sederhana?]],"Ya",Upaya_Debitur[[#This Row],[Surat Pemberitahuan]:[Gugatan Sederhana]],"")</f>
        <v>7</v>
      </c>
      <c r="CM44" s="36">
        <f ca="1">IF(ISNUMBER(Upaya_Debitur[[#This Row],[Realisasi]]/Upaya_Debitur[[#This Row],[Target Upaya]]),Upaya_Debitur[[#This Row],[Realisasi]]/Upaya_Debitur[[#This Row],[Target Upaya]],1)</f>
        <v>1</v>
      </c>
      <c r="CQ44">
        <v>26</v>
      </c>
      <c r="CR44" s="2">
        <f t="shared" si="2"/>
        <v>44530</v>
      </c>
      <c r="CS44" s="48">
        <f>Periode[[#This Row],[Bulan Ke]]</f>
        <v>26</v>
      </c>
    </row>
    <row r="45" spans="1:97" x14ac:dyDescent="0.3">
      <c r="A45" s="16">
        <v>27</v>
      </c>
      <c r="B45" s="17"/>
      <c r="C45" s="17" t="s">
        <v>237</v>
      </c>
      <c r="D45" s="16" t="s">
        <v>238</v>
      </c>
      <c r="E45" s="37">
        <v>2800000</v>
      </c>
      <c r="F45" s="37">
        <v>0</v>
      </c>
      <c r="G45" s="37">
        <v>0</v>
      </c>
      <c r="H45" s="40">
        <f>SUM(Upaya_Debitur[[#This Row],[Kewajiban Pokok]:[Kewajiban Denda]])</f>
        <v>2800000</v>
      </c>
      <c r="I45" s="37"/>
      <c r="J45" s="40">
        <f>IF(ISNUMBER(Upaya_Debitur[[#This Row],[Angsuran Sesuai PK]]),Upaya_Debitur[[#This Row],[Angsuran Sesuai PK]],1)</f>
        <v>1</v>
      </c>
      <c r="K45" s="76"/>
      <c r="L45" s="16" t="s">
        <v>83</v>
      </c>
      <c r="N45" s="18"/>
      <c r="O45" s="76"/>
      <c r="P45" s="37"/>
      <c r="Q45" s="41"/>
      <c r="R45" s="37"/>
      <c r="S45" s="40">
        <f>IF(Upaya_Debitur[[#This Row],[Periode Haircut]]="",0,IF(Upaya_Debitur[[#This Row],[Periode Haircut]]&lt;=$B$6,Upaya_Debitur[[#This Row],[Haircut]],0))</f>
        <v>0</v>
      </c>
      <c r="T45" s="40">
        <f>IF($B$10="",0,IF($B$10&lt;=$B$6,Upaya_Debitur[[#This Row],[Set Off]],0))</f>
        <v>0</v>
      </c>
      <c r="U45" s="37">
        <v>0</v>
      </c>
      <c r="V45" s="37">
        <v>0</v>
      </c>
      <c r="W45" s="37">
        <v>0</v>
      </c>
      <c r="X45" s="37">
        <v>0</v>
      </c>
      <c r="Y45" s="37">
        <v>2800000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v>0</v>
      </c>
      <c r="AG45" s="37">
        <v>0</v>
      </c>
      <c r="AH45" s="37">
        <v>0</v>
      </c>
      <c r="AI45" s="37">
        <v>0</v>
      </c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40">
        <f ca="1">SUM(OFFSET(Upaya_Debitur[[#This Row],[Haircut Diperhitungkan]],0,0,1,$B$7+2))</f>
        <v>2800000</v>
      </c>
      <c r="BR45" s="35" t="str">
        <f ca="1">IF(Upaya_Debitur[[#This Row],[Total Pencairan]]&gt;=Upaya_Debitur[[#This Row],[Kewajiban Total]],"Lunas","Belum Lunas")</f>
        <v>Lunas</v>
      </c>
      <c r="BS45" s="35" t="str">
        <f t="shared" si="3"/>
        <v>Ya</v>
      </c>
      <c r="BT45" s="35" t="str">
        <f t="shared" si="4"/>
        <v>Ya</v>
      </c>
      <c r="BU4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4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4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45" s="35" t="str">
        <f>IF(Upaya_Debitur[[#This Row],[Kondisi Debitur]]="Tidak ditemukan","Ya","Tidak")</f>
        <v>Tidak</v>
      </c>
      <c r="BY4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4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4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45" s="18">
        <v>43781</v>
      </c>
      <c r="CC45" s="18">
        <v>43999</v>
      </c>
      <c r="CD45" s="18">
        <v>43826</v>
      </c>
      <c r="CE45" s="18"/>
      <c r="CF45" s="18"/>
      <c r="CG45" s="18"/>
      <c r="CH45" s="18">
        <v>44057</v>
      </c>
      <c r="CI45" s="18">
        <v>44077</v>
      </c>
      <c r="CJ45" s="18"/>
      <c r="CK45" s="35">
        <f ca="1">COUNTIF(Upaya_Debitur[[#This Row],[Surat Pemberitahuan?]:[Gugatan Sederhana?]],"Ya")</f>
        <v>2</v>
      </c>
      <c r="CL45" s="35">
        <f ca="1">Upaya_Debitur[[#This Row],[Target Upaya]]-COUNTIFS(Upaya_Debitur[[#This Row],[Surat Pemberitahuan?]:[Gugatan Sederhana?]],"Ya",Upaya_Debitur[[#This Row],[Surat Pemberitahuan]:[Gugatan Sederhana]],"")</f>
        <v>2</v>
      </c>
      <c r="CM45" s="36">
        <f ca="1">IF(ISNUMBER(Upaya_Debitur[[#This Row],[Realisasi]]/Upaya_Debitur[[#This Row],[Target Upaya]]),Upaya_Debitur[[#This Row],[Realisasi]]/Upaya_Debitur[[#This Row],[Target Upaya]],1)</f>
        <v>1</v>
      </c>
      <c r="CQ45">
        <v>27</v>
      </c>
      <c r="CR45" s="2">
        <f t="shared" si="2"/>
        <v>44561</v>
      </c>
      <c r="CS45" s="48">
        <f>Periode[[#This Row],[Bulan Ke]]</f>
        <v>27</v>
      </c>
    </row>
    <row r="46" spans="1:97" x14ac:dyDescent="0.3">
      <c r="A46" s="16">
        <v>28</v>
      </c>
      <c r="B46" s="17"/>
      <c r="C46" s="17" t="s">
        <v>239</v>
      </c>
      <c r="D46" s="16" t="s">
        <v>240</v>
      </c>
      <c r="E46" s="37">
        <v>140000</v>
      </c>
      <c r="F46" s="37">
        <v>0</v>
      </c>
      <c r="G46" s="37">
        <v>0</v>
      </c>
      <c r="H46" s="40">
        <f>SUM(Upaya_Debitur[[#This Row],[Kewajiban Pokok]:[Kewajiban Denda]])</f>
        <v>140000</v>
      </c>
      <c r="I46" s="37"/>
      <c r="J46" s="40">
        <f>IF(ISNUMBER(Upaya_Debitur[[#This Row],[Angsuran Sesuai PK]]),Upaya_Debitur[[#This Row],[Angsuran Sesuai PK]],1)</f>
        <v>1</v>
      </c>
      <c r="K46" s="76"/>
      <c r="L46" s="16" t="s">
        <v>37</v>
      </c>
      <c r="N46" s="18"/>
      <c r="O46" s="76"/>
      <c r="P46" s="37"/>
      <c r="Q46" s="41"/>
      <c r="R46" s="37"/>
      <c r="S46" s="40">
        <f>IF(Upaya_Debitur[[#This Row],[Periode Haircut]]="",0,IF(Upaya_Debitur[[#This Row],[Periode Haircut]]&lt;=$B$6,Upaya_Debitur[[#This Row],[Haircut]],0))</f>
        <v>0</v>
      </c>
      <c r="T46" s="40">
        <f>IF($B$10="",0,IF($B$10&lt;=$B$6,Upaya_Debitur[[#This Row],[Set Off]],0))</f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v>0</v>
      </c>
      <c r="AA46" s="37">
        <v>0</v>
      </c>
      <c r="AB46" s="37">
        <v>0</v>
      </c>
      <c r="AC46" s="37">
        <v>0</v>
      </c>
      <c r="AD46" s="37">
        <v>0</v>
      </c>
      <c r="AE46" s="37">
        <v>0</v>
      </c>
      <c r="AF46" s="37">
        <v>0</v>
      </c>
      <c r="AG46" s="37">
        <v>0</v>
      </c>
      <c r="AH46" s="37">
        <v>0</v>
      </c>
      <c r="AI46" s="37">
        <v>0</v>
      </c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40">
        <f ca="1">SUM(OFFSET(Upaya_Debitur[[#This Row],[Haircut Diperhitungkan]],0,0,1,$B$7+2))</f>
        <v>0</v>
      </c>
      <c r="BR46" s="35" t="str">
        <f ca="1">IF(Upaya_Debitur[[#This Row],[Total Pencairan]]&gt;=Upaya_Debitur[[#This Row],[Kewajiban Total]],"Lunas","Belum Lunas")</f>
        <v>Belum Lunas</v>
      </c>
      <c r="BS46" s="35" t="str">
        <f t="shared" si="3"/>
        <v>Ya</v>
      </c>
      <c r="BT46" s="35" t="str">
        <f t="shared" si="4"/>
        <v>Ya</v>
      </c>
      <c r="BU4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4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4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46" s="35" t="str">
        <f>IF(Upaya_Debitur[[#This Row],[Kondisi Debitur]]="Tidak ditemukan","Ya","Tidak")</f>
        <v>Ya</v>
      </c>
      <c r="BY4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4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4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46" s="18">
        <v>43781</v>
      </c>
      <c r="CC46" s="18">
        <v>43999</v>
      </c>
      <c r="CD46" s="18">
        <v>43826</v>
      </c>
      <c r="CE46" s="18">
        <v>43871</v>
      </c>
      <c r="CF46" s="18">
        <v>43887</v>
      </c>
      <c r="CG46" s="18">
        <v>44035</v>
      </c>
      <c r="CH46" s="18">
        <v>44057</v>
      </c>
      <c r="CI46" s="18">
        <v>44077</v>
      </c>
      <c r="CJ46" s="18"/>
      <c r="CK46" s="35">
        <f ca="1">COUNTIF(Upaya_Debitur[[#This Row],[Surat Pemberitahuan?]:[Gugatan Sederhana?]],"Ya")</f>
        <v>8</v>
      </c>
      <c r="CL46" s="35">
        <f ca="1">Upaya_Debitur[[#This Row],[Target Upaya]]-COUNTIFS(Upaya_Debitur[[#This Row],[Surat Pemberitahuan?]:[Gugatan Sederhana?]],"Ya",Upaya_Debitur[[#This Row],[Surat Pemberitahuan]:[Gugatan Sederhana]],"")</f>
        <v>8</v>
      </c>
      <c r="CM46" s="36">
        <f ca="1">IF(ISNUMBER(Upaya_Debitur[[#This Row],[Realisasi]]/Upaya_Debitur[[#This Row],[Target Upaya]]),Upaya_Debitur[[#This Row],[Realisasi]]/Upaya_Debitur[[#This Row],[Target Upaya]],1)</f>
        <v>1</v>
      </c>
      <c r="CQ46">
        <v>28</v>
      </c>
      <c r="CR46" s="2">
        <f t="shared" si="2"/>
        <v>44592</v>
      </c>
      <c r="CS46" s="48">
        <f>Periode[[#This Row],[Bulan Ke]]</f>
        <v>28</v>
      </c>
    </row>
    <row r="47" spans="1:97" x14ac:dyDescent="0.3">
      <c r="A47" s="16">
        <v>29</v>
      </c>
      <c r="B47" s="17"/>
      <c r="C47" s="17" t="s">
        <v>241</v>
      </c>
      <c r="D47" s="16" t="s">
        <v>242</v>
      </c>
      <c r="E47" s="37">
        <v>16716913</v>
      </c>
      <c r="F47" s="37">
        <v>0</v>
      </c>
      <c r="G47" s="37">
        <v>0</v>
      </c>
      <c r="H47" s="40">
        <f>SUM(Upaya_Debitur[[#This Row],[Kewajiban Pokok]:[Kewajiban Denda]])</f>
        <v>16716913</v>
      </c>
      <c r="I47" s="37"/>
      <c r="J47" s="40">
        <f>IF(ISNUMBER(Upaya_Debitur[[#This Row],[Angsuran Sesuai PK]]),Upaya_Debitur[[#This Row],[Angsuran Sesuai PK]],1)</f>
        <v>1</v>
      </c>
      <c r="K47" s="76"/>
      <c r="L47" s="16" t="s">
        <v>83</v>
      </c>
      <c r="N47" s="18"/>
      <c r="O47" s="76"/>
      <c r="P47" s="37"/>
      <c r="Q47" s="41"/>
      <c r="R47" s="37"/>
      <c r="S47" s="40">
        <f>IF(Upaya_Debitur[[#This Row],[Periode Haircut]]="",0,IF(Upaya_Debitur[[#This Row],[Periode Haircut]]&lt;=$B$6,Upaya_Debitur[[#This Row],[Haircut]],0))</f>
        <v>0</v>
      </c>
      <c r="T47" s="40">
        <f>IF($B$10="",0,IF($B$10&lt;=$B$6,Upaya_Debitur[[#This Row],[Set Off]],0))</f>
        <v>0</v>
      </c>
      <c r="U47" s="37">
        <v>0</v>
      </c>
      <c r="V47" s="37">
        <v>0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  <c r="AD47" s="37">
        <v>0</v>
      </c>
      <c r="AE47" s="37">
        <v>0</v>
      </c>
      <c r="AF47" s="37">
        <v>0</v>
      </c>
      <c r="AG47" s="37">
        <v>0</v>
      </c>
      <c r="AH47" s="37">
        <v>0</v>
      </c>
      <c r="AI47" s="37">
        <v>0</v>
      </c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40">
        <f ca="1">SUM(OFFSET(Upaya_Debitur[[#This Row],[Haircut Diperhitungkan]],0,0,1,$B$7+2))</f>
        <v>0</v>
      </c>
      <c r="BR47" s="35" t="str">
        <f ca="1">IF(Upaya_Debitur[[#This Row],[Total Pencairan]]&gt;=Upaya_Debitur[[#This Row],[Kewajiban Total]],"Lunas","Belum Lunas")</f>
        <v>Belum Lunas</v>
      </c>
      <c r="BS47" s="35" t="str">
        <f t="shared" si="3"/>
        <v>Ya</v>
      </c>
      <c r="BT47" s="35" t="str">
        <f t="shared" si="4"/>
        <v>Ya</v>
      </c>
      <c r="BU4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4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4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47" s="35" t="str">
        <f>IF(Upaya_Debitur[[#This Row],[Kondisi Debitur]]="Tidak ditemukan","Ya","Tidak")</f>
        <v>Tidak</v>
      </c>
      <c r="BY4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4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4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47" s="18">
        <v>43781</v>
      </c>
      <c r="CC47" s="18">
        <v>43999</v>
      </c>
      <c r="CD47" s="18">
        <v>43826</v>
      </c>
      <c r="CE47" s="18">
        <v>43871</v>
      </c>
      <c r="CF47" s="18">
        <v>43887</v>
      </c>
      <c r="CG47" s="18">
        <v>43888</v>
      </c>
      <c r="CH47" s="18">
        <v>44057</v>
      </c>
      <c r="CI47" s="18">
        <v>44077</v>
      </c>
      <c r="CJ47" s="18"/>
      <c r="CK47" s="35">
        <f ca="1">COUNTIF(Upaya_Debitur[[#This Row],[Surat Pemberitahuan?]:[Gugatan Sederhana?]],"Ya")</f>
        <v>7</v>
      </c>
      <c r="CL47" s="35">
        <f ca="1">Upaya_Debitur[[#This Row],[Target Upaya]]-COUNTIFS(Upaya_Debitur[[#This Row],[Surat Pemberitahuan?]:[Gugatan Sederhana?]],"Ya",Upaya_Debitur[[#This Row],[Surat Pemberitahuan]:[Gugatan Sederhana]],"")</f>
        <v>7</v>
      </c>
      <c r="CM47" s="36">
        <f ca="1">IF(ISNUMBER(Upaya_Debitur[[#This Row],[Realisasi]]/Upaya_Debitur[[#This Row],[Target Upaya]]),Upaya_Debitur[[#This Row],[Realisasi]]/Upaya_Debitur[[#This Row],[Target Upaya]],1)</f>
        <v>1</v>
      </c>
      <c r="CQ47">
        <v>29</v>
      </c>
      <c r="CR47" s="2">
        <f t="shared" si="2"/>
        <v>44620</v>
      </c>
      <c r="CS47" s="48">
        <f>Periode[[#This Row],[Bulan Ke]]</f>
        <v>29</v>
      </c>
    </row>
    <row r="48" spans="1:97" x14ac:dyDescent="0.3">
      <c r="A48" s="16">
        <v>30</v>
      </c>
      <c r="B48" s="17"/>
      <c r="C48" s="17" t="s">
        <v>243</v>
      </c>
      <c r="D48" s="16" t="s">
        <v>244</v>
      </c>
      <c r="E48" s="37">
        <v>4120000</v>
      </c>
      <c r="F48" s="37">
        <v>0</v>
      </c>
      <c r="G48" s="37">
        <v>0</v>
      </c>
      <c r="H48" s="40">
        <f>SUM(Upaya_Debitur[[#This Row],[Kewajiban Pokok]:[Kewajiban Denda]])</f>
        <v>4120000</v>
      </c>
      <c r="I48" s="37"/>
      <c r="J48" s="40">
        <f>IF(ISNUMBER(Upaya_Debitur[[#This Row],[Angsuran Sesuai PK]]),Upaya_Debitur[[#This Row],[Angsuran Sesuai PK]],1)</f>
        <v>1</v>
      </c>
      <c r="K48" s="76"/>
      <c r="L48" s="16" t="s">
        <v>37</v>
      </c>
      <c r="N48" s="18"/>
      <c r="O48" s="76"/>
      <c r="P48" s="37"/>
      <c r="Q48" s="41"/>
      <c r="R48" s="37"/>
      <c r="S48" s="40">
        <f>IF(Upaya_Debitur[[#This Row],[Periode Haircut]]="",0,IF(Upaya_Debitur[[#This Row],[Periode Haircut]]&lt;=$B$6,Upaya_Debitur[[#This Row],[Haircut]],0))</f>
        <v>0</v>
      </c>
      <c r="T48" s="40">
        <f>IF($B$10="",0,IF($B$10&lt;=$B$6,Upaya_Debitur[[#This Row],[Set Off]],0))</f>
        <v>0</v>
      </c>
      <c r="U48" s="37">
        <v>0</v>
      </c>
      <c r="V48" s="37">
        <v>0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  <c r="AD48" s="37">
        <v>0</v>
      </c>
      <c r="AE48" s="37">
        <v>0</v>
      </c>
      <c r="AF48" s="37">
        <v>0</v>
      </c>
      <c r="AG48" s="37">
        <v>0</v>
      </c>
      <c r="AH48" s="37">
        <v>0</v>
      </c>
      <c r="AI48" s="37">
        <v>0</v>
      </c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40">
        <f ca="1">SUM(OFFSET(Upaya_Debitur[[#This Row],[Haircut Diperhitungkan]],0,0,1,$B$7+2))</f>
        <v>0</v>
      </c>
      <c r="BR48" s="35" t="str">
        <f ca="1">IF(Upaya_Debitur[[#This Row],[Total Pencairan]]&gt;=Upaya_Debitur[[#This Row],[Kewajiban Total]],"Lunas","Belum Lunas")</f>
        <v>Belum Lunas</v>
      </c>
      <c r="BS48" s="35" t="str">
        <f t="shared" si="3"/>
        <v>Ya</v>
      </c>
      <c r="BT48" s="35" t="str">
        <f t="shared" si="4"/>
        <v>Ya</v>
      </c>
      <c r="BU4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4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4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48" s="35" t="str">
        <f>IF(Upaya_Debitur[[#This Row],[Kondisi Debitur]]="Tidak ditemukan","Ya","Tidak")</f>
        <v>Ya</v>
      </c>
      <c r="BY4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4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4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48" s="18">
        <v>43781</v>
      </c>
      <c r="CC48" s="18">
        <v>43999</v>
      </c>
      <c r="CD48" s="18">
        <v>43826</v>
      </c>
      <c r="CE48" s="18">
        <v>43871</v>
      </c>
      <c r="CF48" s="18">
        <v>43887</v>
      </c>
      <c r="CG48" s="18">
        <v>43888</v>
      </c>
      <c r="CH48" s="18">
        <v>44057</v>
      </c>
      <c r="CI48" s="18">
        <v>44077</v>
      </c>
      <c r="CJ48" s="18"/>
      <c r="CK48" s="35">
        <f ca="1">COUNTIF(Upaya_Debitur[[#This Row],[Surat Pemberitahuan?]:[Gugatan Sederhana?]],"Ya")</f>
        <v>8</v>
      </c>
      <c r="CL48" s="35">
        <f ca="1">Upaya_Debitur[[#This Row],[Target Upaya]]-COUNTIFS(Upaya_Debitur[[#This Row],[Surat Pemberitahuan?]:[Gugatan Sederhana?]],"Ya",Upaya_Debitur[[#This Row],[Surat Pemberitahuan]:[Gugatan Sederhana]],"")</f>
        <v>8</v>
      </c>
      <c r="CM48" s="36">
        <f ca="1">IF(ISNUMBER(Upaya_Debitur[[#This Row],[Realisasi]]/Upaya_Debitur[[#This Row],[Target Upaya]]),Upaya_Debitur[[#This Row],[Realisasi]]/Upaya_Debitur[[#This Row],[Target Upaya]],1)</f>
        <v>1</v>
      </c>
      <c r="CQ48">
        <v>30</v>
      </c>
      <c r="CR48" s="2">
        <f t="shared" si="2"/>
        <v>44651</v>
      </c>
      <c r="CS48" s="48">
        <f>Periode[[#This Row],[Bulan Ke]]</f>
        <v>30</v>
      </c>
    </row>
    <row r="49" spans="1:97" x14ac:dyDescent="0.3">
      <c r="A49" s="16">
        <v>31</v>
      </c>
      <c r="B49" s="17"/>
      <c r="C49" s="17" t="s">
        <v>245</v>
      </c>
      <c r="D49" s="16" t="s">
        <v>246</v>
      </c>
      <c r="E49" s="37">
        <v>500000</v>
      </c>
      <c r="F49" s="37">
        <v>0</v>
      </c>
      <c r="G49" s="37">
        <v>0</v>
      </c>
      <c r="H49" s="40">
        <f>SUM(Upaya_Debitur[[#This Row],[Kewajiban Pokok]:[Kewajiban Denda]])</f>
        <v>500000</v>
      </c>
      <c r="I49" s="37"/>
      <c r="J49" s="40">
        <f>IF(ISNUMBER(Upaya_Debitur[[#This Row],[Angsuran Sesuai PK]]),Upaya_Debitur[[#This Row],[Angsuran Sesuai PK]],1)</f>
        <v>1</v>
      </c>
      <c r="K49" s="76"/>
      <c r="L49" s="16" t="s">
        <v>37</v>
      </c>
      <c r="N49" s="18"/>
      <c r="O49" s="76"/>
      <c r="P49" s="37"/>
      <c r="Q49" s="41"/>
      <c r="R49" s="37"/>
      <c r="S49" s="40">
        <f>IF(Upaya_Debitur[[#This Row],[Periode Haircut]]="",0,IF(Upaya_Debitur[[#This Row],[Periode Haircut]]&lt;=$B$6,Upaya_Debitur[[#This Row],[Haircut]],0))</f>
        <v>0</v>
      </c>
      <c r="T49" s="40">
        <f>IF($B$10="",0,IF($B$10&lt;=$B$6,Upaya_Debitur[[#This Row],[Set Off]],0))</f>
        <v>0</v>
      </c>
      <c r="U49" s="37">
        <v>0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  <c r="AD49" s="37">
        <v>0</v>
      </c>
      <c r="AE49" s="37">
        <v>0</v>
      </c>
      <c r="AF49" s="37">
        <v>0</v>
      </c>
      <c r="AG49" s="37">
        <v>0</v>
      </c>
      <c r="AH49" s="37">
        <v>0</v>
      </c>
      <c r="AI49" s="37">
        <v>0</v>
      </c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40">
        <f ca="1">SUM(OFFSET(Upaya_Debitur[[#This Row],[Haircut Diperhitungkan]],0,0,1,$B$7+2))</f>
        <v>0</v>
      </c>
      <c r="BR49" s="35" t="str">
        <f ca="1">IF(Upaya_Debitur[[#This Row],[Total Pencairan]]&gt;=Upaya_Debitur[[#This Row],[Kewajiban Total]],"Lunas","Belum Lunas")</f>
        <v>Belum Lunas</v>
      </c>
      <c r="BS49" s="35" t="str">
        <f t="shared" si="3"/>
        <v>Ya</v>
      </c>
      <c r="BT49" s="35" t="str">
        <f t="shared" si="4"/>
        <v>Ya</v>
      </c>
      <c r="BU4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4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4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49" s="35" t="str">
        <f>IF(Upaya_Debitur[[#This Row],[Kondisi Debitur]]="Tidak ditemukan","Ya","Tidak")</f>
        <v>Ya</v>
      </c>
      <c r="BY4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4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4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49" s="18">
        <v>43781</v>
      </c>
      <c r="CC49" s="18">
        <v>43999</v>
      </c>
      <c r="CD49" s="18">
        <v>43826</v>
      </c>
      <c r="CE49" s="18">
        <v>43871</v>
      </c>
      <c r="CF49" s="18">
        <v>43887</v>
      </c>
      <c r="CG49" s="18">
        <v>43888</v>
      </c>
      <c r="CH49" s="18">
        <v>44057</v>
      </c>
      <c r="CI49" s="18">
        <v>44077</v>
      </c>
      <c r="CJ49" s="18"/>
      <c r="CK49" s="35">
        <f ca="1">COUNTIF(Upaya_Debitur[[#This Row],[Surat Pemberitahuan?]:[Gugatan Sederhana?]],"Ya")</f>
        <v>8</v>
      </c>
      <c r="CL49" s="35">
        <f ca="1">Upaya_Debitur[[#This Row],[Target Upaya]]-COUNTIFS(Upaya_Debitur[[#This Row],[Surat Pemberitahuan?]:[Gugatan Sederhana?]],"Ya",Upaya_Debitur[[#This Row],[Surat Pemberitahuan]:[Gugatan Sederhana]],"")</f>
        <v>8</v>
      </c>
      <c r="CM49" s="36">
        <f ca="1">IF(ISNUMBER(Upaya_Debitur[[#This Row],[Realisasi]]/Upaya_Debitur[[#This Row],[Target Upaya]]),Upaya_Debitur[[#This Row],[Realisasi]]/Upaya_Debitur[[#This Row],[Target Upaya]],1)</f>
        <v>1</v>
      </c>
      <c r="CQ49">
        <v>31</v>
      </c>
      <c r="CR49" s="2">
        <f t="shared" si="2"/>
        <v>44681</v>
      </c>
      <c r="CS49" s="48">
        <f>Periode[[#This Row],[Bulan Ke]]</f>
        <v>31</v>
      </c>
    </row>
    <row r="50" spans="1:97" x14ac:dyDescent="0.3">
      <c r="A50" s="16">
        <v>32</v>
      </c>
      <c r="B50" s="17"/>
      <c r="C50" s="17" t="s">
        <v>247</v>
      </c>
      <c r="D50" s="16" t="s">
        <v>248</v>
      </c>
      <c r="E50" s="37">
        <v>1522595</v>
      </c>
      <c r="F50" s="37">
        <v>0</v>
      </c>
      <c r="G50" s="37">
        <v>0</v>
      </c>
      <c r="H50" s="40">
        <f>SUM(Upaya_Debitur[[#This Row],[Kewajiban Pokok]:[Kewajiban Denda]])</f>
        <v>1522595</v>
      </c>
      <c r="I50" s="37"/>
      <c r="J50" s="40">
        <f>IF(ISNUMBER(Upaya_Debitur[[#This Row],[Angsuran Sesuai PK]]),Upaya_Debitur[[#This Row],[Angsuran Sesuai PK]],1)</f>
        <v>1</v>
      </c>
      <c r="K50" s="76"/>
      <c r="L50" s="16" t="s">
        <v>37</v>
      </c>
      <c r="N50" s="18"/>
      <c r="O50" s="76"/>
      <c r="P50" s="37"/>
      <c r="Q50" s="41"/>
      <c r="R50" s="37"/>
      <c r="S50" s="40">
        <f>IF(Upaya_Debitur[[#This Row],[Periode Haircut]]="",0,IF(Upaya_Debitur[[#This Row],[Periode Haircut]]&lt;=$B$6,Upaya_Debitur[[#This Row],[Haircut]],0))</f>
        <v>0</v>
      </c>
      <c r="T50" s="40">
        <f>IF($B$10="",0,IF($B$10&lt;=$B$6,Upaya_Debitur[[#This Row],[Set Off]],0))</f>
        <v>0</v>
      </c>
      <c r="U50" s="37">
        <v>0</v>
      </c>
      <c r="V50" s="37">
        <v>0</v>
      </c>
      <c r="W50" s="37">
        <v>0</v>
      </c>
      <c r="X50" s="37">
        <v>0</v>
      </c>
      <c r="Y50" s="37">
        <v>0</v>
      </c>
      <c r="Z50" s="37">
        <v>0</v>
      </c>
      <c r="AA50" s="37">
        <v>0</v>
      </c>
      <c r="AB50" s="37">
        <v>0</v>
      </c>
      <c r="AC50" s="37">
        <v>0</v>
      </c>
      <c r="AD50" s="37">
        <v>0</v>
      </c>
      <c r="AE50" s="37">
        <v>0</v>
      </c>
      <c r="AF50" s="37">
        <v>0</v>
      </c>
      <c r="AG50" s="37">
        <v>0</v>
      </c>
      <c r="AH50" s="37">
        <v>0</v>
      </c>
      <c r="AI50" s="37">
        <v>0</v>
      </c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40">
        <f ca="1">SUM(OFFSET(Upaya_Debitur[[#This Row],[Haircut Diperhitungkan]],0,0,1,$B$7+2))</f>
        <v>0</v>
      </c>
      <c r="BR50" s="35" t="str">
        <f ca="1">IF(Upaya_Debitur[[#This Row],[Total Pencairan]]&gt;=Upaya_Debitur[[#This Row],[Kewajiban Total]],"Lunas","Belum Lunas")</f>
        <v>Belum Lunas</v>
      </c>
      <c r="BS50" s="35" t="str">
        <f t="shared" si="3"/>
        <v>Ya</v>
      </c>
      <c r="BT50" s="35" t="str">
        <f t="shared" si="4"/>
        <v>Ya</v>
      </c>
      <c r="BU5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5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5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50" s="35" t="str">
        <f>IF(Upaya_Debitur[[#This Row],[Kondisi Debitur]]="Tidak ditemukan","Ya","Tidak")</f>
        <v>Ya</v>
      </c>
      <c r="BY5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5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5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50" s="18">
        <v>43781</v>
      </c>
      <c r="CC50" s="18">
        <v>43999</v>
      </c>
      <c r="CD50" s="18">
        <v>43826</v>
      </c>
      <c r="CE50" s="18">
        <v>43871</v>
      </c>
      <c r="CF50" s="18">
        <v>43887</v>
      </c>
      <c r="CG50" s="18">
        <v>43888</v>
      </c>
      <c r="CH50" s="18">
        <v>44057</v>
      </c>
      <c r="CI50" s="18">
        <v>44077</v>
      </c>
      <c r="CJ50" s="18"/>
      <c r="CK50" s="35">
        <f ca="1">COUNTIF(Upaya_Debitur[[#This Row],[Surat Pemberitahuan?]:[Gugatan Sederhana?]],"Ya")</f>
        <v>8</v>
      </c>
      <c r="CL50" s="35">
        <f ca="1">Upaya_Debitur[[#This Row],[Target Upaya]]-COUNTIFS(Upaya_Debitur[[#This Row],[Surat Pemberitahuan?]:[Gugatan Sederhana?]],"Ya",Upaya_Debitur[[#This Row],[Surat Pemberitahuan]:[Gugatan Sederhana]],"")</f>
        <v>8</v>
      </c>
      <c r="CM50" s="36">
        <f ca="1">IF(ISNUMBER(Upaya_Debitur[[#This Row],[Realisasi]]/Upaya_Debitur[[#This Row],[Target Upaya]]),Upaya_Debitur[[#This Row],[Realisasi]]/Upaya_Debitur[[#This Row],[Target Upaya]],1)</f>
        <v>1</v>
      </c>
      <c r="CQ50">
        <v>32</v>
      </c>
      <c r="CR50" s="2">
        <f t="shared" si="2"/>
        <v>44712</v>
      </c>
      <c r="CS50" s="48">
        <f>Periode[[#This Row],[Bulan Ke]]</f>
        <v>32</v>
      </c>
    </row>
    <row r="51" spans="1:97" x14ac:dyDescent="0.3">
      <c r="A51" s="16">
        <v>33</v>
      </c>
      <c r="B51" s="17"/>
      <c r="C51" s="17" t="s">
        <v>249</v>
      </c>
      <c r="D51" s="16" t="s">
        <v>250</v>
      </c>
      <c r="E51" s="37">
        <v>532344</v>
      </c>
      <c r="F51" s="37">
        <v>0</v>
      </c>
      <c r="G51" s="37">
        <v>0</v>
      </c>
      <c r="H51" s="40">
        <f>SUM(Upaya_Debitur[[#This Row],[Kewajiban Pokok]:[Kewajiban Denda]])</f>
        <v>532344</v>
      </c>
      <c r="I51" s="37"/>
      <c r="J51" s="40">
        <f>IF(ISNUMBER(Upaya_Debitur[[#This Row],[Angsuran Sesuai PK]]),Upaya_Debitur[[#This Row],[Angsuran Sesuai PK]],1)</f>
        <v>1</v>
      </c>
      <c r="K51" s="76"/>
      <c r="L51" s="16" t="s">
        <v>37</v>
      </c>
      <c r="N51" s="18"/>
      <c r="O51" s="76"/>
      <c r="P51" s="37"/>
      <c r="Q51" s="41"/>
      <c r="R51" s="37"/>
      <c r="S51" s="40">
        <f>IF(Upaya_Debitur[[#This Row],[Periode Haircut]]="",0,IF(Upaya_Debitur[[#This Row],[Periode Haircut]]&lt;=$B$6,Upaya_Debitur[[#This Row],[Haircut]],0))</f>
        <v>0</v>
      </c>
      <c r="T51" s="40">
        <f>IF($B$10="",0,IF($B$10&lt;=$B$6,Upaya_Debitur[[#This Row],[Set Off]],0))</f>
        <v>0</v>
      </c>
      <c r="U51" s="37">
        <v>0</v>
      </c>
      <c r="V51" s="37">
        <v>0</v>
      </c>
      <c r="W51" s="37">
        <v>0</v>
      </c>
      <c r="X51" s="37">
        <v>0</v>
      </c>
      <c r="Y51" s="37">
        <v>532344</v>
      </c>
      <c r="Z51" s="37">
        <v>0</v>
      </c>
      <c r="AA51" s="37">
        <v>0</v>
      </c>
      <c r="AB51" s="37">
        <v>0</v>
      </c>
      <c r="AC51" s="37">
        <v>0</v>
      </c>
      <c r="AD51" s="37">
        <v>0</v>
      </c>
      <c r="AE51" s="37">
        <v>0</v>
      </c>
      <c r="AF51" s="37">
        <v>0</v>
      </c>
      <c r="AG51" s="37">
        <v>0</v>
      </c>
      <c r="AH51" s="37">
        <v>0</v>
      </c>
      <c r="AI51" s="37">
        <v>0</v>
      </c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40">
        <f ca="1">SUM(OFFSET(Upaya_Debitur[[#This Row],[Haircut Diperhitungkan]],0,0,1,$B$7+2))</f>
        <v>532344</v>
      </c>
      <c r="BR51" s="35" t="str">
        <f ca="1">IF(Upaya_Debitur[[#This Row],[Total Pencairan]]&gt;=Upaya_Debitur[[#This Row],[Kewajiban Total]],"Lunas","Belum Lunas")</f>
        <v>Lunas</v>
      </c>
      <c r="BS51" s="35" t="str">
        <f t="shared" si="3"/>
        <v>Ya</v>
      </c>
      <c r="BT51" s="35" t="str">
        <f t="shared" si="4"/>
        <v>Ya</v>
      </c>
      <c r="BU5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5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5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51" s="35" t="str">
        <f>IF(Upaya_Debitur[[#This Row],[Kondisi Debitur]]="Tidak ditemukan","Ya","Tidak")</f>
        <v>Ya</v>
      </c>
      <c r="BY5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5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5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51" s="18">
        <v>43781</v>
      </c>
      <c r="CC51" s="18">
        <v>43999</v>
      </c>
      <c r="CD51" s="18">
        <v>43826</v>
      </c>
      <c r="CE51" s="18">
        <v>43871</v>
      </c>
      <c r="CF51" s="18"/>
      <c r="CG51" s="18">
        <v>44035</v>
      </c>
      <c r="CH51" s="18">
        <v>44057</v>
      </c>
      <c r="CI51" s="18">
        <v>44077</v>
      </c>
      <c r="CJ51" s="18"/>
      <c r="CK51" s="35">
        <f ca="1">COUNTIF(Upaya_Debitur[[#This Row],[Surat Pemberitahuan?]:[Gugatan Sederhana?]],"Ya")</f>
        <v>3</v>
      </c>
      <c r="CL51" s="35">
        <f ca="1">Upaya_Debitur[[#This Row],[Target Upaya]]-COUNTIFS(Upaya_Debitur[[#This Row],[Surat Pemberitahuan?]:[Gugatan Sederhana?]],"Ya",Upaya_Debitur[[#This Row],[Surat Pemberitahuan]:[Gugatan Sederhana]],"")</f>
        <v>3</v>
      </c>
      <c r="CM51" s="36">
        <f ca="1">IF(ISNUMBER(Upaya_Debitur[[#This Row],[Realisasi]]/Upaya_Debitur[[#This Row],[Target Upaya]]),Upaya_Debitur[[#This Row],[Realisasi]]/Upaya_Debitur[[#This Row],[Target Upaya]],1)</f>
        <v>1</v>
      </c>
      <c r="CQ51">
        <v>33</v>
      </c>
      <c r="CR51" s="2">
        <f t="shared" si="2"/>
        <v>44742</v>
      </c>
      <c r="CS51" s="48">
        <f>Periode[[#This Row],[Bulan Ke]]</f>
        <v>33</v>
      </c>
    </row>
    <row r="52" spans="1:97" x14ac:dyDescent="0.3">
      <c r="A52" s="16">
        <v>34</v>
      </c>
      <c r="B52" s="17"/>
      <c r="C52" s="17" t="s">
        <v>251</v>
      </c>
      <c r="D52" s="16" t="s">
        <v>252</v>
      </c>
      <c r="E52" s="37">
        <v>434000</v>
      </c>
      <c r="F52" s="37">
        <v>0</v>
      </c>
      <c r="G52" s="37">
        <v>0</v>
      </c>
      <c r="H52" s="40">
        <f>SUM(Upaya_Debitur[[#This Row],[Kewajiban Pokok]:[Kewajiban Denda]])</f>
        <v>434000</v>
      </c>
      <c r="I52" s="37"/>
      <c r="J52" s="40">
        <f>IF(ISNUMBER(Upaya_Debitur[[#This Row],[Angsuran Sesuai PK]]),Upaya_Debitur[[#This Row],[Angsuran Sesuai PK]],1)</f>
        <v>1</v>
      </c>
      <c r="K52" s="76"/>
      <c r="L52" s="16" t="s">
        <v>37</v>
      </c>
      <c r="N52" s="18"/>
      <c r="O52" s="76"/>
      <c r="P52" s="37"/>
      <c r="Q52" s="41"/>
      <c r="R52" s="37"/>
      <c r="S52" s="40">
        <f>IF(Upaya_Debitur[[#This Row],[Periode Haircut]]="",0,IF(Upaya_Debitur[[#This Row],[Periode Haircut]]&lt;=$B$6,Upaya_Debitur[[#This Row],[Haircut]],0))</f>
        <v>0</v>
      </c>
      <c r="T52" s="40">
        <f>IF($B$10="",0,IF($B$10&lt;=$B$6,Upaya_Debitur[[#This Row],[Set Off]],0))</f>
        <v>0</v>
      </c>
      <c r="U52" s="37">
        <v>0</v>
      </c>
      <c r="V52" s="37">
        <v>0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  <c r="AD52" s="37">
        <v>0</v>
      </c>
      <c r="AE52" s="37">
        <v>0</v>
      </c>
      <c r="AF52" s="37">
        <v>0</v>
      </c>
      <c r="AG52" s="37">
        <v>0</v>
      </c>
      <c r="AH52" s="37">
        <v>0</v>
      </c>
      <c r="AI52" s="37">
        <v>0</v>
      </c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40">
        <f ca="1">SUM(OFFSET(Upaya_Debitur[[#This Row],[Haircut Diperhitungkan]],0,0,1,$B$7+2))</f>
        <v>0</v>
      </c>
      <c r="BR52" s="35" t="str">
        <f ca="1">IF(Upaya_Debitur[[#This Row],[Total Pencairan]]&gt;=Upaya_Debitur[[#This Row],[Kewajiban Total]],"Lunas","Belum Lunas")</f>
        <v>Belum Lunas</v>
      </c>
      <c r="BS52" s="35" t="str">
        <f t="shared" si="3"/>
        <v>Ya</v>
      </c>
      <c r="BT52" s="35" t="str">
        <f t="shared" si="4"/>
        <v>Ya</v>
      </c>
      <c r="BU5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5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5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52" s="35" t="str">
        <f>IF(Upaya_Debitur[[#This Row],[Kondisi Debitur]]="Tidak ditemukan","Ya","Tidak")</f>
        <v>Ya</v>
      </c>
      <c r="BY5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5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5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52" s="18">
        <v>43781</v>
      </c>
      <c r="CC52" s="18">
        <v>43999</v>
      </c>
      <c r="CD52" s="18">
        <v>43826</v>
      </c>
      <c r="CE52" s="18">
        <v>43871</v>
      </c>
      <c r="CF52" s="18">
        <v>43887</v>
      </c>
      <c r="CG52" s="18">
        <v>44035</v>
      </c>
      <c r="CH52" s="18">
        <v>44057</v>
      </c>
      <c r="CI52" s="18">
        <v>44077</v>
      </c>
      <c r="CJ52" s="18"/>
      <c r="CK52" s="35">
        <f ca="1">COUNTIF(Upaya_Debitur[[#This Row],[Surat Pemberitahuan?]:[Gugatan Sederhana?]],"Ya")</f>
        <v>8</v>
      </c>
      <c r="CL52" s="35">
        <f ca="1">Upaya_Debitur[[#This Row],[Target Upaya]]-COUNTIFS(Upaya_Debitur[[#This Row],[Surat Pemberitahuan?]:[Gugatan Sederhana?]],"Ya",Upaya_Debitur[[#This Row],[Surat Pemberitahuan]:[Gugatan Sederhana]],"")</f>
        <v>8</v>
      </c>
      <c r="CM52" s="36">
        <f ca="1">IF(ISNUMBER(Upaya_Debitur[[#This Row],[Realisasi]]/Upaya_Debitur[[#This Row],[Target Upaya]]),Upaya_Debitur[[#This Row],[Realisasi]]/Upaya_Debitur[[#This Row],[Target Upaya]],1)</f>
        <v>1</v>
      </c>
      <c r="CQ52">
        <v>34</v>
      </c>
      <c r="CR52" s="2">
        <f t="shared" si="2"/>
        <v>44773</v>
      </c>
      <c r="CS52" s="48">
        <f>Periode[[#This Row],[Bulan Ke]]</f>
        <v>34</v>
      </c>
    </row>
    <row r="53" spans="1:97" x14ac:dyDescent="0.3">
      <c r="A53" s="16">
        <v>35</v>
      </c>
      <c r="B53" s="17"/>
      <c r="C53" s="17" t="s">
        <v>253</v>
      </c>
      <c r="D53" s="16" t="s">
        <v>254</v>
      </c>
      <c r="E53" s="37">
        <v>3650000</v>
      </c>
      <c r="F53" s="37">
        <v>0</v>
      </c>
      <c r="G53" s="37">
        <v>0</v>
      </c>
      <c r="H53" s="40">
        <f>SUM(Upaya_Debitur[[#This Row],[Kewajiban Pokok]:[Kewajiban Denda]])</f>
        <v>3650000</v>
      </c>
      <c r="I53" s="37"/>
      <c r="J53" s="40">
        <f>IF(ISNUMBER(Upaya_Debitur[[#This Row],[Angsuran Sesuai PK]]),Upaya_Debitur[[#This Row],[Angsuran Sesuai PK]],1)</f>
        <v>1</v>
      </c>
      <c r="K53" s="76"/>
      <c r="L53" s="16" t="s">
        <v>37</v>
      </c>
      <c r="N53" s="18"/>
      <c r="O53" s="76"/>
      <c r="P53" s="37"/>
      <c r="Q53" s="41"/>
      <c r="R53" s="37"/>
      <c r="S53" s="40">
        <f>IF(Upaya_Debitur[[#This Row],[Periode Haircut]]="",0,IF(Upaya_Debitur[[#This Row],[Periode Haircut]]&lt;=$B$6,Upaya_Debitur[[#This Row],[Haircut]],0))</f>
        <v>0</v>
      </c>
      <c r="T53" s="40">
        <f>IF($B$10="",0,IF($B$10&lt;=$B$6,Upaya_Debitur[[#This Row],[Set Off]],0))</f>
        <v>0</v>
      </c>
      <c r="U53" s="37">
        <v>0</v>
      </c>
      <c r="V53" s="37">
        <v>0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  <c r="AD53" s="37">
        <v>0</v>
      </c>
      <c r="AE53" s="37">
        <v>0</v>
      </c>
      <c r="AF53" s="37">
        <v>0</v>
      </c>
      <c r="AG53" s="37">
        <v>0</v>
      </c>
      <c r="AH53" s="37">
        <v>0</v>
      </c>
      <c r="AI53" s="37">
        <v>0</v>
      </c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40">
        <f ca="1">SUM(OFFSET(Upaya_Debitur[[#This Row],[Haircut Diperhitungkan]],0,0,1,$B$7+2))</f>
        <v>0</v>
      </c>
      <c r="BR53" s="35" t="str">
        <f ca="1">IF(Upaya_Debitur[[#This Row],[Total Pencairan]]&gt;=Upaya_Debitur[[#This Row],[Kewajiban Total]],"Lunas","Belum Lunas")</f>
        <v>Belum Lunas</v>
      </c>
      <c r="BS53" s="35" t="str">
        <f t="shared" si="3"/>
        <v>Ya</v>
      </c>
      <c r="BT53" s="35" t="str">
        <f t="shared" si="4"/>
        <v>Ya</v>
      </c>
      <c r="BU5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5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5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53" s="35" t="str">
        <f>IF(Upaya_Debitur[[#This Row],[Kondisi Debitur]]="Tidak ditemukan","Ya","Tidak")</f>
        <v>Ya</v>
      </c>
      <c r="BY5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5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5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53" s="18">
        <v>43781</v>
      </c>
      <c r="CC53" s="18">
        <v>43999</v>
      </c>
      <c r="CD53" s="18">
        <v>43826</v>
      </c>
      <c r="CE53" s="18">
        <v>43871</v>
      </c>
      <c r="CF53" s="18">
        <v>43887</v>
      </c>
      <c r="CG53" s="18">
        <v>44035</v>
      </c>
      <c r="CH53" s="18">
        <v>44057</v>
      </c>
      <c r="CI53" s="18">
        <v>44077</v>
      </c>
      <c r="CJ53" s="18"/>
      <c r="CK53" s="35">
        <f ca="1">COUNTIF(Upaya_Debitur[[#This Row],[Surat Pemberitahuan?]:[Gugatan Sederhana?]],"Ya")</f>
        <v>8</v>
      </c>
      <c r="CL53" s="35">
        <f ca="1">Upaya_Debitur[[#This Row],[Target Upaya]]-COUNTIFS(Upaya_Debitur[[#This Row],[Surat Pemberitahuan?]:[Gugatan Sederhana?]],"Ya",Upaya_Debitur[[#This Row],[Surat Pemberitahuan]:[Gugatan Sederhana]],"")</f>
        <v>8</v>
      </c>
      <c r="CM53" s="36">
        <f ca="1">IF(ISNUMBER(Upaya_Debitur[[#This Row],[Realisasi]]/Upaya_Debitur[[#This Row],[Target Upaya]]),Upaya_Debitur[[#This Row],[Realisasi]]/Upaya_Debitur[[#This Row],[Target Upaya]],1)</f>
        <v>1</v>
      </c>
      <c r="CQ53">
        <v>35</v>
      </c>
      <c r="CR53" s="2">
        <f t="shared" si="2"/>
        <v>44804</v>
      </c>
      <c r="CS53" s="48">
        <f>Periode[[#This Row],[Bulan Ke]]</f>
        <v>35</v>
      </c>
    </row>
    <row r="54" spans="1:97" x14ac:dyDescent="0.3">
      <c r="A54" s="16">
        <v>36</v>
      </c>
      <c r="B54" s="17"/>
      <c r="C54" s="17" t="s">
        <v>255</v>
      </c>
      <c r="D54" s="16" t="s">
        <v>256</v>
      </c>
      <c r="E54" s="37">
        <v>1200000</v>
      </c>
      <c r="F54" s="37">
        <v>0</v>
      </c>
      <c r="G54" s="37">
        <v>0</v>
      </c>
      <c r="H54" s="40">
        <f>SUM(Upaya_Debitur[[#This Row],[Kewajiban Pokok]:[Kewajiban Denda]])</f>
        <v>1200000</v>
      </c>
      <c r="I54" s="37"/>
      <c r="J54" s="40">
        <f>IF(ISNUMBER(Upaya_Debitur[[#This Row],[Angsuran Sesuai PK]]),Upaya_Debitur[[#This Row],[Angsuran Sesuai PK]],1)</f>
        <v>1</v>
      </c>
      <c r="K54" s="76"/>
      <c r="L54" s="16" t="s">
        <v>37</v>
      </c>
      <c r="N54" s="18"/>
      <c r="O54" s="76"/>
      <c r="P54" s="37"/>
      <c r="Q54" s="41"/>
      <c r="R54" s="37"/>
      <c r="S54" s="40">
        <f>IF(Upaya_Debitur[[#This Row],[Periode Haircut]]="",0,IF(Upaya_Debitur[[#This Row],[Periode Haircut]]&lt;=$B$6,Upaya_Debitur[[#This Row],[Haircut]],0))</f>
        <v>0</v>
      </c>
      <c r="T54" s="40">
        <f>IF($B$10="",0,IF($B$10&lt;=$B$6,Upaya_Debitur[[#This Row],[Set Off]],0))</f>
        <v>0</v>
      </c>
      <c r="U54" s="37">
        <v>0</v>
      </c>
      <c r="V54" s="37">
        <v>0</v>
      </c>
      <c r="W54" s="37">
        <v>0</v>
      </c>
      <c r="X54" s="37">
        <v>0</v>
      </c>
      <c r="Y54" s="37">
        <v>0</v>
      </c>
      <c r="Z54" s="37">
        <v>0</v>
      </c>
      <c r="AA54" s="37">
        <v>0</v>
      </c>
      <c r="AB54" s="37">
        <v>0</v>
      </c>
      <c r="AC54" s="37">
        <v>0</v>
      </c>
      <c r="AD54" s="37">
        <v>0</v>
      </c>
      <c r="AE54" s="37">
        <v>0</v>
      </c>
      <c r="AF54" s="37">
        <v>0</v>
      </c>
      <c r="AG54" s="37">
        <v>0</v>
      </c>
      <c r="AH54" s="37">
        <v>0</v>
      </c>
      <c r="AI54" s="37">
        <v>0</v>
      </c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40">
        <f ca="1">SUM(OFFSET(Upaya_Debitur[[#This Row],[Haircut Diperhitungkan]],0,0,1,$B$7+2))</f>
        <v>0</v>
      </c>
      <c r="BR54" s="35" t="str">
        <f ca="1">IF(Upaya_Debitur[[#This Row],[Total Pencairan]]&gt;=Upaya_Debitur[[#This Row],[Kewajiban Total]],"Lunas","Belum Lunas")</f>
        <v>Belum Lunas</v>
      </c>
      <c r="BS54" s="35" t="str">
        <f t="shared" si="3"/>
        <v>Ya</v>
      </c>
      <c r="BT54" s="35" t="str">
        <f t="shared" si="4"/>
        <v>Ya</v>
      </c>
      <c r="BU5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5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5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54" s="35" t="str">
        <f>IF(Upaya_Debitur[[#This Row],[Kondisi Debitur]]="Tidak ditemukan","Ya","Tidak")</f>
        <v>Ya</v>
      </c>
      <c r="BY5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5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5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54" s="18">
        <v>43781</v>
      </c>
      <c r="CC54" s="18">
        <v>43999</v>
      </c>
      <c r="CD54" s="18">
        <v>43826</v>
      </c>
      <c r="CE54" s="18">
        <v>43871</v>
      </c>
      <c r="CF54" s="18">
        <v>43887</v>
      </c>
      <c r="CG54" s="18">
        <v>43888</v>
      </c>
      <c r="CH54" s="18">
        <v>44057</v>
      </c>
      <c r="CI54" s="18">
        <v>44077</v>
      </c>
      <c r="CJ54" s="18"/>
      <c r="CK54" s="35">
        <f ca="1">COUNTIF(Upaya_Debitur[[#This Row],[Surat Pemberitahuan?]:[Gugatan Sederhana?]],"Ya")</f>
        <v>8</v>
      </c>
      <c r="CL54" s="35">
        <f ca="1">Upaya_Debitur[[#This Row],[Target Upaya]]-COUNTIFS(Upaya_Debitur[[#This Row],[Surat Pemberitahuan?]:[Gugatan Sederhana?]],"Ya",Upaya_Debitur[[#This Row],[Surat Pemberitahuan]:[Gugatan Sederhana]],"")</f>
        <v>8</v>
      </c>
      <c r="CM54" s="36">
        <f ca="1">IF(ISNUMBER(Upaya_Debitur[[#This Row],[Realisasi]]/Upaya_Debitur[[#This Row],[Target Upaya]]),Upaya_Debitur[[#This Row],[Realisasi]]/Upaya_Debitur[[#This Row],[Target Upaya]],1)</f>
        <v>1</v>
      </c>
      <c r="CQ54">
        <v>36</v>
      </c>
      <c r="CR54" s="2">
        <f t="shared" si="2"/>
        <v>44834</v>
      </c>
      <c r="CS54" s="48">
        <f>Periode[[#This Row],[Bulan Ke]]</f>
        <v>36</v>
      </c>
    </row>
    <row r="55" spans="1:97" x14ac:dyDescent="0.3">
      <c r="A55" s="16">
        <v>37</v>
      </c>
      <c r="B55" s="17"/>
      <c r="C55" s="17" t="s">
        <v>257</v>
      </c>
      <c r="D55" s="16" t="s">
        <v>258</v>
      </c>
      <c r="E55" s="37">
        <v>230628</v>
      </c>
      <c r="F55" s="37">
        <v>0</v>
      </c>
      <c r="G55" s="37">
        <v>0</v>
      </c>
      <c r="H55" s="40">
        <f>SUM(Upaya_Debitur[[#This Row],[Kewajiban Pokok]:[Kewajiban Denda]])</f>
        <v>230628</v>
      </c>
      <c r="I55" s="37"/>
      <c r="J55" s="40">
        <f>IF(ISNUMBER(Upaya_Debitur[[#This Row],[Angsuran Sesuai PK]]),Upaya_Debitur[[#This Row],[Angsuran Sesuai PK]],1)</f>
        <v>1</v>
      </c>
      <c r="K55" s="76"/>
      <c r="L55" s="16" t="s">
        <v>37</v>
      </c>
      <c r="N55" s="18"/>
      <c r="O55" s="76"/>
      <c r="P55" s="37"/>
      <c r="Q55" s="41"/>
      <c r="R55" s="37"/>
      <c r="S55" s="40">
        <f>IF(Upaya_Debitur[[#This Row],[Periode Haircut]]="",0,IF(Upaya_Debitur[[#This Row],[Periode Haircut]]&lt;=$B$6,Upaya_Debitur[[#This Row],[Haircut]],0))</f>
        <v>0</v>
      </c>
      <c r="T55" s="40">
        <f>IF($B$10="",0,IF($B$10&lt;=$B$6,Upaya_Debitur[[#This Row],[Set Off]],0))</f>
        <v>0</v>
      </c>
      <c r="U55" s="37">
        <v>0</v>
      </c>
      <c r="V55" s="37">
        <v>0</v>
      </c>
      <c r="W55" s="37">
        <v>0</v>
      </c>
      <c r="X55" s="37">
        <v>0</v>
      </c>
      <c r="Y55" s="37">
        <v>0</v>
      </c>
      <c r="Z55" s="37">
        <v>0</v>
      </c>
      <c r="AA55" s="37">
        <v>0</v>
      </c>
      <c r="AB55" s="37">
        <v>0</v>
      </c>
      <c r="AC55" s="37">
        <v>0</v>
      </c>
      <c r="AD55" s="37">
        <v>0</v>
      </c>
      <c r="AE55" s="37">
        <v>0</v>
      </c>
      <c r="AF55" s="37">
        <v>0</v>
      </c>
      <c r="AG55" s="37">
        <v>0</v>
      </c>
      <c r="AH55" s="37">
        <v>0</v>
      </c>
      <c r="AI55" s="37">
        <v>0</v>
      </c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40">
        <f ca="1">SUM(OFFSET(Upaya_Debitur[[#This Row],[Haircut Diperhitungkan]],0,0,1,$B$7+2))</f>
        <v>0</v>
      </c>
      <c r="BR55" s="35" t="str">
        <f ca="1">IF(Upaya_Debitur[[#This Row],[Total Pencairan]]&gt;=Upaya_Debitur[[#This Row],[Kewajiban Total]],"Lunas","Belum Lunas")</f>
        <v>Belum Lunas</v>
      </c>
      <c r="BS55" s="35" t="str">
        <f t="shared" si="3"/>
        <v>Ya</v>
      </c>
      <c r="BT55" s="35" t="str">
        <f t="shared" si="4"/>
        <v>Ya</v>
      </c>
      <c r="BU5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5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5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55" s="35" t="str">
        <f>IF(Upaya_Debitur[[#This Row],[Kondisi Debitur]]="Tidak ditemukan","Ya","Tidak")</f>
        <v>Ya</v>
      </c>
      <c r="BY5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5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5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55" s="18">
        <v>43781</v>
      </c>
      <c r="CC55" s="18">
        <v>43999</v>
      </c>
      <c r="CD55" s="18">
        <v>43826</v>
      </c>
      <c r="CE55" s="18">
        <v>43871</v>
      </c>
      <c r="CF55" s="18">
        <v>43887</v>
      </c>
      <c r="CG55" s="18">
        <v>44035</v>
      </c>
      <c r="CH55" s="18">
        <v>44057</v>
      </c>
      <c r="CI55" s="18">
        <v>44077</v>
      </c>
      <c r="CJ55" s="18"/>
      <c r="CK55" s="35">
        <f ca="1">COUNTIF(Upaya_Debitur[[#This Row],[Surat Pemberitahuan?]:[Gugatan Sederhana?]],"Ya")</f>
        <v>8</v>
      </c>
      <c r="CL55" s="35">
        <f ca="1">Upaya_Debitur[[#This Row],[Target Upaya]]-COUNTIFS(Upaya_Debitur[[#This Row],[Surat Pemberitahuan?]:[Gugatan Sederhana?]],"Ya",Upaya_Debitur[[#This Row],[Surat Pemberitahuan]:[Gugatan Sederhana]],"")</f>
        <v>8</v>
      </c>
      <c r="CM55" s="36">
        <f ca="1">IF(ISNUMBER(Upaya_Debitur[[#This Row],[Realisasi]]/Upaya_Debitur[[#This Row],[Target Upaya]]),Upaya_Debitur[[#This Row],[Realisasi]]/Upaya_Debitur[[#This Row],[Target Upaya]],1)</f>
        <v>1</v>
      </c>
      <c r="CQ55">
        <v>37</v>
      </c>
      <c r="CR55" s="2">
        <f t="shared" si="2"/>
        <v>44865</v>
      </c>
      <c r="CS55" s="48">
        <f>Periode[[#This Row],[Bulan Ke]]</f>
        <v>37</v>
      </c>
    </row>
    <row r="56" spans="1:97" x14ac:dyDescent="0.3">
      <c r="A56" s="16">
        <v>38</v>
      </c>
      <c r="B56" s="17"/>
      <c r="C56" s="17" t="s">
        <v>259</v>
      </c>
      <c r="D56" s="16" t="s">
        <v>260</v>
      </c>
      <c r="E56" s="37">
        <v>3299410</v>
      </c>
      <c r="F56" s="37">
        <v>0</v>
      </c>
      <c r="G56" s="37">
        <v>0</v>
      </c>
      <c r="H56" s="40">
        <f>SUM(Upaya_Debitur[[#This Row],[Kewajiban Pokok]:[Kewajiban Denda]])</f>
        <v>3299410</v>
      </c>
      <c r="I56" s="37"/>
      <c r="J56" s="40">
        <f>IF(ISNUMBER(Upaya_Debitur[[#This Row],[Angsuran Sesuai PK]]),Upaya_Debitur[[#This Row],[Angsuran Sesuai PK]],1)</f>
        <v>1</v>
      </c>
      <c r="K56" s="76"/>
      <c r="L56" s="16" t="s">
        <v>83</v>
      </c>
      <c r="N56" s="18"/>
      <c r="O56" s="76"/>
      <c r="P56" s="37"/>
      <c r="Q56" s="41"/>
      <c r="R56" s="37"/>
      <c r="S56" s="40">
        <f>IF(Upaya_Debitur[[#This Row],[Periode Haircut]]="",0,IF(Upaya_Debitur[[#This Row],[Periode Haircut]]&lt;=$B$6,Upaya_Debitur[[#This Row],[Haircut]],0))</f>
        <v>0</v>
      </c>
      <c r="T56" s="40">
        <f>IF($B$10="",0,IF($B$10&lt;=$B$6,Upaya_Debitur[[#This Row],[Set Off]],0))</f>
        <v>0</v>
      </c>
      <c r="U56" s="37">
        <v>0</v>
      </c>
      <c r="V56" s="37">
        <v>0</v>
      </c>
      <c r="W56" s="37">
        <v>0</v>
      </c>
      <c r="X56" s="37">
        <v>0</v>
      </c>
      <c r="Y56" s="37">
        <v>0</v>
      </c>
      <c r="Z56" s="37">
        <v>0</v>
      </c>
      <c r="AA56" s="37">
        <v>0</v>
      </c>
      <c r="AB56" s="37">
        <v>0</v>
      </c>
      <c r="AC56" s="37">
        <v>0</v>
      </c>
      <c r="AD56" s="37">
        <v>0</v>
      </c>
      <c r="AE56" s="37">
        <v>0</v>
      </c>
      <c r="AF56" s="37">
        <v>0</v>
      </c>
      <c r="AG56" s="37">
        <v>0</v>
      </c>
      <c r="AH56" s="37">
        <v>0</v>
      </c>
      <c r="AI56" s="37">
        <v>0</v>
      </c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40">
        <f ca="1">SUM(OFFSET(Upaya_Debitur[[#This Row],[Haircut Diperhitungkan]],0,0,1,$B$7+2))</f>
        <v>0</v>
      </c>
      <c r="BR56" s="35" t="str">
        <f ca="1">IF(Upaya_Debitur[[#This Row],[Total Pencairan]]&gt;=Upaya_Debitur[[#This Row],[Kewajiban Total]],"Lunas","Belum Lunas")</f>
        <v>Belum Lunas</v>
      </c>
      <c r="BS56" s="35" t="str">
        <f t="shared" si="3"/>
        <v>Ya</v>
      </c>
      <c r="BT56" s="35" t="str">
        <f t="shared" si="4"/>
        <v>Ya</v>
      </c>
      <c r="BU5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5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5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56" s="35" t="str">
        <f>IF(Upaya_Debitur[[#This Row],[Kondisi Debitur]]="Tidak ditemukan","Ya","Tidak")</f>
        <v>Tidak</v>
      </c>
      <c r="BY5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5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5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56" s="18">
        <v>43781</v>
      </c>
      <c r="CC56" s="18">
        <v>43999</v>
      </c>
      <c r="CD56" s="18">
        <v>43826</v>
      </c>
      <c r="CE56" s="18">
        <v>43871</v>
      </c>
      <c r="CF56" s="18">
        <v>43887</v>
      </c>
      <c r="CG56" s="18"/>
      <c r="CH56" s="18">
        <v>44057</v>
      </c>
      <c r="CI56" s="18">
        <v>44077</v>
      </c>
      <c r="CJ56" s="18"/>
      <c r="CK56" s="35">
        <f ca="1">COUNTIF(Upaya_Debitur[[#This Row],[Surat Pemberitahuan?]:[Gugatan Sederhana?]],"Ya")</f>
        <v>7</v>
      </c>
      <c r="CL56" s="35">
        <f ca="1">Upaya_Debitur[[#This Row],[Target Upaya]]-COUNTIFS(Upaya_Debitur[[#This Row],[Surat Pemberitahuan?]:[Gugatan Sederhana?]],"Ya",Upaya_Debitur[[#This Row],[Surat Pemberitahuan]:[Gugatan Sederhana]],"")</f>
        <v>7</v>
      </c>
      <c r="CM56" s="36">
        <f ca="1">IF(ISNUMBER(Upaya_Debitur[[#This Row],[Realisasi]]/Upaya_Debitur[[#This Row],[Target Upaya]]),Upaya_Debitur[[#This Row],[Realisasi]]/Upaya_Debitur[[#This Row],[Target Upaya]],1)</f>
        <v>1</v>
      </c>
      <c r="CQ56">
        <v>38</v>
      </c>
      <c r="CR56" s="2">
        <f t="shared" si="2"/>
        <v>44895</v>
      </c>
      <c r="CS56" s="48">
        <f>Periode[[#This Row],[Bulan Ke]]</f>
        <v>38</v>
      </c>
    </row>
    <row r="57" spans="1:97" x14ac:dyDescent="0.3">
      <c r="A57" s="16">
        <v>39</v>
      </c>
      <c r="B57" s="17"/>
      <c r="C57" s="17" t="s">
        <v>261</v>
      </c>
      <c r="D57" s="16" t="s">
        <v>262</v>
      </c>
      <c r="E57" s="37">
        <v>2856000</v>
      </c>
      <c r="F57" s="37">
        <v>0</v>
      </c>
      <c r="G57" s="37">
        <v>0</v>
      </c>
      <c r="H57" s="40">
        <f>SUM(Upaya_Debitur[[#This Row],[Kewajiban Pokok]:[Kewajiban Denda]])</f>
        <v>2856000</v>
      </c>
      <c r="I57" s="37"/>
      <c r="J57" s="40">
        <f>IF(ISNUMBER(Upaya_Debitur[[#This Row],[Angsuran Sesuai PK]]),Upaya_Debitur[[#This Row],[Angsuran Sesuai PK]],1)</f>
        <v>1</v>
      </c>
      <c r="K57" s="76"/>
      <c r="L57" s="16" t="s">
        <v>83</v>
      </c>
      <c r="N57" s="18"/>
      <c r="O57" s="76"/>
      <c r="P57" s="37"/>
      <c r="Q57" s="41"/>
      <c r="R57" s="37"/>
      <c r="S57" s="40">
        <f>IF(Upaya_Debitur[[#This Row],[Periode Haircut]]="",0,IF(Upaya_Debitur[[#This Row],[Periode Haircut]]&lt;=$B$6,Upaya_Debitur[[#This Row],[Haircut]],0))</f>
        <v>0</v>
      </c>
      <c r="T57" s="40">
        <f>IF($B$10="",0,IF($B$10&lt;=$B$6,Upaya_Debitur[[#This Row],[Set Off]],0))</f>
        <v>0</v>
      </c>
      <c r="U57" s="37">
        <v>0</v>
      </c>
      <c r="V57" s="37">
        <v>0</v>
      </c>
      <c r="W57" s="37">
        <v>0</v>
      </c>
      <c r="X57" s="37">
        <v>0</v>
      </c>
      <c r="Y57" s="37">
        <v>0</v>
      </c>
      <c r="Z57" s="37">
        <v>0</v>
      </c>
      <c r="AA57" s="37">
        <v>0</v>
      </c>
      <c r="AB57" s="37">
        <v>0</v>
      </c>
      <c r="AC57" s="37">
        <v>0</v>
      </c>
      <c r="AD57" s="37">
        <v>0</v>
      </c>
      <c r="AE57" s="37">
        <v>0</v>
      </c>
      <c r="AF57" s="37">
        <v>0</v>
      </c>
      <c r="AG57" s="37">
        <v>0</v>
      </c>
      <c r="AH57" s="37">
        <v>0</v>
      </c>
      <c r="AI57" s="37">
        <v>0</v>
      </c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40">
        <f ca="1">SUM(OFFSET(Upaya_Debitur[[#This Row],[Haircut Diperhitungkan]],0,0,1,$B$7+2))</f>
        <v>0</v>
      </c>
      <c r="BR57" s="35" t="str">
        <f ca="1">IF(Upaya_Debitur[[#This Row],[Total Pencairan]]&gt;=Upaya_Debitur[[#This Row],[Kewajiban Total]],"Lunas","Belum Lunas")</f>
        <v>Belum Lunas</v>
      </c>
      <c r="BS57" s="35" t="str">
        <f t="shared" si="3"/>
        <v>Ya</v>
      </c>
      <c r="BT57" s="35" t="str">
        <f t="shared" si="4"/>
        <v>Ya</v>
      </c>
      <c r="BU5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5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5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57" s="35" t="str">
        <f>IF(Upaya_Debitur[[#This Row],[Kondisi Debitur]]="Tidak ditemukan","Ya","Tidak")</f>
        <v>Tidak</v>
      </c>
      <c r="BY5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5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5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57" s="18">
        <v>43781</v>
      </c>
      <c r="CC57" s="18">
        <v>43999</v>
      </c>
      <c r="CD57" s="18">
        <v>43826</v>
      </c>
      <c r="CE57" s="18">
        <v>43871</v>
      </c>
      <c r="CF57" s="18">
        <v>43887</v>
      </c>
      <c r="CG57" s="18">
        <v>43888</v>
      </c>
      <c r="CH57" s="18">
        <v>44057</v>
      </c>
      <c r="CI57" s="18">
        <v>44077</v>
      </c>
      <c r="CJ57" s="18"/>
      <c r="CK57" s="35">
        <f ca="1">COUNTIF(Upaya_Debitur[[#This Row],[Surat Pemberitahuan?]:[Gugatan Sederhana?]],"Ya")</f>
        <v>7</v>
      </c>
      <c r="CL57" s="35">
        <f ca="1">Upaya_Debitur[[#This Row],[Target Upaya]]-COUNTIFS(Upaya_Debitur[[#This Row],[Surat Pemberitahuan?]:[Gugatan Sederhana?]],"Ya",Upaya_Debitur[[#This Row],[Surat Pemberitahuan]:[Gugatan Sederhana]],"")</f>
        <v>7</v>
      </c>
      <c r="CM57" s="36">
        <f ca="1">IF(ISNUMBER(Upaya_Debitur[[#This Row],[Realisasi]]/Upaya_Debitur[[#This Row],[Target Upaya]]),Upaya_Debitur[[#This Row],[Realisasi]]/Upaya_Debitur[[#This Row],[Target Upaya]],1)</f>
        <v>1</v>
      </c>
      <c r="CQ57">
        <v>39</v>
      </c>
      <c r="CR57" s="2">
        <f t="shared" si="2"/>
        <v>44926</v>
      </c>
      <c r="CS57" s="48">
        <f>Periode[[#This Row],[Bulan Ke]]</f>
        <v>39</v>
      </c>
    </row>
    <row r="58" spans="1:97" x14ac:dyDescent="0.3">
      <c r="A58" s="16">
        <v>40</v>
      </c>
      <c r="B58" s="17"/>
      <c r="C58" s="17" t="s">
        <v>263</v>
      </c>
      <c r="D58" s="16" t="s">
        <v>264</v>
      </c>
      <c r="E58" s="37">
        <v>799033</v>
      </c>
      <c r="F58" s="37">
        <v>0</v>
      </c>
      <c r="G58" s="37">
        <v>0</v>
      </c>
      <c r="H58" s="40">
        <f>SUM(Upaya_Debitur[[#This Row],[Kewajiban Pokok]:[Kewajiban Denda]])</f>
        <v>799033</v>
      </c>
      <c r="I58" s="37"/>
      <c r="J58" s="40">
        <f>IF(ISNUMBER(Upaya_Debitur[[#This Row],[Angsuran Sesuai PK]]),Upaya_Debitur[[#This Row],[Angsuran Sesuai PK]],1)</f>
        <v>1</v>
      </c>
      <c r="K58" s="76"/>
      <c r="L58" s="16" t="s">
        <v>37</v>
      </c>
      <c r="N58" s="18"/>
      <c r="O58" s="76"/>
      <c r="P58" s="37"/>
      <c r="Q58" s="41"/>
      <c r="R58" s="37"/>
      <c r="S58" s="40">
        <f>IF(Upaya_Debitur[[#This Row],[Periode Haircut]]="",0,IF(Upaya_Debitur[[#This Row],[Periode Haircut]]&lt;=$B$6,Upaya_Debitur[[#This Row],[Haircut]],0))</f>
        <v>0</v>
      </c>
      <c r="T58" s="40">
        <f>IF($B$10="",0,IF($B$10&lt;=$B$6,Upaya_Debitur[[#This Row],[Set Off]],0))</f>
        <v>0</v>
      </c>
      <c r="U58" s="37">
        <v>0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0</v>
      </c>
      <c r="AB58" s="37">
        <v>0</v>
      </c>
      <c r="AC58" s="37">
        <v>0</v>
      </c>
      <c r="AD58" s="37">
        <v>0</v>
      </c>
      <c r="AE58" s="37">
        <v>0</v>
      </c>
      <c r="AF58" s="37">
        <v>0</v>
      </c>
      <c r="AG58" s="37">
        <v>0</v>
      </c>
      <c r="AH58" s="37">
        <v>0</v>
      </c>
      <c r="AI58" s="37">
        <v>0</v>
      </c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40">
        <f ca="1">SUM(OFFSET(Upaya_Debitur[[#This Row],[Haircut Diperhitungkan]],0,0,1,$B$7+2))</f>
        <v>0</v>
      </c>
      <c r="BR58" s="35" t="str">
        <f ca="1">IF(Upaya_Debitur[[#This Row],[Total Pencairan]]&gt;=Upaya_Debitur[[#This Row],[Kewajiban Total]],"Lunas","Belum Lunas")</f>
        <v>Belum Lunas</v>
      </c>
      <c r="BS58" s="35" t="str">
        <f t="shared" si="3"/>
        <v>Ya</v>
      </c>
      <c r="BT58" s="35" t="str">
        <f t="shared" si="4"/>
        <v>Ya</v>
      </c>
      <c r="BU5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5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5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58" s="35" t="str">
        <f>IF(Upaya_Debitur[[#This Row],[Kondisi Debitur]]="Tidak ditemukan","Ya","Tidak")</f>
        <v>Ya</v>
      </c>
      <c r="BY5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5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5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58" s="18">
        <v>43781</v>
      </c>
      <c r="CC58" s="18">
        <v>43999</v>
      </c>
      <c r="CD58" s="18">
        <v>43826</v>
      </c>
      <c r="CE58" s="18">
        <v>43871</v>
      </c>
      <c r="CF58" s="18">
        <v>43887</v>
      </c>
      <c r="CG58" s="18">
        <v>43888</v>
      </c>
      <c r="CH58" s="18">
        <v>44057</v>
      </c>
      <c r="CI58" s="18">
        <v>44077</v>
      </c>
      <c r="CJ58" s="18"/>
      <c r="CK58" s="35">
        <f ca="1">COUNTIF(Upaya_Debitur[[#This Row],[Surat Pemberitahuan?]:[Gugatan Sederhana?]],"Ya")</f>
        <v>8</v>
      </c>
      <c r="CL58" s="35">
        <f ca="1">Upaya_Debitur[[#This Row],[Target Upaya]]-COUNTIFS(Upaya_Debitur[[#This Row],[Surat Pemberitahuan?]:[Gugatan Sederhana?]],"Ya",Upaya_Debitur[[#This Row],[Surat Pemberitahuan]:[Gugatan Sederhana]],"")</f>
        <v>8</v>
      </c>
      <c r="CM58" s="36">
        <f ca="1">IF(ISNUMBER(Upaya_Debitur[[#This Row],[Realisasi]]/Upaya_Debitur[[#This Row],[Target Upaya]]),Upaya_Debitur[[#This Row],[Realisasi]]/Upaya_Debitur[[#This Row],[Target Upaya]],1)</f>
        <v>1</v>
      </c>
      <c r="CQ58">
        <v>40</v>
      </c>
      <c r="CR58" s="2">
        <f t="shared" si="2"/>
        <v>44957</v>
      </c>
      <c r="CS58" s="48">
        <f>Periode[[#This Row],[Bulan Ke]]</f>
        <v>40</v>
      </c>
    </row>
    <row r="59" spans="1:97" x14ac:dyDescent="0.3">
      <c r="A59" s="16">
        <v>41</v>
      </c>
      <c r="B59" s="17"/>
      <c r="C59" s="17" t="s">
        <v>265</v>
      </c>
      <c r="D59" s="16" t="s">
        <v>266</v>
      </c>
      <c r="E59" s="37">
        <v>5740100</v>
      </c>
      <c r="F59" s="37">
        <v>0</v>
      </c>
      <c r="G59" s="37">
        <v>0</v>
      </c>
      <c r="H59" s="40">
        <f>SUM(Upaya_Debitur[[#This Row],[Kewajiban Pokok]:[Kewajiban Denda]])</f>
        <v>5740100</v>
      </c>
      <c r="I59" s="37"/>
      <c r="J59" s="40">
        <f>IF(ISNUMBER(Upaya_Debitur[[#This Row],[Angsuran Sesuai PK]]),Upaya_Debitur[[#This Row],[Angsuran Sesuai PK]],1)</f>
        <v>1</v>
      </c>
      <c r="K59" s="76"/>
      <c r="L59" s="16" t="s">
        <v>37</v>
      </c>
      <c r="N59" s="18"/>
      <c r="O59" s="76"/>
      <c r="P59" s="37"/>
      <c r="Q59" s="41"/>
      <c r="R59" s="37"/>
      <c r="S59" s="40">
        <f>IF(Upaya_Debitur[[#This Row],[Periode Haircut]]="",0,IF(Upaya_Debitur[[#This Row],[Periode Haircut]]&lt;=$B$6,Upaya_Debitur[[#This Row],[Haircut]],0))</f>
        <v>0</v>
      </c>
      <c r="T59" s="40">
        <f>IF($B$10="",0,IF($B$10&lt;=$B$6,Upaya_Debitur[[#This Row],[Set Off]],0))</f>
        <v>0</v>
      </c>
      <c r="U59" s="37">
        <v>0</v>
      </c>
      <c r="V59" s="37">
        <v>0</v>
      </c>
      <c r="W59" s="37">
        <v>0</v>
      </c>
      <c r="X59" s="37">
        <v>0</v>
      </c>
      <c r="Y59" s="37">
        <v>0</v>
      </c>
      <c r="Z59" s="37">
        <v>0</v>
      </c>
      <c r="AA59" s="37">
        <v>0</v>
      </c>
      <c r="AB59" s="37">
        <v>0</v>
      </c>
      <c r="AC59" s="37">
        <v>0</v>
      </c>
      <c r="AD59" s="37">
        <v>0</v>
      </c>
      <c r="AE59" s="37">
        <v>0</v>
      </c>
      <c r="AF59" s="37">
        <v>0</v>
      </c>
      <c r="AG59" s="37">
        <v>0</v>
      </c>
      <c r="AH59" s="37">
        <v>0</v>
      </c>
      <c r="AI59" s="37">
        <v>0</v>
      </c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40">
        <f ca="1">SUM(OFFSET(Upaya_Debitur[[#This Row],[Haircut Diperhitungkan]],0,0,1,$B$7+2))</f>
        <v>0</v>
      </c>
      <c r="BR59" s="35" t="str">
        <f ca="1">IF(Upaya_Debitur[[#This Row],[Total Pencairan]]&gt;=Upaya_Debitur[[#This Row],[Kewajiban Total]],"Lunas","Belum Lunas")</f>
        <v>Belum Lunas</v>
      </c>
      <c r="BS59" s="35" t="str">
        <f t="shared" si="3"/>
        <v>Ya</v>
      </c>
      <c r="BT59" s="35" t="str">
        <f t="shared" si="4"/>
        <v>Ya</v>
      </c>
      <c r="BU5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5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5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59" s="35" t="str">
        <f>IF(Upaya_Debitur[[#This Row],[Kondisi Debitur]]="Tidak ditemukan","Ya","Tidak")</f>
        <v>Ya</v>
      </c>
      <c r="BY5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5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5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59" s="18">
        <v>43781</v>
      </c>
      <c r="CC59" s="18">
        <v>43999</v>
      </c>
      <c r="CD59" s="18">
        <v>43826</v>
      </c>
      <c r="CE59" s="18">
        <v>43871</v>
      </c>
      <c r="CF59" s="18">
        <v>43887</v>
      </c>
      <c r="CG59" s="18">
        <v>43888</v>
      </c>
      <c r="CH59" s="18">
        <v>44057</v>
      </c>
      <c r="CI59" s="18">
        <v>44077</v>
      </c>
      <c r="CJ59" s="18"/>
      <c r="CK59" s="35">
        <f ca="1">COUNTIF(Upaya_Debitur[[#This Row],[Surat Pemberitahuan?]:[Gugatan Sederhana?]],"Ya")</f>
        <v>8</v>
      </c>
      <c r="CL59" s="35">
        <f ca="1">Upaya_Debitur[[#This Row],[Target Upaya]]-COUNTIFS(Upaya_Debitur[[#This Row],[Surat Pemberitahuan?]:[Gugatan Sederhana?]],"Ya",Upaya_Debitur[[#This Row],[Surat Pemberitahuan]:[Gugatan Sederhana]],"")</f>
        <v>8</v>
      </c>
      <c r="CM59" s="36">
        <f ca="1">IF(ISNUMBER(Upaya_Debitur[[#This Row],[Realisasi]]/Upaya_Debitur[[#This Row],[Target Upaya]]),Upaya_Debitur[[#This Row],[Realisasi]]/Upaya_Debitur[[#This Row],[Target Upaya]],1)</f>
        <v>1</v>
      </c>
      <c r="CQ59">
        <v>41</v>
      </c>
      <c r="CR59" s="2">
        <f t="shared" si="2"/>
        <v>44985</v>
      </c>
      <c r="CS59" s="48">
        <f>Periode[[#This Row],[Bulan Ke]]</f>
        <v>41</v>
      </c>
    </row>
    <row r="60" spans="1:97" x14ac:dyDescent="0.3">
      <c r="A60" s="16">
        <v>42</v>
      </c>
      <c r="B60" s="17"/>
      <c r="C60" s="17" t="s">
        <v>267</v>
      </c>
      <c r="D60" s="16" t="s">
        <v>268</v>
      </c>
      <c r="E60" s="37">
        <v>1836905</v>
      </c>
      <c r="F60" s="37">
        <v>0</v>
      </c>
      <c r="G60" s="37">
        <v>0</v>
      </c>
      <c r="H60" s="40">
        <f>SUM(Upaya_Debitur[[#This Row],[Kewajiban Pokok]:[Kewajiban Denda]])</f>
        <v>1836905</v>
      </c>
      <c r="I60" s="37"/>
      <c r="J60" s="40">
        <f>IF(ISNUMBER(Upaya_Debitur[[#This Row],[Angsuran Sesuai PK]]),Upaya_Debitur[[#This Row],[Angsuran Sesuai PK]],1)</f>
        <v>1</v>
      </c>
      <c r="K60" s="76"/>
      <c r="L60" s="16" t="s">
        <v>38</v>
      </c>
      <c r="N60" s="18"/>
      <c r="O60" s="76"/>
      <c r="P60" s="37"/>
      <c r="Q60" s="41"/>
      <c r="R60" s="37"/>
      <c r="S60" s="40">
        <f>IF(Upaya_Debitur[[#This Row],[Periode Haircut]]="",0,IF(Upaya_Debitur[[#This Row],[Periode Haircut]]&lt;=$B$6,Upaya_Debitur[[#This Row],[Haircut]],0))</f>
        <v>0</v>
      </c>
      <c r="T60" s="40">
        <f>IF($B$10="",0,IF($B$10&lt;=$B$6,Upaya_Debitur[[#This Row],[Set Off]],0))</f>
        <v>0</v>
      </c>
      <c r="U60" s="37">
        <v>0</v>
      </c>
      <c r="V60" s="37">
        <v>0</v>
      </c>
      <c r="W60" s="37">
        <v>0</v>
      </c>
      <c r="X60" s="37">
        <v>0</v>
      </c>
      <c r="Y60" s="37">
        <v>0</v>
      </c>
      <c r="Z60" s="37">
        <v>0</v>
      </c>
      <c r="AA60" s="37">
        <v>0</v>
      </c>
      <c r="AB60" s="37">
        <v>0</v>
      </c>
      <c r="AC60" s="37">
        <v>0</v>
      </c>
      <c r="AD60" s="37">
        <v>0</v>
      </c>
      <c r="AE60" s="37">
        <v>0</v>
      </c>
      <c r="AF60" s="37">
        <v>0</v>
      </c>
      <c r="AG60" s="37">
        <v>0</v>
      </c>
      <c r="AH60" s="37">
        <v>0</v>
      </c>
      <c r="AI60" s="37">
        <v>0</v>
      </c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40">
        <f ca="1">SUM(OFFSET(Upaya_Debitur[[#This Row],[Haircut Diperhitungkan]],0,0,1,$B$7+2))</f>
        <v>0</v>
      </c>
      <c r="BR60" s="35" t="str">
        <f ca="1">IF(Upaya_Debitur[[#This Row],[Total Pencairan]]&gt;=Upaya_Debitur[[#This Row],[Kewajiban Total]],"Lunas","Belum Lunas")</f>
        <v>Belum Lunas</v>
      </c>
      <c r="BS60" s="35" t="str">
        <f t="shared" si="3"/>
        <v>Ya</v>
      </c>
      <c r="BT60" s="35" t="str">
        <f t="shared" si="4"/>
        <v>Ya</v>
      </c>
      <c r="BU6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6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6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60" s="35" t="str">
        <f>IF(Upaya_Debitur[[#This Row],[Kondisi Debitur]]="Tidak ditemukan","Ya","Tidak")</f>
        <v>Tidak</v>
      </c>
      <c r="BY6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6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6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60" s="18">
        <v>43781</v>
      </c>
      <c r="CC60" s="18">
        <v>43999</v>
      </c>
      <c r="CD60" s="18">
        <v>43826</v>
      </c>
      <c r="CE60" s="18">
        <v>43871</v>
      </c>
      <c r="CF60" s="18">
        <v>43887</v>
      </c>
      <c r="CG60" s="18">
        <v>43888</v>
      </c>
      <c r="CH60" s="18">
        <v>44057</v>
      </c>
      <c r="CI60" s="18">
        <v>44077</v>
      </c>
      <c r="CJ60" s="18"/>
      <c r="CK60" s="35">
        <f ca="1">COUNTIF(Upaya_Debitur[[#This Row],[Surat Pemberitahuan?]:[Gugatan Sederhana?]],"Ya")</f>
        <v>7</v>
      </c>
      <c r="CL60" s="35">
        <f ca="1">Upaya_Debitur[[#This Row],[Target Upaya]]-COUNTIFS(Upaya_Debitur[[#This Row],[Surat Pemberitahuan?]:[Gugatan Sederhana?]],"Ya",Upaya_Debitur[[#This Row],[Surat Pemberitahuan]:[Gugatan Sederhana]],"")</f>
        <v>7</v>
      </c>
      <c r="CM60" s="36">
        <f ca="1">IF(ISNUMBER(Upaya_Debitur[[#This Row],[Realisasi]]/Upaya_Debitur[[#This Row],[Target Upaya]]),Upaya_Debitur[[#This Row],[Realisasi]]/Upaya_Debitur[[#This Row],[Target Upaya]],1)</f>
        <v>1</v>
      </c>
      <c r="CQ60">
        <v>42</v>
      </c>
      <c r="CR60" s="2">
        <f t="shared" si="2"/>
        <v>45016</v>
      </c>
      <c r="CS60" s="48">
        <f>Periode[[#This Row],[Bulan Ke]]</f>
        <v>42</v>
      </c>
    </row>
    <row r="61" spans="1:97" x14ac:dyDescent="0.3">
      <c r="A61" s="16">
        <v>43</v>
      </c>
      <c r="B61" s="17"/>
      <c r="C61" s="17" t="s">
        <v>269</v>
      </c>
      <c r="D61" s="16" t="s">
        <v>270</v>
      </c>
      <c r="E61" s="37">
        <v>1740000</v>
      </c>
      <c r="F61" s="37">
        <v>0</v>
      </c>
      <c r="G61" s="37">
        <v>0</v>
      </c>
      <c r="H61" s="40">
        <f>SUM(Upaya_Debitur[[#This Row],[Kewajiban Pokok]:[Kewajiban Denda]])</f>
        <v>1740000</v>
      </c>
      <c r="I61" s="37"/>
      <c r="J61" s="40">
        <f>IF(ISNUMBER(Upaya_Debitur[[#This Row],[Angsuran Sesuai PK]]),Upaya_Debitur[[#This Row],[Angsuran Sesuai PK]],1)</f>
        <v>1</v>
      </c>
      <c r="K61" s="76"/>
      <c r="L61" s="16" t="s">
        <v>83</v>
      </c>
      <c r="N61" s="18"/>
      <c r="O61" s="76"/>
      <c r="P61" s="37"/>
      <c r="Q61" s="41"/>
      <c r="R61" s="37"/>
      <c r="S61" s="40">
        <f>IF(Upaya_Debitur[[#This Row],[Periode Haircut]]="",0,IF(Upaya_Debitur[[#This Row],[Periode Haircut]]&lt;=$B$6,Upaya_Debitur[[#This Row],[Haircut]],0))</f>
        <v>0</v>
      </c>
      <c r="T61" s="40">
        <f>IF($B$10="",0,IF($B$10&lt;=$B$6,Upaya_Debitur[[#This Row],[Set Off]],0))</f>
        <v>0</v>
      </c>
      <c r="U61" s="37">
        <v>0</v>
      </c>
      <c r="V61" s="37">
        <v>0</v>
      </c>
      <c r="W61" s="37">
        <v>0</v>
      </c>
      <c r="X61" s="37">
        <v>600000</v>
      </c>
      <c r="Y61" s="37">
        <v>600000</v>
      </c>
      <c r="Z61" s="37">
        <v>0</v>
      </c>
      <c r="AA61" s="37">
        <v>0</v>
      </c>
      <c r="AB61" s="37">
        <v>0</v>
      </c>
      <c r="AC61" s="37">
        <v>0</v>
      </c>
      <c r="AD61" s="37">
        <v>0</v>
      </c>
      <c r="AE61" s="37">
        <v>0</v>
      </c>
      <c r="AF61" s="37">
        <v>0</v>
      </c>
      <c r="AG61" s="37">
        <v>0</v>
      </c>
      <c r="AH61" s="37">
        <v>0</v>
      </c>
      <c r="AI61" s="37">
        <v>0</v>
      </c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40">
        <f ca="1">SUM(OFFSET(Upaya_Debitur[[#This Row],[Haircut Diperhitungkan]],0,0,1,$B$7+2))</f>
        <v>1200000</v>
      </c>
      <c r="BR61" s="35" t="str">
        <f ca="1">IF(Upaya_Debitur[[#This Row],[Total Pencairan]]&gt;=Upaya_Debitur[[#This Row],[Kewajiban Total]],"Lunas","Belum Lunas")</f>
        <v>Belum Lunas</v>
      </c>
      <c r="BS61" s="35" t="str">
        <f t="shared" si="3"/>
        <v>Ya</v>
      </c>
      <c r="BT61" s="35" t="str">
        <f t="shared" si="4"/>
        <v>Ya</v>
      </c>
      <c r="BU6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6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6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61" s="35" t="str">
        <f>IF(Upaya_Debitur[[#This Row],[Kondisi Debitur]]="Tidak ditemukan","Ya","Tidak")</f>
        <v>Tidak</v>
      </c>
      <c r="BY6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6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6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61" s="18">
        <v>43781</v>
      </c>
      <c r="CC61" s="18">
        <v>43999</v>
      </c>
      <c r="CD61" s="18">
        <v>43826</v>
      </c>
      <c r="CE61" s="18">
        <v>43871</v>
      </c>
      <c r="CF61" s="18">
        <v>43887</v>
      </c>
      <c r="CG61" s="18"/>
      <c r="CH61" s="18">
        <v>44057</v>
      </c>
      <c r="CI61" s="18">
        <v>44077</v>
      </c>
      <c r="CJ61" s="18"/>
      <c r="CK61" s="35">
        <f ca="1">COUNTIF(Upaya_Debitur[[#This Row],[Surat Pemberitahuan?]:[Gugatan Sederhana?]],"Ya")</f>
        <v>7</v>
      </c>
      <c r="CL61" s="35">
        <f ca="1">Upaya_Debitur[[#This Row],[Target Upaya]]-COUNTIFS(Upaya_Debitur[[#This Row],[Surat Pemberitahuan?]:[Gugatan Sederhana?]],"Ya",Upaya_Debitur[[#This Row],[Surat Pemberitahuan]:[Gugatan Sederhana]],"")</f>
        <v>7</v>
      </c>
      <c r="CM61" s="36">
        <f ca="1">IF(ISNUMBER(Upaya_Debitur[[#This Row],[Realisasi]]/Upaya_Debitur[[#This Row],[Target Upaya]]),Upaya_Debitur[[#This Row],[Realisasi]]/Upaya_Debitur[[#This Row],[Target Upaya]],1)</f>
        <v>1</v>
      </c>
      <c r="CQ61">
        <v>43</v>
      </c>
      <c r="CR61" s="2">
        <f t="shared" si="2"/>
        <v>45046</v>
      </c>
      <c r="CS61" s="48">
        <f>Periode[[#This Row],[Bulan Ke]]</f>
        <v>43</v>
      </c>
    </row>
    <row r="62" spans="1:97" x14ac:dyDescent="0.3">
      <c r="A62" s="16">
        <v>44</v>
      </c>
      <c r="B62" s="17"/>
      <c r="C62" s="17" t="s">
        <v>271</v>
      </c>
      <c r="D62" s="16" t="s">
        <v>272</v>
      </c>
      <c r="E62" s="37">
        <v>465250</v>
      </c>
      <c r="F62" s="37">
        <v>0</v>
      </c>
      <c r="G62" s="37">
        <v>0</v>
      </c>
      <c r="H62" s="40">
        <f>SUM(Upaya_Debitur[[#This Row],[Kewajiban Pokok]:[Kewajiban Denda]])</f>
        <v>465250</v>
      </c>
      <c r="I62" s="37"/>
      <c r="J62" s="40">
        <f>IF(ISNUMBER(Upaya_Debitur[[#This Row],[Angsuran Sesuai PK]]),Upaya_Debitur[[#This Row],[Angsuran Sesuai PK]],1)</f>
        <v>1</v>
      </c>
      <c r="K62" s="76"/>
      <c r="L62" s="16" t="s">
        <v>37</v>
      </c>
      <c r="N62" s="18"/>
      <c r="O62" s="76"/>
      <c r="P62" s="37"/>
      <c r="Q62" s="41"/>
      <c r="R62" s="37"/>
      <c r="S62" s="40">
        <f>IF(Upaya_Debitur[[#This Row],[Periode Haircut]]="",0,IF(Upaya_Debitur[[#This Row],[Periode Haircut]]&lt;=$B$6,Upaya_Debitur[[#This Row],[Haircut]],0))</f>
        <v>0</v>
      </c>
      <c r="T62" s="40">
        <f>IF($B$10="",0,IF($B$10&lt;=$B$6,Upaya_Debitur[[#This Row],[Set Off]],0))</f>
        <v>0</v>
      </c>
      <c r="U62" s="37">
        <v>0</v>
      </c>
      <c r="V62" s="37">
        <v>0</v>
      </c>
      <c r="W62" s="37">
        <v>0</v>
      </c>
      <c r="X62" s="37">
        <v>0</v>
      </c>
      <c r="Y62" s="37">
        <v>0</v>
      </c>
      <c r="Z62" s="37">
        <v>0</v>
      </c>
      <c r="AA62" s="37">
        <v>0</v>
      </c>
      <c r="AB62" s="37">
        <v>0</v>
      </c>
      <c r="AC62" s="37">
        <v>0</v>
      </c>
      <c r="AD62" s="37">
        <v>0</v>
      </c>
      <c r="AE62" s="37">
        <v>0</v>
      </c>
      <c r="AF62" s="37">
        <v>0</v>
      </c>
      <c r="AG62" s="37">
        <v>0</v>
      </c>
      <c r="AH62" s="37">
        <v>0</v>
      </c>
      <c r="AI62" s="37">
        <v>0</v>
      </c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40">
        <f ca="1">SUM(OFFSET(Upaya_Debitur[[#This Row],[Haircut Diperhitungkan]],0,0,1,$B$7+2))</f>
        <v>0</v>
      </c>
      <c r="BR62" s="35" t="str">
        <f ca="1">IF(Upaya_Debitur[[#This Row],[Total Pencairan]]&gt;=Upaya_Debitur[[#This Row],[Kewajiban Total]],"Lunas","Belum Lunas")</f>
        <v>Belum Lunas</v>
      </c>
      <c r="BS62" s="35" t="str">
        <f t="shared" si="3"/>
        <v>Ya</v>
      </c>
      <c r="BT62" s="35" t="str">
        <f t="shared" si="4"/>
        <v>Ya</v>
      </c>
      <c r="BU6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6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6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62" s="35" t="str">
        <f>IF(Upaya_Debitur[[#This Row],[Kondisi Debitur]]="Tidak ditemukan","Ya","Tidak")</f>
        <v>Ya</v>
      </c>
      <c r="BY6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6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6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62" s="18">
        <v>43781</v>
      </c>
      <c r="CC62" s="18">
        <v>43999</v>
      </c>
      <c r="CD62" s="18">
        <v>43826</v>
      </c>
      <c r="CE62" s="18">
        <v>43871</v>
      </c>
      <c r="CF62" s="18">
        <v>43887</v>
      </c>
      <c r="CG62" s="18">
        <v>44035</v>
      </c>
      <c r="CH62" s="18">
        <v>44057</v>
      </c>
      <c r="CI62" s="18">
        <v>44077</v>
      </c>
      <c r="CJ62" s="18"/>
      <c r="CK62" s="35">
        <f ca="1">COUNTIF(Upaya_Debitur[[#This Row],[Surat Pemberitahuan?]:[Gugatan Sederhana?]],"Ya")</f>
        <v>8</v>
      </c>
      <c r="CL62" s="35">
        <f ca="1">Upaya_Debitur[[#This Row],[Target Upaya]]-COUNTIFS(Upaya_Debitur[[#This Row],[Surat Pemberitahuan?]:[Gugatan Sederhana?]],"Ya",Upaya_Debitur[[#This Row],[Surat Pemberitahuan]:[Gugatan Sederhana]],"")</f>
        <v>8</v>
      </c>
      <c r="CM62" s="36">
        <f ca="1">IF(ISNUMBER(Upaya_Debitur[[#This Row],[Realisasi]]/Upaya_Debitur[[#This Row],[Target Upaya]]),Upaya_Debitur[[#This Row],[Realisasi]]/Upaya_Debitur[[#This Row],[Target Upaya]],1)</f>
        <v>1</v>
      </c>
      <c r="CQ62">
        <v>44</v>
      </c>
      <c r="CR62" s="2">
        <f t="shared" si="2"/>
        <v>45077</v>
      </c>
      <c r="CS62" s="48">
        <f>Periode[[#This Row],[Bulan Ke]]</f>
        <v>44</v>
      </c>
    </row>
    <row r="63" spans="1:97" x14ac:dyDescent="0.3">
      <c r="A63" s="16">
        <v>45</v>
      </c>
      <c r="B63" s="17"/>
      <c r="C63" s="17" t="s">
        <v>273</v>
      </c>
      <c r="D63" s="16" t="s">
        <v>274</v>
      </c>
      <c r="E63" s="37">
        <v>6900000</v>
      </c>
      <c r="F63" s="37">
        <v>0</v>
      </c>
      <c r="G63" s="37">
        <v>0</v>
      </c>
      <c r="H63" s="40">
        <f>SUM(Upaya_Debitur[[#This Row],[Kewajiban Pokok]:[Kewajiban Denda]])</f>
        <v>6900000</v>
      </c>
      <c r="I63" s="37"/>
      <c r="J63" s="40">
        <f>IF(ISNUMBER(Upaya_Debitur[[#This Row],[Angsuran Sesuai PK]]),Upaya_Debitur[[#This Row],[Angsuran Sesuai PK]],1)</f>
        <v>1</v>
      </c>
      <c r="K63" s="76"/>
      <c r="L63" s="16" t="s">
        <v>37</v>
      </c>
      <c r="N63" s="18"/>
      <c r="O63" s="76"/>
      <c r="P63" s="37"/>
      <c r="Q63" s="41"/>
      <c r="R63" s="37"/>
      <c r="S63" s="40">
        <f>IF(Upaya_Debitur[[#This Row],[Periode Haircut]]="",0,IF(Upaya_Debitur[[#This Row],[Periode Haircut]]&lt;=$B$6,Upaya_Debitur[[#This Row],[Haircut]],0))</f>
        <v>0</v>
      </c>
      <c r="T63" s="40">
        <f>IF($B$10="",0,IF($B$10&lt;=$B$6,Upaya_Debitur[[#This Row],[Set Off]],0))</f>
        <v>0</v>
      </c>
      <c r="U63" s="37">
        <v>0</v>
      </c>
      <c r="V63" s="37">
        <v>0</v>
      </c>
      <c r="W63" s="37">
        <v>0</v>
      </c>
      <c r="X63" s="37">
        <v>0</v>
      </c>
      <c r="Y63" s="37">
        <v>0</v>
      </c>
      <c r="Z63" s="37">
        <v>0</v>
      </c>
      <c r="AA63" s="37">
        <v>0</v>
      </c>
      <c r="AB63" s="37">
        <v>0</v>
      </c>
      <c r="AC63" s="37">
        <v>0</v>
      </c>
      <c r="AD63" s="37">
        <v>0</v>
      </c>
      <c r="AE63" s="37">
        <v>0</v>
      </c>
      <c r="AF63" s="37">
        <v>0</v>
      </c>
      <c r="AG63" s="37">
        <v>0</v>
      </c>
      <c r="AH63" s="37">
        <v>0</v>
      </c>
      <c r="AI63" s="37">
        <v>0</v>
      </c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40">
        <f ca="1">SUM(OFFSET(Upaya_Debitur[[#This Row],[Haircut Diperhitungkan]],0,0,1,$B$7+2))</f>
        <v>0</v>
      </c>
      <c r="BR63" s="35" t="str">
        <f ca="1">IF(Upaya_Debitur[[#This Row],[Total Pencairan]]&gt;=Upaya_Debitur[[#This Row],[Kewajiban Total]],"Lunas","Belum Lunas")</f>
        <v>Belum Lunas</v>
      </c>
      <c r="BS63" s="35" t="str">
        <f t="shared" si="3"/>
        <v>Ya</v>
      </c>
      <c r="BT63" s="35" t="str">
        <f t="shared" si="4"/>
        <v>Ya</v>
      </c>
      <c r="BU6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6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6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63" s="35" t="str">
        <f>IF(Upaya_Debitur[[#This Row],[Kondisi Debitur]]="Tidak ditemukan","Ya","Tidak")</f>
        <v>Ya</v>
      </c>
      <c r="BY6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6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6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63" s="18">
        <v>43781</v>
      </c>
      <c r="CC63" s="18">
        <v>43999</v>
      </c>
      <c r="CD63" s="18">
        <v>43826</v>
      </c>
      <c r="CE63" s="18">
        <v>43871</v>
      </c>
      <c r="CF63" s="18">
        <v>43887</v>
      </c>
      <c r="CG63" s="18">
        <v>43888</v>
      </c>
      <c r="CH63" s="18">
        <v>44057</v>
      </c>
      <c r="CI63" s="18">
        <v>44077</v>
      </c>
      <c r="CJ63" s="18"/>
      <c r="CK63" s="35">
        <f ca="1">COUNTIF(Upaya_Debitur[[#This Row],[Surat Pemberitahuan?]:[Gugatan Sederhana?]],"Ya")</f>
        <v>8</v>
      </c>
      <c r="CL63" s="35">
        <f ca="1">Upaya_Debitur[[#This Row],[Target Upaya]]-COUNTIFS(Upaya_Debitur[[#This Row],[Surat Pemberitahuan?]:[Gugatan Sederhana?]],"Ya",Upaya_Debitur[[#This Row],[Surat Pemberitahuan]:[Gugatan Sederhana]],"")</f>
        <v>8</v>
      </c>
      <c r="CM63" s="36">
        <f ca="1">IF(ISNUMBER(Upaya_Debitur[[#This Row],[Realisasi]]/Upaya_Debitur[[#This Row],[Target Upaya]]),Upaya_Debitur[[#This Row],[Realisasi]]/Upaya_Debitur[[#This Row],[Target Upaya]],1)</f>
        <v>1</v>
      </c>
      <c r="CQ63">
        <v>45</v>
      </c>
      <c r="CR63" s="2">
        <f t="shared" si="2"/>
        <v>45107</v>
      </c>
      <c r="CS63" s="48">
        <f>Periode[[#This Row],[Bulan Ke]]</f>
        <v>45</v>
      </c>
    </row>
    <row r="64" spans="1:97" x14ac:dyDescent="0.3">
      <c r="A64" s="16">
        <v>46</v>
      </c>
      <c r="B64" s="17"/>
      <c r="C64" s="17" t="s">
        <v>275</v>
      </c>
      <c r="D64" s="16" t="s">
        <v>276</v>
      </c>
      <c r="E64" s="37">
        <v>1952319</v>
      </c>
      <c r="F64" s="37">
        <v>0</v>
      </c>
      <c r="G64" s="37">
        <v>0</v>
      </c>
      <c r="H64" s="40">
        <f>SUM(Upaya_Debitur[[#This Row],[Kewajiban Pokok]:[Kewajiban Denda]])</f>
        <v>1952319</v>
      </c>
      <c r="I64" s="37"/>
      <c r="J64" s="40">
        <f>IF(ISNUMBER(Upaya_Debitur[[#This Row],[Angsuran Sesuai PK]]),Upaya_Debitur[[#This Row],[Angsuran Sesuai PK]],1)</f>
        <v>1</v>
      </c>
      <c r="K64" s="76"/>
      <c r="L64" s="16" t="s">
        <v>83</v>
      </c>
      <c r="N64" s="18"/>
      <c r="O64" s="76"/>
      <c r="P64" s="37"/>
      <c r="Q64" s="41"/>
      <c r="R64" s="37"/>
      <c r="S64" s="40">
        <f>IF(Upaya_Debitur[[#This Row],[Periode Haircut]]="",0,IF(Upaya_Debitur[[#This Row],[Periode Haircut]]&lt;=$B$6,Upaya_Debitur[[#This Row],[Haircut]],0))</f>
        <v>0</v>
      </c>
      <c r="T64" s="40">
        <f>IF($B$10="",0,IF($B$10&lt;=$B$6,Upaya_Debitur[[#This Row],[Set Off]],0))</f>
        <v>0</v>
      </c>
      <c r="U64" s="37">
        <v>0</v>
      </c>
      <c r="V64" s="37">
        <v>0</v>
      </c>
      <c r="W64" s="37">
        <v>0</v>
      </c>
      <c r="X64" s="37">
        <v>0</v>
      </c>
      <c r="Y64" s="37">
        <v>0</v>
      </c>
      <c r="Z64" s="37">
        <v>0</v>
      </c>
      <c r="AA64" s="37">
        <v>0</v>
      </c>
      <c r="AB64" s="37">
        <v>0</v>
      </c>
      <c r="AC64" s="37">
        <v>0</v>
      </c>
      <c r="AD64" s="37">
        <v>0</v>
      </c>
      <c r="AE64" s="37">
        <v>0</v>
      </c>
      <c r="AF64" s="37">
        <v>0</v>
      </c>
      <c r="AG64" s="37">
        <v>0</v>
      </c>
      <c r="AH64" s="37">
        <v>0</v>
      </c>
      <c r="AI64" s="37">
        <v>0</v>
      </c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40">
        <f ca="1">SUM(OFFSET(Upaya_Debitur[[#This Row],[Haircut Diperhitungkan]],0,0,1,$B$7+2))</f>
        <v>0</v>
      </c>
      <c r="BR64" s="35" t="str">
        <f ca="1">IF(Upaya_Debitur[[#This Row],[Total Pencairan]]&gt;=Upaya_Debitur[[#This Row],[Kewajiban Total]],"Lunas","Belum Lunas")</f>
        <v>Belum Lunas</v>
      </c>
      <c r="BS64" s="35" t="str">
        <f t="shared" si="3"/>
        <v>Ya</v>
      </c>
      <c r="BT64" s="35" t="str">
        <f t="shared" si="4"/>
        <v>Ya</v>
      </c>
      <c r="BU6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6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6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64" s="35" t="str">
        <f>IF(Upaya_Debitur[[#This Row],[Kondisi Debitur]]="Tidak ditemukan","Ya","Tidak")</f>
        <v>Tidak</v>
      </c>
      <c r="BY6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6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6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64" s="18">
        <v>43781</v>
      </c>
      <c r="CC64" s="18">
        <v>43999</v>
      </c>
      <c r="CD64" s="18">
        <v>43826</v>
      </c>
      <c r="CE64" s="18">
        <v>43871</v>
      </c>
      <c r="CF64" s="18">
        <v>43887</v>
      </c>
      <c r="CG64" s="18">
        <v>43888</v>
      </c>
      <c r="CH64" s="18">
        <v>44057</v>
      </c>
      <c r="CI64" s="18">
        <v>44077</v>
      </c>
      <c r="CJ64" s="18"/>
      <c r="CK64" s="35">
        <f ca="1">COUNTIF(Upaya_Debitur[[#This Row],[Surat Pemberitahuan?]:[Gugatan Sederhana?]],"Ya")</f>
        <v>7</v>
      </c>
      <c r="CL64" s="35">
        <f ca="1">Upaya_Debitur[[#This Row],[Target Upaya]]-COUNTIFS(Upaya_Debitur[[#This Row],[Surat Pemberitahuan?]:[Gugatan Sederhana?]],"Ya",Upaya_Debitur[[#This Row],[Surat Pemberitahuan]:[Gugatan Sederhana]],"")</f>
        <v>7</v>
      </c>
      <c r="CM64" s="36">
        <f ca="1">IF(ISNUMBER(Upaya_Debitur[[#This Row],[Realisasi]]/Upaya_Debitur[[#This Row],[Target Upaya]]),Upaya_Debitur[[#This Row],[Realisasi]]/Upaya_Debitur[[#This Row],[Target Upaya]],1)</f>
        <v>1</v>
      </c>
      <c r="CQ64">
        <v>46</v>
      </c>
      <c r="CR64" s="2">
        <f t="shared" si="2"/>
        <v>45138</v>
      </c>
      <c r="CS64" s="48">
        <f>Periode[[#This Row],[Bulan Ke]]</f>
        <v>46</v>
      </c>
    </row>
    <row r="65" spans="1:97" x14ac:dyDescent="0.3">
      <c r="A65" s="16">
        <v>47</v>
      </c>
      <c r="B65" s="17"/>
      <c r="C65" s="17" t="s">
        <v>277</v>
      </c>
      <c r="D65" s="16" t="s">
        <v>278</v>
      </c>
      <c r="E65" s="37">
        <v>175000</v>
      </c>
      <c r="F65" s="37">
        <v>0</v>
      </c>
      <c r="G65" s="37">
        <v>0</v>
      </c>
      <c r="H65" s="40">
        <f>SUM(Upaya_Debitur[[#This Row],[Kewajiban Pokok]:[Kewajiban Denda]])</f>
        <v>175000</v>
      </c>
      <c r="I65" s="37"/>
      <c r="J65" s="40">
        <f>IF(ISNUMBER(Upaya_Debitur[[#This Row],[Angsuran Sesuai PK]]),Upaya_Debitur[[#This Row],[Angsuran Sesuai PK]],1)</f>
        <v>1</v>
      </c>
      <c r="K65" s="76"/>
      <c r="L65" s="16" t="s">
        <v>37</v>
      </c>
      <c r="N65" s="18"/>
      <c r="O65" s="76"/>
      <c r="P65" s="37"/>
      <c r="Q65" s="41"/>
      <c r="R65" s="37"/>
      <c r="S65" s="40">
        <f>IF(Upaya_Debitur[[#This Row],[Periode Haircut]]="",0,IF(Upaya_Debitur[[#This Row],[Periode Haircut]]&lt;=$B$6,Upaya_Debitur[[#This Row],[Haircut]],0))</f>
        <v>0</v>
      </c>
      <c r="T65" s="40">
        <f>IF($B$10="",0,IF($B$10&lt;=$B$6,Upaya_Debitur[[#This Row],[Set Off]],0))</f>
        <v>0</v>
      </c>
      <c r="U65" s="37">
        <v>0</v>
      </c>
      <c r="V65" s="37">
        <v>0</v>
      </c>
      <c r="W65" s="37">
        <v>0</v>
      </c>
      <c r="X65" s="37">
        <v>0</v>
      </c>
      <c r="Y65" s="37">
        <v>0</v>
      </c>
      <c r="Z65" s="37">
        <v>0</v>
      </c>
      <c r="AA65" s="37">
        <v>0</v>
      </c>
      <c r="AB65" s="37">
        <v>0</v>
      </c>
      <c r="AC65" s="37">
        <v>0</v>
      </c>
      <c r="AD65" s="37">
        <v>0</v>
      </c>
      <c r="AE65" s="37">
        <v>0</v>
      </c>
      <c r="AF65" s="37">
        <v>0</v>
      </c>
      <c r="AG65" s="37">
        <v>0</v>
      </c>
      <c r="AH65" s="37">
        <v>0</v>
      </c>
      <c r="AI65" s="37">
        <v>0</v>
      </c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40">
        <f ca="1">SUM(OFFSET(Upaya_Debitur[[#This Row],[Haircut Diperhitungkan]],0,0,1,$B$7+2))</f>
        <v>0</v>
      </c>
      <c r="BR65" s="35" t="str">
        <f ca="1">IF(Upaya_Debitur[[#This Row],[Total Pencairan]]&gt;=Upaya_Debitur[[#This Row],[Kewajiban Total]],"Lunas","Belum Lunas")</f>
        <v>Belum Lunas</v>
      </c>
      <c r="BS65" s="35" t="str">
        <f t="shared" si="3"/>
        <v>Ya</v>
      </c>
      <c r="BT65" s="35" t="str">
        <f t="shared" si="4"/>
        <v>Ya</v>
      </c>
      <c r="BU6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6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6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65" s="35" t="str">
        <f>IF(Upaya_Debitur[[#This Row],[Kondisi Debitur]]="Tidak ditemukan","Ya","Tidak")</f>
        <v>Ya</v>
      </c>
      <c r="BY6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6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6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65" s="18">
        <v>43781</v>
      </c>
      <c r="CC65" s="18">
        <v>43999</v>
      </c>
      <c r="CD65" s="18">
        <v>43826</v>
      </c>
      <c r="CE65" s="18">
        <v>43871</v>
      </c>
      <c r="CF65" s="18">
        <v>43887</v>
      </c>
      <c r="CG65" s="18">
        <v>44035</v>
      </c>
      <c r="CH65" s="18">
        <v>44057</v>
      </c>
      <c r="CI65" s="18">
        <v>44077</v>
      </c>
      <c r="CJ65" s="18"/>
      <c r="CK65" s="35">
        <f ca="1">COUNTIF(Upaya_Debitur[[#This Row],[Surat Pemberitahuan?]:[Gugatan Sederhana?]],"Ya")</f>
        <v>8</v>
      </c>
      <c r="CL65" s="35">
        <f ca="1">Upaya_Debitur[[#This Row],[Target Upaya]]-COUNTIFS(Upaya_Debitur[[#This Row],[Surat Pemberitahuan?]:[Gugatan Sederhana?]],"Ya",Upaya_Debitur[[#This Row],[Surat Pemberitahuan]:[Gugatan Sederhana]],"")</f>
        <v>8</v>
      </c>
      <c r="CM65" s="36">
        <f ca="1">IF(ISNUMBER(Upaya_Debitur[[#This Row],[Realisasi]]/Upaya_Debitur[[#This Row],[Target Upaya]]),Upaya_Debitur[[#This Row],[Realisasi]]/Upaya_Debitur[[#This Row],[Target Upaya]],1)</f>
        <v>1</v>
      </c>
      <c r="CQ65">
        <v>47</v>
      </c>
      <c r="CR65" s="2">
        <f t="shared" si="2"/>
        <v>45169</v>
      </c>
      <c r="CS65" s="48">
        <f>Periode[[#This Row],[Bulan Ke]]</f>
        <v>47</v>
      </c>
    </row>
    <row r="66" spans="1:97" x14ac:dyDescent="0.3">
      <c r="A66" s="16">
        <v>48</v>
      </c>
      <c r="B66" s="17"/>
      <c r="C66" s="17" t="s">
        <v>279</v>
      </c>
      <c r="D66" s="16" t="s">
        <v>280</v>
      </c>
      <c r="E66" s="37">
        <v>2804915</v>
      </c>
      <c r="F66" s="37">
        <v>0</v>
      </c>
      <c r="G66" s="37">
        <v>0</v>
      </c>
      <c r="H66" s="40">
        <f>SUM(Upaya_Debitur[[#This Row],[Kewajiban Pokok]:[Kewajiban Denda]])</f>
        <v>2804915</v>
      </c>
      <c r="I66" s="37"/>
      <c r="J66" s="40">
        <f>IF(ISNUMBER(Upaya_Debitur[[#This Row],[Angsuran Sesuai PK]]),Upaya_Debitur[[#This Row],[Angsuran Sesuai PK]],1)</f>
        <v>1</v>
      </c>
      <c r="K66" s="76"/>
      <c r="L66" s="16" t="s">
        <v>38</v>
      </c>
      <c r="N66" s="18"/>
      <c r="O66" s="76"/>
      <c r="P66" s="37"/>
      <c r="Q66" s="41"/>
      <c r="R66" s="37"/>
      <c r="S66" s="40">
        <f>IF(Upaya_Debitur[[#This Row],[Periode Haircut]]="",0,IF(Upaya_Debitur[[#This Row],[Periode Haircut]]&lt;=$B$6,Upaya_Debitur[[#This Row],[Haircut]],0))</f>
        <v>0</v>
      </c>
      <c r="T66" s="40">
        <f>IF($B$10="",0,IF($B$10&lt;=$B$6,Upaya_Debitur[[#This Row],[Set Off]],0))</f>
        <v>0</v>
      </c>
      <c r="U66" s="37">
        <v>0</v>
      </c>
      <c r="V66" s="37">
        <v>0</v>
      </c>
      <c r="W66" s="37">
        <v>0</v>
      </c>
      <c r="X66" s="37">
        <v>0</v>
      </c>
      <c r="Y66" s="37">
        <v>0</v>
      </c>
      <c r="Z66" s="37">
        <v>0</v>
      </c>
      <c r="AA66" s="37">
        <v>0</v>
      </c>
      <c r="AB66" s="37">
        <v>0</v>
      </c>
      <c r="AC66" s="37">
        <v>0</v>
      </c>
      <c r="AD66" s="37">
        <v>0</v>
      </c>
      <c r="AE66" s="37">
        <v>0</v>
      </c>
      <c r="AF66" s="37">
        <v>0</v>
      </c>
      <c r="AG66" s="37">
        <v>0</v>
      </c>
      <c r="AH66" s="37">
        <v>0</v>
      </c>
      <c r="AI66" s="37">
        <v>0</v>
      </c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40">
        <f ca="1">SUM(OFFSET(Upaya_Debitur[[#This Row],[Haircut Diperhitungkan]],0,0,1,$B$7+2))</f>
        <v>0</v>
      </c>
      <c r="BR66" s="35" t="str">
        <f ca="1">IF(Upaya_Debitur[[#This Row],[Total Pencairan]]&gt;=Upaya_Debitur[[#This Row],[Kewajiban Total]],"Lunas","Belum Lunas")</f>
        <v>Belum Lunas</v>
      </c>
      <c r="BS66" s="35" t="str">
        <f t="shared" si="3"/>
        <v>Ya</v>
      </c>
      <c r="BT66" s="35" t="str">
        <f t="shared" si="4"/>
        <v>Ya</v>
      </c>
      <c r="BU6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6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6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66" s="35" t="str">
        <f>IF(Upaya_Debitur[[#This Row],[Kondisi Debitur]]="Tidak ditemukan","Ya","Tidak")</f>
        <v>Tidak</v>
      </c>
      <c r="BY6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6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6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66" s="18">
        <v>43781</v>
      </c>
      <c r="CC66" s="18">
        <v>43999</v>
      </c>
      <c r="CD66" s="18">
        <v>43826</v>
      </c>
      <c r="CE66" s="18">
        <v>43871</v>
      </c>
      <c r="CF66" s="18">
        <v>43887</v>
      </c>
      <c r="CG66" s="18">
        <v>43888</v>
      </c>
      <c r="CH66" s="18">
        <v>44057</v>
      </c>
      <c r="CI66" s="18">
        <v>44077</v>
      </c>
      <c r="CJ66" s="18"/>
      <c r="CK66" s="35">
        <f ca="1">COUNTIF(Upaya_Debitur[[#This Row],[Surat Pemberitahuan?]:[Gugatan Sederhana?]],"Ya")</f>
        <v>7</v>
      </c>
      <c r="CL66" s="35">
        <f ca="1">Upaya_Debitur[[#This Row],[Target Upaya]]-COUNTIFS(Upaya_Debitur[[#This Row],[Surat Pemberitahuan?]:[Gugatan Sederhana?]],"Ya",Upaya_Debitur[[#This Row],[Surat Pemberitahuan]:[Gugatan Sederhana]],"")</f>
        <v>7</v>
      </c>
      <c r="CM66" s="36">
        <f ca="1">IF(ISNUMBER(Upaya_Debitur[[#This Row],[Realisasi]]/Upaya_Debitur[[#This Row],[Target Upaya]]),Upaya_Debitur[[#This Row],[Realisasi]]/Upaya_Debitur[[#This Row],[Target Upaya]],1)</f>
        <v>1</v>
      </c>
      <c r="CQ66">
        <v>48</v>
      </c>
      <c r="CR66" s="2">
        <f t="shared" si="2"/>
        <v>45199</v>
      </c>
      <c r="CS66" s="48">
        <f>Periode[[#This Row],[Bulan Ke]]</f>
        <v>48</v>
      </c>
    </row>
    <row r="67" spans="1:97" x14ac:dyDescent="0.3">
      <c r="A67" s="16">
        <v>49</v>
      </c>
      <c r="B67" s="17"/>
      <c r="C67" s="17" t="s">
        <v>281</v>
      </c>
      <c r="D67" s="16" t="s">
        <v>282</v>
      </c>
      <c r="E67" s="37">
        <v>11825000</v>
      </c>
      <c r="F67" s="37">
        <v>0</v>
      </c>
      <c r="G67" s="37">
        <v>0</v>
      </c>
      <c r="H67" s="40">
        <f>SUM(Upaya_Debitur[[#This Row],[Kewajiban Pokok]:[Kewajiban Denda]])</f>
        <v>11825000</v>
      </c>
      <c r="I67" s="37"/>
      <c r="J67" s="40">
        <f>IF(ISNUMBER(Upaya_Debitur[[#This Row],[Angsuran Sesuai PK]]),Upaya_Debitur[[#This Row],[Angsuran Sesuai PK]],1)</f>
        <v>1</v>
      </c>
      <c r="K67" s="76"/>
      <c r="L67" s="16" t="s">
        <v>83</v>
      </c>
      <c r="N67" s="18"/>
      <c r="O67" s="76"/>
      <c r="P67" s="37"/>
      <c r="Q67" s="41"/>
      <c r="R67" s="37"/>
      <c r="S67" s="40">
        <f>IF(Upaya_Debitur[[#This Row],[Periode Haircut]]="",0,IF(Upaya_Debitur[[#This Row],[Periode Haircut]]&lt;=$B$6,Upaya_Debitur[[#This Row],[Haircut]],0))</f>
        <v>0</v>
      </c>
      <c r="T67" s="40">
        <f>IF($B$10="",0,IF($B$10&lt;=$B$6,Upaya_Debitur[[#This Row],[Set Off]],0))</f>
        <v>0</v>
      </c>
      <c r="U67" s="37">
        <v>0</v>
      </c>
      <c r="V67" s="37">
        <v>0</v>
      </c>
      <c r="W67" s="37">
        <v>0</v>
      </c>
      <c r="X67" s="37">
        <v>0</v>
      </c>
      <c r="Y67" s="37">
        <v>0</v>
      </c>
      <c r="Z67" s="37">
        <v>0</v>
      </c>
      <c r="AA67" s="37">
        <v>0</v>
      </c>
      <c r="AB67" s="37">
        <v>0</v>
      </c>
      <c r="AC67" s="37">
        <v>0</v>
      </c>
      <c r="AD67" s="37">
        <v>0</v>
      </c>
      <c r="AE67" s="37">
        <v>0</v>
      </c>
      <c r="AF67" s="37">
        <v>0</v>
      </c>
      <c r="AG67" s="37">
        <v>0</v>
      </c>
      <c r="AH67" s="37">
        <v>0</v>
      </c>
      <c r="AI67" s="37">
        <v>0</v>
      </c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40">
        <f ca="1">SUM(OFFSET(Upaya_Debitur[[#This Row],[Haircut Diperhitungkan]],0,0,1,$B$7+2))</f>
        <v>0</v>
      </c>
      <c r="BR67" s="35" t="str">
        <f ca="1">IF(Upaya_Debitur[[#This Row],[Total Pencairan]]&gt;=Upaya_Debitur[[#This Row],[Kewajiban Total]],"Lunas","Belum Lunas")</f>
        <v>Belum Lunas</v>
      </c>
      <c r="BS67" s="35" t="str">
        <f t="shared" si="3"/>
        <v>Ya</v>
      </c>
      <c r="BT67" s="35" t="str">
        <f t="shared" si="4"/>
        <v>Ya</v>
      </c>
      <c r="BU6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6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6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67" s="35" t="str">
        <f>IF(Upaya_Debitur[[#This Row],[Kondisi Debitur]]="Tidak ditemukan","Ya","Tidak")</f>
        <v>Tidak</v>
      </c>
      <c r="BY6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6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6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67" s="18">
        <v>43781</v>
      </c>
      <c r="CC67" s="18">
        <v>43999</v>
      </c>
      <c r="CD67" s="18">
        <v>43826</v>
      </c>
      <c r="CE67" s="18">
        <v>43871</v>
      </c>
      <c r="CF67" s="18">
        <v>43887</v>
      </c>
      <c r="CG67" s="18"/>
      <c r="CH67" s="18">
        <v>44057</v>
      </c>
      <c r="CI67" s="18">
        <v>44077</v>
      </c>
      <c r="CJ67" s="18"/>
      <c r="CK67" s="35">
        <f ca="1">COUNTIF(Upaya_Debitur[[#This Row],[Surat Pemberitahuan?]:[Gugatan Sederhana?]],"Ya")</f>
        <v>7</v>
      </c>
      <c r="CL67" s="35">
        <f ca="1">Upaya_Debitur[[#This Row],[Target Upaya]]-COUNTIFS(Upaya_Debitur[[#This Row],[Surat Pemberitahuan?]:[Gugatan Sederhana?]],"Ya",Upaya_Debitur[[#This Row],[Surat Pemberitahuan]:[Gugatan Sederhana]],"")</f>
        <v>7</v>
      </c>
      <c r="CM67" s="36">
        <f ca="1">IF(ISNUMBER(Upaya_Debitur[[#This Row],[Realisasi]]/Upaya_Debitur[[#This Row],[Target Upaya]]),Upaya_Debitur[[#This Row],[Realisasi]]/Upaya_Debitur[[#This Row],[Target Upaya]],1)</f>
        <v>1</v>
      </c>
    </row>
    <row r="68" spans="1:97" x14ac:dyDescent="0.3">
      <c r="A68" s="16">
        <v>50</v>
      </c>
      <c r="B68" s="17"/>
      <c r="C68" s="17" t="s">
        <v>283</v>
      </c>
      <c r="D68" s="16" t="s">
        <v>284</v>
      </c>
      <c r="E68" s="37">
        <v>221766</v>
      </c>
      <c r="F68" s="37">
        <v>0</v>
      </c>
      <c r="G68" s="37">
        <v>0</v>
      </c>
      <c r="H68" s="40">
        <f>SUM(Upaya_Debitur[[#This Row],[Kewajiban Pokok]:[Kewajiban Denda]])</f>
        <v>221766</v>
      </c>
      <c r="I68" s="37"/>
      <c r="J68" s="40">
        <f>IF(ISNUMBER(Upaya_Debitur[[#This Row],[Angsuran Sesuai PK]]),Upaya_Debitur[[#This Row],[Angsuran Sesuai PK]],1)</f>
        <v>1</v>
      </c>
      <c r="K68" s="76"/>
      <c r="L68" s="16" t="s">
        <v>37</v>
      </c>
      <c r="N68" s="18"/>
      <c r="O68" s="76"/>
      <c r="P68" s="37"/>
      <c r="Q68" s="41"/>
      <c r="R68" s="37"/>
      <c r="S68" s="40">
        <f>IF(Upaya_Debitur[[#This Row],[Periode Haircut]]="",0,IF(Upaya_Debitur[[#This Row],[Periode Haircut]]&lt;=$B$6,Upaya_Debitur[[#This Row],[Haircut]],0))</f>
        <v>0</v>
      </c>
      <c r="T68" s="40">
        <f>IF($B$10="",0,IF($B$10&lt;=$B$6,Upaya_Debitur[[#This Row],[Set Off]],0))</f>
        <v>0</v>
      </c>
      <c r="U68" s="37">
        <v>0</v>
      </c>
      <c r="V68" s="37">
        <v>0</v>
      </c>
      <c r="W68" s="37">
        <v>0</v>
      </c>
      <c r="X68" s="37">
        <v>0</v>
      </c>
      <c r="Y68" s="37">
        <v>0</v>
      </c>
      <c r="Z68" s="37">
        <v>0</v>
      </c>
      <c r="AA68" s="37">
        <v>0</v>
      </c>
      <c r="AB68" s="37">
        <v>0</v>
      </c>
      <c r="AC68" s="37">
        <v>0</v>
      </c>
      <c r="AD68" s="37">
        <v>0</v>
      </c>
      <c r="AE68" s="37">
        <v>0</v>
      </c>
      <c r="AF68" s="37">
        <v>0</v>
      </c>
      <c r="AG68" s="37">
        <v>0</v>
      </c>
      <c r="AH68" s="37">
        <v>0</v>
      </c>
      <c r="AI68" s="37">
        <v>0</v>
      </c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40">
        <f ca="1">SUM(OFFSET(Upaya_Debitur[[#This Row],[Haircut Diperhitungkan]],0,0,1,$B$7+2))</f>
        <v>0</v>
      </c>
      <c r="BR68" s="35" t="str">
        <f ca="1">IF(Upaya_Debitur[[#This Row],[Total Pencairan]]&gt;=Upaya_Debitur[[#This Row],[Kewajiban Total]],"Lunas","Belum Lunas")</f>
        <v>Belum Lunas</v>
      </c>
      <c r="BS68" s="35" t="str">
        <f t="shared" si="3"/>
        <v>Ya</v>
      </c>
      <c r="BT68" s="35" t="str">
        <f t="shared" si="4"/>
        <v>Ya</v>
      </c>
      <c r="BU6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6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6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68" s="35" t="str">
        <f>IF(Upaya_Debitur[[#This Row],[Kondisi Debitur]]="Tidak ditemukan","Ya","Tidak")</f>
        <v>Ya</v>
      </c>
      <c r="BY6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6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6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68" s="18">
        <v>43781</v>
      </c>
      <c r="CC68" s="18">
        <v>43999</v>
      </c>
      <c r="CD68" s="18">
        <v>43826</v>
      </c>
      <c r="CE68" s="18">
        <v>43871</v>
      </c>
      <c r="CF68" s="18">
        <v>43887</v>
      </c>
      <c r="CG68" s="18">
        <v>44035</v>
      </c>
      <c r="CH68" s="18">
        <v>44057</v>
      </c>
      <c r="CI68" s="18">
        <v>44077</v>
      </c>
      <c r="CJ68" s="18"/>
      <c r="CK68" s="35">
        <f ca="1">COUNTIF(Upaya_Debitur[[#This Row],[Surat Pemberitahuan?]:[Gugatan Sederhana?]],"Ya")</f>
        <v>8</v>
      </c>
      <c r="CL68" s="35">
        <f ca="1">Upaya_Debitur[[#This Row],[Target Upaya]]-COUNTIFS(Upaya_Debitur[[#This Row],[Surat Pemberitahuan?]:[Gugatan Sederhana?]],"Ya",Upaya_Debitur[[#This Row],[Surat Pemberitahuan]:[Gugatan Sederhana]],"")</f>
        <v>8</v>
      </c>
      <c r="CM68" s="36">
        <f ca="1">IF(ISNUMBER(Upaya_Debitur[[#This Row],[Realisasi]]/Upaya_Debitur[[#This Row],[Target Upaya]]),Upaya_Debitur[[#This Row],[Realisasi]]/Upaya_Debitur[[#This Row],[Target Upaya]],1)</f>
        <v>1</v>
      </c>
    </row>
    <row r="69" spans="1:97" x14ac:dyDescent="0.3">
      <c r="A69" s="16">
        <v>51</v>
      </c>
      <c r="B69" s="17"/>
      <c r="C69" s="17" t="s">
        <v>285</v>
      </c>
      <c r="D69" s="16" t="s">
        <v>286</v>
      </c>
      <c r="E69" s="37">
        <v>635000</v>
      </c>
      <c r="F69" s="37">
        <v>0</v>
      </c>
      <c r="G69" s="37">
        <v>0</v>
      </c>
      <c r="H69" s="40">
        <f>SUM(Upaya_Debitur[[#This Row],[Kewajiban Pokok]:[Kewajiban Denda]])</f>
        <v>635000</v>
      </c>
      <c r="I69" s="37"/>
      <c r="J69" s="40">
        <f>IF(ISNUMBER(Upaya_Debitur[[#This Row],[Angsuran Sesuai PK]]),Upaya_Debitur[[#This Row],[Angsuran Sesuai PK]],1)</f>
        <v>1</v>
      </c>
      <c r="K69" s="76"/>
      <c r="L69" s="16" t="s">
        <v>37</v>
      </c>
      <c r="N69" s="18"/>
      <c r="O69" s="76"/>
      <c r="P69" s="37"/>
      <c r="Q69" s="41"/>
      <c r="R69" s="37"/>
      <c r="S69" s="40">
        <f>IF(Upaya_Debitur[[#This Row],[Periode Haircut]]="",0,IF(Upaya_Debitur[[#This Row],[Periode Haircut]]&lt;=$B$6,Upaya_Debitur[[#This Row],[Haircut]],0))</f>
        <v>0</v>
      </c>
      <c r="T69" s="40">
        <f>IF($B$10="",0,IF($B$10&lt;=$B$6,Upaya_Debitur[[#This Row],[Set Off]],0))</f>
        <v>0</v>
      </c>
      <c r="U69" s="37">
        <v>0</v>
      </c>
      <c r="V69" s="37">
        <v>0</v>
      </c>
      <c r="W69" s="37">
        <v>0</v>
      </c>
      <c r="X69" s="37">
        <v>0</v>
      </c>
      <c r="Y69" s="37">
        <v>0</v>
      </c>
      <c r="Z69" s="37">
        <v>0</v>
      </c>
      <c r="AA69" s="37">
        <v>0</v>
      </c>
      <c r="AB69" s="37">
        <v>0</v>
      </c>
      <c r="AC69" s="37">
        <v>0</v>
      </c>
      <c r="AD69" s="37">
        <v>0</v>
      </c>
      <c r="AE69" s="37">
        <v>0</v>
      </c>
      <c r="AF69" s="37">
        <v>0</v>
      </c>
      <c r="AG69" s="37">
        <v>0</v>
      </c>
      <c r="AH69" s="37">
        <v>0</v>
      </c>
      <c r="AI69" s="37">
        <v>0</v>
      </c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40">
        <f ca="1">SUM(OFFSET(Upaya_Debitur[[#This Row],[Haircut Diperhitungkan]],0,0,1,$B$7+2))</f>
        <v>0</v>
      </c>
      <c r="BR69" s="35" t="str">
        <f ca="1">IF(Upaya_Debitur[[#This Row],[Total Pencairan]]&gt;=Upaya_Debitur[[#This Row],[Kewajiban Total]],"Lunas","Belum Lunas")</f>
        <v>Belum Lunas</v>
      </c>
      <c r="BS69" s="35" t="str">
        <f t="shared" si="3"/>
        <v>Ya</v>
      </c>
      <c r="BT69" s="35" t="str">
        <f t="shared" si="4"/>
        <v>Ya</v>
      </c>
      <c r="BU6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6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6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69" s="35" t="str">
        <f>IF(Upaya_Debitur[[#This Row],[Kondisi Debitur]]="Tidak ditemukan","Ya","Tidak")</f>
        <v>Ya</v>
      </c>
      <c r="BY6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6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6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69" s="18">
        <v>43781</v>
      </c>
      <c r="CC69" s="18">
        <v>43999</v>
      </c>
      <c r="CD69" s="18">
        <v>43826</v>
      </c>
      <c r="CE69" s="18">
        <v>43871</v>
      </c>
      <c r="CF69" s="18">
        <v>43887</v>
      </c>
      <c r="CG69" s="18">
        <v>43888</v>
      </c>
      <c r="CH69" s="18">
        <v>44057</v>
      </c>
      <c r="CI69" s="18">
        <v>44077</v>
      </c>
      <c r="CJ69" s="18"/>
      <c r="CK69" s="35">
        <f ca="1">COUNTIF(Upaya_Debitur[[#This Row],[Surat Pemberitahuan?]:[Gugatan Sederhana?]],"Ya")</f>
        <v>8</v>
      </c>
      <c r="CL69" s="35">
        <f ca="1">Upaya_Debitur[[#This Row],[Target Upaya]]-COUNTIFS(Upaya_Debitur[[#This Row],[Surat Pemberitahuan?]:[Gugatan Sederhana?]],"Ya",Upaya_Debitur[[#This Row],[Surat Pemberitahuan]:[Gugatan Sederhana]],"")</f>
        <v>8</v>
      </c>
      <c r="CM69" s="36">
        <f ca="1">IF(ISNUMBER(Upaya_Debitur[[#This Row],[Realisasi]]/Upaya_Debitur[[#This Row],[Target Upaya]]),Upaya_Debitur[[#This Row],[Realisasi]]/Upaya_Debitur[[#This Row],[Target Upaya]],1)</f>
        <v>1</v>
      </c>
    </row>
    <row r="70" spans="1:97" x14ac:dyDescent="0.3">
      <c r="A70" s="16">
        <v>52</v>
      </c>
      <c r="B70" s="17"/>
      <c r="C70" s="17" t="s">
        <v>287</v>
      </c>
      <c r="D70" s="16" t="s">
        <v>288</v>
      </c>
      <c r="E70" s="37">
        <v>3100000</v>
      </c>
      <c r="F70" s="37">
        <v>0</v>
      </c>
      <c r="G70" s="37">
        <v>0</v>
      </c>
      <c r="H70" s="40">
        <f>SUM(Upaya_Debitur[[#This Row],[Kewajiban Pokok]:[Kewajiban Denda]])</f>
        <v>3100000</v>
      </c>
      <c r="I70" s="37"/>
      <c r="J70" s="40">
        <f>IF(ISNUMBER(Upaya_Debitur[[#This Row],[Angsuran Sesuai PK]]),Upaya_Debitur[[#This Row],[Angsuran Sesuai PK]],1)</f>
        <v>1</v>
      </c>
      <c r="K70" s="76"/>
      <c r="L70" s="16" t="s">
        <v>37</v>
      </c>
      <c r="N70" s="18"/>
      <c r="O70" s="76"/>
      <c r="P70" s="37"/>
      <c r="Q70" s="41"/>
      <c r="R70" s="37"/>
      <c r="S70" s="40">
        <f>IF(Upaya_Debitur[[#This Row],[Periode Haircut]]="",0,IF(Upaya_Debitur[[#This Row],[Periode Haircut]]&lt;=$B$6,Upaya_Debitur[[#This Row],[Haircut]],0))</f>
        <v>0</v>
      </c>
      <c r="T70" s="40">
        <f>IF($B$10="",0,IF($B$10&lt;=$B$6,Upaya_Debitur[[#This Row],[Set Off]],0))</f>
        <v>0</v>
      </c>
      <c r="U70" s="37">
        <v>0</v>
      </c>
      <c r="V70" s="37">
        <v>0</v>
      </c>
      <c r="W70" s="37">
        <v>0</v>
      </c>
      <c r="X70" s="37">
        <v>0</v>
      </c>
      <c r="Y70" s="37">
        <v>0</v>
      </c>
      <c r="Z70" s="37">
        <v>0</v>
      </c>
      <c r="AA70" s="37">
        <v>0</v>
      </c>
      <c r="AB70" s="37">
        <v>0</v>
      </c>
      <c r="AC70" s="37">
        <v>0</v>
      </c>
      <c r="AD70" s="37">
        <v>0</v>
      </c>
      <c r="AE70" s="37">
        <v>0</v>
      </c>
      <c r="AF70" s="37">
        <v>0</v>
      </c>
      <c r="AG70" s="37">
        <v>0</v>
      </c>
      <c r="AH70" s="37">
        <v>0</v>
      </c>
      <c r="AI70" s="37">
        <v>0</v>
      </c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40">
        <f ca="1">SUM(OFFSET(Upaya_Debitur[[#This Row],[Haircut Diperhitungkan]],0,0,1,$B$7+2))</f>
        <v>0</v>
      </c>
      <c r="BR70" s="35" t="str">
        <f ca="1">IF(Upaya_Debitur[[#This Row],[Total Pencairan]]&gt;=Upaya_Debitur[[#This Row],[Kewajiban Total]],"Lunas","Belum Lunas")</f>
        <v>Belum Lunas</v>
      </c>
      <c r="BS70" s="35" t="str">
        <f t="shared" si="3"/>
        <v>Ya</v>
      </c>
      <c r="BT70" s="35" t="str">
        <f t="shared" si="4"/>
        <v>Ya</v>
      </c>
      <c r="BU7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7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7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70" s="35" t="str">
        <f>IF(Upaya_Debitur[[#This Row],[Kondisi Debitur]]="Tidak ditemukan","Ya","Tidak")</f>
        <v>Ya</v>
      </c>
      <c r="BY7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7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7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70" s="18">
        <v>43781</v>
      </c>
      <c r="CC70" s="18">
        <v>43999</v>
      </c>
      <c r="CD70" s="18">
        <v>43826</v>
      </c>
      <c r="CE70" s="18">
        <v>43871</v>
      </c>
      <c r="CF70" s="18">
        <v>43887</v>
      </c>
      <c r="CG70" s="18">
        <v>43888</v>
      </c>
      <c r="CH70" s="18">
        <v>44057</v>
      </c>
      <c r="CI70" s="18">
        <v>44077</v>
      </c>
      <c r="CJ70" s="18"/>
      <c r="CK70" s="35">
        <f ca="1">COUNTIF(Upaya_Debitur[[#This Row],[Surat Pemberitahuan?]:[Gugatan Sederhana?]],"Ya")</f>
        <v>8</v>
      </c>
      <c r="CL70" s="35">
        <f ca="1">Upaya_Debitur[[#This Row],[Target Upaya]]-COUNTIFS(Upaya_Debitur[[#This Row],[Surat Pemberitahuan?]:[Gugatan Sederhana?]],"Ya",Upaya_Debitur[[#This Row],[Surat Pemberitahuan]:[Gugatan Sederhana]],"")</f>
        <v>8</v>
      </c>
      <c r="CM70" s="36">
        <f ca="1">IF(ISNUMBER(Upaya_Debitur[[#This Row],[Realisasi]]/Upaya_Debitur[[#This Row],[Target Upaya]]),Upaya_Debitur[[#This Row],[Realisasi]]/Upaya_Debitur[[#This Row],[Target Upaya]],1)</f>
        <v>1</v>
      </c>
    </row>
    <row r="71" spans="1:97" x14ac:dyDescent="0.3">
      <c r="A71" s="16">
        <v>53</v>
      </c>
      <c r="B71" s="17"/>
      <c r="C71" s="17" t="s">
        <v>289</v>
      </c>
      <c r="D71" s="16" t="s">
        <v>290</v>
      </c>
      <c r="E71" s="37">
        <v>2500000</v>
      </c>
      <c r="F71" s="37">
        <v>0</v>
      </c>
      <c r="G71" s="37">
        <v>0</v>
      </c>
      <c r="H71" s="40">
        <f>SUM(Upaya_Debitur[[#This Row],[Kewajiban Pokok]:[Kewajiban Denda]])</f>
        <v>2500000</v>
      </c>
      <c r="I71" s="37"/>
      <c r="J71" s="40">
        <f>IF(ISNUMBER(Upaya_Debitur[[#This Row],[Angsuran Sesuai PK]]),Upaya_Debitur[[#This Row],[Angsuran Sesuai PK]],1)</f>
        <v>1</v>
      </c>
      <c r="K71" s="76"/>
      <c r="L71" s="16" t="s">
        <v>37</v>
      </c>
      <c r="N71" s="18"/>
      <c r="O71" s="76"/>
      <c r="P71" s="37"/>
      <c r="Q71" s="41"/>
      <c r="R71" s="37"/>
      <c r="S71" s="40">
        <f>IF(Upaya_Debitur[[#This Row],[Periode Haircut]]="",0,IF(Upaya_Debitur[[#This Row],[Periode Haircut]]&lt;=$B$6,Upaya_Debitur[[#This Row],[Haircut]],0))</f>
        <v>0</v>
      </c>
      <c r="T71" s="40">
        <f>IF($B$10="",0,IF($B$10&lt;=$B$6,Upaya_Debitur[[#This Row],[Set Off]],0))</f>
        <v>0</v>
      </c>
      <c r="U71" s="37">
        <v>0</v>
      </c>
      <c r="V71" s="37">
        <v>0</v>
      </c>
      <c r="W71" s="37">
        <v>0</v>
      </c>
      <c r="X71" s="37">
        <v>0</v>
      </c>
      <c r="Y71" s="37">
        <v>0</v>
      </c>
      <c r="Z71" s="37">
        <v>0</v>
      </c>
      <c r="AA71" s="37">
        <v>0</v>
      </c>
      <c r="AB71" s="37">
        <v>0</v>
      </c>
      <c r="AC71" s="37">
        <v>0</v>
      </c>
      <c r="AD71" s="37">
        <v>0</v>
      </c>
      <c r="AE71" s="37">
        <v>0</v>
      </c>
      <c r="AF71" s="37">
        <v>0</v>
      </c>
      <c r="AG71" s="37">
        <v>0</v>
      </c>
      <c r="AH71" s="37">
        <v>0</v>
      </c>
      <c r="AI71" s="37">
        <v>0</v>
      </c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40">
        <f ca="1">SUM(OFFSET(Upaya_Debitur[[#This Row],[Haircut Diperhitungkan]],0,0,1,$B$7+2))</f>
        <v>0</v>
      </c>
      <c r="BR71" s="35" t="str">
        <f ca="1">IF(Upaya_Debitur[[#This Row],[Total Pencairan]]&gt;=Upaya_Debitur[[#This Row],[Kewajiban Total]],"Lunas","Belum Lunas")</f>
        <v>Belum Lunas</v>
      </c>
      <c r="BS71" s="35" t="str">
        <f t="shared" si="3"/>
        <v>Ya</v>
      </c>
      <c r="BT71" s="35" t="str">
        <f t="shared" si="4"/>
        <v>Ya</v>
      </c>
      <c r="BU7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7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7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71" s="35" t="str">
        <f>IF(Upaya_Debitur[[#This Row],[Kondisi Debitur]]="Tidak ditemukan","Ya","Tidak")</f>
        <v>Ya</v>
      </c>
      <c r="BY7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7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7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71" s="18">
        <v>43781</v>
      </c>
      <c r="CC71" s="18">
        <v>43999</v>
      </c>
      <c r="CD71" s="18">
        <v>43826</v>
      </c>
      <c r="CE71" s="18">
        <v>43871</v>
      </c>
      <c r="CF71" s="18">
        <v>43887</v>
      </c>
      <c r="CG71" s="18">
        <v>43888</v>
      </c>
      <c r="CH71" s="18">
        <v>44057</v>
      </c>
      <c r="CI71" s="18">
        <v>44077</v>
      </c>
      <c r="CJ71" s="18"/>
      <c r="CK71" s="35">
        <f ca="1">COUNTIF(Upaya_Debitur[[#This Row],[Surat Pemberitahuan?]:[Gugatan Sederhana?]],"Ya")</f>
        <v>8</v>
      </c>
      <c r="CL71" s="35">
        <f ca="1">Upaya_Debitur[[#This Row],[Target Upaya]]-COUNTIFS(Upaya_Debitur[[#This Row],[Surat Pemberitahuan?]:[Gugatan Sederhana?]],"Ya",Upaya_Debitur[[#This Row],[Surat Pemberitahuan]:[Gugatan Sederhana]],"")</f>
        <v>8</v>
      </c>
      <c r="CM71" s="36">
        <f ca="1">IF(ISNUMBER(Upaya_Debitur[[#This Row],[Realisasi]]/Upaya_Debitur[[#This Row],[Target Upaya]]),Upaya_Debitur[[#This Row],[Realisasi]]/Upaya_Debitur[[#This Row],[Target Upaya]],1)</f>
        <v>1</v>
      </c>
    </row>
    <row r="72" spans="1:97" x14ac:dyDescent="0.3">
      <c r="A72" s="16">
        <v>54</v>
      </c>
      <c r="B72" s="17"/>
      <c r="C72" s="17" t="s">
        <v>291</v>
      </c>
      <c r="D72" s="16" t="s">
        <v>292</v>
      </c>
      <c r="E72" s="37">
        <v>255000</v>
      </c>
      <c r="F72" s="37">
        <v>0</v>
      </c>
      <c r="G72" s="37">
        <v>0</v>
      </c>
      <c r="H72" s="40">
        <f>SUM(Upaya_Debitur[[#This Row],[Kewajiban Pokok]:[Kewajiban Denda]])</f>
        <v>255000</v>
      </c>
      <c r="I72" s="37"/>
      <c r="J72" s="40">
        <f>IF(ISNUMBER(Upaya_Debitur[[#This Row],[Angsuran Sesuai PK]]),Upaya_Debitur[[#This Row],[Angsuran Sesuai PK]],1)</f>
        <v>1</v>
      </c>
      <c r="K72" s="76"/>
      <c r="L72" s="16" t="s">
        <v>37</v>
      </c>
      <c r="N72" s="18"/>
      <c r="O72" s="76"/>
      <c r="P72" s="37"/>
      <c r="Q72" s="41"/>
      <c r="R72" s="37"/>
      <c r="S72" s="40">
        <f>IF(Upaya_Debitur[[#This Row],[Periode Haircut]]="",0,IF(Upaya_Debitur[[#This Row],[Periode Haircut]]&lt;=$B$6,Upaya_Debitur[[#This Row],[Haircut]],0))</f>
        <v>0</v>
      </c>
      <c r="T72" s="40">
        <f>IF($B$10="",0,IF($B$10&lt;=$B$6,Upaya_Debitur[[#This Row],[Set Off]],0))</f>
        <v>0</v>
      </c>
      <c r="U72" s="37">
        <v>0</v>
      </c>
      <c r="V72" s="37">
        <v>0</v>
      </c>
      <c r="W72" s="37">
        <v>0</v>
      </c>
      <c r="X72" s="37">
        <v>255000</v>
      </c>
      <c r="Y72" s="37">
        <v>0</v>
      </c>
      <c r="Z72" s="37">
        <v>0</v>
      </c>
      <c r="AA72" s="37">
        <v>0</v>
      </c>
      <c r="AB72" s="37">
        <v>0</v>
      </c>
      <c r="AC72" s="37">
        <v>0</v>
      </c>
      <c r="AD72" s="37">
        <v>0</v>
      </c>
      <c r="AE72" s="37">
        <v>0</v>
      </c>
      <c r="AF72" s="37">
        <v>0</v>
      </c>
      <c r="AG72" s="37">
        <v>0</v>
      </c>
      <c r="AH72" s="37">
        <v>0</v>
      </c>
      <c r="AI72" s="37">
        <v>0</v>
      </c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40">
        <f ca="1">SUM(OFFSET(Upaya_Debitur[[#This Row],[Haircut Diperhitungkan]],0,0,1,$B$7+2))</f>
        <v>255000</v>
      </c>
      <c r="BR72" s="35" t="str">
        <f ca="1">IF(Upaya_Debitur[[#This Row],[Total Pencairan]]&gt;=Upaya_Debitur[[#This Row],[Kewajiban Total]],"Lunas","Belum Lunas")</f>
        <v>Lunas</v>
      </c>
      <c r="BS72" s="35" t="str">
        <f t="shared" si="3"/>
        <v>Ya</v>
      </c>
      <c r="BT72" s="35" t="str">
        <f t="shared" si="4"/>
        <v>Ya</v>
      </c>
      <c r="BU7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7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7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72" s="35" t="str">
        <f>IF(Upaya_Debitur[[#This Row],[Kondisi Debitur]]="Tidak ditemukan","Ya","Tidak")</f>
        <v>Ya</v>
      </c>
      <c r="BY7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7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7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72" s="18">
        <v>43781</v>
      </c>
      <c r="CC72" s="18">
        <v>43871</v>
      </c>
      <c r="CD72" s="18">
        <v>43826</v>
      </c>
      <c r="CE72" s="18">
        <v>43871</v>
      </c>
      <c r="CF72" s="18">
        <v>43887</v>
      </c>
      <c r="CG72" s="18">
        <v>44035</v>
      </c>
      <c r="CH72" s="18">
        <v>44057</v>
      </c>
      <c r="CI72" s="18">
        <v>44077</v>
      </c>
      <c r="CJ72" s="18"/>
      <c r="CK72" s="35">
        <f ca="1">COUNTIF(Upaya_Debitur[[#This Row],[Surat Pemberitahuan?]:[Gugatan Sederhana?]],"Ya")</f>
        <v>3</v>
      </c>
      <c r="CL72" s="35">
        <f ca="1">Upaya_Debitur[[#This Row],[Target Upaya]]-COUNTIFS(Upaya_Debitur[[#This Row],[Surat Pemberitahuan?]:[Gugatan Sederhana?]],"Ya",Upaya_Debitur[[#This Row],[Surat Pemberitahuan]:[Gugatan Sederhana]],"")</f>
        <v>3</v>
      </c>
      <c r="CM72" s="36">
        <f ca="1">IF(ISNUMBER(Upaya_Debitur[[#This Row],[Realisasi]]/Upaya_Debitur[[#This Row],[Target Upaya]]),Upaya_Debitur[[#This Row],[Realisasi]]/Upaya_Debitur[[#This Row],[Target Upaya]],1)</f>
        <v>1</v>
      </c>
    </row>
    <row r="73" spans="1:97" x14ac:dyDescent="0.3">
      <c r="A73" s="16">
        <v>55</v>
      </c>
      <c r="B73" s="17"/>
      <c r="C73" s="17" t="s">
        <v>293</v>
      </c>
      <c r="D73" s="16" t="s">
        <v>294</v>
      </c>
      <c r="E73" s="37">
        <v>2612591</v>
      </c>
      <c r="F73" s="37">
        <v>0</v>
      </c>
      <c r="G73" s="37">
        <v>0</v>
      </c>
      <c r="H73" s="40">
        <f>SUM(Upaya_Debitur[[#This Row],[Kewajiban Pokok]:[Kewajiban Denda]])</f>
        <v>2612591</v>
      </c>
      <c r="I73" s="37"/>
      <c r="J73" s="40">
        <f>IF(ISNUMBER(Upaya_Debitur[[#This Row],[Angsuran Sesuai PK]]),Upaya_Debitur[[#This Row],[Angsuran Sesuai PK]],1)</f>
        <v>1</v>
      </c>
      <c r="K73" s="76"/>
      <c r="L73" s="16" t="s">
        <v>83</v>
      </c>
      <c r="N73" s="18"/>
      <c r="O73" s="76"/>
      <c r="P73" s="37"/>
      <c r="Q73" s="41"/>
      <c r="R73" s="37"/>
      <c r="S73" s="40">
        <f>IF(Upaya_Debitur[[#This Row],[Periode Haircut]]="",0,IF(Upaya_Debitur[[#This Row],[Periode Haircut]]&lt;=$B$6,Upaya_Debitur[[#This Row],[Haircut]],0))</f>
        <v>0</v>
      </c>
      <c r="T73" s="40">
        <f>IF($B$10="",0,IF($B$10&lt;=$B$6,Upaya_Debitur[[#This Row],[Set Off]],0))</f>
        <v>0</v>
      </c>
      <c r="U73" s="37">
        <v>0</v>
      </c>
      <c r="V73" s="37">
        <v>0</v>
      </c>
      <c r="W73" s="37">
        <v>0</v>
      </c>
      <c r="X73" s="37">
        <v>0</v>
      </c>
      <c r="Y73" s="37">
        <v>0</v>
      </c>
      <c r="Z73" s="37">
        <v>0</v>
      </c>
      <c r="AA73" s="37">
        <v>0</v>
      </c>
      <c r="AB73" s="37">
        <v>0</v>
      </c>
      <c r="AC73" s="37">
        <v>0</v>
      </c>
      <c r="AD73" s="37">
        <v>0</v>
      </c>
      <c r="AE73" s="37">
        <v>0</v>
      </c>
      <c r="AF73" s="37">
        <v>0</v>
      </c>
      <c r="AG73" s="37">
        <v>0</v>
      </c>
      <c r="AH73" s="37">
        <v>0</v>
      </c>
      <c r="AI73" s="37">
        <v>0</v>
      </c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40">
        <f ca="1">SUM(OFFSET(Upaya_Debitur[[#This Row],[Haircut Diperhitungkan]],0,0,1,$B$7+2))</f>
        <v>0</v>
      </c>
      <c r="BR73" s="35" t="str">
        <f ca="1">IF(Upaya_Debitur[[#This Row],[Total Pencairan]]&gt;=Upaya_Debitur[[#This Row],[Kewajiban Total]],"Lunas","Belum Lunas")</f>
        <v>Belum Lunas</v>
      </c>
      <c r="BS73" s="35" t="str">
        <f t="shared" si="3"/>
        <v>Ya</v>
      </c>
      <c r="BT73" s="35" t="str">
        <f t="shared" si="4"/>
        <v>Ya</v>
      </c>
      <c r="BU7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7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7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73" s="35" t="str">
        <f>IF(Upaya_Debitur[[#This Row],[Kondisi Debitur]]="Tidak ditemukan","Ya","Tidak")</f>
        <v>Tidak</v>
      </c>
      <c r="BY7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7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7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73" s="18">
        <v>43781</v>
      </c>
      <c r="CC73" s="18">
        <v>43999</v>
      </c>
      <c r="CD73" s="18">
        <v>43826</v>
      </c>
      <c r="CE73" s="18">
        <v>43871</v>
      </c>
      <c r="CF73" s="18">
        <v>43887</v>
      </c>
      <c r="CG73" s="18">
        <v>43888</v>
      </c>
      <c r="CH73" s="18">
        <v>44057</v>
      </c>
      <c r="CI73" s="18">
        <v>44077</v>
      </c>
      <c r="CJ73" s="18"/>
      <c r="CK73" s="35">
        <f ca="1">COUNTIF(Upaya_Debitur[[#This Row],[Surat Pemberitahuan?]:[Gugatan Sederhana?]],"Ya")</f>
        <v>7</v>
      </c>
      <c r="CL73" s="35">
        <f ca="1">Upaya_Debitur[[#This Row],[Target Upaya]]-COUNTIFS(Upaya_Debitur[[#This Row],[Surat Pemberitahuan?]:[Gugatan Sederhana?]],"Ya",Upaya_Debitur[[#This Row],[Surat Pemberitahuan]:[Gugatan Sederhana]],"")</f>
        <v>7</v>
      </c>
      <c r="CM73" s="36">
        <f ca="1">IF(ISNUMBER(Upaya_Debitur[[#This Row],[Realisasi]]/Upaya_Debitur[[#This Row],[Target Upaya]]),Upaya_Debitur[[#This Row],[Realisasi]]/Upaya_Debitur[[#This Row],[Target Upaya]],1)</f>
        <v>1</v>
      </c>
    </row>
    <row r="74" spans="1:97" x14ac:dyDescent="0.3">
      <c r="A74" s="16">
        <v>56</v>
      </c>
      <c r="B74" s="17"/>
      <c r="C74" s="17" t="s">
        <v>295</v>
      </c>
      <c r="D74" s="16" t="s">
        <v>296</v>
      </c>
      <c r="E74" s="37">
        <v>1808000</v>
      </c>
      <c r="F74" s="37">
        <v>0</v>
      </c>
      <c r="G74" s="37">
        <v>0</v>
      </c>
      <c r="H74" s="40">
        <f>SUM(Upaya_Debitur[[#This Row],[Kewajiban Pokok]:[Kewajiban Denda]])</f>
        <v>1808000</v>
      </c>
      <c r="I74" s="37"/>
      <c r="J74" s="40">
        <f>IF(ISNUMBER(Upaya_Debitur[[#This Row],[Angsuran Sesuai PK]]),Upaya_Debitur[[#This Row],[Angsuran Sesuai PK]],1)</f>
        <v>1</v>
      </c>
      <c r="K74" s="76"/>
      <c r="L74" s="16" t="s">
        <v>37</v>
      </c>
      <c r="N74" s="18"/>
      <c r="O74" s="76"/>
      <c r="P74" s="37"/>
      <c r="Q74" s="41"/>
      <c r="R74" s="37"/>
      <c r="S74" s="40">
        <f>IF(Upaya_Debitur[[#This Row],[Periode Haircut]]="",0,IF(Upaya_Debitur[[#This Row],[Periode Haircut]]&lt;=$B$6,Upaya_Debitur[[#This Row],[Haircut]],0))</f>
        <v>0</v>
      </c>
      <c r="T74" s="40">
        <f>IF($B$10="",0,IF($B$10&lt;=$B$6,Upaya_Debitur[[#This Row],[Set Off]],0))</f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  <c r="AA74" s="37">
        <v>0</v>
      </c>
      <c r="AB74" s="37">
        <v>0</v>
      </c>
      <c r="AC74" s="37">
        <v>0</v>
      </c>
      <c r="AD74" s="37">
        <v>0</v>
      </c>
      <c r="AE74" s="37">
        <v>0</v>
      </c>
      <c r="AF74" s="37">
        <v>0</v>
      </c>
      <c r="AG74" s="37">
        <v>0</v>
      </c>
      <c r="AH74" s="37">
        <v>0</v>
      </c>
      <c r="AI74" s="37">
        <v>0</v>
      </c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40">
        <f ca="1">SUM(OFFSET(Upaya_Debitur[[#This Row],[Haircut Diperhitungkan]],0,0,1,$B$7+2))</f>
        <v>0</v>
      </c>
      <c r="BR74" s="35" t="str">
        <f ca="1">IF(Upaya_Debitur[[#This Row],[Total Pencairan]]&gt;=Upaya_Debitur[[#This Row],[Kewajiban Total]],"Lunas","Belum Lunas")</f>
        <v>Belum Lunas</v>
      </c>
      <c r="BS74" s="35" t="str">
        <f t="shared" si="3"/>
        <v>Ya</v>
      </c>
      <c r="BT74" s="35" t="str">
        <f t="shared" si="4"/>
        <v>Ya</v>
      </c>
      <c r="BU7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7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7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74" s="35" t="str">
        <f>IF(Upaya_Debitur[[#This Row],[Kondisi Debitur]]="Tidak ditemukan","Ya","Tidak")</f>
        <v>Ya</v>
      </c>
      <c r="BY7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7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7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74" s="18">
        <v>43781</v>
      </c>
      <c r="CC74" s="18">
        <v>43999</v>
      </c>
      <c r="CD74" s="18">
        <v>43826</v>
      </c>
      <c r="CE74" s="18">
        <v>43871</v>
      </c>
      <c r="CF74" s="18">
        <v>43887</v>
      </c>
      <c r="CG74" s="18">
        <v>43888</v>
      </c>
      <c r="CH74" s="18">
        <v>44057</v>
      </c>
      <c r="CI74" s="18">
        <v>44077</v>
      </c>
      <c r="CJ74" s="18"/>
      <c r="CK74" s="35">
        <f ca="1">COUNTIF(Upaya_Debitur[[#This Row],[Surat Pemberitahuan?]:[Gugatan Sederhana?]],"Ya")</f>
        <v>8</v>
      </c>
      <c r="CL74" s="35">
        <f ca="1">Upaya_Debitur[[#This Row],[Target Upaya]]-COUNTIFS(Upaya_Debitur[[#This Row],[Surat Pemberitahuan?]:[Gugatan Sederhana?]],"Ya",Upaya_Debitur[[#This Row],[Surat Pemberitahuan]:[Gugatan Sederhana]],"")</f>
        <v>8</v>
      </c>
      <c r="CM74" s="36">
        <f ca="1">IF(ISNUMBER(Upaya_Debitur[[#This Row],[Realisasi]]/Upaya_Debitur[[#This Row],[Target Upaya]]),Upaya_Debitur[[#This Row],[Realisasi]]/Upaya_Debitur[[#This Row],[Target Upaya]],1)</f>
        <v>1</v>
      </c>
    </row>
    <row r="75" spans="1:97" x14ac:dyDescent="0.3">
      <c r="A75" s="16">
        <v>57</v>
      </c>
      <c r="B75" s="17"/>
      <c r="C75" s="17" t="s">
        <v>297</v>
      </c>
      <c r="D75" s="16" t="s">
        <v>298</v>
      </c>
      <c r="E75" s="37">
        <v>336801</v>
      </c>
      <c r="F75" s="37">
        <v>0</v>
      </c>
      <c r="G75" s="37">
        <v>0</v>
      </c>
      <c r="H75" s="40">
        <f>SUM(Upaya_Debitur[[#This Row],[Kewajiban Pokok]:[Kewajiban Denda]])</f>
        <v>336801</v>
      </c>
      <c r="I75" s="37"/>
      <c r="J75" s="40">
        <f>IF(ISNUMBER(Upaya_Debitur[[#This Row],[Angsuran Sesuai PK]]),Upaya_Debitur[[#This Row],[Angsuran Sesuai PK]],1)</f>
        <v>1</v>
      </c>
      <c r="K75" s="76"/>
      <c r="L75" s="16" t="s">
        <v>37</v>
      </c>
      <c r="N75" s="18"/>
      <c r="O75" s="76"/>
      <c r="P75" s="37"/>
      <c r="Q75" s="41"/>
      <c r="R75" s="37"/>
      <c r="S75" s="40">
        <f>IF(Upaya_Debitur[[#This Row],[Periode Haircut]]="",0,IF(Upaya_Debitur[[#This Row],[Periode Haircut]]&lt;=$B$6,Upaya_Debitur[[#This Row],[Haircut]],0))</f>
        <v>0</v>
      </c>
      <c r="T75" s="40">
        <f>IF($B$10="",0,IF($B$10&lt;=$B$6,Upaya_Debitur[[#This Row],[Set Off]],0))</f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  <c r="AA75" s="37">
        <v>0</v>
      </c>
      <c r="AB75" s="37">
        <v>0</v>
      </c>
      <c r="AC75" s="37">
        <v>0</v>
      </c>
      <c r="AD75" s="37">
        <v>0</v>
      </c>
      <c r="AE75" s="37">
        <v>0</v>
      </c>
      <c r="AF75" s="37">
        <v>0</v>
      </c>
      <c r="AG75" s="37">
        <v>0</v>
      </c>
      <c r="AH75" s="37">
        <v>0</v>
      </c>
      <c r="AI75" s="37">
        <v>0</v>
      </c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40">
        <f ca="1">SUM(OFFSET(Upaya_Debitur[[#This Row],[Haircut Diperhitungkan]],0,0,1,$B$7+2))</f>
        <v>0</v>
      </c>
      <c r="BR75" s="35" t="str">
        <f ca="1">IF(Upaya_Debitur[[#This Row],[Total Pencairan]]&gt;=Upaya_Debitur[[#This Row],[Kewajiban Total]],"Lunas","Belum Lunas")</f>
        <v>Belum Lunas</v>
      </c>
      <c r="BS75" s="35" t="str">
        <f t="shared" si="3"/>
        <v>Ya</v>
      </c>
      <c r="BT75" s="35" t="str">
        <f t="shared" si="4"/>
        <v>Ya</v>
      </c>
      <c r="BU7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7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7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75" s="35" t="str">
        <f>IF(Upaya_Debitur[[#This Row],[Kondisi Debitur]]="Tidak ditemukan","Ya","Tidak")</f>
        <v>Ya</v>
      </c>
      <c r="BY7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7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7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75" s="18">
        <v>43781</v>
      </c>
      <c r="CC75" s="18">
        <v>43999</v>
      </c>
      <c r="CD75" s="18">
        <v>43826</v>
      </c>
      <c r="CE75" s="18">
        <v>43871</v>
      </c>
      <c r="CF75" s="18">
        <v>43887</v>
      </c>
      <c r="CG75" s="18">
        <v>44035</v>
      </c>
      <c r="CH75" s="18">
        <v>44057</v>
      </c>
      <c r="CI75" s="18">
        <v>44077</v>
      </c>
      <c r="CJ75" s="18"/>
      <c r="CK75" s="35">
        <f ca="1">COUNTIF(Upaya_Debitur[[#This Row],[Surat Pemberitahuan?]:[Gugatan Sederhana?]],"Ya")</f>
        <v>8</v>
      </c>
      <c r="CL75" s="35">
        <f ca="1">Upaya_Debitur[[#This Row],[Target Upaya]]-COUNTIFS(Upaya_Debitur[[#This Row],[Surat Pemberitahuan?]:[Gugatan Sederhana?]],"Ya",Upaya_Debitur[[#This Row],[Surat Pemberitahuan]:[Gugatan Sederhana]],"")</f>
        <v>8</v>
      </c>
      <c r="CM75" s="36">
        <f ca="1">IF(ISNUMBER(Upaya_Debitur[[#This Row],[Realisasi]]/Upaya_Debitur[[#This Row],[Target Upaya]]),Upaya_Debitur[[#This Row],[Realisasi]]/Upaya_Debitur[[#This Row],[Target Upaya]],1)</f>
        <v>1</v>
      </c>
    </row>
    <row r="76" spans="1:97" x14ac:dyDescent="0.3">
      <c r="A76" s="16">
        <v>58</v>
      </c>
      <c r="B76" s="17"/>
      <c r="C76" s="17" t="s">
        <v>299</v>
      </c>
      <c r="D76" s="16" t="s">
        <v>300</v>
      </c>
      <c r="E76" s="37">
        <v>1160000</v>
      </c>
      <c r="F76" s="37">
        <v>0</v>
      </c>
      <c r="G76" s="37">
        <v>0</v>
      </c>
      <c r="H76" s="40">
        <f>SUM(Upaya_Debitur[[#This Row],[Kewajiban Pokok]:[Kewajiban Denda]])</f>
        <v>1160000</v>
      </c>
      <c r="I76" s="37"/>
      <c r="J76" s="40">
        <f>IF(ISNUMBER(Upaya_Debitur[[#This Row],[Angsuran Sesuai PK]]),Upaya_Debitur[[#This Row],[Angsuran Sesuai PK]],1)</f>
        <v>1</v>
      </c>
      <c r="K76" s="76"/>
      <c r="L76" s="16" t="s">
        <v>37</v>
      </c>
      <c r="N76" s="18"/>
      <c r="O76" s="76"/>
      <c r="P76" s="37"/>
      <c r="Q76" s="41"/>
      <c r="R76" s="37"/>
      <c r="S76" s="40">
        <f>IF(Upaya_Debitur[[#This Row],[Periode Haircut]]="",0,IF(Upaya_Debitur[[#This Row],[Periode Haircut]]&lt;=$B$6,Upaya_Debitur[[#This Row],[Haircut]],0))</f>
        <v>0</v>
      </c>
      <c r="T76" s="40">
        <f>IF($B$10="",0,IF($B$10&lt;=$B$6,Upaya_Debitur[[#This Row],[Set Off]],0))</f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>
        <v>0</v>
      </c>
      <c r="AC76" s="37">
        <v>0</v>
      </c>
      <c r="AD76" s="37">
        <v>0</v>
      </c>
      <c r="AE76" s="37">
        <v>0</v>
      </c>
      <c r="AF76" s="37">
        <v>0</v>
      </c>
      <c r="AG76" s="37">
        <v>0</v>
      </c>
      <c r="AH76" s="37">
        <v>0</v>
      </c>
      <c r="AI76" s="37">
        <v>0</v>
      </c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40">
        <f ca="1">SUM(OFFSET(Upaya_Debitur[[#This Row],[Haircut Diperhitungkan]],0,0,1,$B$7+2))</f>
        <v>0</v>
      </c>
      <c r="BR76" s="35" t="str">
        <f ca="1">IF(Upaya_Debitur[[#This Row],[Total Pencairan]]&gt;=Upaya_Debitur[[#This Row],[Kewajiban Total]],"Lunas","Belum Lunas")</f>
        <v>Belum Lunas</v>
      </c>
      <c r="BS76" s="35" t="str">
        <f t="shared" si="3"/>
        <v>Ya</v>
      </c>
      <c r="BT76" s="35" t="str">
        <f t="shared" si="4"/>
        <v>Ya</v>
      </c>
      <c r="BU7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7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7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76" s="35" t="str">
        <f>IF(Upaya_Debitur[[#This Row],[Kondisi Debitur]]="Tidak ditemukan","Ya","Tidak")</f>
        <v>Ya</v>
      </c>
      <c r="BY7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7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7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76" s="18">
        <v>43781</v>
      </c>
      <c r="CC76" s="18">
        <v>43999</v>
      </c>
      <c r="CD76" s="18">
        <v>43826</v>
      </c>
      <c r="CE76" s="18">
        <v>43871</v>
      </c>
      <c r="CF76" s="18">
        <v>43887</v>
      </c>
      <c r="CG76" s="18">
        <v>43888</v>
      </c>
      <c r="CH76" s="18">
        <v>44057</v>
      </c>
      <c r="CI76" s="18">
        <v>44077</v>
      </c>
      <c r="CJ76" s="18"/>
      <c r="CK76" s="35">
        <f ca="1">COUNTIF(Upaya_Debitur[[#This Row],[Surat Pemberitahuan?]:[Gugatan Sederhana?]],"Ya")</f>
        <v>8</v>
      </c>
      <c r="CL76" s="35">
        <f ca="1">Upaya_Debitur[[#This Row],[Target Upaya]]-COUNTIFS(Upaya_Debitur[[#This Row],[Surat Pemberitahuan?]:[Gugatan Sederhana?]],"Ya",Upaya_Debitur[[#This Row],[Surat Pemberitahuan]:[Gugatan Sederhana]],"")</f>
        <v>8</v>
      </c>
      <c r="CM76" s="36">
        <f ca="1">IF(ISNUMBER(Upaya_Debitur[[#This Row],[Realisasi]]/Upaya_Debitur[[#This Row],[Target Upaya]]),Upaya_Debitur[[#This Row],[Realisasi]]/Upaya_Debitur[[#This Row],[Target Upaya]],1)</f>
        <v>1</v>
      </c>
    </row>
    <row r="77" spans="1:97" x14ac:dyDescent="0.3">
      <c r="A77" s="16">
        <v>59</v>
      </c>
      <c r="B77" s="17"/>
      <c r="C77" s="17" t="s">
        <v>301</v>
      </c>
      <c r="D77" s="16" t="s">
        <v>302</v>
      </c>
      <c r="E77" s="37">
        <v>68000</v>
      </c>
      <c r="F77" s="37">
        <v>0</v>
      </c>
      <c r="G77" s="37">
        <v>0</v>
      </c>
      <c r="H77" s="40">
        <f>SUM(Upaya_Debitur[[#This Row],[Kewajiban Pokok]:[Kewajiban Denda]])</f>
        <v>68000</v>
      </c>
      <c r="I77" s="37"/>
      <c r="J77" s="40">
        <f>IF(ISNUMBER(Upaya_Debitur[[#This Row],[Angsuran Sesuai PK]]),Upaya_Debitur[[#This Row],[Angsuran Sesuai PK]],1)</f>
        <v>1</v>
      </c>
      <c r="K77" s="76"/>
      <c r="L77" s="16" t="s">
        <v>37</v>
      </c>
      <c r="N77" s="18"/>
      <c r="O77" s="76"/>
      <c r="P77" s="37"/>
      <c r="Q77" s="41"/>
      <c r="R77" s="37"/>
      <c r="S77" s="40">
        <f>IF(Upaya_Debitur[[#This Row],[Periode Haircut]]="",0,IF(Upaya_Debitur[[#This Row],[Periode Haircut]]&lt;=$B$6,Upaya_Debitur[[#This Row],[Haircut]],0))</f>
        <v>0</v>
      </c>
      <c r="T77" s="40">
        <f>IF($B$10="",0,IF($B$10&lt;=$B$6,Upaya_Debitur[[#This Row],[Set Off]],0))</f>
        <v>0</v>
      </c>
      <c r="U77" s="37">
        <v>0</v>
      </c>
      <c r="V77" s="37">
        <v>0</v>
      </c>
      <c r="W77" s="37">
        <v>0</v>
      </c>
      <c r="X77" s="37">
        <v>0</v>
      </c>
      <c r="Y77" s="37">
        <v>0</v>
      </c>
      <c r="Z77" s="37">
        <v>0</v>
      </c>
      <c r="AA77" s="37">
        <v>0</v>
      </c>
      <c r="AB77" s="37">
        <v>0</v>
      </c>
      <c r="AC77" s="37">
        <v>0</v>
      </c>
      <c r="AD77" s="37">
        <v>0</v>
      </c>
      <c r="AE77" s="37">
        <v>0</v>
      </c>
      <c r="AF77" s="37">
        <v>0</v>
      </c>
      <c r="AG77" s="37">
        <v>0</v>
      </c>
      <c r="AH77" s="37">
        <v>0</v>
      </c>
      <c r="AI77" s="37">
        <v>0</v>
      </c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40">
        <f ca="1">SUM(OFFSET(Upaya_Debitur[[#This Row],[Haircut Diperhitungkan]],0,0,1,$B$7+2))</f>
        <v>0</v>
      </c>
      <c r="BR77" s="35" t="str">
        <f ca="1">IF(Upaya_Debitur[[#This Row],[Total Pencairan]]&gt;=Upaya_Debitur[[#This Row],[Kewajiban Total]],"Lunas","Belum Lunas")</f>
        <v>Belum Lunas</v>
      </c>
      <c r="BS77" s="35" t="str">
        <f t="shared" si="3"/>
        <v>Ya</v>
      </c>
      <c r="BT77" s="35" t="str">
        <f t="shared" si="4"/>
        <v>Ya</v>
      </c>
      <c r="BU7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7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7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77" s="35" t="str">
        <f>IF(Upaya_Debitur[[#This Row],[Kondisi Debitur]]="Tidak ditemukan","Ya","Tidak")</f>
        <v>Ya</v>
      </c>
      <c r="BY7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7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7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77" s="18">
        <v>43781</v>
      </c>
      <c r="CC77" s="18">
        <v>43999</v>
      </c>
      <c r="CD77" s="18">
        <v>43826</v>
      </c>
      <c r="CE77" s="18">
        <v>43871</v>
      </c>
      <c r="CF77" s="18">
        <v>43887</v>
      </c>
      <c r="CG77" s="18">
        <v>44035</v>
      </c>
      <c r="CH77" s="18">
        <v>44057</v>
      </c>
      <c r="CI77" s="18">
        <v>44077</v>
      </c>
      <c r="CJ77" s="18"/>
      <c r="CK77" s="35">
        <f ca="1">COUNTIF(Upaya_Debitur[[#This Row],[Surat Pemberitahuan?]:[Gugatan Sederhana?]],"Ya")</f>
        <v>8</v>
      </c>
      <c r="CL77" s="35">
        <f ca="1">Upaya_Debitur[[#This Row],[Target Upaya]]-COUNTIFS(Upaya_Debitur[[#This Row],[Surat Pemberitahuan?]:[Gugatan Sederhana?]],"Ya",Upaya_Debitur[[#This Row],[Surat Pemberitahuan]:[Gugatan Sederhana]],"")</f>
        <v>8</v>
      </c>
      <c r="CM77" s="36">
        <f ca="1">IF(ISNUMBER(Upaya_Debitur[[#This Row],[Realisasi]]/Upaya_Debitur[[#This Row],[Target Upaya]]),Upaya_Debitur[[#This Row],[Realisasi]]/Upaya_Debitur[[#This Row],[Target Upaya]],1)</f>
        <v>1</v>
      </c>
    </row>
    <row r="78" spans="1:97" x14ac:dyDescent="0.3">
      <c r="A78" s="16">
        <v>60</v>
      </c>
      <c r="B78" s="17"/>
      <c r="C78" s="17" t="s">
        <v>303</v>
      </c>
      <c r="D78" s="16" t="s">
        <v>304</v>
      </c>
      <c r="E78" s="37">
        <v>188725</v>
      </c>
      <c r="F78" s="37">
        <v>0</v>
      </c>
      <c r="G78" s="37">
        <v>0</v>
      </c>
      <c r="H78" s="40">
        <f>SUM(Upaya_Debitur[[#This Row],[Kewajiban Pokok]:[Kewajiban Denda]])</f>
        <v>188725</v>
      </c>
      <c r="I78" s="37"/>
      <c r="J78" s="40">
        <f>IF(ISNUMBER(Upaya_Debitur[[#This Row],[Angsuran Sesuai PK]]),Upaya_Debitur[[#This Row],[Angsuran Sesuai PK]],1)</f>
        <v>1</v>
      </c>
      <c r="K78" s="76"/>
      <c r="L78" s="16" t="s">
        <v>37</v>
      </c>
      <c r="N78" s="18"/>
      <c r="O78" s="76"/>
      <c r="P78" s="37"/>
      <c r="Q78" s="41"/>
      <c r="R78" s="37"/>
      <c r="S78" s="40">
        <f>IF(Upaya_Debitur[[#This Row],[Periode Haircut]]="",0,IF(Upaya_Debitur[[#This Row],[Periode Haircut]]&lt;=$B$6,Upaya_Debitur[[#This Row],[Haircut]],0))</f>
        <v>0</v>
      </c>
      <c r="T78" s="40">
        <f>IF($B$10="",0,IF($B$10&lt;=$B$6,Upaya_Debitur[[#This Row],[Set Off]],0))</f>
        <v>0</v>
      </c>
      <c r="U78" s="37">
        <v>0</v>
      </c>
      <c r="V78" s="37">
        <v>0</v>
      </c>
      <c r="W78" s="37">
        <v>0</v>
      </c>
      <c r="X78" s="37">
        <v>0</v>
      </c>
      <c r="Y78" s="37">
        <v>0</v>
      </c>
      <c r="Z78" s="37">
        <v>0</v>
      </c>
      <c r="AA78" s="37">
        <v>0</v>
      </c>
      <c r="AB78" s="37">
        <v>0</v>
      </c>
      <c r="AC78" s="37">
        <v>0</v>
      </c>
      <c r="AD78" s="37">
        <v>0</v>
      </c>
      <c r="AE78" s="37">
        <v>0</v>
      </c>
      <c r="AF78" s="37">
        <v>0</v>
      </c>
      <c r="AG78" s="37">
        <v>0</v>
      </c>
      <c r="AH78" s="37">
        <v>0</v>
      </c>
      <c r="AI78" s="37">
        <v>0</v>
      </c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40">
        <f ca="1">SUM(OFFSET(Upaya_Debitur[[#This Row],[Haircut Diperhitungkan]],0,0,1,$B$7+2))</f>
        <v>0</v>
      </c>
      <c r="BR78" s="35" t="str">
        <f ca="1">IF(Upaya_Debitur[[#This Row],[Total Pencairan]]&gt;=Upaya_Debitur[[#This Row],[Kewajiban Total]],"Lunas","Belum Lunas")</f>
        <v>Belum Lunas</v>
      </c>
      <c r="BS78" s="35" t="str">
        <f t="shared" si="3"/>
        <v>Ya</v>
      </c>
      <c r="BT78" s="35" t="str">
        <f t="shared" si="4"/>
        <v>Ya</v>
      </c>
      <c r="BU7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7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7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78" s="35" t="str">
        <f>IF(Upaya_Debitur[[#This Row],[Kondisi Debitur]]="Tidak ditemukan","Ya","Tidak")</f>
        <v>Ya</v>
      </c>
      <c r="BY7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7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7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78" s="18">
        <v>43781</v>
      </c>
      <c r="CC78" s="18">
        <v>43999</v>
      </c>
      <c r="CD78" s="18">
        <v>43826</v>
      </c>
      <c r="CE78" s="18">
        <v>43871</v>
      </c>
      <c r="CF78" s="18">
        <v>43887</v>
      </c>
      <c r="CG78" s="18">
        <v>44035</v>
      </c>
      <c r="CH78" s="18">
        <v>44057</v>
      </c>
      <c r="CI78" s="18">
        <v>44077</v>
      </c>
      <c r="CJ78" s="18"/>
      <c r="CK78" s="35">
        <f ca="1">COUNTIF(Upaya_Debitur[[#This Row],[Surat Pemberitahuan?]:[Gugatan Sederhana?]],"Ya")</f>
        <v>8</v>
      </c>
      <c r="CL78" s="35">
        <f ca="1">Upaya_Debitur[[#This Row],[Target Upaya]]-COUNTIFS(Upaya_Debitur[[#This Row],[Surat Pemberitahuan?]:[Gugatan Sederhana?]],"Ya",Upaya_Debitur[[#This Row],[Surat Pemberitahuan]:[Gugatan Sederhana]],"")</f>
        <v>8</v>
      </c>
      <c r="CM78" s="36">
        <f ca="1">IF(ISNUMBER(Upaya_Debitur[[#This Row],[Realisasi]]/Upaya_Debitur[[#This Row],[Target Upaya]]),Upaya_Debitur[[#This Row],[Realisasi]]/Upaya_Debitur[[#This Row],[Target Upaya]],1)</f>
        <v>1</v>
      </c>
    </row>
    <row r="79" spans="1:97" x14ac:dyDescent="0.3">
      <c r="A79" s="16">
        <v>61</v>
      </c>
      <c r="B79" s="17"/>
      <c r="C79" s="17" t="s">
        <v>305</v>
      </c>
      <c r="D79" s="16" t="s">
        <v>306</v>
      </c>
      <c r="E79" s="37">
        <v>6897500</v>
      </c>
      <c r="F79" s="37">
        <v>0</v>
      </c>
      <c r="G79" s="37">
        <v>0</v>
      </c>
      <c r="H79" s="40">
        <f>SUM(Upaya_Debitur[[#This Row],[Kewajiban Pokok]:[Kewajiban Denda]])</f>
        <v>6897500</v>
      </c>
      <c r="I79" s="37"/>
      <c r="J79" s="40">
        <f>IF(ISNUMBER(Upaya_Debitur[[#This Row],[Angsuran Sesuai PK]]),Upaya_Debitur[[#This Row],[Angsuran Sesuai PK]],1)</f>
        <v>1</v>
      </c>
      <c r="K79" s="76"/>
      <c r="L79" s="16" t="s">
        <v>83</v>
      </c>
      <c r="N79" s="18"/>
      <c r="O79" s="76"/>
      <c r="P79" s="37"/>
      <c r="Q79" s="41"/>
      <c r="R79" s="37"/>
      <c r="S79" s="40">
        <f>IF(Upaya_Debitur[[#This Row],[Periode Haircut]]="",0,IF(Upaya_Debitur[[#This Row],[Periode Haircut]]&lt;=$B$6,Upaya_Debitur[[#This Row],[Haircut]],0))</f>
        <v>0</v>
      </c>
      <c r="T79" s="40">
        <f>IF($B$10="",0,IF($B$10&lt;=$B$6,Upaya_Debitur[[#This Row],[Set Off]],0))</f>
        <v>0</v>
      </c>
      <c r="U79" s="37">
        <v>0</v>
      </c>
      <c r="V79" s="37">
        <v>0</v>
      </c>
      <c r="W79" s="37">
        <v>0</v>
      </c>
      <c r="X79" s="37">
        <v>0</v>
      </c>
      <c r="Y79" s="37">
        <v>0</v>
      </c>
      <c r="Z79" s="37">
        <v>0</v>
      </c>
      <c r="AA79" s="37">
        <v>0</v>
      </c>
      <c r="AB79" s="37">
        <v>0</v>
      </c>
      <c r="AC79" s="37">
        <v>0</v>
      </c>
      <c r="AD79" s="37">
        <v>0</v>
      </c>
      <c r="AE79" s="37">
        <v>0</v>
      </c>
      <c r="AF79" s="37">
        <v>0</v>
      </c>
      <c r="AG79" s="37">
        <v>0</v>
      </c>
      <c r="AH79" s="37">
        <v>0</v>
      </c>
      <c r="AI79" s="37">
        <v>0</v>
      </c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40">
        <f ca="1">SUM(OFFSET(Upaya_Debitur[[#This Row],[Haircut Diperhitungkan]],0,0,1,$B$7+2))</f>
        <v>0</v>
      </c>
      <c r="BR79" s="35" t="str">
        <f ca="1">IF(Upaya_Debitur[[#This Row],[Total Pencairan]]&gt;=Upaya_Debitur[[#This Row],[Kewajiban Total]],"Lunas","Belum Lunas")</f>
        <v>Belum Lunas</v>
      </c>
      <c r="BS79" s="35" t="str">
        <f t="shared" si="3"/>
        <v>Ya</v>
      </c>
      <c r="BT79" s="35" t="str">
        <f t="shared" si="4"/>
        <v>Ya</v>
      </c>
      <c r="BU7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7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7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79" s="35" t="str">
        <f>IF(Upaya_Debitur[[#This Row],[Kondisi Debitur]]="Tidak ditemukan","Ya","Tidak")</f>
        <v>Tidak</v>
      </c>
      <c r="BY7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7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7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79" s="18">
        <v>43781</v>
      </c>
      <c r="CC79" s="18">
        <v>43999</v>
      </c>
      <c r="CD79" s="18">
        <v>43826</v>
      </c>
      <c r="CE79" s="18">
        <v>43871</v>
      </c>
      <c r="CF79" s="18">
        <v>43887</v>
      </c>
      <c r="CG79" s="18"/>
      <c r="CH79" s="18">
        <v>44057</v>
      </c>
      <c r="CI79" s="18">
        <v>44077</v>
      </c>
      <c r="CJ79" s="18"/>
      <c r="CK79" s="35">
        <f ca="1">COUNTIF(Upaya_Debitur[[#This Row],[Surat Pemberitahuan?]:[Gugatan Sederhana?]],"Ya")</f>
        <v>7</v>
      </c>
      <c r="CL79" s="35">
        <f ca="1">Upaya_Debitur[[#This Row],[Target Upaya]]-COUNTIFS(Upaya_Debitur[[#This Row],[Surat Pemberitahuan?]:[Gugatan Sederhana?]],"Ya",Upaya_Debitur[[#This Row],[Surat Pemberitahuan]:[Gugatan Sederhana]],"")</f>
        <v>7</v>
      </c>
      <c r="CM79" s="36">
        <f ca="1">IF(ISNUMBER(Upaya_Debitur[[#This Row],[Realisasi]]/Upaya_Debitur[[#This Row],[Target Upaya]]),Upaya_Debitur[[#This Row],[Realisasi]]/Upaya_Debitur[[#This Row],[Target Upaya]],1)</f>
        <v>1</v>
      </c>
    </row>
    <row r="80" spans="1:97" x14ac:dyDescent="0.3">
      <c r="A80" s="16">
        <v>62</v>
      </c>
      <c r="B80" s="17"/>
      <c r="C80" s="17" t="s">
        <v>307</v>
      </c>
      <c r="D80" s="16" t="s">
        <v>308</v>
      </c>
      <c r="E80" s="37">
        <v>5950000</v>
      </c>
      <c r="F80" s="37">
        <v>0</v>
      </c>
      <c r="G80" s="37">
        <v>0</v>
      </c>
      <c r="H80" s="40">
        <f>SUM(Upaya_Debitur[[#This Row],[Kewajiban Pokok]:[Kewajiban Denda]])</f>
        <v>5950000</v>
      </c>
      <c r="I80" s="37"/>
      <c r="J80" s="40">
        <f>IF(ISNUMBER(Upaya_Debitur[[#This Row],[Angsuran Sesuai PK]]),Upaya_Debitur[[#This Row],[Angsuran Sesuai PK]],1)</f>
        <v>1</v>
      </c>
      <c r="K80" s="76"/>
      <c r="L80" s="16" t="s">
        <v>37</v>
      </c>
      <c r="N80" s="18"/>
      <c r="O80" s="76"/>
      <c r="P80" s="37"/>
      <c r="Q80" s="41"/>
      <c r="R80" s="37"/>
      <c r="S80" s="40">
        <f>IF(Upaya_Debitur[[#This Row],[Periode Haircut]]="",0,IF(Upaya_Debitur[[#This Row],[Periode Haircut]]&lt;=$B$6,Upaya_Debitur[[#This Row],[Haircut]],0))</f>
        <v>0</v>
      </c>
      <c r="T80" s="40">
        <f>IF($B$10="",0,IF($B$10&lt;=$B$6,Upaya_Debitur[[#This Row],[Set Off]],0))</f>
        <v>0</v>
      </c>
      <c r="U80" s="37">
        <v>0</v>
      </c>
      <c r="V80" s="37">
        <v>0</v>
      </c>
      <c r="W80" s="37">
        <v>0</v>
      </c>
      <c r="X80" s="37">
        <v>0</v>
      </c>
      <c r="Y80" s="37">
        <v>0</v>
      </c>
      <c r="Z80" s="37">
        <v>0</v>
      </c>
      <c r="AA80" s="37">
        <v>0</v>
      </c>
      <c r="AB80" s="37">
        <v>0</v>
      </c>
      <c r="AC80" s="37">
        <v>0</v>
      </c>
      <c r="AD80" s="37">
        <v>0</v>
      </c>
      <c r="AE80" s="37">
        <v>0</v>
      </c>
      <c r="AF80" s="37">
        <v>0</v>
      </c>
      <c r="AG80" s="37">
        <v>0</v>
      </c>
      <c r="AH80" s="37">
        <v>0</v>
      </c>
      <c r="AI80" s="37">
        <v>0</v>
      </c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40">
        <f ca="1">SUM(OFFSET(Upaya_Debitur[[#This Row],[Haircut Diperhitungkan]],0,0,1,$B$7+2))</f>
        <v>0</v>
      </c>
      <c r="BR80" s="35" t="str">
        <f ca="1">IF(Upaya_Debitur[[#This Row],[Total Pencairan]]&gt;=Upaya_Debitur[[#This Row],[Kewajiban Total]],"Lunas","Belum Lunas")</f>
        <v>Belum Lunas</v>
      </c>
      <c r="BS80" s="35" t="str">
        <f t="shared" si="3"/>
        <v>Ya</v>
      </c>
      <c r="BT80" s="35" t="str">
        <f t="shared" si="4"/>
        <v>Ya</v>
      </c>
      <c r="BU8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8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8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80" s="35" t="str">
        <f>IF(Upaya_Debitur[[#This Row],[Kondisi Debitur]]="Tidak ditemukan","Ya","Tidak")</f>
        <v>Ya</v>
      </c>
      <c r="BY8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8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8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80" s="18">
        <v>43781</v>
      </c>
      <c r="CC80" s="18">
        <v>43999</v>
      </c>
      <c r="CD80" s="18">
        <v>43826</v>
      </c>
      <c r="CE80" s="18">
        <v>43871</v>
      </c>
      <c r="CF80" s="18">
        <v>43887</v>
      </c>
      <c r="CG80" s="18">
        <v>43888</v>
      </c>
      <c r="CH80" s="18">
        <v>44057</v>
      </c>
      <c r="CI80" s="18">
        <v>44077</v>
      </c>
      <c r="CJ80" s="18"/>
      <c r="CK80" s="35">
        <f ca="1">COUNTIF(Upaya_Debitur[[#This Row],[Surat Pemberitahuan?]:[Gugatan Sederhana?]],"Ya")</f>
        <v>8</v>
      </c>
      <c r="CL80" s="35">
        <f ca="1">Upaya_Debitur[[#This Row],[Target Upaya]]-COUNTIFS(Upaya_Debitur[[#This Row],[Surat Pemberitahuan?]:[Gugatan Sederhana?]],"Ya",Upaya_Debitur[[#This Row],[Surat Pemberitahuan]:[Gugatan Sederhana]],"")</f>
        <v>8</v>
      </c>
      <c r="CM80" s="36">
        <f ca="1">IF(ISNUMBER(Upaya_Debitur[[#This Row],[Realisasi]]/Upaya_Debitur[[#This Row],[Target Upaya]]),Upaya_Debitur[[#This Row],[Realisasi]]/Upaya_Debitur[[#This Row],[Target Upaya]],1)</f>
        <v>1</v>
      </c>
    </row>
    <row r="81" spans="1:91" x14ac:dyDescent="0.3">
      <c r="A81" s="16">
        <v>63</v>
      </c>
      <c r="B81" s="17"/>
      <c r="C81" s="17" t="s">
        <v>309</v>
      </c>
      <c r="D81" s="16" t="s">
        <v>310</v>
      </c>
      <c r="E81" s="37">
        <v>3982839</v>
      </c>
      <c r="F81" s="37">
        <v>0</v>
      </c>
      <c r="G81" s="37">
        <v>0</v>
      </c>
      <c r="H81" s="40">
        <f>SUM(Upaya_Debitur[[#This Row],[Kewajiban Pokok]:[Kewajiban Denda]])</f>
        <v>3982839</v>
      </c>
      <c r="I81" s="37"/>
      <c r="J81" s="40">
        <f>IF(ISNUMBER(Upaya_Debitur[[#This Row],[Angsuran Sesuai PK]]),Upaya_Debitur[[#This Row],[Angsuran Sesuai PK]],1)</f>
        <v>1</v>
      </c>
      <c r="K81" s="76"/>
      <c r="L81" s="16" t="s">
        <v>37</v>
      </c>
      <c r="N81" s="18"/>
      <c r="O81" s="76"/>
      <c r="P81" s="37"/>
      <c r="Q81" s="41"/>
      <c r="R81" s="37"/>
      <c r="S81" s="40">
        <f>IF(Upaya_Debitur[[#This Row],[Periode Haircut]]="",0,IF(Upaya_Debitur[[#This Row],[Periode Haircut]]&lt;=$B$6,Upaya_Debitur[[#This Row],[Haircut]],0))</f>
        <v>0</v>
      </c>
      <c r="T81" s="40">
        <f>IF($B$10="",0,IF($B$10&lt;=$B$6,Upaya_Debitur[[#This Row],[Set Off]],0))</f>
        <v>0</v>
      </c>
      <c r="U81" s="37">
        <v>0</v>
      </c>
      <c r="V81" s="37">
        <v>0</v>
      </c>
      <c r="W81" s="37">
        <v>0</v>
      </c>
      <c r="X81" s="37">
        <v>0</v>
      </c>
      <c r="Y81" s="37">
        <v>0</v>
      </c>
      <c r="Z81" s="37">
        <v>0</v>
      </c>
      <c r="AA81" s="37">
        <v>0</v>
      </c>
      <c r="AB81" s="37">
        <v>0</v>
      </c>
      <c r="AC81" s="37">
        <v>0</v>
      </c>
      <c r="AD81" s="37">
        <v>0</v>
      </c>
      <c r="AE81" s="37">
        <v>0</v>
      </c>
      <c r="AF81" s="37">
        <v>0</v>
      </c>
      <c r="AG81" s="37">
        <v>0</v>
      </c>
      <c r="AH81" s="37">
        <v>0</v>
      </c>
      <c r="AI81" s="37">
        <v>0</v>
      </c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40">
        <f ca="1">SUM(OFFSET(Upaya_Debitur[[#This Row],[Haircut Diperhitungkan]],0,0,1,$B$7+2))</f>
        <v>0</v>
      </c>
      <c r="BR81" s="35" t="str">
        <f ca="1">IF(Upaya_Debitur[[#This Row],[Total Pencairan]]&gt;=Upaya_Debitur[[#This Row],[Kewajiban Total]],"Lunas","Belum Lunas")</f>
        <v>Belum Lunas</v>
      </c>
      <c r="BS81" s="35" t="str">
        <f t="shared" si="3"/>
        <v>Ya</v>
      </c>
      <c r="BT81" s="35" t="str">
        <f t="shared" si="4"/>
        <v>Ya</v>
      </c>
      <c r="BU8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8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8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81" s="35" t="str">
        <f>IF(Upaya_Debitur[[#This Row],[Kondisi Debitur]]="Tidak ditemukan","Ya","Tidak")</f>
        <v>Ya</v>
      </c>
      <c r="BY8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8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8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81" s="18">
        <v>43781</v>
      </c>
      <c r="CC81" s="18">
        <v>43999</v>
      </c>
      <c r="CD81" s="18">
        <v>43826</v>
      </c>
      <c r="CE81" s="18">
        <v>43871</v>
      </c>
      <c r="CF81" s="18">
        <v>43887</v>
      </c>
      <c r="CG81" s="18">
        <v>44035</v>
      </c>
      <c r="CH81" s="18">
        <v>44057</v>
      </c>
      <c r="CI81" s="18">
        <v>44077</v>
      </c>
      <c r="CJ81" s="18"/>
      <c r="CK81" s="35">
        <f ca="1">COUNTIF(Upaya_Debitur[[#This Row],[Surat Pemberitahuan?]:[Gugatan Sederhana?]],"Ya")</f>
        <v>8</v>
      </c>
      <c r="CL81" s="35">
        <f ca="1">Upaya_Debitur[[#This Row],[Target Upaya]]-COUNTIFS(Upaya_Debitur[[#This Row],[Surat Pemberitahuan?]:[Gugatan Sederhana?]],"Ya",Upaya_Debitur[[#This Row],[Surat Pemberitahuan]:[Gugatan Sederhana]],"")</f>
        <v>8</v>
      </c>
      <c r="CM81" s="36">
        <f ca="1">IF(ISNUMBER(Upaya_Debitur[[#This Row],[Realisasi]]/Upaya_Debitur[[#This Row],[Target Upaya]]),Upaya_Debitur[[#This Row],[Realisasi]]/Upaya_Debitur[[#This Row],[Target Upaya]],1)</f>
        <v>1</v>
      </c>
    </row>
    <row r="82" spans="1:91" x14ac:dyDescent="0.3">
      <c r="A82" s="16">
        <v>64</v>
      </c>
      <c r="B82" s="17"/>
      <c r="C82" s="17" t="s">
        <v>311</v>
      </c>
      <c r="D82" s="16" t="s">
        <v>312</v>
      </c>
      <c r="E82" s="37">
        <v>5900000</v>
      </c>
      <c r="F82" s="37">
        <v>0</v>
      </c>
      <c r="G82" s="37">
        <v>0</v>
      </c>
      <c r="H82" s="40">
        <f>SUM(Upaya_Debitur[[#This Row],[Kewajiban Pokok]:[Kewajiban Denda]])</f>
        <v>5900000</v>
      </c>
      <c r="I82" s="37"/>
      <c r="J82" s="40">
        <f>IF(ISNUMBER(Upaya_Debitur[[#This Row],[Angsuran Sesuai PK]]),Upaya_Debitur[[#This Row],[Angsuran Sesuai PK]],1)</f>
        <v>1</v>
      </c>
      <c r="K82" s="76"/>
      <c r="L82" s="16" t="s">
        <v>37</v>
      </c>
      <c r="N82" s="18"/>
      <c r="O82" s="76"/>
      <c r="P82" s="37"/>
      <c r="Q82" s="41"/>
      <c r="R82" s="37"/>
      <c r="S82" s="40">
        <f>IF(Upaya_Debitur[[#This Row],[Periode Haircut]]="",0,IF(Upaya_Debitur[[#This Row],[Periode Haircut]]&lt;=$B$6,Upaya_Debitur[[#This Row],[Haircut]],0))</f>
        <v>0</v>
      </c>
      <c r="T82" s="40">
        <f>IF($B$10="",0,IF($B$10&lt;=$B$6,Upaya_Debitur[[#This Row],[Set Off]],0))</f>
        <v>0</v>
      </c>
      <c r="U82" s="37">
        <v>0</v>
      </c>
      <c r="V82" s="37">
        <v>0</v>
      </c>
      <c r="W82" s="37">
        <v>0</v>
      </c>
      <c r="X82" s="37">
        <v>0</v>
      </c>
      <c r="Y82" s="37">
        <v>0</v>
      </c>
      <c r="Z82" s="37">
        <v>0</v>
      </c>
      <c r="AA82" s="37">
        <v>0</v>
      </c>
      <c r="AB82" s="37">
        <v>0</v>
      </c>
      <c r="AC82" s="37">
        <v>0</v>
      </c>
      <c r="AD82" s="37">
        <v>0</v>
      </c>
      <c r="AE82" s="37">
        <v>0</v>
      </c>
      <c r="AF82" s="37">
        <v>0</v>
      </c>
      <c r="AG82" s="37">
        <v>0</v>
      </c>
      <c r="AH82" s="37">
        <v>0</v>
      </c>
      <c r="AI82" s="37">
        <v>0</v>
      </c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40">
        <f ca="1">SUM(OFFSET(Upaya_Debitur[[#This Row],[Haircut Diperhitungkan]],0,0,1,$B$7+2))</f>
        <v>0</v>
      </c>
      <c r="BR82" s="35" t="str">
        <f ca="1">IF(Upaya_Debitur[[#This Row],[Total Pencairan]]&gt;=Upaya_Debitur[[#This Row],[Kewajiban Total]],"Lunas","Belum Lunas")</f>
        <v>Belum Lunas</v>
      </c>
      <c r="BS82" s="35" t="str">
        <f t="shared" si="3"/>
        <v>Ya</v>
      </c>
      <c r="BT82" s="35" t="str">
        <f t="shared" si="4"/>
        <v>Ya</v>
      </c>
      <c r="BU8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8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8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82" s="35" t="str">
        <f>IF(Upaya_Debitur[[#This Row],[Kondisi Debitur]]="Tidak ditemukan","Ya","Tidak")</f>
        <v>Ya</v>
      </c>
      <c r="BY8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8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8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82" s="18">
        <v>43781</v>
      </c>
      <c r="CC82" s="18">
        <v>43999</v>
      </c>
      <c r="CD82" s="18">
        <v>43826</v>
      </c>
      <c r="CE82" s="18">
        <v>43871</v>
      </c>
      <c r="CF82" s="18">
        <v>43887</v>
      </c>
      <c r="CG82" s="18">
        <v>44035</v>
      </c>
      <c r="CH82" s="18">
        <v>44057</v>
      </c>
      <c r="CI82" s="18">
        <v>44077</v>
      </c>
      <c r="CJ82" s="18"/>
      <c r="CK82" s="35">
        <f ca="1">COUNTIF(Upaya_Debitur[[#This Row],[Surat Pemberitahuan?]:[Gugatan Sederhana?]],"Ya")</f>
        <v>8</v>
      </c>
      <c r="CL82" s="35">
        <f ca="1">Upaya_Debitur[[#This Row],[Target Upaya]]-COUNTIFS(Upaya_Debitur[[#This Row],[Surat Pemberitahuan?]:[Gugatan Sederhana?]],"Ya",Upaya_Debitur[[#This Row],[Surat Pemberitahuan]:[Gugatan Sederhana]],"")</f>
        <v>8</v>
      </c>
      <c r="CM82" s="36">
        <f ca="1">IF(ISNUMBER(Upaya_Debitur[[#This Row],[Realisasi]]/Upaya_Debitur[[#This Row],[Target Upaya]]),Upaya_Debitur[[#This Row],[Realisasi]]/Upaya_Debitur[[#This Row],[Target Upaya]],1)</f>
        <v>1</v>
      </c>
    </row>
    <row r="83" spans="1:91" x14ac:dyDescent="0.3">
      <c r="A83" s="16">
        <v>65</v>
      </c>
      <c r="B83" s="17"/>
      <c r="C83" s="17" t="s">
        <v>313</v>
      </c>
      <c r="D83" s="16" t="s">
        <v>314</v>
      </c>
      <c r="E83" s="37">
        <v>1000000</v>
      </c>
      <c r="F83" s="37">
        <v>0</v>
      </c>
      <c r="G83" s="37">
        <v>0</v>
      </c>
      <c r="H83" s="40">
        <f>SUM(Upaya_Debitur[[#This Row],[Kewajiban Pokok]:[Kewajiban Denda]])</f>
        <v>1000000</v>
      </c>
      <c r="I83" s="37"/>
      <c r="J83" s="40">
        <f>IF(ISNUMBER(Upaya_Debitur[[#This Row],[Angsuran Sesuai PK]]),Upaya_Debitur[[#This Row],[Angsuran Sesuai PK]],1)</f>
        <v>1</v>
      </c>
      <c r="K83" s="76"/>
      <c r="L83" s="16" t="s">
        <v>37</v>
      </c>
      <c r="N83" s="18"/>
      <c r="O83" s="76"/>
      <c r="P83" s="37"/>
      <c r="Q83" s="41"/>
      <c r="R83" s="37"/>
      <c r="S83" s="40">
        <f>IF(Upaya_Debitur[[#This Row],[Periode Haircut]]="",0,IF(Upaya_Debitur[[#This Row],[Periode Haircut]]&lt;=$B$6,Upaya_Debitur[[#This Row],[Haircut]],0))</f>
        <v>0</v>
      </c>
      <c r="T83" s="40">
        <f>IF($B$10="",0,IF($B$10&lt;=$B$6,Upaya_Debitur[[#This Row],[Set Off]],0))</f>
        <v>0</v>
      </c>
      <c r="U83" s="37">
        <v>0</v>
      </c>
      <c r="V83" s="37">
        <v>0</v>
      </c>
      <c r="W83" s="37">
        <v>0</v>
      </c>
      <c r="X83" s="37">
        <v>0</v>
      </c>
      <c r="Y83" s="37">
        <v>0</v>
      </c>
      <c r="Z83" s="37">
        <v>0</v>
      </c>
      <c r="AA83" s="37">
        <v>0</v>
      </c>
      <c r="AB83" s="37">
        <v>0</v>
      </c>
      <c r="AC83" s="37">
        <v>0</v>
      </c>
      <c r="AD83" s="37">
        <v>0</v>
      </c>
      <c r="AE83" s="37">
        <v>0</v>
      </c>
      <c r="AF83" s="37">
        <v>0</v>
      </c>
      <c r="AG83" s="37">
        <v>0</v>
      </c>
      <c r="AH83" s="37">
        <v>0</v>
      </c>
      <c r="AI83" s="37">
        <v>0</v>
      </c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40">
        <f ca="1">SUM(OFFSET(Upaya_Debitur[[#This Row],[Haircut Diperhitungkan]],0,0,1,$B$7+2))</f>
        <v>0</v>
      </c>
      <c r="BR83" s="35" t="str">
        <f ca="1">IF(Upaya_Debitur[[#This Row],[Total Pencairan]]&gt;=Upaya_Debitur[[#This Row],[Kewajiban Total]],"Lunas","Belum Lunas")</f>
        <v>Belum Lunas</v>
      </c>
      <c r="BS83" s="35" t="str">
        <f t="shared" si="3"/>
        <v>Ya</v>
      </c>
      <c r="BT83" s="35" t="str">
        <f t="shared" si="4"/>
        <v>Ya</v>
      </c>
      <c r="BU8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8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8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83" s="35" t="str">
        <f>IF(Upaya_Debitur[[#This Row],[Kondisi Debitur]]="Tidak ditemukan","Ya","Tidak")</f>
        <v>Ya</v>
      </c>
      <c r="BY8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8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8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83" s="18">
        <v>43781</v>
      </c>
      <c r="CC83" s="18">
        <v>43999</v>
      </c>
      <c r="CD83" s="18">
        <v>43826</v>
      </c>
      <c r="CE83" s="18">
        <v>43871</v>
      </c>
      <c r="CF83" s="18">
        <v>43887</v>
      </c>
      <c r="CG83" s="18">
        <v>43888</v>
      </c>
      <c r="CH83" s="18">
        <v>44057</v>
      </c>
      <c r="CI83" s="18">
        <v>44077</v>
      </c>
      <c r="CJ83" s="18"/>
      <c r="CK83" s="35">
        <f ca="1">COUNTIF(Upaya_Debitur[[#This Row],[Surat Pemberitahuan?]:[Gugatan Sederhana?]],"Ya")</f>
        <v>8</v>
      </c>
      <c r="CL83" s="35">
        <f ca="1">Upaya_Debitur[[#This Row],[Target Upaya]]-COUNTIFS(Upaya_Debitur[[#This Row],[Surat Pemberitahuan?]:[Gugatan Sederhana?]],"Ya",Upaya_Debitur[[#This Row],[Surat Pemberitahuan]:[Gugatan Sederhana]],"")</f>
        <v>8</v>
      </c>
      <c r="CM83" s="36">
        <f ca="1">IF(ISNUMBER(Upaya_Debitur[[#This Row],[Realisasi]]/Upaya_Debitur[[#This Row],[Target Upaya]]),Upaya_Debitur[[#This Row],[Realisasi]]/Upaya_Debitur[[#This Row],[Target Upaya]],1)</f>
        <v>1</v>
      </c>
    </row>
    <row r="84" spans="1:91" x14ac:dyDescent="0.3">
      <c r="A84" s="16">
        <v>66</v>
      </c>
      <c r="B84" s="17"/>
      <c r="C84" s="17" t="s">
        <v>315</v>
      </c>
      <c r="D84" s="16" t="s">
        <v>316</v>
      </c>
      <c r="E84" s="37">
        <v>3716500</v>
      </c>
      <c r="F84" s="37">
        <v>0</v>
      </c>
      <c r="G84" s="37">
        <v>0</v>
      </c>
      <c r="H84" s="40">
        <f>SUM(Upaya_Debitur[[#This Row],[Kewajiban Pokok]:[Kewajiban Denda]])</f>
        <v>3716500</v>
      </c>
      <c r="I84" s="37"/>
      <c r="J84" s="40">
        <f>IF(ISNUMBER(Upaya_Debitur[[#This Row],[Angsuran Sesuai PK]]),Upaya_Debitur[[#This Row],[Angsuran Sesuai PK]],1)</f>
        <v>1</v>
      </c>
      <c r="K84" s="76"/>
      <c r="L84" s="16" t="s">
        <v>37</v>
      </c>
      <c r="N84" s="18"/>
      <c r="O84" s="76"/>
      <c r="P84" s="37"/>
      <c r="Q84" s="41"/>
      <c r="R84" s="37"/>
      <c r="S84" s="40">
        <f>IF(Upaya_Debitur[[#This Row],[Periode Haircut]]="",0,IF(Upaya_Debitur[[#This Row],[Periode Haircut]]&lt;=$B$6,Upaya_Debitur[[#This Row],[Haircut]],0))</f>
        <v>0</v>
      </c>
      <c r="T84" s="40">
        <f>IF($B$10="",0,IF($B$10&lt;=$B$6,Upaya_Debitur[[#This Row],[Set Off]],0))</f>
        <v>0</v>
      </c>
      <c r="U84" s="37">
        <v>0</v>
      </c>
      <c r="V84" s="37">
        <v>0</v>
      </c>
      <c r="W84" s="37">
        <v>0</v>
      </c>
      <c r="X84" s="37">
        <v>0</v>
      </c>
      <c r="Y84" s="37">
        <v>0</v>
      </c>
      <c r="Z84" s="37">
        <v>0</v>
      </c>
      <c r="AA84" s="37">
        <v>0</v>
      </c>
      <c r="AB84" s="37">
        <v>0</v>
      </c>
      <c r="AC84" s="37">
        <v>0</v>
      </c>
      <c r="AD84" s="37">
        <v>0</v>
      </c>
      <c r="AE84" s="37">
        <v>0</v>
      </c>
      <c r="AF84" s="37">
        <v>0</v>
      </c>
      <c r="AG84" s="37">
        <v>0</v>
      </c>
      <c r="AH84" s="37">
        <v>0</v>
      </c>
      <c r="AI84" s="37">
        <v>0</v>
      </c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40">
        <f ca="1">SUM(OFFSET(Upaya_Debitur[[#This Row],[Haircut Diperhitungkan]],0,0,1,$B$7+2))</f>
        <v>0</v>
      </c>
      <c r="BR84" s="35" t="str">
        <f ca="1">IF(Upaya_Debitur[[#This Row],[Total Pencairan]]&gt;=Upaya_Debitur[[#This Row],[Kewajiban Total]],"Lunas","Belum Lunas")</f>
        <v>Belum Lunas</v>
      </c>
      <c r="BS84" s="35" t="str">
        <f t="shared" si="3"/>
        <v>Ya</v>
      </c>
      <c r="BT84" s="35" t="str">
        <f t="shared" si="4"/>
        <v>Ya</v>
      </c>
      <c r="BU8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8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8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84" s="35" t="str">
        <f>IF(Upaya_Debitur[[#This Row],[Kondisi Debitur]]="Tidak ditemukan","Ya","Tidak")</f>
        <v>Ya</v>
      </c>
      <c r="BY8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8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8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84" s="18">
        <v>43781</v>
      </c>
      <c r="CC84" s="18">
        <v>43999</v>
      </c>
      <c r="CD84" s="18">
        <v>43826</v>
      </c>
      <c r="CE84" s="18">
        <v>43871</v>
      </c>
      <c r="CF84" s="18">
        <v>43887</v>
      </c>
      <c r="CG84" s="18">
        <v>43888</v>
      </c>
      <c r="CH84" s="18">
        <v>44057</v>
      </c>
      <c r="CI84" s="18">
        <v>44077</v>
      </c>
      <c r="CJ84" s="18"/>
      <c r="CK84" s="35">
        <f ca="1">COUNTIF(Upaya_Debitur[[#This Row],[Surat Pemberitahuan?]:[Gugatan Sederhana?]],"Ya")</f>
        <v>8</v>
      </c>
      <c r="CL84" s="35">
        <f ca="1">Upaya_Debitur[[#This Row],[Target Upaya]]-COUNTIFS(Upaya_Debitur[[#This Row],[Surat Pemberitahuan?]:[Gugatan Sederhana?]],"Ya",Upaya_Debitur[[#This Row],[Surat Pemberitahuan]:[Gugatan Sederhana]],"")</f>
        <v>8</v>
      </c>
      <c r="CM84" s="36">
        <f ca="1">IF(ISNUMBER(Upaya_Debitur[[#This Row],[Realisasi]]/Upaya_Debitur[[#This Row],[Target Upaya]]),Upaya_Debitur[[#This Row],[Realisasi]]/Upaya_Debitur[[#This Row],[Target Upaya]],1)</f>
        <v>1</v>
      </c>
    </row>
    <row r="85" spans="1:91" x14ac:dyDescent="0.3">
      <c r="A85" s="16">
        <v>67</v>
      </c>
      <c r="B85" s="17"/>
      <c r="C85" s="17" t="s">
        <v>317</v>
      </c>
      <c r="D85" s="16" t="s">
        <v>318</v>
      </c>
      <c r="E85" s="37">
        <v>3050000</v>
      </c>
      <c r="F85" s="37">
        <v>0</v>
      </c>
      <c r="G85" s="37">
        <v>0</v>
      </c>
      <c r="H85" s="40">
        <f>SUM(Upaya_Debitur[[#This Row],[Kewajiban Pokok]:[Kewajiban Denda]])</f>
        <v>3050000</v>
      </c>
      <c r="I85" s="37"/>
      <c r="J85" s="40">
        <f>IF(ISNUMBER(Upaya_Debitur[[#This Row],[Angsuran Sesuai PK]]),Upaya_Debitur[[#This Row],[Angsuran Sesuai PK]],1)</f>
        <v>1</v>
      </c>
      <c r="K85" s="76"/>
      <c r="L85" s="16" t="s">
        <v>37</v>
      </c>
      <c r="N85" s="18"/>
      <c r="O85" s="76"/>
      <c r="P85" s="37"/>
      <c r="Q85" s="41"/>
      <c r="R85" s="37"/>
      <c r="S85" s="40">
        <f>IF(Upaya_Debitur[[#This Row],[Periode Haircut]]="",0,IF(Upaya_Debitur[[#This Row],[Periode Haircut]]&lt;=$B$6,Upaya_Debitur[[#This Row],[Haircut]],0))</f>
        <v>0</v>
      </c>
      <c r="T85" s="40">
        <f>IF($B$10="",0,IF($B$10&lt;=$B$6,Upaya_Debitur[[#This Row],[Set Off]],0))</f>
        <v>0</v>
      </c>
      <c r="U85" s="37">
        <v>0</v>
      </c>
      <c r="V85" s="37">
        <v>0</v>
      </c>
      <c r="W85" s="37">
        <v>0</v>
      </c>
      <c r="X85" s="37">
        <v>0</v>
      </c>
      <c r="Y85" s="37">
        <v>0</v>
      </c>
      <c r="Z85" s="37">
        <v>0</v>
      </c>
      <c r="AA85" s="37">
        <v>0</v>
      </c>
      <c r="AB85" s="37">
        <v>0</v>
      </c>
      <c r="AC85" s="37">
        <v>0</v>
      </c>
      <c r="AD85" s="37">
        <v>0</v>
      </c>
      <c r="AE85" s="37">
        <v>0</v>
      </c>
      <c r="AF85" s="37">
        <v>0</v>
      </c>
      <c r="AG85" s="37">
        <v>0</v>
      </c>
      <c r="AH85" s="37">
        <v>0</v>
      </c>
      <c r="AI85" s="37">
        <v>0</v>
      </c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40">
        <f ca="1">SUM(OFFSET(Upaya_Debitur[[#This Row],[Haircut Diperhitungkan]],0,0,1,$B$7+2))</f>
        <v>0</v>
      </c>
      <c r="BR85" s="35" t="str">
        <f ca="1">IF(Upaya_Debitur[[#This Row],[Total Pencairan]]&gt;=Upaya_Debitur[[#This Row],[Kewajiban Total]],"Lunas","Belum Lunas")</f>
        <v>Belum Lunas</v>
      </c>
      <c r="BS85" s="35" t="str">
        <f t="shared" si="3"/>
        <v>Ya</v>
      </c>
      <c r="BT85" s="35" t="str">
        <f t="shared" si="4"/>
        <v>Ya</v>
      </c>
      <c r="BU8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8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8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85" s="35" t="str">
        <f>IF(Upaya_Debitur[[#This Row],[Kondisi Debitur]]="Tidak ditemukan","Ya","Tidak")</f>
        <v>Ya</v>
      </c>
      <c r="BY8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8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8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85" s="18">
        <v>43781</v>
      </c>
      <c r="CC85" s="18">
        <v>43999</v>
      </c>
      <c r="CD85" s="18">
        <v>43826</v>
      </c>
      <c r="CE85" s="18">
        <v>43871</v>
      </c>
      <c r="CF85" s="18">
        <v>43887</v>
      </c>
      <c r="CG85" s="18">
        <v>44035</v>
      </c>
      <c r="CH85" s="18">
        <v>44057</v>
      </c>
      <c r="CI85" s="18">
        <v>44077</v>
      </c>
      <c r="CJ85" s="18"/>
      <c r="CK85" s="35">
        <f ca="1">COUNTIF(Upaya_Debitur[[#This Row],[Surat Pemberitahuan?]:[Gugatan Sederhana?]],"Ya")</f>
        <v>8</v>
      </c>
      <c r="CL85" s="35">
        <f ca="1">Upaya_Debitur[[#This Row],[Target Upaya]]-COUNTIFS(Upaya_Debitur[[#This Row],[Surat Pemberitahuan?]:[Gugatan Sederhana?]],"Ya",Upaya_Debitur[[#This Row],[Surat Pemberitahuan]:[Gugatan Sederhana]],"")</f>
        <v>8</v>
      </c>
      <c r="CM85" s="36">
        <f ca="1">IF(ISNUMBER(Upaya_Debitur[[#This Row],[Realisasi]]/Upaya_Debitur[[#This Row],[Target Upaya]]),Upaya_Debitur[[#This Row],[Realisasi]]/Upaya_Debitur[[#This Row],[Target Upaya]],1)</f>
        <v>1</v>
      </c>
    </row>
    <row r="86" spans="1:91" x14ac:dyDescent="0.3">
      <c r="A86" s="16">
        <v>68</v>
      </c>
      <c r="B86" s="17"/>
      <c r="C86" s="17" t="s">
        <v>319</v>
      </c>
      <c r="D86" s="16" t="s">
        <v>320</v>
      </c>
      <c r="E86" s="37">
        <v>150000</v>
      </c>
      <c r="F86" s="37">
        <v>0</v>
      </c>
      <c r="G86" s="37">
        <v>0</v>
      </c>
      <c r="H86" s="40">
        <f>SUM(Upaya_Debitur[[#This Row],[Kewajiban Pokok]:[Kewajiban Denda]])</f>
        <v>150000</v>
      </c>
      <c r="I86" s="37"/>
      <c r="J86" s="40">
        <f>IF(ISNUMBER(Upaya_Debitur[[#This Row],[Angsuran Sesuai PK]]),Upaya_Debitur[[#This Row],[Angsuran Sesuai PK]],1)</f>
        <v>1</v>
      </c>
      <c r="K86" s="76"/>
      <c r="L86" s="16" t="s">
        <v>37</v>
      </c>
      <c r="N86" s="18"/>
      <c r="O86" s="76"/>
      <c r="P86" s="37"/>
      <c r="Q86" s="41"/>
      <c r="R86" s="37"/>
      <c r="S86" s="40">
        <f>IF(Upaya_Debitur[[#This Row],[Periode Haircut]]="",0,IF(Upaya_Debitur[[#This Row],[Periode Haircut]]&lt;=$B$6,Upaya_Debitur[[#This Row],[Haircut]],0))</f>
        <v>0</v>
      </c>
      <c r="T86" s="40">
        <f>IF($B$10="",0,IF($B$10&lt;=$B$6,Upaya_Debitur[[#This Row],[Set Off]],0))</f>
        <v>0</v>
      </c>
      <c r="U86" s="37">
        <v>0</v>
      </c>
      <c r="V86" s="37">
        <v>0</v>
      </c>
      <c r="W86" s="37">
        <v>0</v>
      </c>
      <c r="X86" s="37">
        <v>0</v>
      </c>
      <c r="Y86" s="37">
        <v>0</v>
      </c>
      <c r="Z86" s="37">
        <v>0</v>
      </c>
      <c r="AA86" s="37">
        <v>0</v>
      </c>
      <c r="AB86" s="37">
        <v>0</v>
      </c>
      <c r="AC86" s="37">
        <v>0</v>
      </c>
      <c r="AD86" s="37">
        <v>0</v>
      </c>
      <c r="AE86" s="37">
        <v>0</v>
      </c>
      <c r="AF86" s="37">
        <v>0</v>
      </c>
      <c r="AG86" s="37">
        <v>0</v>
      </c>
      <c r="AH86" s="37">
        <v>0</v>
      </c>
      <c r="AI86" s="37">
        <v>0</v>
      </c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40">
        <f ca="1">SUM(OFFSET(Upaya_Debitur[[#This Row],[Haircut Diperhitungkan]],0,0,1,$B$7+2))</f>
        <v>0</v>
      </c>
      <c r="BR86" s="35" t="str">
        <f ca="1">IF(Upaya_Debitur[[#This Row],[Total Pencairan]]&gt;=Upaya_Debitur[[#This Row],[Kewajiban Total]],"Lunas","Belum Lunas")</f>
        <v>Belum Lunas</v>
      </c>
      <c r="BS86" s="35" t="str">
        <f t="shared" ref="BS86:BS149" si="5">"Ya"</f>
        <v>Ya</v>
      </c>
      <c r="BT86" s="35" t="str">
        <f t="shared" ref="BT86:BT149" si="6">"Ya"</f>
        <v>Ya</v>
      </c>
      <c r="BU8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8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8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86" s="35" t="str">
        <f>IF(Upaya_Debitur[[#This Row],[Kondisi Debitur]]="Tidak ditemukan","Ya","Tidak")</f>
        <v>Ya</v>
      </c>
      <c r="BY8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8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8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86" s="18">
        <v>43781</v>
      </c>
      <c r="CC86" s="18">
        <v>43999</v>
      </c>
      <c r="CD86" s="18">
        <v>43826</v>
      </c>
      <c r="CE86" s="18">
        <v>43871</v>
      </c>
      <c r="CF86" s="18">
        <v>43887</v>
      </c>
      <c r="CG86" s="18">
        <v>44035</v>
      </c>
      <c r="CH86" s="18">
        <v>44057</v>
      </c>
      <c r="CI86" s="18">
        <v>44077</v>
      </c>
      <c r="CJ86" s="18"/>
      <c r="CK86" s="35">
        <f ca="1">COUNTIF(Upaya_Debitur[[#This Row],[Surat Pemberitahuan?]:[Gugatan Sederhana?]],"Ya")</f>
        <v>8</v>
      </c>
      <c r="CL86" s="35">
        <f ca="1">Upaya_Debitur[[#This Row],[Target Upaya]]-COUNTIFS(Upaya_Debitur[[#This Row],[Surat Pemberitahuan?]:[Gugatan Sederhana?]],"Ya",Upaya_Debitur[[#This Row],[Surat Pemberitahuan]:[Gugatan Sederhana]],"")</f>
        <v>8</v>
      </c>
      <c r="CM86" s="36">
        <f ca="1">IF(ISNUMBER(Upaya_Debitur[[#This Row],[Realisasi]]/Upaya_Debitur[[#This Row],[Target Upaya]]),Upaya_Debitur[[#This Row],[Realisasi]]/Upaya_Debitur[[#This Row],[Target Upaya]],1)</f>
        <v>1</v>
      </c>
    </row>
    <row r="87" spans="1:91" x14ac:dyDescent="0.3">
      <c r="A87" s="16">
        <v>69</v>
      </c>
      <c r="B87" s="17"/>
      <c r="C87" s="17" t="s">
        <v>321</v>
      </c>
      <c r="D87" s="16" t="s">
        <v>320</v>
      </c>
      <c r="E87" s="37">
        <v>558850</v>
      </c>
      <c r="F87" s="37">
        <v>0</v>
      </c>
      <c r="G87" s="37">
        <v>0</v>
      </c>
      <c r="H87" s="40">
        <f>SUM(Upaya_Debitur[[#This Row],[Kewajiban Pokok]:[Kewajiban Denda]])</f>
        <v>558850</v>
      </c>
      <c r="I87" s="37"/>
      <c r="J87" s="40">
        <f>IF(ISNUMBER(Upaya_Debitur[[#This Row],[Angsuran Sesuai PK]]),Upaya_Debitur[[#This Row],[Angsuran Sesuai PK]],1)</f>
        <v>1</v>
      </c>
      <c r="K87" s="76"/>
      <c r="L87" s="16" t="s">
        <v>37</v>
      </c>
      <c r="N87" s="18"/>
      <c r="O87" s="76"/>
      <c r="P87" s="37"/>
      <c r="Q87" s="41"/>
      <c r="R87" s="37"/>
      <c r="S87" s="40">
        <f>IF(Upaya_Debitur[[#This Row],[Periode Haircut]]="",0,IF(Upaya_Debitur[[#This Row],[Periode Haircut]]&lt;=$B$6,Upaya_Debitur[[#This Row],[Haircut]],0))</f>
        <v>0</v>
      </c>
      <c r="T87" s="40">
        <f>IF($B$10="",0,IF($B$10&lt;=$B$6,Upaya_Debitur[[#This Row],[Set Off]],0))</f>
        <v>0</v>
      </c>
      <c r="U87" s="37">
        <v>0</v>
      </c>
      <c r="V87" s="37">
        <v>0</v>
      </c>
      <c r="W87" s="37">
        <v>0</v>
      </c>
      <c r="X87" s="37">
        <v>0</v>
      </c>
      <c r="Y87" s="37">
        <v>0</v>
      </c>
      <c r="Z87" s="37">
        <v>0</v>
      </c>
      <c r="AA87" s="37">
        <v>0</v>
      </c>
      <c r="AB87" s="37">
        <v>0</v>
      </c>
      <c r="AC87" s="37">
        <v>0</v>
      </c>
      <c r="AD87" s="37">
        <v>0</v>
      </c>
      <c r="AE87" s="37">
        <v>0</v>
      </c>
      <c r="AF87" s="37">
        <v>0</v>
      </c>
      <c r="AG87" s="37">
        <v>0</v>
      </c>
      <c r="AH87" s="37">
        <v>0</v>
      </c>
      <c r="AI87" s="37">
        <v>0</v>
      </c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40">
        <f ca="1">SUM(OFFSET(Upaya_Debitur[[#This Row],[Haircut Diperhitungkan]],0,0,1,$B$7+2))</f>
        <v>0</v>
      </c>
      <c r="BR87" s="35" t="str">
        <f ca="1">IF(Upaya_Debitur[[#This Row],[Total Pencairan]]&gt;=Upaya_Debitur[[#This Row],[Kewajiban Total]],"Lunas","Belum Lunas")</f>
        <v>Belum Lunas</v>
      </c>
      <c r="BS87" s="35" t="str">
        <f t="shared" si="5"/>
        <v>Ya</v>
      </c>
      <c r="BT87" s="35" t="str">
        <f t="shared" si="6"/>
        <v>Ya</v>
      </c>
      <c r="BU8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8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8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87" s="35" t="str">
        <f>IF(Upaya_Debitur[[#This Row],[Kondisi Debitur]]="Tidak ditemukan","Ya","Tidak")</f>
        <v>Ya</v>
      </c>
      <c r="BY8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8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8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87" s="18">
        <v>43781</v>
      </c>
      <c r="CC87" s="18">
        <v>43999</v>
      </c>
      <c r="CD87" s="18">
        <v>43826</v>
      </c>
      <c r="CE87" s="18">
        <v>43871</v>
      </c>
      <c r="CF87" s="18">
        <v>43887</v>
      </c>
      <c r="CG87" s="18">
        <v>43888</v>
      </c>
      <c r="CH87" s="18">
        <v>44057</v>
      </c>
      <c r="CI87" s="18">
        <v>44077</v>
      </c>
      <c r="CJ87" s="18"/>
      <c r="CK87" s="35">
        <f ca="1">COUNTIF(Upaya_Debitur[[#This Row],[Surat Pemberitahuan?]:[Gugatan Sederhana?]],"Ya")</f>
        <v>8</v>
      </c>
      <c r="CL87" s="35">
        <f ca="1">Upaya_Debitur[[#This Row],[Target Upaya]]-COUNTIFS(Upaya_Debitur[[#This Row],[Surat Pemberitahuan?]:[Gugatan Sederhana?]],"Ya",Upaya_Debitur[[#This Row],[Surat Pemberitahuan]:[Gugatan Sederhana]],"")</f>
        <v>8</v>
      </c>
      <c r="CM87" s="36">
        <f ca="1">IF(ISNUMBER(Upaya_Debitur[[#This Row],[Realisasi]]/Upaya_Debitur[[#This Row],[Target Upaya]]),Upaya_Debitur[[#This Row],[Realisasi]]/Upaya_Debitur[[#This Row],[Target Upaya]],1)</f>
        <v>1</v>
      </c>
    </row>
    <row r="88" spans="1:91" x14ac:dyDescent="0.3">
      <c r="A88" s="16">
        <v>70</v>
      </c>
      <c r="B88" s="17"/>
      <c r="C88" s="17" t="s">
        <v>322</v>
      </c>
      <c r="D88" s="16" t="s">
        <v>323</v>
      </c>
      <c r="E88" s="37">
        <v>580000</v>
      </c>
      <c r="F88" s="37">
        <v>0</v>
      </c>
      <c r="G88" s="37">
        <v>0</v>
      </c>
      <c r="H88" s="40">
        <f>SUM(Upaya_Debitur[[#This Row],[Kewajiban Pokok]:[Kewajiban Denda]])</f>
        <v>580000</v>
      </c>
      <c r="I88" s="37"/>
      <c r="J88" s="40">
        <f>IF(ISNUMBER(Upaya_Debitur[[#This Row],[Angsuran Sesuai PK]]),Upaya_Debitur[[#This Row],[Angsuran Sesuai PK]],1)</f>
        <v>1</v>
      </c>
      <c r="K88" s="76"/>
      <c r="L88" s="16" t="s">
        <v>37</v>
      </c>
      <c r="N88" s="18"/>
      <c r="O88" s="76"/>
      <c r="P88" s="37"/>
      <c r="Q88" s="41"/>
      <c r="R88" s="37"/>
      <c r="S88" s="40">
        <f>IF(Upaya_Debitur[[#This Row],[Periode Haircut]]="",0,IF(Upaya_Debitur[[#This Row],[Periode Haircut]]&lt;=$B$6,Upaya_Debitur[[#This Row],[Haircut]],0))</f>
        <v>0</v>
      </c>
      <c r="T88" s="40">
        <f>IF($B$10="",0,IF($B$10&lt;=$B$6,Upaya_Debitur[[#This Row],[Set Off]],0))</f>
        <v>0</v>
      </c>
      <c r="U88" s="37">
        <v>0</v>
      </c>
      <c r="V88" s="37">
        <v>0</v>
      </c>
      <c r="W88" s="37">
        <v>0</v>
      </c>
      <c r="X88" s="37">
        <v>0</v>
      </c>
      <c r="Y88" s="37">
        <v>0</v>
      </c>
      <c r="Z88" s="37">
        <v>0</v>
      </c>
      <c r="AA88" s="37">
        <v>0</v>
      </c>
      <c r="AB88" s="37">
        <v>0</v>
      </c>
      <c r="AC88" s="37">
        <v>0</v>
      </c>
      <c r="AD88" s="37">
        <v>0</v>
      </c>
      <c r="AE88" s="37">
        <v>0</v>
      </c>
      <c r="AF88" s="37">
        <v>0</v>
      </c>
      <c r="AG88" s="37">
        <v>0</v>
      </c>
      <c r="AH88" s="37">
        <v>0</v>
      </c>
      <c r="AI88" s="37">
        <v>0</v>
      </c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40">
        <f ca="1">SUM(OFFSET(Upaya_Debitur[[#This Row],[Haircut Diperhitungkan]],0,0,1,$B$7+2))</f>
        <v>0</v>
      </c>
      <c r="BR88" s="35" t="str">
        <f ca="1">IF(Upaya_Debitur[[#This Row],[Total Pencairan]]&gt;=Upaya_Debitur[[#This Row],[Kewajiban Total]],"Lunas","Belum Lunas")</f>
        <v>Belum Lunas</v>
      </c>
      <c r="BS88" s="35" t="str">
        <f t="shared" si="5"/>
        <v>Ya</v>
      </c>
      <c r="BT88" s="35" t="str">
        <f t="shared" si="6"/>
        <v>Ya</v>
      </c>
      <c r="BU8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8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8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88" s="35" t="str">
        <f>IF(Upaya_Debitur[[#This Row],[Kondisi Debitur]]="Tidak ditemukan","Ya","Tidak")</f>
        <v>Ya</v>
      </c>
      <c r="BY8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8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8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88" s="18">
        <v>43781</v>
      </c>
      <c r="CC88" s="18">
        <v>43999</v>
      </c>
      <c r="CD88" s="18">
        <v>43826</v>
      </c>
      <c r="CE88" s="18">
        <v>43871</v>
      </c>
      <c r="CF88" s="18">
        <v>43887</v>
      </c>
      <c r="CG88" s="18">
        <v>43888</v>
      </c>
      <c r="CH88" s="18">
        <v>44057</v>
      </c>
      <c r="CI88" s="18">
        <v>44077</v>
      </c>
      <c r="CJ88" s="18"/>
      <c r="CK88" s="35">
        <f ca="1">COUNTIF(Upaya_Debitur[[#This Row],[Surat Pemberitahuan?]:[Gugatan Sederhana?]],"Ya")</f>
        <v>8</v>
      </c>
      <c r="CL88" s="35">
        <f ca="1">Upaya_Debitur[[#This Row],[Target Upaya]]-COUNTIFS(Upaya_Debitur[[#This Row],[Surat Pemberitahuan?]:[Gugatan Sederhana?]],"Ya",Upaya_Debitur[[#This Row],[Surat Pemberitahuan]:[Gugatan Sederhana]],"")</f>
        <v>8</v>
      </c>
      <c r="CM88" s="36">
        <f ca="1">IF(ISNUMBER(Upaya_Debitur[[#This Row],[Realisasi]]/Upaya_Debitur[[#This Row],[Target Upaya]]),Upaya_Debitur[[#This Row],[Realisasi]]/Upaya_Debitur[[#This Row],[Target Upaya]],1)</f>
        <v>1</v>
      </c>
    </row>
    <row r="89" spans="1:91" x14ac:dyDescent="0.3">
      <c r="A89" s="16">
        <v>71</v>
      </c>
      <c r="B89" s="17"/>
      <c r="C89" s="17" t="s">
        <v>324</v>
      </c>
      <c r="D89" s="16" t="s">
        <v>325</v>
      </c>
      <c r="E89" s="37">
        <v>5892500</v>
      </c>
      <c r="F89" s="37">
        <v>0</v>
      </c>
      <c r="G89" s="37">
        <v>0</v>
      </c>
      <c r="H89" s="40">
        <f>SUM(Upaya_Debitur[[#This Row],[Kewajiban Pokok]:[Kewajiban Denda]])</f>
        <v>5892500</v>
      </c>
      <c r="I89" s="37"/>
      <c r="J89" s="40">
        <f>IF(ISNUMBER(Upaya_Debitur[[#This Row],[Angsuran Sesuai PK]]),Upaya_Debitur[[#This Row],[Angsuran Sesuai PK]],1)</f>
        <v>1</v>
      </c>
      <c r="K89" s="76"/>
      <c r="L89" s="16" t="s">
        <v>83</v>
      </c>
      <c r="N89" s="18"/>
      <c r="O89" s="76"/>
      <c r="P89" s="37"/>
      <c r="Q89" s="41"/>
      <c r="R89" s="37"/>
      <c r="S89" s="40">
        <f>IF(Upaya_Debitur[[#This Row],[Periode Haircut]]="",0,IF(Upaya_Debitur[[#This Row],[Periode Haircut]]&lt;=$B$6,Upaya_Debitur[[#This Row],[Haircut]],0))</f>
        <v>0</v>
      </c>
      <c r="T89" s="40">
        <f>IF($B$10="",0,IF($B$10&lt;=$B$6,Upaya_Debitur[[#This Row],[Set Off]],0))</f>
        <v>0</v>
      </c>
      <c r="U89" s="37">
        <v>0</v>
      </c>
      <c r="V89" s="37">
        <v>0</v>
      </c>
      <c r="W89" s="37">
        <v>0</v>
      </c>
      <c r="X89" s="37">
        <v>0</v>
      </c>
      <c r="Y89" s="37">
        <v>0</v>
      </c>
      <c r="Z89" s="37">
        <v>0</v>
      </c>
      <c r="AA89" s="37">
        <v>0</v>
      </c>
      <c r="AB89" s="37">
        <v>0</v>
      </c>
      <c r="AC89" s="37">
        <v>0</v>
      </c>
      <c r="AD89" s="37">
        <v>0</v>
      </c>
      <c r="AE89" s="37">
        <v>0</v>
      </c>
      <c r="AF89" s="37">
        <v>0</v>
      </c>
      <c r="AG89" s="37">
        <v>0</v>
      </c>
      <c r="AH89" s="37">
        <v>0</v>
      </c>
      <c r="AI89" s="37">
        <v>0</v>
      </c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40">
        <f ca="1">SUM(OFFSET(Upaya_Debitur[[#This Row],[Haircut Diperhitungkan]],0,0,1,$B$7+2))</f>
        <v>0</v>
      </c>
      <c r="BR89" s="35" t="str">
        <f ca="1">IF(Upaya_Debitur[[#This Row],[Total Pencairan]]&gt;=Upaya_Debitur[[#This Row],[Kewajiban Total]],"Lunas","Belum Lunas")</f>
        <v>Belum Lunas</v>
      </c>
      <c r="BS89" s="35" t="str">
        <f t="shared" si="5"/>
        <v>Ya</v>
      </c>
      <c r="BT89" s="35" t="str">
        <f t="shared" si="6"/>
        <v>Ya</v>
      </c>
      <c r="BU8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8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8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89" s="35" t="str">
        <f>IF(Upaya_Debitur[[#This Row],[Kondisi Debitur]]="Tidak ditemukan","Ya","Tidak")</f>
        <v>Tidak</v>
      </c>
      <c r="BY8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8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8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89" s="18">
        <v>43781</v>
      </c>
      <c r="CC89" s="18">
        <v>43999</v>
      </c>
      <c r="CD89" s="18">
        <v>43826</v>
      </c>
      <c r="CE89" s="18">
        <v>43871</v>
      </c>
      <c r="CF89" s="18">
        <v>43887</v>
      </c>
      <c r="CG89" s="18">
        <v>43888</v>
      </c>
      <c r="CH89" s="18">
        <v>44057</v>
      </c>
      <c r="CI89" s="18">
        <v>44077</v>
      </c>
      <c r="CJ89" s="18"/>
      <c r="CK89" s="35">
        <f ca="1">COUNTIF(Upaya_Debitur[[#This Row],[Surat Pemberitahuan?]:[Gugatan Sederhana?]],"Ya")</f>
        <v>7</v>
      </c>
      <c r="CL89" s="35">
        <f ca="1">Upaya_Debitur[[#This Row],[Target Upaya]]-COUNTIFS(Upaya_Debitur[[#This Row],[Surat Pemberitahuan?]:[Gugatan Sederhana?]],"Ya",Upaya_Debitur[[#This Row],[Surat Pemberitahuan]:[Gugatan Sederhana]],"")</f>
        <v>7</v>
      </c>
      <c r="CM89" s="36">
        <f ca="1">IF(ISNUMBER(Upaya_Debitur[[#This Row],[Realisasi]]/Upaya_Debitur[[#This Row],[Target Upaya]]),Upaya_Debitur[[#This Row],[Realisasi]]/Upaya_Debitur[[#This Row],[Target Upaya]],1)</f>
        <v>1</v>
      </c>
    </row>
    <row r="90" spans="1:91" x14ac:dyDescent="0.3">
      <c r="A90" s="16">
        <v>72</v>
      </c>
      <c r="B90" s="17"/>
      <c r="C90" s="17" t="s">
        <v>326</v>
      </c>
      <c r="D90" s="16" t="s">
        <v>327</v>
      </c>
      <c r="E90" s="37">
        <v>2000000</v>
      </c>
      <c r="F90" s="37">
        <v>0</v>
      </c>
      <c r="G90" s="37">
        <v>0</v>
      </c>
      <c r="H90" s="40">
        <f>SUM(Upaya_Debitur[[#This Row],[Kewajiban Pokok]:[Kewajiban Denda]])</f>
        <v>2000000</v>
      </c>
      <c r="I90" s="37"/>
      <c r="J90" s="40">
        <f>IF(ISNUMBER(Upaya_Debitur[[#This Row],[Angsuran Sesuai PK]]),Upaya_Debitur[[#This Row],[Angsuran Sesuai PK]],1)</f>
        <v>1</v>
      </c>
      <c r="K90" s="76"/>
      <c r="L90" s="16" t="s">
        <v>37</v>
      </c>
      <c r="N90" s="18"/>
      <c r="O90" s="76"/>
      <c r="P90" s="37"/>
      <c r="Q90" s="41"/>
      <c r="R90" s="37"/>
      <c r="S90" s="40">
        <f>IF(Upaya_Debitur[[#This Row],[Periode Haircut]]="",0,IF(Upaya_Debitur[[#This Row],[Periode Haircut]]&lt;=$B$6,Upaya_Debitur[[#This Row],[Haircut]],0))</f>
        <v>0</v>
      </c>
      <c r="T90" s="40">
        <f>IF($B$10="",0,IF($B$10&lt;=$B$6,Upaya_Debitur[[#This Row],[Set Off]],0))</f>
        <v>0</v>
      </c>
      <c r="U90" s="37">
        <v>0</v>
      </c>
      <c r="V90" s="37">
        <v>0</v>
      </c>
      <c r="W90" s="37">
        <v>0</v>
      </c>
      <c r="X90" s="37">
        <v>0</v>
      </c>
      <c r="Y90" s="37">
        <v>0</v>
      </c>
      <c r="Z90" s="37">
        <v>0</v>
      </c>
      <c r="AA90" s="37">
        <v>0</v>
      </c>
      <c r="AB90" s="37">
        <v>0</v>
      </c>
      <c r="AC90" s="37">
        <v>0</v>
      </c>
      <c r="AD90" s="37">
        <v>0</v>
      </c>
      <c r="AE90" s="37">
        <v>0</v>
      </c>
      <c r="AF90" s="37">
        <v>0</v>
      </c>
      <c r="AG90" s="37">
        <v>0</v>
      </c>
      <c r="AH90" s="37">
        <v>0</v>
      </c>
      <c r="AI90" s="37">
        <v>0</v>
      </c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40">
        <f ca="1">SUM(OFFSET(Upaya_Debitur[[#This Row],[Haircut Diperhitungkan]],0,0,1,$B$7+2))</f>
        <v>0</v>
      </c>
      <c r="BR90" s="35" t="str">
        <f ca="1">IF(Upaya_Debitur[[#This Row],[Total Pencairan]]&gt;=Upaya_Debitur[[#This Row],[Kewajiban Total]],"Lunas","Belum Lunas")</f>
        <v>Belum Lunas</v>
      </c>
      <c r="BS90" s="35" t="str">
        <f t="shared" si="5"/>
        <v>Ya</v>
      </c>
      <c r="BT90" s="35" t="str">
        <f t="shared" si="6"/>
        <v>Ya</v>
      </c>
      <c r="BU9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9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9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90" s="35" t="str">
        <f>IF(Upaya_Debitur[[#This Row],[Kondisi Debitur]]="Tidak ditemukan","Ya","Tidak")</f>
        <v>Ya</v>
      </c>
      <c r="BY9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9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9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90" s="18">
        <v>43781</v>
      </c>
      <c r="CC90" s="18">
        <v>43999</v>
      </c>
      <c r="CD90" s="18">
        <v>43826</v>
      </c>
      <c r="CE90" s="18">
        <v>43871</v>
      </c>
      <c r="CF90" s="18">
        <v>43887</v>
      </c>
      <c r="CG90" s="18">
        <v>43888</v>
      </c>
      <c r="CH90" s="18">
        <v>44057</v>
      </c>
      <c r="CI90" s="18">
        <v>44077</v>
      </c>
      <c r="CJ90" s="18"/>
      <c r="CK90" s="35">
        <f ca="1">COUNTIF(Upaya_Debitur[[#This Row],[Surat Pemberitahuan?]:[Gugatan Sederhana?]],"Ya")</f>
        <v>8</v>
      </c>
      <c r="CL90" s="35">
        <f ca="1">Upaya_Debitur[[#This Row],[Target Upaya]]-COUNTIFS(Upaya_Debitur[[#This Row],[Surat Pemberitahuan?]:[Gugatan Sederhana?]],"Ya",Upaya_Debitur[[#This Row],[Surat Pemberitahuan]:[Gugatan Sederhana]],"")</f>
        <v>8</v>
      </c>
      <c r="CM90" s="36">
        <f ca="1">IF(ISNUMBER(Upaya_Debitur[[#This Row],[Realisasi]]/Upaya_Debitur[[#This Row],[Target Upaya]]),Upaya_Debitur[[#This Row],[Realisasi]]/Upaya_Debitur[[#This Row],[Target Upaya]],1)</f>
        <v>1</v>
      </c>
    </row>
    <row r="91" spans="1:91" x14ac:dyDescent="0.3">
      <c r="A91" s="16">
        <v>73</v>
      </c>
      <c r="B91" s="17"/>
      <c r="C91" s="17" t="s">
        <v>328</v>
      </c>
      <c r="D91" s="16" t="s">
        <v>329</v>
      </c>
      <c r="E91" s="37">
        <v>1164745</v>
      </c>
      <c r="F91" s="37">
        <v>0</v>
      </c>
      <c r="G91" s="37">
        <v>0</v>
      </c>
      <c r="H91" s="40">
        <f>SUM(Upaya_Debitur[[#This Row],[Kewajiban Pokok]:[Kewajiban Denda]])</f>
        <v>1164745</v>
      </c>
      <c r="I91" s="37"/>
      <c r="J91" s="40">
        <f>IF(ISNUMBER(Upaya_Debitur[[#This Row],[Angsuran Sesuai PK]]),Upaya_Debitur[[#This Row],[Angsuran Sesuai PK]],1)</f>
        <v>1</v>
      </c>
      <c r="K91" s="76"/>
      <c r="L91" s="16" t="s">
        <v>37</v>
      </c>
      <c r="N91" s="18"/>
      <c r="O91" s="76"/>
      <c r="P91" s="37"/>
      <c r="Q91" s="41"/>
      <c r="R91" s="37"/>
      <c r="S91" s="40">
        <f>IF(Upaya_Debitur[[#This Row],[Periode Haircut]]="",0,IF(Upaya_Debitur[[#This Row],[Periode Haircut]]&lt;=$B$6,Upaya_Debitur[[#This Row],[Haircut]],0))</f>
        <v>0</v>
      </c>
      <c r="T91" s="40">
        <f>IF($B$10="",0,IF($B$10&lt;=$B$6,Upaya_Debitur[[#This Row],[Set Off]],0))</f>
        <v>0</v>
      </c>
      <c r="U91" s="37">
        <v>0</v>
      </c>
      <c r="V91" s="37">
        <v>0</v>
      </c>
      <c r="W91" s="37">
        <v>0</v>
      </c>
      <c r="X91" s="37">
        <v>0</v>
      </c>
      <c r="Y91" s="37">
        <v>0</v>
      </c>
      <c r="Z91" s="37">
        <v>0</v>
      </c>
      <c r="AA91" s="37">
        <v>0</v>
      </c>
      <c r="AB91" s="37">
        <v>0</v>
      </c>
      <c r="AC91" s="37">
        <v>0</v>
      </c>
      <c r="AD91" s="37">
        <v>0</v>
      </c>
      <c r="AE91" s="37">
        <v>0</v>
      </c>
      <c r="AF91" s="37">
        <v>0</v>
      </c>
      <c r="AG91" s="37">
        <v>0</v>
      </c>
      <c r="AH91" s="37">
        <v>0</v>
      </c>
      <c r="AI91" s="37">
        <v>0</v>
      </c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40">
        <f ca="1">SUM(OFFSET(Upaya_Debitur[[#This Row],[Haircut Diperhitungkan]],0,0,1,$B$7+2))</f>
        <v>0</v>
      </c>
      <c r="BR91" s="35" t="str">
        <f ca="1">IF(Upaya_Debitur[[#This Row],[Total Pencairan]]&gt;=Upaya_Debitur[[#This Row],[Kewajiban Total]],"Lunas","Belum Lunas")</f>
        <v>Belum Lunas</v>
      </c>
      <c r="BS91" s="35" t="str">
        <f t="shared" si="5"/>
        <v>Ya</v>
      </c>
      <c r="BT91" s="35" t="str">
        <f t="shared" si="6"/>
        <v>Ya</v>
      </c>
      <c r="BU9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9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9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91" s="35" t="str">
        <f>IF(Upaya_Debitur[[#This Row],[Kondisi Debitur]]="Tidak ditemukan","Ya","Tidak")</f>
        <v>Ya</v>
      </c>
      <c r="BY9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9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9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91" s="18">
        <v>43781</v>
      </c>
      <c r="CC91" s="18">
        <v>43999</v>
      </c>
      <c r="CD91" s="18">
        <v>43826</v>
      </c>
      <c r="CE91" s="18">
        <v>43871</v>
      </c>
      <c r="CF91" s="18">
        <v>43887</v>
      </c>
      <c r="CG91" s="18">
        <v>43888</v>
      </c>
      <c r="CH91" s="18">
        <v>44057</v>
      </c>
      <c r="CI91" s="18">
        <v>44077</v>
      </c>
      <c r="CJ91" s="18"/>
      <c r="CK91" s="35">
        <f ca="1">COUNTIF(Upaya_Debitur[[#This Row],[Surat Pemberitahuan?]:[Gugatan Sederhana?]],"Ya")</f>
        <v>8</v>
      </c>
      <c r="CL91" s="35">
        <f ca="1">Upaya_Debitur[[#This Row],[Target Upaya]]-COUNTIFS(Upaya_Debitur[[#This Row],[Surat Pemberitahuan?]:[Gugatan Sederhana?]],"Ya",Upaya_Debitur[[#This Row],[Surat Pemberitahuan]:[Gugatan Sederhana]],"")</f>
        <v>8</v>
      </c>
      <c r="CM91" s="36">
        <f ca="1">IF(ISNUMBER(Upaya_Debitur[[#This Row],[Realisasi]]/Upaya_Debitur[[#This Row],[Target Upaya]]),Upaya_Debitur[[#This Row],[Realisasi]]/Upaya_Debitur[[#This Row],[Target Upaya]],1)</f>
        <v>1</v>
      </c>
    </row>
    <row r="92" spans="1:91" x14ac:dyDescent="0.3">
      <c r="A92" s="16">
        <v>74</v>
      </c>
      <c r="B92" s="17"/>
      <c r="C92" s="17" t="s">
        <v>330</v>
      </c>
      <c r="D92" s="16" t="s">
        <v>331</v>
      </c>
      <c r="E92" s="37">
        <v>7120840</v>
      </c>
      <c r="F92" s="37">
        <v>0</v>
      </c>
      <c r="G92" s="37">
        <v>0</v>
      </c>
      <c r="H92" s="40">
        <f>SUM(Upaya_Debitur[[#This Row],[Kewajiban Pokok]:[Kewajiban Denda]])</f>
        <v>7120840</v>
      </c>
      <c r="I92" s="37"/>
      <c r="J92" s="40">
        <f>IF(ISNUMBER(Upaya_Debitur[[#This Row],[Angsuran Sesuai PK]]),Upaya_Debitur[[#This Row],[Angsuran Sesuai PK]],1)</f>
        <v>1</v>
      </c>
      <c r="K92" s="76"/>
      <c r="L92" s="16" t="s">
        <v>37</v>
      </c>
      <c r="N92" s="18"/>
      <c r="O92" s="76"/>
      <c r="P92" s="37"/>
      <c r="Q92" s="41"/>
      <c r="R92" s="37"/>
      <c r="S92" s="40">
        <f>IF(Upaya_Debitur[[#This Row],[Periode Haircut]]="",0,IF(Upaya_Debitur[[#This Row],[Periode Haircut]]&lt;=$B$6,Upaya_Debitur[[#This Row],[Haircut]],0))</f>
        <v>0</v>
      </c>
      <c r="T92" s="40">
        <f>IF($B$10="",0,IF($B$10&lt;=$B$6,Upaya_Debitur[[#This Row],[Set Off]],0))</f>
        <v>0</v>
      </c>
      <c r="U92" s="37">
        <v>0</v>
      </c>
      <c r="V92" s="37">
        <v>0</v>
      </c>
      <c r="W92" s="37">
        <v>0</v>
      </c>
      <c r="X92" s="37">
        <v>0</v>
      </c>
      <c r="Y92" s="37">
        <v>0</v>
      </c>
      <c r="Z92" s="37">
        <v>0</v>
      </c>
      <c r="AA92" s="37">
        <v>0</v>
      </c>
      <c r="AB92" s="37">
        <v>0</v>
      </c>
      <c r="AC92" s="37">
        <v>0</v>
      </c>
      <c r="AD92" s="37">
        <v>0</v>
      </c>
      <c r="AE92" s="37">
        <v>0</v>
      </c>
      <c r="AF92" s="37">
        <v>0</v>
      </c>
      <c r="AG92" s="37">
        <v>0</v>
      </c>
      <c r="AH92" s="37">
        <v>0</v>
      </c>
      <c r="AI92" s="37">
        <v>0</v>
      </c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40">
        <f ca="1">SUM(OFFSET(Upaya_Debitur[[#This Row],[Haircut Diperhitungkan]],0,0,1,$B$7+2))</f>
        <v>0</v>
      </c>
      <c r="BR92" s="35" t="str">
        <f ca="1">IF(Upaya_Debitur[[#This Row],[Total Pencairan]]&gt;=Upaya_Debitur[[#This Row],[Kewajiban Total]],"Lunas","Belum Lunas")</f>
        <v>Belum Lunas</v>
      </c>
      <c r="BS92" s="35" t="str">
        <f t="shared" si="5"/>
        <v>Ya</v>
      </c>
      <c r="BT92" s="35" t="str">
        <f t="shared" si="6"/>
        <v>Ya</v>
      </c>
      <c r="BU9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9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9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92" s="35" t="str">
        <f>IF(Upaya_Debitur[[#This Row],[Kondisi Debitur]]="Tidak ditemukan","Ya","Tidak")</f>
        <v>Ya</v>
      </c>
      <c r="BY9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9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9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92" s="18">
        <v>43781</v>
      </c>
      <c r="CC92" s="18">
        <v>43999</v>
      </c>
      <c r="CD92" s="18">
        <v>43826</v>
      </c>
      <c r="CE92" s="18">
        <v>43871</v>
      </c>
      <c r="CF92" s="18">
        <v>43887</v>
      </c>
      <c r="CG92" s="18">
        <v>43888</v>
      </c>
      <c r="CH92" s="18">
        <v>44057</v>
      </c>
      <c r="CI92" s="18">
        <v>44077</v>
      </c>
      <c r="CJ92" s="18"/>
      <c r="CK92" s="35">
        <f ca="1">COUNTIF(Upaya_Debitur[[#This Row],[Surat Pemberitahuan?]:[Gugatan Sederhana?]],"Ya")</f>
        <v>8</v>
      </c>
      <c r="CL92" s="35">
        <f ca="1">Upaya_Debitur[[#This Row],[Target Upaya]]-COUNTIFS(Upaya_Debitur[[#This Row],[Surat Pemberitahuan?]:[Gugatan Sederhana?]],"Ya",Upaya_Debitur[[#This Row],[Surat Pemberitahuan]:[Gugatan Sederhana]],"")</f>
        <v>8</v>
      </c>
      <c r="CM92" s="36">
        <f ca="1">IF(ISNUMBER(Upaya_Debitur[[#This Row],[Realisasi]]/Upaya_Debitur[[#This Row],[Target Upaya]]),Upaya_Debitur[[#This Row],[Realisasi]]/Upaya_Debitur[[#This Row],[Target Upaya]],1)</f>
        <v>1</v>
      </c>
    </row>
    <row r="93" spans="1:91" x14ac:dyDescent="0.3">
      <c r="A93" s="16">
        <v>75</v>
      </c>
      <c r="B93" s="17"/>
      <c r="C93" s="17" t="s">
        <v>332</v>
      </c>
      <c r="D93" s="16" t="s">
        <v>333</v>
      </c>
      <c r="E93" s="37">
        <v>54325</v>
      </c>
      <c r="F93" s="37">
        <v>0</v>
      </c>
      <c r="G93" s="37">
        <v>0</v>
      </c>
      <c r="H93" s="40">
        <f>SUM(Upaya_Debitur[[#This Row],[Kewajiban Pokok]:[Kewajiban Denda]])</f>
        <v>54325</v>
      </c>
      <c r="I93" s="37"/>
      <c r="J93" s="40">
        <f>IF(ISNUMBER(Upaya_Debitur[[#This Row],[Angsuran Sesuai PK]]),Upaya_Debitur[[#This Row],[Angsuran Sesuai PK]],1)</f>
        <v>1</v>
      </c>
      <c r="K93" s="76"/>
      <c r="L93" s="16" t="s">
        <v>37</v>
      </c>
      <c r="N93" s="18"/>
      <c r="O93" s="76"/>
      <c r="P93" s="37"/>
      <c r="Q93" s="41"/>
      <c r="R93" s="37"/>
      <c r="S93" s="40">
        <f>IF(Upaya_Debitur[[#This Row],[Periode Haircut]]="",0,IF(Upaya_Debitur[[#This Row],[Periode Haircut]]&lt;=$B$6,Upaya_Debitur[[#This Row],[Haircut]],0))</f>
        <v>0</v>
      </c>
      <c r="T93" s="40">
        <f>IF($B$10="",0,IF($B$10&lt;=$B$6,Upaya_Debitur[[#This Row],[Set Off]],0))</f>
        <v>0</v>
      </c>
      <c r="U93" s="37">
        <v>0</v>
      </c>
      <c r="V93" s="37">
        <v>0</v>
      </c>
      <c r="W93" s="37">
        <v>0</v>
      </c>
      <c r="X93" s="37">
        <v>0</v>
      </c>
      <c r="Y93" s="37">
        <v>0</v>
      </c>
      <c r="Z93" s="37">
        <v>0</v>
      </c>
      <c r="AA93" s="37">
        <v>0</v>
      </c>
      <c r="AB93" s="37">
        <v>0</v>
      </c>
      <c r="AC93" s="37">
        <v>0</v>
      </c>
      <c r="AD93" s="37">
        <v>0</v>
      </c>
      <c r="AE93" s="37">
        <v>0</v>
      </c>
      <c r="AF93" s="37">
        <v>0</v>
      </c>
      <c r="AG93" s="37">
        <v>0</v>
      </c>
      <c r="AH93" s="37">
        <v>0</v>
      </c>
      <c r="AI93" s="37">
        <v>0</v>
      </c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40">
        <f ca="1">SUM(OFFSET(Upaya_Debitur[[#This Row],[Haircut Diperhitungkan]],0,0,1,$B$7+2))</f>
        <v>0</v>
      </c>
      <c r="BR93" s="35" t="str">
        <f ca="1">IF(Upaya_Debitur[[#This Row],[Total Pencairan]]&gt;=Upaya_Debitur[[#This Row],[Kewajiban Total]],"Lunas","Belum Lunas")</f>
        <v>Belum Lunas</v>
      </c>
      <c r="BS93" s="35" t="str">
        <f t="shared" si="5"/>
        <v>Ya</v>
      </c>
      <c r="BT93" s="35" t="str">
        <f t="shared" si="6"/>
        <v>Ya</v>
      </c>
      <c r="BU9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9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9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93" s="35" t="str">
        <f>IF(Upaya_Debitur[[#This Row],[Kondisi Debitur]]="Tidak ditemukan","Ya","Tidak")</f>
        <v>Ya</v>
      </c>
      <c r="BY9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9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9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93" s="18">
        <v>43781</v>
      </c>
      <c r="CC93" s="18">
        <v>43999</v>
      </c>
      <c r="CD93" s="18">
        <v>43826</v>
      </c>
      <c r="CE93" s="18">
        <v>43871</v>
      </c>
      <c r="CF93" s="18">
        <v>43887</v>
      </c>
      <c r="CG93" s="18">
        <v>44035</v>
      </c>
      <c r="CH93" s="18">
        <v>44057</v>
      </c>
      <c r="CI93" s="18">
        <v>44077</v>
      </c>
      <c r="CJ93" s="18"/>
      <c r="CK93" s="35">
        <f ca="1">COUNTIF(Upaya_Debitur[[#This Row],[Surat Pemberitahuan?]:[Gugatan Sederhana?]],"Ya")</f>
        <v>8</v>
      </c>
      <c r="CL93" s="35">
        <f ca="1">Upaya_Debitur[[#This Row],[Target Upaya]]-COUNTIFS(Upaya_Debitur[[#This Row],[Surat Pemberitahuan?]:[Gugatan Sederhana?]],"Ya",Upaya_Debitur[[#This Row],[Surat Pemberitahuan]:[Gugatan Sederhana]],"")</f>
        <v>8</v>
      </c>
      <c r="CM93" s="36">
        <f ca="1">IF(ISNUMBER(Upaya_Debitur[[#This Row],[Realisasi]]/Upaya_Debitur[[#This Row],[Target Upaya]]),Upaya_Debitur[[#This Row],[Realisasi]]/Upaya_Debitur[[#This Row],[Target Upaya]],1)</f>
        <v>1</v>
      </c>
    </row>
    <row r="94" spans="1:91" x14ac:dyDescent="0.3">
      <c r="A94" s="16">
        <v>76</v>
      </c>
      <c r="B94" s="17"/>
      <c r="C94" s="17" t="s">
        <v>334</v>
      </c>
      <c r="D94" s="16" t="s">
        <v>335</v>
      </c>
      <c r="E94" s="37">
        <v>31968</v>
      </c>
      <c r="F94" s="37">
        <v>0</v>
      </c>
      <c r="G94" s="37">
        <v>0</v>
      </c>
      <c r="H94" s="40">
        <f>SUM(Upaya_Debitur[[#This Row],[Kewajiban Pokok]:[Kewajiban Denda]])</f>
        <v>31968</v>
      </c>
      <c r="I94" s="37"/>
      <c r="J94" s="40">
        <f>IF(ISNUMBER(Upaya_Debitur[[#This Row],[Angsuran Sesuai PK]]),Upaya_Debitur[[#This Row],[Angsuran Sesuai PK]],1)</f>
        <v>1</v>
      </c>
      <c r="K94" s="76"/>
      <c r="L94" s="16" t="s">
        <v>37</v>
      </c>
      <c r="N94" s="18"/>
      <c r="O94" s="76"/>
      <c r="P94" s="37"/>
      <c r="Q94" s="41"/>
      <c r="R94" s="37"/>
      <c r="S94" s="40">
        <f>IF(Upaya_Debitur[[#This Row],[Periode Haircut]]="",0,IF(Upaya_Debitur[[#This Row],[Periode Haircut]]&lt;=$B$6,Upaya_Debitur[[#This Row],[Haircut]],0))</f>
        <v>0</v>
      </c>
      <c r="T94" s="40">
        <f>IF($B$10="",0,IF($B$10&lt;=$B$6,Upaya_Debitur[[#This Row],[Set Off]],0))</f>
        <v>0</v>
      </c>
      <c r="U94" s="37">
        <v>0</v>
      </c>
      <c r="V94" s="37">
        <v>0</v>
      </c>
      <c r="W94" s="37">
        <v>0</v>
      </c>
      <c r="X94" s="37">
        <v>0</v>
      </c>
      <c r="Y94" s="37">
        <v>0</v>
      </c>
      <c r="Z94" s="37">
        <v>0</v>
      </c>
      <c r="AA94" s="37">
        <v>0</v>
      </c>
      <c r="AB94" s="37">
        <v>0</v>
      </c>
      <c r="AC94" s="37">
        <v>0</v>
      </c>
      <c r="AD94" s="37">
        <v>0</v>
      </c>
      <c r="AE94" s="37">
        <v>0</v>
      </c>
      <c r="AF94" s="37">
        <v>0</v>
      </c>
      <c r="AG94" s="37">
        <v>0</v>
      </c>
      <c r="AH94" s="37">
        <v>0</v>
      </c>
      <c r="AI94" s="37">
        <v>0</v>
      </c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40">
        <f ca="1">SUM(OFFSET(Upaya_Debitur[[#This Row],[Haircut Diperhitungkan]],0,0,1,$B$7+2))</f>
        <v>0</v>
      </c>
      <c r="BR94" s="35" t="str">
        <f ca="1">IF(Upaya_Debitur[[#This Row],[Total Pencairan]]&gt;=Upaya_Debitur[[#This Row],[Kewajiban Total]],"Lunas","Belum Lunas")</f>
        <v>Belum Lunas</v>
      </c>
      <c r="BS94" s="35" t="str">
        <f t="shared" si="5"/>
        <v>Ya</v>
      </c>
      <c r="BT94" s="35" t="str">
        <f t="shared" si="6"/>
        <v>Ya</v>
      </c>
      <c r="BU9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9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9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94" s="35" t="str">
        <f>IF(Upaya_Debitur[[#This Row],[Kondisi Debitur]]="Tidak ditemukan","Ya","Tidak")</f>
        <v>Ya</v>
      </c>
      <c r="BY9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9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9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94" s="18">
        <v>43781</v>
      </c>
      <c r="CC94" s="18">
        <v>43999</v>
      </c>
      <c r="CD94" s="18">
        <v>43826</v>
      </c>
      <c r="CE94" s="18">
        <v>43871</v>
      </c>
      <c r="CF94" s="18">
        <v>43887</v>
      </c>
      <c r="CG94" s="18">
        <v>44035</v>
      </c>
      <c r="CH94" s="18">
        <v>44057</v>
      </c>
      <c r="CI94" s="18">
        <v>44077</v>
      </c>
      <c r="CJ94" s="18"/>
      <c r="CK94" s="35">
        <f ca="1">COUNTIF(Upaya_Debitur[[#This Row],[Surat Pemberitahuan?]:[Gugatan Sederhana?]],"Ya")</f>
        <v>8</v>
      </c>
      <c r="CL94" s="35">
        <f ca="1">Upaya_Debitur[[#This Row],[Target Upaya]]-COUNTIFS(Upaya_Debitur[[#This Row],[Surat Pemberitahuan?]:[Gugatan Sederhana?]],"Ya",Upaya_Debitur[[#This Row],[Surat Pemberitahuan]:[Gugatan Sederhana]],"")</f>
        <v>8</v>
      </c>
      <c r="CM94" s="36">
        <f ca="1">IF(ISNUMBER(Upaya_Debitur[[#This Row],[Realisasi]]/Upaya_Debitur[[#This Row],[Target Upaya]]),Upaya_Debitur[[#This Row],[Realisasi]]/Upaya_Debitur[[#This Row],[Target Upaya]],1)</f>
        <v>1</v>
      </c>
    </row>
    <row r="95" spans="1:91" x14ac:dyDescent="0.3">
      <c r="A95" s="16">
        <v>77</v>
      </c>
      <c r="B95" s="17"/>
      <c r="C95" s="17" t="s">
        <v>336</v>
      </c>
      <c r="D95" s="16" t="s">
        <v>335</v>
      </c>
      <c r="E95" s="37">
        <v>825000</v>
      </c>
      <c r="F95" s="37">
        <v>0</v>
      </c>
      <c r="G95" s="37">
        <v>0</v>
      </c>
      <c r="H95" s="40">
        <f>SUM(Upaya_Debitur[[#This Row],[Kewajiban Pokok]:[Kewajiban Denda]])</f>
        <v>825000</v>
      </c>
      <c r="I95" s="37"/>
      <c r="J95" s="40">
        <f>IF(ISNUMBER(Upaya_Debitur[[#This Row],[Angsuran Sesuai PK]]),Upaya_Debitur[[#This Row],[Angsuran Sesuai PK]],1)</f>
        <v>1</v>
      </c>
      <c r="K95" s="76"/>
      <c r="L95" s="16" t="s">
        <v>37</v>
      </c>
      <c r="N95" s="18"/>
      <c r="O95" s="76"/>
      <c r="P95" s="37"/>
      <c r="Q95" s="41"/>
      <c r="R95" s="37"/>
      <c r="S95" s="40">
        <f>IF(Upaya_Debitur[[#This Row],[Periode Haircut]]="",0,IF(Upaya_Debitur[[#This Row],[Periode Haircut]]&lt;=$B$6,Upaya_Debitur[[#This Row],[Haircut]],0))</f>
        <v>0</v>
      </c>
      <c r="T95" s="40">
        <f>IF($B$10="",0,IF($B$10&lt;=$B$6,Upaya_Debitur[[#This Row],[Set Off]],0))</f>
        <v>0</v>
      </c>
      <c r="U95" s="37">
        <v>0</v>
      </c>
      <c r="V95" s="37">
        <v>0</v>
      </c>
      <c r="W95" s="37">
        <v>0</v>
      </c>
      <c r="X95" s="37">
        <v>0</v>
      </c>
      <c r="Y95" s="37">
        <v>0</v>
      </c>
      <c r="Z95" s="37">
        <v>0</v>
      </c>
      <c r="AA95" s="37">
        <v>0</v>
      </c>
      <c r="AB95" s="37">
        <v>0</v>
      </c>
      <c r="AC95" s="37">
        <v>0</v>
      </c>
      <c r="AD95" s="37">
        <v>0</v>
      </c>
      <c r="AE95" s="37">
        <v>0</v>
      </c>
      <c r="AF95" s="37">
        <v>0</v>
      </c>
      <c r="AG95" s="37">
        <v>0</v>
      </c>
      <c r="AH95" s="37">
        <v>0</v>
      </c>
      <c r="AI95" s="37">
        <v>0</v>
      </c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40">
        <f ca="1">SUM(OFFSET(Upaya_Debitur[[#This Row],[Haircut Diperhitungkan]],0,0,1,$B$7+2))</f>
        <v>0</v>
      </c>
      <c r="BR95" s="35" t="str">
        <f ca="1">IF(Upaya_Debitur[[#This Row],[Total Pencairan]]&gt;=Upaya_Debitur[[#This Row],[Kewajiban Total]],"Lunas","Belum Lunas")</f>
        <v>Belum Lunas</v>
      </c>
      <c r="BS95" s="35" t="str">
        <f t="shared" si="5"/>
        <v>Ya</v>
      </c>
      <c r="BT95" s="35" t="str">
        <f t="shared" si="6"/>
        <v>Ya</v>
      </c>
      <c r="BU9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9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9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95" s="35" t="str">
        <f>IF(Upaya_Debitur[[#This Row],[Kondisi Debitur]]="Tidak ditemukan","Ya","Tidak")</f>
        <v>Ya</v>
      </c>
      <c r="BY9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9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9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95" s="18">
        <v>43781</v>
      </c>
      <c r="CC95" s="18">
        <v>43999</v>
      </c>
      <c r="CD95" s="18">
        <v>43826</v>
      </c>
      <c r="CE95" s="18">
        <v>43871</v>
      </c>
      <c r="CF95" s="18">
        <v>43887</v>
      </c>
      <c r="CG95" s="18">
        <v>43888</v>
      </c>
      <c r="CH95" s="18">
        <v>44057</v>
      </c>
      <c r="CI95" s="18">
        <v>44077</v>
      </c>
      <c r="CJ95" s="18"/>
      <c r="CK95" s="35">
        <f ca="1">COUNTIF(Upaya_Debitur[[#This Row],[Surat Pemberitahuan?]:[Gugatan Sederhana?]],"Ya")</f>
        <v>8</v>
      </c>
      <c r="CL95" s="35">
        <f ca="1">Upaya_Debitur[[#This Row],[Target Upaya]]-COUNTIFS(Upaya_Debitur[[#This Row],[Surat Pemberitahuan?]:[Gugatan Sederhana?]],"Ya",Upaya_Debitur[[#This Row],[Surat Pemberitahuan]:[Gugatan Sederhana]],"")</f>
        <v>8</v>
      </c>
      <c r="CM95" s="36">
        <f ca="1">IF(ISNUMBER(Upaya_Debitur[[#This Row],[Realisasi]]/Upaya_Debitur[[#This Row],[Target Upaya]]),Upaya_Debitur[[#This Row],[Realisasi]]/Upaya_Debitur[[#This Row],[Target Upaya]],1)</f>
        <v>1</v>
      </c>
    </row>
    <row r="96" spans="1:91" x14ac:dyDescent="0.3">
      <c r="A96" s="16">
        <v>78</v>
      </c>
      <c r="B96" s="17"/>
      <c r="C96" s="17" t="s">
        <v>337</v>
      </c>
      <c r="D96" s="16" t="s">
        <v>338</v>
      </c>
      <c r="E96" s="37">
        <v>1316500</v>
      </c>
      <c r="F96" s="37">
        <v>0</v>
      </c>
      <c r="G96" s="37">
        <v>0</v>
      </c>
      <c r="H96" s="40">
        <f>SUM(Upaya_Debitur[[#This Row],[Kewajiban Pokok]:[Kewajiban Denda]])</f>
        <v>1316500</v>
      </c>
      <c r="I96" s="37"/>
      <c r="J96" s="40">
        <f>IF(ISNUMBER(Upaya_Debitur[[#This Row],[Angsuran Sesuai PK]]),Upaya_Debitur[[#This Row],[Angsuran Sesuai PK]],1)</f>
        <v>1</v>
      </c>
      <c r="K96" s="76"/>
      <c r="L96" s="16" t="s">
        <v>37</v>
      </c>
      <c r="N96" s="18"/>
      <c r="O96" s="76"/>
      <c r="P96" s="37"/>
      <c r="Q96" s="41"/>
      <c r="R96" s="37"/>
      <c r="S96" s="40">
        <f>IF(Upaya_Debitur[[#This Row],[Periode Haircut]]="",0,IF(Upaya_Debitur[[#This Row],[Periode Haircut]]&lt;=$B$6,Upaya_Debitur[[#This Row],[Haircut]],0))</f>
        <v>0</v>
      </c>
      <c r="T96" s="40">
        <f>IF($B$10="",0,IF($B$10&lt;=$B$6,Upaya_Debitur[[#This Row],[Set Off]],0))</f>
        <v>0</v>
      </c>
      <c r="U96" s="37">
        <v>0</v>
      </c>
      <c r="V96" s="37">
        <v>0</v>
      </c>
      <c r="W96" s="37">
        <v>0</v>
      </c>
      <c r="X96" s="37">
        <v>0</v>
      </c>
      <c r="Y96" s="37">
        <v>0</v>
      </c>
      <c r="Z96" s="37">
        <v>0</v>
      </c>
      <c r="AA96" s="37">
        <v>0</v>
      </c>
      <c r="AB96" s="37">
        <v>0</v>
      </c>
      <c r="AC96" s="37">
        <v>0</v>
      </c>
      <c r="AD96" s="37">
        <v>0</v>
      </c>
      <c r="AE96" s="37">
        <v>0</v>
      </c>
      <c r="AF96" s="37">
        <v>0</v>
      </c>
      <c r="AG96" s="37">
        <v>0</v>
      </c>
      <c r="AH96" s="37">
        <v>0</v>
      </c>
      <c r="AI96" s="37">
        <v>0</v>
      </c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40">
        <f ca="1">SUM(OFFSET(Upaya_Debitur[[#This Row],[Haircut Diperhitungkan]],0,0,1,$B$7+2))</f>
        <v>0</v>
      </c>
      <c r="BR96" s="35" t="str">
        <f ca="1">IF(Upaya_Debitur[[#This Row],[Total Pencairan]]&gt;=Upaya_Debitur[[#This Row],[Kewajiban Total]],"Lunas","Belum Lunas")</f>
        <v>Belum Lunas</v>
      </c>
      <c r="BS96" s="35" t="str">
        <f t="shared" si="5"/>
        <v>Ya</v>
      </c>
      <c r="BT96" s="35" t="str">
        <f t="shared" si="6"/>
        <v>Ya</v>
      </c>
      <c r="BU9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9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9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96" s="35" t="str">
        <f>IF(Upaya_Debitur[[#This Row],[Kondisi Debitur]]="Tidak ditemukan","Ya","Tidak")</f>
        <v>Ya</v>
      </c>
      <c r="BY9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9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9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96" s="18">
        <v>43781</v>
      </c>
      <c r="CC96" s="18">
        <v>43999</v>
      </c>
      <c r="CD96" s="18">
        <v>43826</v>
      </c>
      <c r="CE96" s="18">
        <v>43871</v>
      </c>
      <c r="CF96" s="18">
        <v>43887</v>
      </c>
      <c r="CG96" s="18">
        <v>43888</v>
      </c>
      <c r="CH96" s="18">
        <v>44057</v>
      </c>
      <c r="CI96" s="18">
        <v>44077</v>
      </c>
      <c r="CJ96" s="18"/>
      <c r="CK96" s="35">
        <f ca="1">COUNTIF(Upaya_Debitur[[#This Row],[Surat Pemberitahuan?]:[Gugatan Sederhana?]],"Ya")</f>
        <v>8</v>
      </c>
      <c r="CL96" s="35">
        <f ca="1">Upaya_Debitur[[#This Row],[Target Upaya]]-COUNTIFS(Upaya_Debitur[[#This Row],[Surat Pemberitahuan?]:[Gugatan Sederhana?]],"Ya",Upaya_Debitur[[#This Row],[Surat Pemberitahuan]:[Gugatan Sederhana]],"")</f>
        <v>8</v>
      </c>
      <c r="CM96" s="36">
        <f ca="1">IF(ISNUMBER(Upaya_Debitur[[#This Row],[Realisasi]]/Upaya_Debitur[[#This Row],[Target Upaya]]),Upaya_Debitur[[#This Row],[Realisasi]]/Upaya_Debitur[[#This Row],[Target Upaya]],1)</f>
        <v>1</v>
      </c>
    </row>
    <row r="97" spans="1:91" x14ac:dyDescent="0.3">
      <c r="A97" s="16">
        <v>79</v>
      </c>
      <c r="B97" s="17"/>
      <c r="C97" s="17" t="s">
        <v>339</v>
      </c>
      <c r="D97" s="16" t="s">
        <v>340</v>
      </c>
      <c r="E97" s="37">
        <v>600000</v>
      </c>
      <c r="F97" s="37">
        <v>0</v>
      </c>
      <c r="G97" s="37">
        <v>0</v>
      </c>
      <c r="H97" s="40">
        <f>SUM(Upaya_Debitur[[#This Row],[Kewajiban Pokok]:[Kewajiban Denda]])</f>
        <v>600000</v>
      </c>
      <c r="I97" s="37"/>
      <c r="J97" s="40">
        <f>IF(ISNUMBER(Upaya_Debitur[[#This Row],[Angsuran Sesuai PK]]),Upaya_Debitur[[#This Row],[Angsuran Sesuai PK]],1)</f>
        <v>1</v>
      </c>
      <c r="K97" s="76"/>
      <c r="L97" s="16" t="s">
        <v>37</v>
      </c>
      <c r="N97" s="18"/>
      <c r="O97" s="76"/>
      <c r="P97" s="37"/>
      <c r="Q97" s="41"/>
      <c r="R97" s="37"/>
      <c r="S97" s="40">
        <f>IF(Upaya_Debitur[[#This Row],[Periode Haircut]]="",0,IF(Upaya_Debitur[[#This Row],[Periode Haircut]]&lt;=$B$6,Upaya_Debitur[[#This Row],[Haircut]],0))</f>
        <v>0</v>
      </c>
      <c r="T97" s="40">
        <f>IF($B$10="",0,IF($B$10&lt;=$B$6,Upaya_Debitur[[#This Row],[Set Off]],0))</f>
        <v>0</v>
      </c>
      <c r="U97" s="37">
        <v>0</v>
      </c>
      <c r="V97" s="37">
        <v>0</v>
      </c>
      <c r="W97" s="37">
        <v>0</v>
      </c>
      <c r="X97" s="37">
        <v>0</v>
      </c>
      <c r="Y97" s="37">
        <v>0</v>
      </c>
      <c r="Z97" s="37">
        <v>0</v>
      </c>
      <c r="AA97" s="37">
        <v>0</v>
      </c>
      <c r="AB97" s="37">
        <v>0</v>
      </c>
      <c r="AC97" s="37">
        <v>0</v>
      </c>
      <c r="AD97" s="37">
        <v>0</v>
      </c>
      <c r="AE97" s="37">
        <v>0</v>
      </c>
      <c r="AF97" s="37">
        <v>0</v>
      </c>
      <c r="AG97" s="37">
        <v>0</v>
      </c>
      <c r="AH97" s="37">
        <v>0</v>
      </c>
      <c r="AI97" s="37">
        <v>0</v>
      </c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40">
        <f ca="1">SUM(OFFSET(Upaya_Debitur[[#This Row],[Haircut Diperhitungkan]],0,0,1,$B$7+2))</f>
        <v>0</v>
      </c>
      <c r="BR97" s="35" t="str">
        <f ca="1">IF(Upaya_Debitur[[#This Row],[Total Pencairan]]&gt;=Upaya_Debitur[[#This Row],[Kewajiban Total]],"Lunas","Belum Lunas")</f>
        <v>Belum Lunas</v>
      </c>
      <c r="BS97" s="35" t="str">
        <f t="shared" si="5"/>
        <v>Ya</v>
      </c>
      <c r="BT97" s="35" t="str">
        <f t="shared" si="6"/>
        <v>Ya</v>
      </c>
      <c r="BU9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9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9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97" s="35" t="str">
        <f>IF(Upaya_Debitur[[#This Row],[Kondisi Debitur]]="Tidak ditemukan","Ya","Tidak")</f>
        <v>Ya</v>
      </c>
      <c r="BY9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9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9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97" s="18">
        <v>43781</v>
      </c>
      <c r="CC97" s="18">
        <v>43999</v>
      </c>
      <c r="CD97" s="18">
        <v>43826</v>
      </c>
      <c r="CE97" s="18">
        <v>43871</v>
      </c>
      <c r="CF97" s="18">
        <v>43887</v>
      </c>
      <c r="CG97" s="18">
        <v>43888</v>
      </c>
      <c r="CH97" s="18">
        <v>44057</v>
      </c>
      <c r="CI97" s="18">
        <v>44077</v>
      </c>
      <c r="CJ97" s="18"/>
      <c r="CK97" s="35">
        <f ca="1">COUNTIF(Upaya_Debitur[[#This Row],[Surat Pemberitahuan?]:[Gugatan Sederhana?]],"Ya")</f>
        <v>8</v>
      </c>
      <c r="CL97" s="35">
        <f ca="1">Upaya_Debitur[[#This Row],[Target Upaya]]-COUNTIFS(Upaya_Debitur[[#This Row],[Surat Pemberitahuan?]:[Gugatan Sederhana?]],"Ya",Upaya_Debitur[[#This Row],[Surat Pemberitahuan]:[Gugatan Sederhana]],"")</f>
        <v>8</v>
      </c>
      <c r="CM97" s="36">
        <f ca="1">IF(ISNUMBER(Upaya_Debitur[[#This Row],[Realisasi]]/Upaya_Debitur[[#This Row],[Target Upaya]]),Upaya_Debitur[[#This Row],[Realisasi]]/Upaya_Debitur[[#This Row],[Target Upaya]],1)</f>
        <v>1</v>
      </c>
    </row>
    <row r="98" spans="1:91" x14ac:dyDescent="0.3">
      <c r="A98" s="16">
        <v>80</v>
      </c>
      <c r="B98" s="17"/>
      <c r="C98" s="17" t="s">
        <v>341</v>
      </c>
      <c r="D98" s="16" t="s">
        <v>340</v>
      </c>
      <c r="E98" s="37">
        <v>4345392</v>
      </c>
      <c r="F98" s="37">
        <v>0</v>
      </c>
      <c r="G98" s="37">
        <v>0</v>
      </c>
      <c r="H98" s="40">
        <f>SUM(Upaya_Debitur[[#This Row],[Kewajiban Pokok]:[Kewajiban Denda]])</f>
        <v>4345392</v>
      </c>
      <c r="I98" s="37"/>
      <c r="J98" s="40">
        <f>IF(ISNUMBER(Upaya_Debitur[[#This Row],[Angsuran Sesuai PK]]),Upaya_Debitur[[#This Row],[Angsuran Sesuai PK]],1)</f>
        <v>1</v>
      </c>
      <c r="K98" s="76"/>
      <c r="L98" s="16" t="s">
        <v>37</v>
      </c>
      <c r="N98" s="18"/>
      <c r="O98" s="76"/>
      <c r="P98" s="37"/>
      <c r="Q98" s="41"/>
      <c r="R98" s="37"/>
      <c r="S98" s="40">
        <f>IF(Upaya_Debitur[[#This Row],[Periode Haircut]]="",0,IF(Upaya_Debitur[[#This Row],[Periode Haircut]]&lt;=$B$6,Upaya_Debitur[[#This Row],[Haircut]],0))</f>
        <v>0</v>
      </c>
      <c r="T98" s="40">
        <f>IF($B$10="",0,IF($B$10&lt;=$B$6,Upaya_Debitur[[#This Row],[Set Off]],0))</f>
        <v>0</v>
      </c>
      <c r="U98" s="37">
        <v>0</v>
      </c>
      <c r="V98" s="37">
        <v>0</v>
      </c>
      <c r="W98" s="37">
        <v>0</v>
      </c>
      <c r="X98" s="37">
        <v>0</v>
      </c>
      <c r="Y98" s="37">
        <v>0</v>
      </c>
      <c r="Z98" s="37">
        <v>0</v>
      </c>
      <c r="AA98" s="37">
        <v>0</v>
      </c>
      <c r="AB98" s="37">
        <v>0</v>
      </c>
      <c r="AC98" s="37">
        <v>0</v>
      </c>
      <c r="AD98" s="37">
        <v>0</v>
      </c>
      <c r="AE98" s="37">
        <v>0</v>
      </c>
      <c r="AF98" s="37">
        <v>0</v>
      </c>
      <c r="AG98" s="37">
        <v>0</v>
      </c>
      <c r="AH98" s="37">
        <v>0</v>
      </c>
      <c r="AI98" s="37">
        <v>0</v>
      </c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40">
        <f ca="1">SUM(OFFSET(Upaya_Debitur[[#This Row],[Haircut Diperhitungkan]],0,0,1,$B$7+2))</f>
        <v>0</v>
      </c>
      <c r="BR98" s="35" t="str">
        <f ca="1">IF(Upaya_Debitur[[#This Row],[Total Pencairan]]&gt;=Upaya_Debitur[[#This Row],[Kewajiban Total]],"Lunas","Belum Lunas")</f>
        <v>Belum Lunas</v>
      </c>
      <c r="BS98" s="35" t="str">
        <f t="shared" si="5"/>
        <v>Ya</v>
      </c>
      <c r="BT98" s="35" t="str">
        <f t="shared" si="6"/>
        <v>Ya</v>
      </c>
      <c r="BU9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9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9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98" s="35" t="str">
        <f>IF(Upaya_Debitur[[#This Row],[Kondisi Debitur]]="Tidak ditemukan","Ya","Tidak")</f>
        <v>Ya</v>
      </c>
      <c r="BY9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9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9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98" s="18">
        <v>43781</v>
      </c>
      <c r="CC98" s="18">
        <v>43999</v>
      </c>
      <c r="CD98" s="18">
        <v>43826</v>
      </c>
      <c r="CE98" s="18">
        <v>43871</v>
      </c>
      <c r="CF98" s="18">
        <v>43887</v>
      </c>
      <c r="CG98" s="18">
        <v>43888</v>
      </c>
      <c r="CH98" s="18">
        <v>44057</v>
      </c>
      <c r="CI98" s="18">
        <v>44077</v>
      </c>
      <c r="CJ98" s="18"/>
      <c r="CK98" s="35">
        <f ca="1">COUNTIF(Upaya_Debitur[[#This Row],[Surat Pemberitahuan?]:[Gugatan Sederhana?]],"Ya")</f>
        <v>8</v>
      </c>
      <c r="CL98" s="35">
        <f ca="1">Upaya_Debitur[[#This Row],[Target Upaya]]-COUNTIFS(Upaya_Debitur[[#This Row],[Surat Pemberitahuan?]:[Gugatan Sederhana?]],"Ya",Upaya_Debitur[[#This Row],[Surat Pemberitahuan]:[Gugatan Sederhana]],"")</f>
        <v>8</v>
      </c>
      <c r="CM98" s="36">
        <f ca="1">IF(ISNUMBER(Upaya_Debitur[[#This Row],[Realisasi]]/Upaya_Debitur[[#This Row],[Target Upaya]]),Upaya_Debitur[[#This Row],[Realisasi]]/Upaya_Debitur[[#This Row],[Target Upaya]],1)</f>
        <v>1</v>
      </c>
    </row>
    <row r="99" spans="1:91" x14ac:dyDescent="0.3">
      <c r="A99" s="16">
        <v>81</v>
      </c>
      <c r="B99" s="17"/>
      <c r="C99" s="17" t="s">
        <v>342</v>
      </c>
      <c r="D99" s="16" t="s">
        <v>343</v>
      </c>
      <c r="E99" s="37">
        <v>775000</v>
      </c>
      <c r="F99" s="37">
        <v>0</v>
      </c>
      <c r="G99" s="37">
        <v>0</v>
      </c>
      <c r="H99" s="40">
        <f>SUM(Upaya_Debitur[[#This Row],[Kewajiban Pokok]:[Kewajiban Denda]])</f>
        <v>775000</v>
      </c>
      <c r="I99" s="37"/>
      <c r="J99" s="40">
        <f>IF(ISNUMBER(Upaya_Debitur[[#This Row],[Angsuran Sesuai PK]]),Upaya_Debitur[[#This Row],[Angsuran Sesuai PK]],1)</f>
        <v>1</v>
      </c>
      <c r="K99" s="76"/>
      <c r="L99" s="16" t="s">
        <v>37</v>
      </c>
      <c r="N99" s="18"/>
      <c r="O99" s="76"/>
      <c r="P99" s="37"/>
      <c r="Q99" s="41"/>
      <c r="R99" s="37"/>
      <c r="S99" s="40">
        <f>IF(Upaya_Debitur[[#This Row],[Periode Haircut]]="",0,IF(Upaya_Debitur[[#This Row],[Periode Haircut]]&lt;=$B$6,Upaya_Debitur[[#This Row],[Haircut]],0))</f>
        <v>0</v>
      </c>
      <c r="T99" s="40">
        <f>IF($B$10="",0,IF($B$10&lt;=$B$6,Upaya_Debitur[[#This Row],[Set Off]],0))</f>
        <v>0</v>
      </c>
      <c r="U99" s="37">
        <v>0</v>
      </c>
      <c r="V99" s="37">
        <v>0</v>
      </c>
      <c r="W99" s="37">
        <v>0</v>
      </c>
      <c r="X99" s="37">
        <v>0</v>
      </c>
      <c r="Y99" s="37">
        <v>0</v>
      </c>
      <c r="Z99" s="37">
        <v>0</v>
      </c>
      <c r="AA99" s="37">
        <v>0</v>
      </c>
      <c r="AB99" s="37">
        <v>0</v>
      </c>
      <c r="AC99" s="37">
        <v>0</v>
      </c>
      <c r="AD99" s="37">
        <v>0</v>
      </c>
      <c r="AE99" s="37">
        <v>0</v>
      </c>
      <c r="AF99" s="37">
        <v>0</v>
      </c>
      <c r="AG99" s="37">
        <v>0</v>
      </c>
      <c r="AH99" s="37">
        <v>0</v>
      </c>
      <c r="AI99" s="37">
        <v>0</v>
      </c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40">
        <f ca="1">SUM(OFFSET(Upaya_Debitur[[#This Row],[Haircut Diperhitungkan]],0,0,1,$B$7+2))</f>
        <v>0</v>
      </c>
      <c r="BR99" s="35" t="str">
        <f ca="1">IF(Upaya_Debitur[[#This Row],[Total Pencairan]]&gt;=Upaya_Debitur[[#This Row],[Kewajiban Total]],"Lunas","Belum Lunas")</f>
        <v>Belum Lunas</v>
      </c>
      <c r="BS99" s="35" t="str">
        <f t="shared" si="5"/>
        <v>Ya</v>
      </c>
      <c r="BT99" s="35" t="str">
        <f t="shared" si="6"/>
        <v>Ya</v>
      </c>
      <c r="BU9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9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9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99" s="35" t="str">
        <f>IF(Upaya_Debitur[[#This Row],[Kondisi Debitur]]="Tidak ditemukan","Ya","Tidak")</f>
        <v>Ya</v>
      </c>
      <c r="BY9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9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9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99" s="18">
        <v>43781</v>
      </c>
      <c r="CC99" s="18">
        <v>43999</v>
      </c>
      <c r="CD99" s="18">
        <v>43826</v>
      </c>
      <c r="CE99" s="18">
        <v>43871</v>
      </c>
      <c r="CF99" s="18">
        <v>43887</v>
      </c>
      <c r="CG99" s="18">
        <v>43888</v>
      </c>
      <c r="CH99" s="18">
        <v>44057</v>
      </c>
      <c r="CI99" s="18">
        <v>44077</v>
      </c>
      <c r="CJ99" s="18"/>
      <c r="CK99" s="35">
        <f ca="1">COUNTIF(Upaya_Debitur[[#This Row],[Surat Pemberitahuan?]:[Gugatan Sederhana?]],"Ya")</f>
        <v>8</v>
      </c>
      <c r="CL99" s="35">
        <f ca="1">Upaya_Debitur[[#This Row],[Target Upaya]]-COUNTIFS(Upaya_Debitur[[#This Row],[Surat Pemberitahuan?]:[Gugatan Sederhana?]],"Ya",Upaya_Debitur[[#This Row],[Surat Pemberitahuan]:[Gugatan Sederhana]],"")</f>
        <v>8</v>
      </c>
      <c r="CM99" s="36">
        <f ca="1">IF(ISNUMBER(Upaya_Debitur[[#This Row],[Realisasi]]/Upaya_Debitur[[#This Row],[Target Upaya]]),Upaya_Debitur[[#This Row],[Realisasi]]/Upaya_Debitur[[#This Row],[Target Upaya]],1)</f>
        <v>1</v>
      </c>
    </row>
    <row r="100" spans="1:91" x14ac:dyDescent="0.3">
      <c r="A100" s="16">
        <v>82</v>
      </c>
      <c r="B100" s="17"/>
      <c r="C100" s="17" t="s">
        <v>344</v>
      </c>
      <c r="D100" s="16" t="s">
        <v>345</v>
      </c>
      <c r="E100" s="37">
        <v>1138073</v>
      </c>
      <c r="F100" s="37">
        <v>0</v>
      </c>
      <c r="G100" s="37">
        <v>0</v>
      </c>
      <c r="H100" s="40">
        <f>SUM(Upaya_Debitur[[#This Row],[Kewajiban Pokok]:[Kewajiban Denda]])</f>
        <v>1138073</v>
      </c>
      <c r="I100" s="37"/>
      <c r="J100" s="40">
        <f>IF(ISNUMBER(Upaya_Debitur[[#This Row],[Angsuran Sesuai PK]]),Upaya_Debitur[[#This Row],[Angsuran Sesuai PK]],1)</f>
        <v>1</v>
      </c>
      <c r="K100" s="76"/>
      <c r="L100" s="16" t="s">
        <v>83</v>
      </c>
      <c r="N100" s="18"/>
      <c r="O100" s="76"/>
      <c r="P100" s="37"/>
      <c r="Q100" s="41"/>
      <c r="R100" s="37"/>
      <c r="S100" s="40">
        <f>IF(Upaya_Debitur[[#This Row],[Periode Haircut]]="",0,IF(Upaya_Debitur[[#This Row],[Periode Haircut]]&lt;=$B$6,Upaya_Debitur[[#This Row],[Haircut]],0))</f>
        <v>0</v>
      </c>
      <c r="T100" s="40">
        <f>IF($B$10="",0,IF($B$10&lt;=$B$6,Upaya_Debitur[[#This Row],[Set Off]],0))</f>
        <v>0</v>
      </c>
      <c r="U100" s="37">
        <v>0</v>
      </c>
      <c r="V100" s="37">
        <v>0</v>
      </c>
      <c r="W100" s="37">
        <v>0</v>
      </c>
      <c r="X100" s="37">
        <v>0</v>
      </c>
      <c r="Y100" s="37">
        <v>0</v>
      </c>
      <c r="Z100" s="37">
        <v>0</v>
      </c>
      <c r="AA100" s="37">
        <v>0</v>
      </c>
      <c r="AB100" s="37">
        <v>0</v>
      </c>
      <c r="AC100" s="37">
        <v>0</v>
      </c>
      <c r="AD100" s="37">
        <v>0</v>
      </c>
      <c r="AE100" s="37">
        <v>0</v>
      </c>
      <c r="AF100" s="37">
        <v>0</v>
      </c>
      <c r="AG100" s="37">
        <v>0</v>
      </c>
      <c r="AH100" s="37">
        <v>0</v>
      </c>
      <c r="AI100" s="37">
        <v>0</v>
      </c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40">
        <f ca="1">SUM(OFFSET(Upaya_Debitur[[#This Row],[Haircut Diperhitungkan]],0,0,1,$B$7+2))</f>
        <v>0</v>
      </c>
      <c r="BR100" s="35" t="str">
        <f ca="1">IF(Upaya_Debitur[[#This Row],[Total Pencairan]]&gt;=Upaya_Debitur[[#This Row],[Kewajiban Total]],"Lunas","Belum Lunas")</f>
        <v>Belum Lunas</v>
      </c>
      <c r="BS100" s="35" t="str">
        <f t="shared" si="5"/>
        <v>Ya</v>
      </c>
      <c r="BT100" s="35" t="str">
        <f t="shared" si="6"/>
        <v>Ya</v>
      </c>
      <c r="BU10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0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0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00" s="35" t="str">
        <f>IF(Upaya_Debitur[[#This Row],[Kondisi Debitur]]="Tidak ditemukan","Ya","Tidak")</f>
        <v>Tidak</v>
      </c>
      <c r="BY10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0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0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00" s="18">
        <v>43781</v>
      </c>
      <c r="CC100" s="18">
        <v>43999</v>
      </c>
      <c r="CD100" s="18">
        <v>43826</v>
      </c>
      <c r="CE100" s="18">
        <v>43871</v>
      </c>
      <c r="CF100" s="18">
        <v>43887</v>
      </c>
      <c r="CG100" s="18">
        <v>43888</v>
      </c>
      <c r="CH100" s="18">
        <v>44057</v>
      </c>
      <c r="CI100" s="18">
        <v>44077</v>
      </c>
      <c r="CJ100" s="18"/>
      <c r="CK100" s="35">
        <f ca="1">COUNTIF(Upaya_Debitur[[#This Row],[Surat Pemberitahuan?]:[Gugatan Sederhana?]],"Ya")</f>
        <v>7</v>
      </c>
      <c r="CL100" s="35">
        <f ca="1">Upaya_Debitur[[#This Row],[Target Upaya]]-COUNTIFS(Upaya_Debitur[[#This Row],[Surat Pemberitahuan?]:[Gugatan Sederhana?]],"Ya",Upaya_Debitur[[#This Row],[Surat Pemberitahuan]:[Gugatan Sederhana]],"")</f>
        <v>7</v>
      </c>
      <c r="CM100" s="36">
        <f ca="1">IF(ISNUMBER(Upaya_Debitur[[#This Row],[Realisasi]]/Upaya_Debitur[[#This Row],[Target Upaya]]),Upaya_Debitur[[#This Row],[Realisasi]]/Upaya_Debitur[[#This Row],[Target Upaya]],1)</f>
        <v>1</v>
      </c>
    </row>
    <row r="101" spans="1:91" x14ac:dyDescent="0.3">
      <c r="A101" s="16">
        <v>83</v>
      </c>
      <c r="B101" s="17"/>
      <c r="C101" s="17" t="s">
        <v>346</v>
      </c>
      <c r="D101" s="16" t="s">
        <v>347</v>
      </c>
      <c r="E101" s="37">
        <v>1113269</v>
      </c>
      <c r="F101" s="37">
        <v>0</v>
      </c>
      <c r="G101" s="37">
        <v>0</v>
      </c>
      <c r="H101" s="40">
        <f>SUM(Upaya_Debitur[[#This Row],[Kewajiban Pokok]:[Kewajiban Denda]])</f>
        <v>1113269</v>
      </c>
      <c r="I101" s="37"/>
      <c r="J101" s="40">
        <f>IF(ISNUMBER(Upaya_Debitur[[#This Row],[Angsuran Sesuai PK]]),Upaya_Debitur[[#This Row],[Angsuran Sesuai PK]],1)</f>
        <v>1</v>
      </c>
      <c r="K101" s="76"/>
      <c r="L101" s="16" t="s">
        <v>37</v>
      </c>
      <c r="N101" s="18"/>
      <c r="O101" s="76"/>
      <c r="P101" s="37"/>
      <c r="Q101" s="41"/>
      <c r="R101" s="37"/>
      <c r="S101" s="40">
        <f>IF(Upaya_Debitur[[#This Row],[Periode Haircut]]="",0,IF(Upaya_Debitur[[#This Row],[Periode Haircut]]&lt;=$B$6,Upaya_Debitur[[#This Row],[Haircut]],0))</f>
        <v>0</v>
      </c>
      <c r="T101" s="40">
        <f>IF($B$10="",0,IF($B$10&lt;=$B$6,Upaya_Debitur[[#This Row],[Set Off]],0))</f>
        <v>0</v>
      </c>
      <c r="U101" s="37">
        <v>0</v>
      </c>
      <c r="V101" s="37">
        <v>0</v>
      </c>
      <c r="W101" s="37">
        <v>0</v>
      </c>
      <c r="X101" s="37">
        <v>0</v>
      </c>
      <c r="Y101" s="37">
        <v>0</v>
      </c>
      <c r="Z101" s="37">
        <v>0</v>
      </c>
      <c r="AA101" s="37">
        <v>0</v>
      </c>
      <c r="AB101" s="37">
        <v>0</v>
      </c>
      <c r="AC101" s="37">
        <v>0</v>
      </c>
      <c r="AD101" s="37">
        <v>0</v>
      </c>
      <c r="AE101" s="37">
        <v>0</v>
      </c>
      <c r="AF101" s="37">
        <v>0</v>
      </c>
      <c r="AG101" s="37">
        <v>0</v>
      </c>
      <c r="AH101" s="37">
        <v>0</v>
      </c>
      <c r="AI101" s="37">
        <v>0</v>
      </c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40">
        <f ca="1">SUM(OFFSET(Upaya_Debitur[[#This Row],[Haircut Diperhitungkan]],0,0,1,$B$7+2))</f>
        <v>0</v>
      </c>
      <c r="BR101" s="35" t="str">
        <f ca="1">IF(Upaya_Debitur[[#This Row],[Total Pencairan]]&gt;=Upaya_Debitur[[#This Row],[Kewajiban Total]],"Lunas","Belum Lunas")</f>
        <v>Belum Lunas</v>
      </c>
      <c r="BS101" s="35" t="str">
        <f t="shared" si="5"/>
        <v>Ya</v>
      </c>
      <c r="BT101" s="35" t="str">
        <f t="shared" si="6"/>
        <v>Ya</v>
      </c>
      <c r="BU10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0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0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01" s="35" t="str">
        <f>IF(Upaya_Debitur[[#This Row],[Kondisi Debitur]]="Tidak ditemukan","Ya","Tidak")</f>
        <v>Ya</v>
      </c>
      <c r="BY10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0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0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01" s="18">
        <v>43781</v>
      </c>
      <c r="CC101" s="18">
        <v>43999</v>
      </c>
      <c r="CD101" s="18">
        <v>43826</v>
      </c>
      <c r="CE101" s="18">
        <v>43871</v>
      </c>
      <c r="CF101" s="18">
        <v>43887</v>
      </c>
      <c r="CG101" s="18">
        <v>43888</v>
      </c>
      <c r="CH101" s="18">
        <v>44057</v>
      </c>
      <c r="CI101" s="18">
        <v>44077</v>
      </c>
      <c r="CJ101" s="18"/>
      <c r="CK101" s="35">
        <f ca="1">COUNTIF(Upaya_Debitur[[#This Row],[Surat Pemberitahuan?]:[Gugatan Sederhana?]],"Ya")</f>
        <v>8</v>
      </c>
      <c r="CL101" s="35">
        <f ca="1">Upaya_Debitur[[#This Row],[Target Upaya]]-COUNTIFS(Upaya_Debitur[[#This Row],[Surat Pemberitahuan?]:[Gugatan Sederhana?]],"Ya",Upaya_Debitur[[#This Row],[Surat Pemberitahuan]:[Gugatan Sederhana]],"")</f>
        <v>8</v>
      </c>
      <c r="CM101" s="36">
        <f ca="1">IF(ISNUMBER(Upaya_Debitur[[#This Row],[Realisasi]]/Upaya_Debitur[[#This Row],[Target Upaya]]),Upaya_Debitur[[#This Row],[Realisasi]]/Upaya_Debitur[[#This Row],[Target Upaya]],1)</f>
        <v>1</v>
      </c>
    </row>
    <row r="102" spans="1:91" x14ac:dyDescent="0.3">
      <c r="A102" s="16">
        <v>84</v>
      </c>
      <c r="B102" s="17"/>
      <c r="C102" s="17" t="s">
        <v>348</v>
      </c>
      <c r="D102" s="16" t="s">
        <v>349</v>
      </c>
      <c r="E102" s="37">
        <v>3186000</v>
      </c>
      <c r="F102" s="37">
        <v>0</v>
      </c>
      <c r="G102" s="37">
        <v>0</v>
      </c>
      <c r="H102" s="40">
        <f>SUM(Upaya_Debitur[[#This Row],[Kewajiban Pokok]:[Kewajiban Denda]])</f>
        <v>3186000</v>
      </c>
      <c r="I102" s="37"/>
      <c r="J102" s="40">
        <f>IF(ISNUMBER(Upaya_Debitur[[#This Row],[Angsuran Sesuai PK]]),Upaya_Debitur[[#This Row],[Angsuran Sesuai PK]],1)</f>
        <v>1</v>
      </c>
      <c r="K102" s="76"/>
      <c r="L102" s="16" t="s">
        <v>37</v>
      </c>
      <c r="N102" s="18"/>
      <c r="O102" s="76"/>
      <c r="P102" s="37"/>
      <c r="Q102" s="41"/>
      <c r="R102" s="37"/>
      <c r="S102" s="40">
        <f>IF(Upaya_Debitur[[#This Row],[Periode Haircut]]="",0,IF(Upaya_Debitur[[#This Row],[Periode Haircut]]&lt;=$B$6,Upaya_Debitur[[#This Row],[Haircut]],0))</f>
        <v>0</v>
      </c>
      <c r="T102" s="40">
        <f>IF($B$10="",0,IF($B$10&lt;=$B$6,Upaya_Debitur[[#This Row],[Set Off]],0))</f>
        <v>0</v>
      </c>
      <c r="U102" s="37">
        <v>0</v>
      </c>
      <c r="V102" s="37">
        <v>0</v>
      </c>
      <c r="W102" s="37">
        <v>0</v>
      </c>
      <c r="X102" s="37">
        <v>0</v>
      </c>
      <c r="Y102" s="37">
        <v>0</v>
      </c>
      <c r="Z102" s="37">
        <v>0</v>
      </c>
      <c r="AA102" s="37">
        <v>0</v>
      </c>
      <c r="AB102" s="37">
        <v>0</v>
      </c>
      <c r="AC102" s="37">
        <v>0</v>
      </c>
      <c r="AD102" s="37">
        <v>0</v>
      </c>
      <c r="AE102" s="37">
        <v>0</v>
      </c>
      <c r="AF102" s="37">
        <v>0</v>
      </c>
      <c r="AG102" s="37">
        <v>0</v>
      </c>
      <c r="AH102" s="37">
        <v>0</v>
      </c>
      <c r="AI102" s="37">
        <v>0</v>
      </c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40">
        <f ca="1">SUM(OFFSET(Upaya_Debitur[[#This Row],[Haircut Diperhitungkan]],0,0,1,$B$7+2))</f>
        <v>0</v>
      </c>
      <c r="BR102" s="35" t="str">
        <f ca="1">IF(Upaya_Debitur[[#This Row],[Total Pencairan]]&gt;=Upaya_Debitur[[#This Row],[Kewajiban Total]],"Lunas","Belum Lunas")</f>
        <v>Belum Lunas</v>
      </c>
      <c r="BS102" s="35" t="str">
        <f t="shared" si="5"/>
        <v>Ya</v>
      </c>
      <c r="BT102" s="35" t="str">
        <f t="shared" si="6"/>
        <v>Ya</v>
      </c>
      <c r="BU10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0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0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02" s="35" t="str">
        <f>IF(Upaya_Debitur[[#This Row],[Kondisi Debitur]]="Tidak ditemukan","Ya","Tidak")</f>
        <v>Ya</v>
      </c>
      <c r="BY10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0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0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02" s="18">
        <v>43781</v>
      </c>
      <c r="CC102" s="18">
        <v>43999</v>
      </c>
      <c r="CD102" s="18">
        <v>43826</v>
      </c>
      <c r="CE102" s="18">
        <v>43871</v>
      </c>
      <c r="CF102" s="18">
        <v>43887</v>
      </c>
      <c r="CG102" s="18">
        <v>43888</v>
      </c>
      <c r="CH102" s="18">
        <v>44057</v>
      </c>
      <c r="CI102" s="18">
        <v>44077</v>
      </c>
      <c r="CJ102" s="18"/>
      <c r="CK102" s="35">
        <f ca="1">COUNTIF(Upaya_Debitur[[#This Row],[Surat Pemberitahuan?]:[Gugatan Sederhana?]],"Ya")</f>
        <v>8</v>
      </c>
      <c r="CL102" s="35">
        <f ca="1">Upaya_Debitur[[#This Row],[Target Upaya]]-COUNTIFS(Upaya_Debitur[[#This Row],[Surat Pemberitahuan?]:[Gugatan Sederhana?]],"Ya",Upaya_Debitur[[#This Row],[Surat Pemberitahuan]:[Gugatan Sederhana]],"")</f>
        <v>8</v>
      </c>
      <c r="CM102" s="36">
        <f ca="1">IF(ISNUMBER(Upaya_Debitur[[#This Row],[Realisasi]]/Upaya_Debitur[[#This Row],[Target Upaya]]),Upaya_Debitur[[#This Row],[Realisasi]]/Upaya_Debitur[[#This Row],[Target Upaya]],1)</f>
        <v>1</v>
      </c>
    </row>
    <row r="103" spans="1:91" x14ac:dyDescent="0.3">
      <c r="A103" s="16">
        <v>85</v>
      </c>
      <c r="B103" s="17"/>
      <c r="C103" s="17" t="s">
        <v>350</v>
      </c>
      <c r="D103" s="16" t="s">
        <v>351</v>
      </c>
      <c r="E103" s="37">
        <v>2150000</v>
      </c>
      <c r="F103" s="37">
        <v>0</v>
      </c>
      <c r="G103" s="37">
        <v>0</v>
      </c>
      <c r="H103" s="40">
        <f>SUM(Upaya_Debitur[[#This Row],[Kewajiban Pokok]:[Kewajiban Denda]])</f>
        <v>2150000</v>
      </c>
      <c r="I103" s="37"/>
      <c r="J103" s="40">
        <f>IF(ISNUMBER(Upaya_Debitur[[#This Row],[Angsuran Sesuai PK]]),Upaya_Debitur[[#This Row],[Angsuran Sesuai PK]],1)</f>
        <v>1</v>
      </c>
      <c r="K103" s="76"/>
      <c r="L103" s="16" t="s">
        <v>37</v>
      </c>
      <c r="N103" s="18"/>
      <c r="O103" s="76"/>
      <c r="P103" s="37"/>
      <c r="Q103" s="41"/>
      <c r="R103" s="37"/>
      <c r="S103" s="40">
        <f>IF(Upaya_Debitur[[#This Row],[Periode Haircut]]="",0,IF(Upaya_Debitur[[#This Row],[Periode Haircut]]&lt;=$B$6,Upaya_Debitur[[#This Row],[Haircut]],0))</f>
        <v>0</v>
      </c>
      <c r="T103" s="40">
        <f>IF($B$10="",0,IF($B$10&lt;=$B$6,Upaya_Debitur[[#This Row],[Set Off]],0))</f>
        <v>0</v>
      </c>
      <c r="U103" s="37">
        <v>0</v>
      </c>
      <c r="V103" s="37">
        <v>0</v>
      </c>
      <c r="W103" s="37">
        <v>0</v>
      </c>
      <c r="X103" s="37">
        <v>0</v>
      </c>
      <c r="Y103" s="37">
        <v>0</v>
      </c>
      <c r="Z103" s="37">
        <v>0</v>
      </c>
      <c r="AA103" s="37">
        <v>0</v>
      </c>
      <c r="AB103" s="37">
        <v>0</v>
      </c>
      <c r="AC103" s="37">
        <v>0</v>
      </c>
      <c r="AD103" s="37">
        <v>0</v>
      </c>
      <c r="AE103" s="37">
        <v>0</v>
      </c>
      <c r="AF103" s="37">
        <v>0</v>
      </c>
      <c r="AG103" s="37">
        <v>0</v>
      </c>
      <c r="AH103" s="37">
        <v>0</v>
      </c>
      <c r="AI103" s="37">
        <v>0</v>
      </c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40">
        <f ca="1">SUM(OFFSET(Upaya_Debitur[[#This Row],[Haircut Diperhitungkan]],0,0,1,$B$7+2))</f>
        <v>0</v>
      </c>
      <c r="BR103" s="35" t="str">
        <f ca="1">IF(Upaya_Debitur[[#This Row],[Total Pencairan]]&gt;=Upaya_Debitur[[#This Row],[Kewajiban Total]],"Lunas","Belum Lunas")</f>
        <v>Belum Lunas</v>
      </c>
      <c r="BS103" s="35" t="str">
        <f t="shared" si="5"/>
        <v>Ya</v>
      </c>
      <c r="BT103" s="35" t="str">
        <f t="shared" si="6"/>
        <v>Ya</v>
      </c>
      <c r="BU10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0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0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03" s="35" t="str">
        <f>IF(Upaya_Debitur[[#This Row],[Kondisi Debitur]]="Tidak ditemukan","Ya","Tidak")</f>
        <v>Ya</v>
      </c>
      <c r="BY10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0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0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03" s="18">
        <v>43781</v>
      </c>
      <c r="CC103" s="18">
        <v>43999</v>
      </c>
      <c r="CD103" s="18">
        <v>43826</v>
      </c>
      <c r="CE103" s="18">
        <v>43871</v>
      </c>
      <c r="CF103" s="18">
        <v>43887</v>
      </c>
      <c r="CG103" s="18">
        <v>44035</v>
      </c>
      <c r="CH103" s="18">
        <v>44057</v>
      </c>
      <c r="CI103" s="18">
        <v>44077</v>
      </c>
      <c r="CJ103" s="18"/>
      <c r="CK103" s="35">
        <f ca="1">COUNTIF(Upaya_Debitur[[#This Row],[Surat Pemberitahuan?]:[Gugatan Sederhana?]],"Ya")</f>
        <v>8</v>
      </c>
      <c r="CL103" s="35">
        <f ca="1">Upaya_Debitur[[#This Row],[Target Upaya]]-COUNTIFS(Upaya_Debitur[[#This Row],[Surat Pemberitahuan?]:[Gugatan Sederhana?]],"Ya",Upaya_Debitur[[#This Row],[Surat Pemberitahuan]:[Gugatan Sederhana]],"")</f>
        <v>8</v>
      </c>
      <c r="CM103" s="36">
        <f ca="1">IF(ISNUMBER(Upaya_Debitur[[#This Row],[Realisasi]]/Upaya_Debitur[[#This Row],[Target Upaya]]),Upaya_Debitur[[#This Row],[Realisasi]]/Upaya_Debitur[[#This Row],[Target Upaya]],1)</f>
        <v>1</v>
      </c>
    </row>
    <row r="104" spans="1:91" x14ac:dyDescent="0.3">
      <c r="A104" s="16">
        <v>86</v>
      </c>
      <c r="B104" s="17"/>
      <c r="C104" s="17" t="s">
        <v>352</v>
      </c>
      <c r="D104" s="16" t="s">
        <v>353</v>
      </c>
      <c r="E104" s="37">
        <v>850000</v>
      </c>
      <c r="F104" s="37">
        <v>0</v>
      </c>
      <c r="G104" s="37">
        <v>0</v>
      </c>
      <c r="H104" s="40">
        <f>SUM(Upaya_Debitur[[#This Row],[Kewajiban Pokok]:[Kewajiban Denda]])</f>
        <v>850000</v>
      </c>
      <c r="I104" s="37"/>
      <c r="J104" s="40">
        <f>IF(ISNUMBER(Upaya_Debitur[[#This Row],[Angsuran Sesuai PK]]),Upaya_Debitur[[#This Row],[Angsuran Sesuai PK]],1)</f>
        <v>1</v>
      </c>
      <c r="K104" s="76"/>
      <c r="L104" s="16" t="s">
        <v>37</v>
      </c>
      <c r="N104" s="18"/>
      <c r="O104" s="76"/>
      <c r="P104" s="37"/>
      <c r="Q104" s="41"/>
      <c r="R104" s="37"/>
      <c r="S104" s="40">
        <f>IF(Upaya_Debitur[[#This Row],[Periode Haircut]]="",0,IF(Upaya_Debitur[[#This Row],[Periode Haircut]]&lt;=$B$6,Upaya_Debitur[[#This Row],[Haircut]],0))</f>
        <v>0</v>
      </c>
      <c r="T104" s="40">
        <f>IF($B$10="",0,IF($B$10&lt;=$B$6,Upaya_Debitur[[#This Row],[Set Off]],0))</f>
        <v>0</v>
      </c>
      <c r="U104" s="37">
        <v>0</v>
      </c>
      <c r="V104" s="37">
        <v>0</v>
      </c>
      <c r="W104" s="37">
        <v>0</v>
      </c>
      <c r="X104" s="37">
        <v>0</v>
      </c>
      <c r="Y104" s="37">
        <v>0</v>
      </c>
      <c r="Z104" s="37">
        <v>0</v>
      </c>
      <c r="AA104" s="37">
        <v>0</v>
      </c>
      <c r="AB104" s="37">
        <v>0</v>
      </c>
      <c r="AC104" s="37">
        <v>0</v>
      </c>
      <c r="AD104" s="37">
        <v>0</v>
      </c>
      <c r="AE104" s="37">
        <v>0</v>
      </c>
      <c r="AF104" s="37">
        <v>0</v>
      </c>
      <c r="AG104" s="37">
        <v>0</v>
      </c>
      <c r="AH104" s="37">
        <v>0</v>
      </c>
      <c r="AI104" s="37">
        <v>0</v>
      </c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40">
        <f ca="1">SUM(OFFSET(Upaya_Debitur[[#This Row],[Haircut Diperhitungkan]],0,0,1,$B$7+2))</f>
        <v>0</v>
      </c>
      <c r="BR104" s="35" t="str">
        <f ca="1">IF(Upaya_Debitur[[#This Row],[Total Pencairan]]&gt;=Upaya_Debitur[[#This Row],[Kewajiban Total]],"Lunas","Belum Lunas")</f>
        <v>Belum Lunas</v>
      </c>
      <c r="BS104" s="35" t="str">
        <f t="shared" si="5"/>
        <v>Ya</v>
      </c>
      <c r="BT104" s="35" t="str">
        <f t="shared" si="6"/>
        <v>Ya</v>
      </c>
      <c r="BU10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0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0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04" s="35" t="str">
        <f>IF(Upaya_Debitur[[#This Row],[Kondisi Debitur]]="Tidak ditemukan","Ya","Tidak")</f>
        <v>Ya</v>
      </c>
      <c r="BY10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0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0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04" s="18">
        <v>43781</v>
      </c>
      <c r="CC104" s="18">
        <v>43999</v>
      </c>
      <c r="CD104" s="18">
        <v>43826</v>
      </c>
      <c r="CE104" s="18">
        <v>43871</v>
      </c>
      <c r="CF104" s="18">
        <v>43887</v>
      </c>
      <c r="CG104" s="18">
        <v>43888</v>
      </c>
      <c r="CH104" s="18">
        <v>44057</v>
      </c>
      <c r="CI104" s="18">
        <v>44077</v>
      </c>
      <c r="CJ104" s="18"/>
      <c r="CK104" s="35">
        <f ca="1">COUNTIF(Upaya_Debitur[[#This Row],[Surat Pemberitahuan?]:[Gugatan Sederhana?]],"Ya")</f>
        <v>8</v>
      </c>
      <c r="CL104" s="35">
        <f ca="1">Upaya_Debitur[[#This Row],[Target Upaya]]-COUNTIFS(Upaya_Debitur[[#This Row],[Surat Pemberitahuan?]:[Gugatan Sederhana?]],"Ya",Upaya_Debitur[[#This Row],[Surat Pemberitahuan]:[Gugatan Sederhana]],"")</f>
        <v>8</v>
      </c>
      <c r="CM104" s="36">
        <f ca="1">IF(ISNUMBER(Upaya_Debitur[[#This Row],[Realisasi]]/Upaya_Debitur[[#This Row],[Target Upaya]]),Upaya_Debitur[[#This Row],[Realisasi]]/Upaya_Debitur[[#This Row],[Target Upaya]],1)</f>
        <v>1</v>
      </c>
    </row>
    <row r="105" spans="1:91" x14ac:dyDescent="0.3">
      <c r="A105" s="16">
        <v>87</v>
      </c>
      <c r="B105" s="17"/>
      <c r="C105" s="17" t="s">
        <v>354</v>
      </c>
      <c r="D105" s="16" t="s">
        <v>355</v>
      </c>
      <c r="E105" s="37">
        <v>2195000</v>
      </c>
      <c r="F105" s="37">
        <v>0</v>
      </c>
      <c r="G105" s="37">
        <v>0</v>
      </c>
      <c r="H105" s="40">
        <f>SUM(Upaya_Debitur[[#This Row],[Kewajiban Pokok]:[Kewajiban Denda]])</f>
        <v>2195000</v>
      </c>
      <c r="I105" s="37"/>
      <c r="J105" s="40">
        <f>IF(ISNUMBER(Upaya_Debitur[[#This Row],[Angsuran Sesuai PK]]),Upaya_Debitur[[#This Row],[Angsuran Sesuai PK]],1)</f>
        <v>1</v>
      </c>
      <c r="K105" s="76"/>
      <c r="L105" s="16" t="s">
        <v>83</v>
      </c>
      <c r="N105" s="18"/>
      <c r="O105" s="76"/>
      <c r="P105" s="37"/>
      <c r="Q105" s="41"/>
      <c r="R105" s="37"/>
      <c r="S105" s="40">
        <f>IF(Upaya_Debitur[[#This Row],[Periode Haircut]]="",0,IF(Upaya_Debitur[[#This Row],[Periode Haircut]]&lt;=$B$6,Upaya_Debitur[[#This Row],[Haircut]],0))</f>
        <v>0</v>
      </c>
      <c r="T105" s="40">
        <f>IF($B$10="",0,IF($B$10&lt;=$B$6,Upaya_Debitur[[#This Row],[Set Off]],0))</f>
        <v>0</v>
      </c>
      <c r="U105" s="37">
        <v>600000</v>
      </c>
      <c r="V105" s="37">
        <v>500000</v>
      </c>
      <c r="W105" s="37">
        <v>0</v>
      </c>
      <c r="X105" s="37">
        <v>500000</v>
      </c>
      <c r="Y105" s="37">
        <v>595000</v>
      </c>
      <c r="Z105" s="37">
        <v>0</v>
      </c>
      <c r="AA105" s="37">
        <v>0</v>
      </c>
      <c r="AB105" s="37">
        <v>0</v>
      </c>
      <c r="AC105" s="37">
        <v>0</v>
      </c>
      <c r="AD105" s="37">
        <v>0</v>
      </c>
      <c r="AE105" s="37">
        <v>0</v>
      </c>
      <c r="AF105" s="37">
        <v>0</v>
      </c>
      <c r="AG105" s="37">
        <v>0</v>
      </c>
      <c r="AH105" s="37">
        <v>0</v>
      </c>
      <c r="AI105" s="37">
        <v>1100000</v>
      </c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40">
        <f ca="1">SUM(OFFSET(Upaya_Debitur[[#This Row],[Haircut Diperhitungkan]],0,0,1,$B$7+2))</f>
        <v>3295000</v>
      </c>
      <c r="BR105" s="35" t="str">
        <f ca="1">IF(Upaya_Debitur[[#This Row],[Total Pencairan]]&gt;=Upaya_Debitur[[#This Row],[Kewajiban Total]],"Lunas","Belum Lunas")</f>
        <v>Lunas</v>
      </c>
      <c r="BS105" s="35" t="str">
        <f t="shared" si="5"/>
        <v>Ya</v>
      </c>
      <c r="BT105" s="35" t="str">
        <f t="shared" si="6"/>
        <v>Ya</v>
      </c>
      <c r="BU10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10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10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105" s="35" t="str">
        <f>IF(Upaya_Debitur[[#This Row],[Kondisi Debitur]]="Tidak ditemukan","Ya","Tidak")</f>
        <v>Tidak</v>
      </c>
      <c r="BY10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10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10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05" s="18">
        <v>43781</v>
      </c>
      <c r="CC105" s="18">
        <v>43999</v>
      </c>
      <c r="CD105" s="18">
        <v>43826</v>
      </c>
      <c r="CE105" s="18">
        <v>43871</v>
      </c>
      <c r="CF105" s="18">
        <v>43887</v>
      </c>
      <c r="CG105" s="18"/>
      <c r="CH105" s="18">
        <v>44057</v>
      </c>
      <c r="CI105" s="18">
        <v>44077</v>
      </c>
      <c r="CJ105" s="18"/>
      <c r="CK105" s="35">
        <f ca="1">COUNTIF(Upaya_Debitur[[#This Row],[Surat Pemberitahuan?]:[Gugatan Sederhana?]],"Ya")</f>
        <v>2</v>
      </c>
      <c r="CL105" s="35">
        <f ca="1">Upaya_Debitur[[#This Row],[Target Upaya]]-COUNTIFS(Upaya_Debitur[[#This Row],[Surat Pemberitahuan?]:[Gugatan Sederhana?]],"Ya",Upaya_Debitur[[#This Row],[Surat Pemberitahuan]:[Gugatan Sederhana]],"")</f>
        <v>2</v>
      </c>
      <c r="CM105" s="36">
        <f ca="1">IF(ISNUMBER(Upaya_Debitur[[#This Row],[Realisasi]]/Upaya_Debitur[[#This Row],[Target Upaya]]),Upaya_Debitur[[#This Row],[Realisasi]]/Upaya_Debitur[[#This Row],[Target Upaya]],1)</f>
        <v>1</v>
      </c>
    </row>
    <row r="106" spans="1:91" x14ac:dyDescent="0.3">
      <c r="A106" s="16">
        <v>88</v>
      </c>
      <c r="B106" s="17"/>
      <c r="C106" s="17" t="s">
        <v>356</v>
      </c>
      <c r="D106" s="16" t="s">
        <v>357</v>
      </c>
      <c r="E106" s="37">
        <v>129850</v>
      </c>
      <c r="F106" s="37">
        <v>0</v>
      </c>
      <c r="G106" s="37">
        <v>0</v>
      </c>
      <c r="H106" s="40">
        <f>SUM(Upaya_Debitur[[#This Row],[Kewajiban Pokok]:[Kewajiban Denda]])</f>
        <v>129850</v>
      </c>
      <c r="I106" s="37"/>
      <c r="J106" s="40">
        <f>IF(ISNUMBER(Upaya_Debitur[[#This Row],[Angsuran Sesuai PK]]),Upaya_Debitur[[#This Row],[Angsuran Sesuai PK]],1)</f>
        <v>1</v>
      </c>
      <c r="K106" s="76"/>
      <c r="L106" s="16" t="s">
        <v>37</v>
      </c>
      <c r="N106" s="18"/>
      <c r="O106" s="76"/>
      <c r="P106" s="37"/>
      <c r="Q106" s="41"/>
      <c r="R106" s="37"/>
      <c r="S106" s="40">
        <f>IF(Upaya_Debitur[[#This Row],[Periode Haircut]]="",0,IF(Upaya_Debitur[[#This Row],[Periode Haircut]]&lt;=$B$6,Upaya_Debitur[[#This Row],[Haircut]],0))</f>
        <v>0</v>
      </c>
      <c r="T106" s="40">
        <f>IF($B$10="",0,IF($B$10&lt;=$B$6,Upaya_Debitur[[#This Row],[Set Off]],0))</f>
        <v>0</v>
      </c>
      <c r="U106" s="37">
        <v>0</v>
      </c>
      <c r="V106" s="37">
        <v>0</v>
      </c>
      <c r="W106" s="37">
        <v>0</v>
      </c>
      <c r="X106" s="37">
        <v>0</v>
      </c>
      <c r="Y106" s="37">
        <v>0</v>
      </c>
      <c r="Z106" s="37">
        <v>0</v>
      </c>
      <c r="AA106" s="37">
        <v>0</v>
      </c>
      <c r="AB106" s="37">
        <v>0</v>
      </c>
      <c r="AC106" s="37">
        <v>0</v>
      </c>
      <c r="AD106" s="37">
        <v>0</v>
      </c>
      <c r="AE106" s="37">
        <v>0</v>
      </c>
      <c r="AF106" s="37">
        <v>0</v>
      </c>
      <c r="AG106" s="37">
        <v>0</v>
      </c>
      <c r="AH106" s="37">
        <v>0</v>
      </c>
      <c r="AI106" s="37">
        <v>0</v>
      </c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40">
        <f ca="1">SUM(OFFSET(Upaya_Debitur[[#This Row],[Haircut Diperhitungkan]],0,0,1,$B$7+2))</f>
        <v>0</v>
      </c>
      <c r="BR106" s="35" t="str">
        <f ca="1">IF(Upaya_Debitur[[#This Row],[Total Pencairan]]&gt;=Upaya_Debitur[[#This Row],[Kewajiban Total]],"Lunas","Belum Lunas")</f>
        <v>Belum Lunas</v>
      </c>
      <c r="BS106" s="35" t="str">
        <f t="shared" si="5"/>
        <v>Ya</v>
      </c>
      <c r="BT106" s="35" t="str">
        <f t="shared" si="6"/>
        <v>Ya</v>
      </c>
      <c r="BU10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0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0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06" s="35" t="str">
        <f>IF(Upaya_Debitur[[#This Row],[Kondisi Debitur]]="Tidak ditemukan","Ya","Tidak")</f>
        <v>Ya</v>
      </c>
      <c r="BY10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0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0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06" s="18">
        <v>43781</v>
      </c>
      <c r="CC106" s="18">
        <v>43999</v>
      </c>
      <c r="CD106" s="18">
        <v>43826</v>
      </c>
      <c r="CE106" s="18">
        <v>43871</v>
      </c>
      <c r="CF106" s="18">
        <v>43887</v>
      </c>
      <c r="CG106" s="18">
        <v>44035</v>
      </c>
      <c r="CH106" s="18">
        <v>44057</v>
      </c>
      <c r="CI106" s="18">
        <v>44077</v>
      </c>
      <c r="CJ106" s="18"/>
      <c r="CK106" s="35">
        <f ca="1">COUNTIF(Upaya_Debitur[[#This Row],[Surat Pemberitahuan?]:[Gugatan Sederhana?]],"Ya")</f>
        <v>8</v>
      </c>
      <c r="CL106" s="35">
        <f ca="1">Upaya_Debitur[[#This Row],[Target Upaya]]-COUNTIFS(Upaya_Debitur[[#This Row],[Surat Pemberitahuan?]:[Gugatan Sederhana?]],"Ya",Upaya_Debitur[[#This Row],[Surat Pemberitahuan]:[Gugatan Sederhana]],"")</f>
        <v>8</v>
      </c>
      <c r="CM106" s="36">
        <f ca="1">IF(ISNUMBER(Upaya_Debitur[[#This Row],[Realisasi]]/Upaya_Debitur[[#This Row],[Target Upaya]]),Upaya_Debitur[[#This Row],[Realisasi]]/Upaya_Debitur[[#This Row],[Target Upaya]],1)</f>
        <v>1</v>
      </c>
    </row>
    <row r="107" spans="1:91" x14ac:dyDescent="0.3">
      <c r="A107" s="16">
        <v>89</v>
      </c>
      <c r="B107" s="17"/>
      <c r="C107" s="17" t="s">
        <v>358</v>
      </c>
      <c r="D107" s="16" t="s">
        <v>357</v>
      </c>
      <c r="E107" s="37">
        <v>9850000</v>
      </c>
      <c r="F107" s="37">
        <v>0</v>
      </c>
      <c r="G107" s="37">
        <v>0</v>
      </c>
      <c r="H107" s="40">
        <f>SUM(Upaya_Debitur[[#This Row],[Kewajiban Pokok]:[Kewajiban Denda]])</f>
        <v>9850000</v>
      </c>
      <c r="I107" s="37"/>
      <c r="J107" s="40">
        <f>IF(ISNUMBER(Upaya_Debitur[[#This Row],[Angsuran Sesuai PK]]),Upaya_Debitur[[#This Row],[Angsuran Sesuai PK]],1)</f>
        <v>1</v>
      </c>
      <c r="K107" s="76"/>
      <c r="L107" s="16" t="s">
        <v>83</v>
      </c>
      <c r="N107" s="18"/>
      <c r="O107" s="76"/>
      <c r="P107" s="37"/>
      <c r="Q107" s="41"/>
      <c r="R107" s="37"/>
      <c r="S107" s="40">
        <f>IF(Upaya_Debitur[[#This Row],[Periode Haircut]]="",0,IF(Upaya_Debitur[[#This Row],[Periode Haircut]]&lt;=$B$6,Upaya_Debitur[[#This Row],[Haircut]],0))</f>
        <v>0</v>
      </c>
      <c r="T107" s="40">
        <f>IF($B$10="",0,IF($B$10&lt;=$B$6,Upaya_Debitur[[#This Row],[Set Off]],0))</f>
        <v>0</v>
      </c>
      <c r="U107" s="37">
        <v>0</v>
      </c>
      <c r="V107" s="37">
        <v>0</v>
      </c>
      <c r="W107" s="37">
        <v>0</v>
      </c>
      <c r="X107" s="37">
        <v>0</v>
      </c>
      <c r="Y107" s="37">
        <v>0</v>
      </c>
      <c r="Z107" s="37">
        <v>0</v>
      </c>
      <c r="AA107" s="37">
        <v>0</v>
      </c>
      <c r="AB107" s="37">
        <v>0</v>
      </c>
      <c r="AC107" s="37">
        <v>0</v>
      </c>
      <c r="AD107" s="37">
        <v>0</v>
      </c>
      <c r="AE107" s="37">
        <v>0</v>
      </c>
      <c r="AF107" s="37">
        <v>0</v>
      </c>
      <c r="AG107" s="37">
        <v>0</v>
      </c>
      <c r="AH107" s="37">
        <v>0</v>
      </c>
      <c r="AI107" s="37">
        <v>0</v>
      </c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40">
        <f ca="1">SUM(OFFSET(Upaya_Debitur[[#This Row],[Haircut Diperhitungkan]],0,0,1,$B$7+2))</f>
        <v>0</v>
      </c>
      <c r="BR107" s="35" t="str">
        <f ca="1">IF(Upaya_Debitur[[#This Row],[Total Pencairan]]&gt;=Upaya_Debitur[[#This Row],[Kewajiban Total]],"Lunas","Belum Lunas")</f>
        <v>Belum Lunas</v>
      </c>
      <c r="BS107" s="35" t="str">
        <f t="shared" si="5"/>
        <v>Ya</v>
      </c>
      <c r="BT107" s="35" t="str">
        <f t="shared" si="6"/>
        <v>Ya</v>
      </c>
      <c r="BU10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0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0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07" s="35" t="str">
        <f>IF(Upaya_Debitur[[#This Row],[Kondisi Debitur]]="Tidak ditemukan","Ya","Tidak")</f>
        <v>Tidak</v>
      </c>
      <c r="BY10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0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0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07" s="18">
        <v>43781</v>
      </c>
      <c r="CC107" s="18">
        <v>43999</v>
      </c>
      <c r="CD107" s="18">
        <v>43826</v>
      </c>
      <c r="CE107" s="18">
        <v>43871</v>
      </c>
      <c r="CF107" s="18">
        <v>43887</v>
      </c>
      <c r="CG107" s="18">
        <v>43888</v>
      </c>
      <c r="CH107" s="18">
        <v>44057</v>
      </c>
      <c r="CI107" s="18">
        <v>44077</v>
      </c>
      <c r="CJ107" s="18"/>
      <c r="CK107" s="35">
        <f ca="1">COUNTIF(Upaya_Debitur[[#This Row],[Surat Pemberitahuan?]:[Gugatan Sederhana?]],"Ya")</f>
        <v>7</v>
      </c>
      <c r="CL107" s="35">
        <f ca="1">Upaya_Debitur[[#This Row],[Target Upaya]]-COUNTIFS(Upaya_Debitur[[#This Row],[Surat Pemberitahuan?]:[Gugatan Sederhana?]],"Ya",Upaya_Debitur[[#This Row],[Surat Pemberitahuan]:[Gugatan Sederhana]],"")</f>
        <v>7</v>
      </c>
      <c r="CM107" s="36">
        <f ca="1">IF(ISNUMBER(Upaya_Debitur[[#This Row],[Realisasi]]/Upaya_Debitur[[#This Row],[Target Upaya]]),Upaya_Debitur[[#This Row],[Realisasi]]/Upaya_Debitur[[#This Row],[Target Upaya]],1)</f>
        <v>1</v>
      </c>
    </row>
    <row r="108" spans="1:91" x14ac:dyDescent="0.3">
      <c r="A108" s="16">
        <v>90</v>
      </c>
      <c r="B108" s="17"/>
      <c r="C108" s="17" t="s">
        <v>359</v>
      </c>
      <c r="D108" s="16" t="s">
        <v>357</v>
      </c>
      <c r="E108" s="37">
        <v>320000</v>
      </c>
      <c r="F108" s="37">
        <v>0</v>
      </c>
      <c r="G108" s="37">
        <v>0</v>
      </c>
      <c r="H108" s="40">
        <f>SUM(Upaya_Debitur[[#This Row],[Kewajiban Pokok]:[Kewajiban Denda]])</f>
        <v>320000</v>
      </c>
      <c r="I108" s="37"/>
      <c r="J108" s="40">
        <f>IF(ISNUMBER(Upaya_Debitur[[#This Row],[Angsuran Sesuai PK]]),Upaya_Debitur[[#This Row],[Angsuran Sesuai PK]],1)</f>
        <v>1</v>
      </c>
      <c r="K108" s="76"/>
      <c r="L108" s="16" t="s">
        <v>37</v>
      </c>
      <c r="N108" s="18"/>
      <c r="O108" s="76"/>
      <c r="P108" s="37"/>
      <c r="Q108" s="41"/>
      <c r="R108" s="37"/>
      <c r="S108" s="40">
        <f>IF(Upaya_Debitur[[#This Row],[Periode Haircut]]="",0,IF(Upaya_Debitur[[#This Row],[Periode Haircut]]&lt;=$B$6,Upaya_Debitur[[#This Row],[Haircut]],0))</f>
        <v>0</v>
      </c>
      <c r="T108" s="40">
        <f>IF($B$10="",0,IF($B$10&lt;=$B$6,Upaya_Debitur[[#This Row],[Set Off]],0))</f>
        <v>0</v>
      </c>
      <c r="U108" s="37">
        <v>0</v>
      </c>
      <c r="V108" s="37">
        <v>0</v>
      </c>
      <c r="W108" s="37">
        <v>0</v>
      </c>
      <c r="X108" s="37">
        <v>0</v>
      </c>
      <c r="Y108" s="37">
        <v>0</v>
      </c>
      <c r="Z108" s="37">
        <v>0</v>
      </c>
      <c r="AA108" s="37">
        <v>0</v>
      </c>
      <c r="AB108" s="37">
        <v>0</v>
      </c>
      <c r="AC108" s="37">
        <v>0</v>
      </c>
      <c r="AD108" s="37">
        <v>0</v>
      </c>
      <c r="AE108" s="37">
        <v>0</v>
      </c>
      <c r="AF108" s="37">
        <v>0</v>
      </c>
      <c r="AG108" s="37">
        <v>0</v>
      </c>
      <c r="AH108" s="37">
        <v>0</v>
      </c>
      <c r="AI108" s="37">
        <v>0</v>
      </c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40">
        <f ca="1">SUM(OFFSET(Upaya_Debitur[[#This Row],[Haircut Diperhitungkan]],0,0,1,$B$7+2))</f>
        <v>0</v>
      </c>
      <c r="BR108" s="35" t="str">
        <f ca="1">IF(Upaya_Debitur[[#This Row],[Total Pencairan]]&gt;=Upaya_Debitur[[#This Row],[Kewajiban Total]],"Lunas","Belum Lunas")</f>
        <v>Belum Lunas</v>
      </c>
      <c r="BS108" s="35" t="str">
        <f t="shared" si="5"/>
        <v>Ya</v>
      </c>
      <c r="BT108" s="35" t="str">
        <f t="shared" si="6"/>
        <v>Ya</v>
      </c>
      <c r="BU10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0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0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08" s="35" t="str">
        <f>IF(Upaya_Debitur[[#This Row],[Kondisi Debitur]]="Tidak ditemukan","Ya","Tidak")</f>
        <v>Ya</v>
      </c>
      <c r="BY10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0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0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08" s="18">
        <v>43781</v>
      </c>
      <c r="CC108" s="18">
        <v>43999</v>
      </c>
      <c r="CD108" s="18">
        <v>43826</v>
      </c>
      <c r="CE108" s="18">
        <v>43871</v>
      </c>
      <c r="CF108" s="18">
        <v>43887</v>
      </c>
      <c r="CG108" s="18">
        <v>44035</v>
      </c>
      <c r="CH108" s="18">
        <v>44057</v>
      </c>
      <c r="CI108" s="18">
        <v>44077</v>
      </c>
      <c r="CJ108" s="18"/>
      <c r="CK108" s="35">
        <f ca="1">COUNTIF(Upaya_Debitur[[#This Row],[Surat Pemberitahuan?]:[Gugatan Sederhana?]],"Ya")</f>
        <v>8</v>
      </c>
      <c r="CL108" s="35">
        <f ca="1">Upaya_Debitur[[#This Row],[Target Upaya]]-COUNTIFS(Upaya_Debitur[[#This Row],[Surat Pemberitahuan?]:[Gugatan Sederhana?]],"Ya",Upaya_Debitur[[#This Row],[Surat Pemberitahuan]:[Gugatan Sederhana]],"")</f>
        <v>8</v>
      </c>
      <c r="CM108" s="36">
        <f ca="1">IF(ISNUMBER(Upaya_Debitur[[#This Row],[Realisasi]]/Upaya_Debitur[[#This Row],[Target Upaya]]),Upaya_Debitur[[#This Row],[Realisasi]]/Upaya_Debitur[[#This Row],[Target Upaya]],1)</f>
        <v>1</v>
      </c>
    </row>
    <row r="109" spans="1:91" x14ac:dyDescent="0.3">
      <c r="A109" s="16">
        <v>91</v>
      </c>
      <c r="B109" s="17"/>
      <c r="C109" s="17" t="s">
        <v>360</v>
      </c>
      <c r="D109" s="16" t="s">
        <v>361</v>
      </c>
      <c r="E109" s="37">
        <v>5000000</v>
      </c>
      <c r="F109" s="37">
        <v>0</v>
      </c>
      <c r="G109" s="37">
        <v>0</v>
      </c>
      <c r="H109" s="40">
        <f>SUM(Upaya_Debitur[[#This Row],[Kewajiban Pokok]:[Kewajiban Denda]])</f>
        <v>5000000</v>
      </c>
      <c r="I109" s="37"/>
      <c r="J109" s="40">
        <f>IF(ISNUMBER(Upaya_Debitur[[#This Row],[Angsuran Sesuai PK]]),Upaya_Debitur[[#This Row],[Angsuran Sesuai PK]],1)</f>
        <v>1</v>
      </c>
      <c r="K109" s="76"/>
      <c r="L109" s="16" t="s">
        <v>37</v>
      </c>
      <c r="N109" s="18"/>
      <c r="O109" s="76"/>
      <c r="P109" s="37"/>
      <c r="Q109" s="41"/>
      <c r="R109" s="37"/>
      <c r="S109" s="40">
        <f>IF(Upaya_Debitur[[#This Row],[Periode Haircut]]="",0,IF(Upaya_Debitur[[#This Row],[Periode Haircut]]&lt;=$B$6,Upaya_Debitur[[#This Row],[Haircut]],0))</f>
        <v>0</v>
      </c>
      <c r="T109" s="40">
        <f>IF($B$10="",0,IF($B$10&lt;=$B$6,Upaya_Debitur[[#This Row],[Set Off]],0))</f>
        <v>0</v>
      </c>
      <c r="U109" s="37">
        <v>0</v>
      </c>
      <c r="V109" s="37">
        <v>0</v>
      </c>
      <c r="W109" s="37">
        <v>0</v>
      </c>
      <c r="X109" s="37">
        <v>0</v>
      </c>
      <c r="Y109" s="37">
        <v>0</v>
      </c>
      <c r="Z109" s="37">
        <v>0</v>
      </c>
      <c r="AA109" s="37">
        <v>0</v>
      </c>
      <c r="AB109" s="37">
        <v>0</v>
      </c>
      <c r="AC109" s="37">
        <v>0</v>
      </c>
      <c r="AD109" s="37">
        <v>0</v>
      </c>
      <c r="AE109" s="37">
        <v>0</v>
      </c>
      <c r="AF109" s="37">
        <v>0</v>
      </c>
      <c r="AG109" s="37">
        <v>0</v>
      </c>
      <c r="AH109" s="37">
        <v>0</v>
      </c>
      <c r="AI109" s="37">
        <v>0</v>
      </c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40">
        <f ca="1">SUM(OFFSET(Upaya_Debitur[[#This Row],[Haircut Diperhitungkan]],0,0,1,$B$7+2))</f>
        <v>0</v>
      </c>
      <c r="BR109" s="35" t="str">
        <f ca="1">IF(Upaya_Debitur[[#This Row],[Total Pencairan]]&gt;=Upaya_Debitur[[#This Row],[Kewajiban Total]],"Lunas","Belum Lunas")</f>
        <v>Belum Lunas</v>
      </c>
      <c r="BS109" s="35" t="str">
        <f t="shared" si="5"/>
        <v>Ya</v>
      </c>
      <c r="BT109" s="35" t="str">
        <f t="shared" si="6"/>
        <v>Ya</v>
      </c>
      <c r="BU10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0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0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09" s="35" t="str">
        <f>IF(Upaya_Debitur[[#This Row],[Kondisi Debitur]]="Tidak ditemukan","Ya","Tidak")</f>
        <v>Ya</v>
      </c>
      <c r="BY10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0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0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09" s="18">
        <v>43781</v>
      </c>
      <c r="CC109" s="18">
        <v>43999</v>
      </c>
      <c r="CD109" s="18">
        <v>43826</v>
      </c>
      <c r="CE109" s="18">
        <v>43871</v>
      </c>
      <c r="CF109" s="18">
        <v>43887</v>
      </c>
      <c r="CG109" s="18">
        <v>43888</v>
      </c>
      <c r="CH109" s="18">
        <v>44057</v>
      </c>
      <c r="CI109" s="18">
        <v>44077</v>
      </c>
      <c r="CJ109" s="18"/>
      <c r="CK109" s="35">
        <f ca="1">COUNTIF(Upaya_Debitur[[#This Row],[Surat Pemberitahuan?]:[Gugatan Sederhana?]],"Ya")</f>
        <v>8</v>
      </c>
      <c r="CL109" s="35">
        <f ca="1">Upaya_Debitur[[#This Row],[Target Upaya]]-COUNTIFS(Upaya_Debitur[[#This Row],[Surat Pemberitahuan?]:[Gugatan Sederhana?]],"Ya",Upaya_Debitur[[#This Row],[Surat Pemberitahuan]:[Gugatan Sederhana]],"")</f>
        <v>8</v>
      </c>
      <c r="CM109" s="36">
        <f ca="1">IF(ISNUMBER(Upaya_Debitur[[#This Row],[Realisasi]]/Upaya_Debitur[[#This Row],[Target Upaya]]),Upaya_Debitur[[#This Row],[Realisasi]]/Upaya_Debitur[[#This Row],[Target Upaya]],1)</f>
        <v>1</v>
      </c>
    </row>
    <row r="110" spans="1:91" x14ac:dyDescent="0.3">
      <c r="A110" s="16">
        <v>92</v>
      </c>
      <c r="B110" s="17"/>
      <c r="C110" s="17" t="s">
        <v>362</v>
      </c>
      <c r="D110" s="16" t="s">
        <v>363</v>
      </c>
      <c r="E110" s="37">
        <v>35000</v>
      </c>
      <c r="F110" s="37">
        <v>0</v>
      </c>
      <c r="G110" s="37">
        <v>0</v>
      </c>
      <c r="H110" s="40">
        <f>SUM(Upaya_Debitur[[#This Row],[Kewajiban Pokok]:[Kewajiban Denda]])</f>
        <v>35000</v>
      </c>
      <c r="I110" s="37"/>
      <c r="J110" s="40">
        <f>IF(ISNUMBER(Upaya_Debitur[[#This Row],[Angsuran Sesuai PK]]),Upaya_Debitur[[#This Row],[Angsuran Sesuai PK]],1)</f>
        <v>1</v>
      </c>
      <c r="K110" s="76"/>
      <c r="L110" s="16" t="s">
        <v>37</v>
      </c>
      <c r="N110" s="18"/>
      <c r="O110" s="76"/>
      <c r="P110" s="37"/>
      <c r="Q110" s="41"/>
      <c r="R110" s="37"/>
      <c r="S110" s="40">
        <f>IF(Upaya_Debitur[[#This Row],[Periode Haircut]]="",0,IF(Upaya_Debitur[[#This Row],[Periode Haircut]]&lt;=$B$6,Upaya_Debitur[[#This Row],[Haircut]],0))</f>
        <v>0</v>
      </c>
      <c r="T110" s="40">
        <f>IF($B$10="",0,IF($B$10&lt;=$B$6,Upaya_Debitur[[#This Row],[Set Off]],0))</f>
        <v>0</v>
      </c>
      <c r="U110" s="37">
        <v>0</v>
      </c>
      <c r="V110" s="37">
        <v>0</v>
      </c>
      <c r="W110" s="37">
        <v>0</v>
      </c>
      <c r="X110" s="37">
        <v>0</v>
      </c>
      <c r="Y110" s="37">
        <v>0</v>
      </c>
      <c r="Z110" s="37">
        <v>0</v>
      </c>
      <c r="AA110" s="37">
        <v>0</v>
      </c>
      <c r="AB110" s="37">
        <v>0</v>
      </c>
      <c r="AC110" s="37">
        <v>0</v>
      </c>
      <c r="AD110" s="37">
        <v>0</v>
      </c>
      <c r="AE110" s="37">
        <v>0</v>
      </c>
      <c r="AF110" s="37">
        <v>0</v>
      </c>
      <c r="AG110" s="37">
        <v>0</v>
      </c>
      <c r="AH110" s="37">
        <v>0</v>
      </c>
      <c r="AI110" s="37">
        <v>0</v>
      </c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40">
        <f ca="1">SUM(OFFSET(Upaya_Debitur[[#This Row],[Haircut Diperhitungkan]],0,0,1,$B$7+2))</f>
        <v>0</v>
      </c>
      <c r="BR110" s="35" t="str">
        <f ca="1">IF(Upaya_Debitur[[#This Row],[Total Pencairan]]&gt;=Upaya_Debitur[[#This Row],[Kewajiban Total]],"Lunas","Belum Lunas")</f>
        <v>Belum Lunas</v>
      </c>
      <c r="BS110" s="35" t="str">
        <f t="shared" si="5"/>
        <v>Ya</v>
      </c>
      <c r="BT110" s="35" t="str">
        <f t="shared" si="6"/>
        <v>Ya</v>
      </c>
      <c r="BU11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1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1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10" s="35" t="str">
        <f>IF(Upaya_Debitur[[#This Row],[Kondisi Debitur]]="Tidak ditemukan","Ya","Tidak")</f>
        <v>Ya</v>
      </c>
      <c r="BY11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1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1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10" s="18">
        <v>43781</v>
      </c>
      <c r="CC110" s="18">
        <v>43999</v>
      </c>
      <c r="CD110" s="18">
        <v>43826</v>
      </c>
      <c r="CE110" s="18">
        <v>43871</v>
      </c>
      <c r="CF110" s="18">
        <v>43887</v>
      </c>
      <c r="CG110" s="18">
        <v>44035</v>
      </c>
      <c r="CH110" s="18">
        <v>44057</v>
      </c>
      <c r="CI110" s="18">
        <v>44077</v>
      </c>
      <c r="CJ110" s="18"/>
      <c r="CK110" s="35">
        <f ca="1">COUNTIF(Upaya_Debitur[[#This Row],[Surat Pemberitahuan?]:[Gugatan Sederhana?]],"Ya")</f>
        <v>8</v>
      </c>
      <c r="CL110" s="35">
        <f ca="1">Upaya_Debitur[[#This Row],[Target Upaya]]-COUNTIFS(Upaya_Debitur[[#This Row],[Surat Pemberitahuan?]:[Gugatan Sederhana?]],"Ya",Upaya_Debitur[[#This Row],[Surat Pemberitahuan]:[Gugatan Sederhana]],"")</f>
        <v>8</v>
      </c>
      <c r="CM110" s="36">
        <f ca="1">IF(ISNUMBER(Upaya_Debitur[[#This Row],[Realisasi]]/Upaya_Debitur[[#This Row],[Target Upaya]]),Upaya_Debitur[[#This Row],[Realisasi]]/Upaya_Debitur[[#This Row],[Target Upaya]],1)</f>
        <v>1</v>
      </c>
    </row>
    <row r="111" spans="1:91" x14ac:dyDescent="0.3">
      <c r="A111" s="16">
        <v>93</v>
      </c>
      <c r="B111" s="17"/>
      <c r="C111" s="17" t="s">
        <v>364</v>
      </c>
      <c r="D111" s="16" t="s">
        <v>365</v>
      </c>
      <c r="E111" s="37">
        <v>2478672</v>
      </c>
      <c r="F111" s="37">
        <v>0</v>
      </c>
      <c r="G111" s="37">
        <v>0</v>
      </c>
      <c r="H111" s="40">
        <f>SUM(Upaya_Debitur[[#This Row],[Kewajiban Pokok]:[Kewajiban Denda]])</f>
        <v>2478672</v>
      </c>
      <c r="I111" s="37"/>
      <c r="J111" s="40">
        <f>IF(ISNUMBER(Upaya_Debitur[[#This Row],[Angsuran Sesuai PK]]),Upaya_Debitur[[#This Row],[Angsuran Sesuai PK]],1)</f>
        <v>1</v>
      </c>
      <c r="K111" s="76"/>
      <c r="L111" s="16" t="s">
        <v>38</v>
      </c>
      <c r="N111" s="18"/>
      <c r="O111" s="76"/>
      <c r="P111" s="37"/>
      <c r="Q111" s="41"/>
      <c r="R111" s="37"/>
      <c r="S111" s="40">
        <f>IF(Upaya_Debitur[[#This Row],[Periode Haircut]]="",0,IF(Upaya_Debitur[[#This Row],[Periode Haircut]]&lt;=$B$6,Upaya_Debitur[[#This Row],[Haircut]],0))</f>
        <v>0</v>
      </c>
      <c r="T111" s="40">
        <f>IF($B$10="",0,IF($B$10&lt;=$B$6,Upaya_Debitur[[#This Row],[Set Off]],0))</f>
        <v>0</v>
      </c>
      <c r="U111" s="37">
        <v>0</v>
      </c>
      <c r="V111" s="37">
        <v>0</v>
      </c>
      <c r="W111" s="37">
        <v>0</v>
      </c>
      <c r="X111" s="37">
        <v>0</v>
      </c>
      <c r="Y111" s="37">
        <v>0</v>
      </c>
      <c r="Z111" s="37">
        <v>0</v>
      </c>
      <c r="AA111" s="37">
        <v>0</v>
      </c>
      <c r="AB111" s="37">
        <v>0</v>
      </c>
      <c r="AC111" s="37">
        <v>0</v>
      </c>
      <c r="AD111" s="37">
        <v>0</v>
      </c>
      <c r="AE111" s="37">
        <v>0</v>
      </c>
      <c r="AF111" s="37">
        <v>0</v>
      </c>
      <c r="AG111" s="37">
        <v>0</v>
      </c>
      <c r="AH111" s="37">
        <v>0</v>
      </c>
      <c r="AI111" s="37">
        <v>0</v>
      </c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40">
        <f ca="1">SUM(OFFSET(Upaya_Debitur[[#This Row],[Haircut Diperhitungkan]],0,0,1,$B$7+2))</f>
        <v>0</v>
      </c>
      <c r="BR111" s="35" t="str">
        <f ca="1">IF(Upaya_Debitur[[#This Row],[Total Pencairan]]&gt;=Upaya_Debitur[[#This Row],[Kewajiban Total]],"Lunas","Belum Lunas")</f>
        <v>Belum Lunas</v>
      </c>
      <c r="BS111" s="35" t="str">
        <f t="shared" si="5"/>
        <v>Ya</v>
      </c>
      <c r="BT111" s="35" t="str">
        <f t="shared" si="6"/>
        <v>Ya</v>
      </c>
      <c r="BU11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1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1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11" s="35" t="str">
        <f>IF(Upaya_Debitur[[#This Row],[Kondisi Debitur]]="Tidak ditemukan","Ya","Tidak")</f>
        <v>Tidak</v>
      </c>
      <c r="BY11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1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1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11" s="18">
        <v>43781</v>
      </c>
      <c r="CC111" s="18">
        <v>43999</v>
      </c>
      <c r="CD111" s="18">
        <v>43826</v>
      </c>
      <c r="CE111" s="18">
        <v>43871</v>
      </c>
      <c r="CF111" s="18">
        <v>43887</v>
      </c>
      <c r="CG111" s="18">
        <v>43888</v>
      </c>
      <c r="CH111" s="18">
        <v>44057</v>
      </c>
      <c r="CI111" s="18">
        <v>44077</v>
      </c>
      <c r="CJ111" s="18"/>
      <c r="CK111" s="35">
        <f ca="1">COUNTIF(Upaya_Debitur[[#This Row],[Surat Pemberitahuan?]:[Gugatan Sederhana?]],"Ya")</f>
        <v>7</v>
      </c>
      <c r="CL111" s="35">
        <f ca="1">Upaya_Debitur[[#This Row],[Target Upaya]]-COUNTIFS(Upaya_Debitur[[#This Row],[Surat Pemberitahuan?]:[Gugatan Sederhana?]],"Ya",Upaya_Debitur[[#This Row],[Surat Pemberitahuan]:[Gugatan Sederhana]],"")</f>
        <v>7</v>
      </c>
      <c r="CM111" s="36">
        <f ca="1">IF(ISNUMBER(Upaya_Debitur[[#This Row],[Realisasi]]/Upaya_Debitur[[#This Row],[Target Upaya]]),Upaya_Debitur[[#This Row],[Realisasi]]/Upaya_Debitur[[#This Row],[Target Upaya]],1)</f>
        <v>1</v>
      </c>
    </row>
    <row r="112" spans="1:91" x14ac:dyDescent="0.3">
      <c r="A112" s="16">
        <v>94</v>
      </c>
      <c r="B112" s="17"/>
      <c r="C112" s="17" t="s">
        <v>366</v>
      </c>
      <c r="D112" s="16" t="s">
        <v>367</v>
      </c>
      <c r="E112" s="37">
        <v>200000</v>
      </c>
      <c r="F112" s="37">
        <v>0</v>
      </c>
      <c r="G112" s="37">
        <v>0</v>
      </c>
      <c r="H112" s="40">
        <f>SUM(Upaya_Debitur[[#This Row],[Kewajiban Pokok]:[Kewajiban Denda]])</f>
        <v>200000</v>
      </c>
      <c r="I112" s="37"/>
      <c r="J112" s="40">
        <f>IF(ISNUMBER(Upaya_Debitur[[#This Row],[Angsuran Sesuai PK]]),Upaya_Debitur[[#This Row],[Angsuran Sesuai PK]],1)</f>
        <v>1</v>
      </c>
      <c r="K112" s="76"/>
      <c r="L112" s="16" t="s">
        <v>83</v>
      </c>
      <c r="N112" s="18"/>
      <c r="O112" s="76"/>
      <c r="P112" s="37"/>
      <c r="Q112" s="41"/>
      <c r="R112" s="37"/>
      <c r="S112" s="40">
        <f>IF(Upaya_Debitur[[#This Row],[Periode Haircut]]="",0,IF(Upaya_Debitur[[#This Row],[Periode Haircut]]&lt;=$B$6,Upaya_Debitur[[#This Row],[Haircut]],0))</f>
        <v>0</v>
      </c>
      <c r="T112" s="40">
        <f>IF($B$10="",0,IF($B$10&lt;=$B$6,Upaya_Debitur[[#This Row],[Set Off]],0))</f>
        <v>0</v>
      </c>
      <c r="U112" s="37">
        <v>0</v>
      </c>
      <c r="V112" s="37">
        <v>0</v>
      </c>
      <c r="W112" s="37">
        <v>0</v>
      </c>
      <c r="X112" s="37">
        <v>0</v>
      </c>
      <c r="Y112" s="37">
        <v>0</v>
      </c>
      <c r="Z112" s="37">
        <v>0</v>
      </c>
      <c r="AA112" s="37">
        <v>0</v>
      </c>
      <c r="AB112" s="37">
        <v>0</v>
      </c>
      <c r="AC112" s="37">
        <v>0</v>
      </c>
      <c r="AD112" s="37">
        <v>0</v>
      </c>
      <c r="AE112" s="37">
        <v>0</v>
      </c>
      <c r="AF112" s="37">
        <v>0</v>
      </c>
      <c r="AG112" s="37">
        <v>0</v>
      </c>
      <c r="AH112" s="37">
        <v>0</v>
      </c>
      <c r="AI112" s="37">
        <v>0</v>
      </c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40">
        <f ca="1">SUM(OFFSET(Upaya_Debitur[[#This Row],[Haircut Diperhitungkan]],0,0,1,$B$7+2))</f>
        <v>0</v>
      </c>
      <c r="BR112" s="35" t="str">
        <f ca="1">IF(Upaya_Debitur[[#This Row],[Total Pencairan]]&gt;=Upaya_Debitur[[#This Row],[Kewajiban Total]],"Lunas","Belum Lunas")</f>
        <v>Belum Lunas</v>
      </c>
      <c r="BS112" s="35" t="str">
        <f t="shared" si="5"/>
        <v>Ya</v>
      </c>
      <c r="BT112" s="35" t="str">
        <f t="shared" si="6"/>
        <v>Ya</v>
      </c>
      <c r="BU11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1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1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12" s="35" t="str">
        <f>IF(Upaya_Debitur[[#This Row],[Kondisi Debitur]]="Tidak ditemukan","Ya","Tidak")</f>
        <v>Tidak</v>
      </c>
      <c r="BY11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1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1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12" s="18">
        <v>43781</v>
      </c>
      <c r="CC112" s="18">
        <v>43999</v>
      </c>
      <c r="CD112" s="18">
        <v>43826</v>
      </c>
      <c r="CE112" s="18">
        <v>43871</v>
      </c>
      <c r="CF112" s="18">
        <v>43887</v>
      </c>
      <c r="CG112" s="18"/>
      <c r="CH112" s="18">
        <v>44057</v>
      </c>
      <c r="CI112" s="18">
        <v>44077</v>
      </c>
      <c r="CJ112" s="18"/>
      <c r="CK112" s="35">
        <f ca="1">COUNTIF(Upaya_Debitur[[#This Row],[Surat Pemberitahuan?]:[Gugatan Sederhana?]],"Ya")</f>
        <v>7</v>
      </c>
      <c r="CL112" s="35">
        <f ca="1">Upaya_Debitur[[#This Row],[Target Upaya]]-COUNTIFS(Upaya_Debitur[[#This Row],[Surat Pemberitahuan?]:[Gugatan Sederhana?]],"Ya",Upaya_Debitur[[#This Row],[Surat Pemberitahuan]:[Gugatan Sederhana]],"")</f>
        <v>7</v>
      </c>
      <c r="CM112" s="36">
        <f ca="1">IF(ISNUMBER(Upaya_Debitur[[#This Row],[Realisasi]]/Upaya_Debitur[[#This Row],[Target Upaya]]),Upaya_Debitur[[#This Row],[Realisasi]]/Upaya_Debitur[[#This Row],[Target Upaya]],1)</f>
        <v>1</v>
      </c>
    </row>
    <row r="113" spans="1:91" x14ac:dyDescent="0.3">
      <c r="A113" s="16">
        <v>95</v>
      </c>
      <c r="B113" s="17"/>
      <c r="C113" s="17" t="s">
        <v>368</v>
      </c>
      <c r="D113" s="16" t="s">
        <v>369</v>
      </c>
      <c r="E113" s="37">
        <v>906000</v>
      </c>
      <c r="F113" s="37">
        <v>0</v>
      </c>
      <c r="G113" s="37">
        <v>0</v>
      </c>
      <c r="H113" s="40">
        <f>SUM(Upaya_Debitur[[#This Row],[Kewajiban Pokok]:[Kewajiban Denda]])</f>
        <v>906000</v>
      </c>
      <c r="I113" s="37"/>
      <c r="J113" s="40">
        <f>IF(ISNUMBER(Upaya_Debitur[[#This Row],[Angsuran Sesuai PK]]),Upaya_Debitur[[#This Row],[Angsuran Sesuai PK]],1)</f>
        <v>1</v>
      </c>
      <c r="K113" s="76"/>
      <c r="L113" s="16" t="s">
        <v>37</v>
      </c>
      <c r="N113" s="18"/>
      <c r="O113" s="76"/>
      <c r="P113" s="37"/>
      <c r="Q113" s="41"/>
      <c r="R113" s="37"/>
      <c r="S113" s="40">
        <f>IF(Upaya_Debitur[[#This Row],[Periode Haircut]]="",0,IF(Upaya_Debitur[[#This Row],[Periode Haircut]]&lt;=$B$6,Upaya_Debitur[[#This Row],[Haircut]],0))</f>
        <v>0</v>
      </c>
      <c r="T113" s="40">
        <f>IF($B$10="",0,IF($B$10&lt;=$B$6,Upaya_Debitur[[#This Row],[Set Off]],0))</f>
        <v>0</v>
      </c>
      <c r="U113" s="37">
        <v>0</v>
      </c>
      <c r="V113" s="37">
        <v>0</v>
      </c>
      <c r="W113" s="37">
        <v>0</v>
      </c>
      <c r="X113" s="37">
        <v>0</v>
      </c>
      <c r="Y113" s="37">
        <v>0</v>
      </c>
      <c r="Z113" s="37">
        <v>0</v>
      </c>
      <c r="AA113" s="37">
        <v>0</v>
      </c>
      <c r="AB113" s="37">
        <v>0</v>
      </c>
      <c r="AC113" s="37">
        <v>0</v>
      </c>
      <c r="AD113" s="37">
        <v>0</v>
      </c>
      <c r="AE113" s="37">
        <v>0</v>
      </c>
      <c r="AF113" s="37">
        <v>0</v>
      </c>
      <c r="AG113" s="37">
        <v>0</v>
      </c>
      <c r="AH113" s="37">
        <v>0</v>
      </c>
      <c r="AI113" s="37">
        <v>0</v>
      </c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40">
        <f ca="1">SUM(OFFSET(Upaya_Debitur[[#This Row],[Haircut Diperhitungkan]],0,0,1,$B$7+2))</f>
        <v>0</v>
      </c>
      <c r="BR113" s="35" t="str">
        <f ca="1">IF(Upaya_Debitur[[#This Row],[Total Pencairan]]&gt;=Upaya_Debitur[[#This Row],[Kewajiban Total]],"Lunas","Belum Lunas")</f>
        <v>Belum Lunas</v>
      </c>
      <c r="BS113" s="35" t="str">
        <f t="shared" si="5"/>
        <v>Ya</v>
      </c>
      <c r="BT113" s="35" t="str">
        <f t="shared" si="6"/>
        <v>Ya</v>
      </c>
      <c r="BU11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1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1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13" s="35" t="str">
        <f>IF(Upaya_Debitur[[#This Row],[Kondisi Debitur]]="Tidak ditemukan","Ya","Tidak")</f>
        <v>Ya</v>
      </c>
      <c r="BY11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1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1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13" s="18">
        <v>43781</v>
      </c>
      <c r="CC113" s="18">
        <v>43999</v>
      </c>
      <c r="CD113" s="18">
        <v>43826</v>
      </c>
      <c r="CE113" s="18">
        <v>43871</v>
      </c>
      <c r="CF113" s="18">
        <v>43887</v>
      </c>
      <c r="CG113" s="18">
        <v>43888</v>
      </c>
      <c r="CH113" s="18">
        <v>44057</v>
      </c>
      <c r="CI113" s="18">
        <v>44077</v>
      </c>
      <c r="CJ113" s="18"/>
      <c r="CK113" s="35">
        <f ca="1">COUNTIF(Upaya_Debitur[[#This Row],[Surat Pemberitahuan?]:[Gugatan Sederhana?]],"Ya")</f>
        <v>8</v>
      </c>
      <c r="CL113" s="35">
        <f ca="1">Upaya_Debitur[[#This Row],[Target Upaya]]-COUNTIFS(Upaya_Debitur[[#This Row],[Surat Pemberitahuan?]:[Gugatan Sederhana?]],"Ya",Upaya_Debitur[[#This Row],[Surat Pemberitahuan]:[Gugatan Sederhana]],"")</f>
        <v>8</v>
      </c>
      <c r="CM113" s="36">
        <f ca="1">IF(ISNUMBER(Upaya_Debitur[[#This Row],[Realisasi]]/Upaya_Debitur[[#This Row],[Target Upaya]]),Upaya_Debitur[[#This Row],[Realisasi]]/Upaya_Debitur[[#This Row],[Target Upaya]],1)</f>
        <v>1</v>
      </c>
    </row>
    <row r="114" spans="1:91" x14ac:dyDescent="0.3">
      <c r="A114" s="16">
        <v>96</v>
      </c>
      <c r="B114" s="17"/>
      <c r="C114" s="17" t="s">
        <v>370</v>
      </c>
      <c r="D114" s="16" t="s">
        <v>371</v>
      </c>
      <c r="E114" s="37">
        <v>683056</v>
      </c>
      <c r="F114" s="37">
        <v>0</v>
      </c>
      <c r="G114" s="37">
        <v>0</v>
      </c>
      <c r="H114" s="40">
        <f>SUM(Upaya_Debitur[[#This Row],[Kewajiban Pokok]:[Kewajiban Denda]])</f>
        <v>683056</v>
      </c>
      <c r="I114" s="37"/>
      <c r="J114" s="40">
        <f>IF(ISNUMBER(Upaya_Debitur[[#This Row],[Angsuran Sesuai PK]]),Upaya_Debitur[[#This Row],[Angsuran Sesuai PK]],1)</f>
        <v>1</v>
      </c>
      <c r="K114" s="76"/>
      <c r="L114" s="16" t="s">
        <v>37</v>
      </c>
      <c r="N114" s="18"/>
      <c r="O114" s="76"/>
      <c r="P114" s="37"/>
      <c r="Q114" s="41"/>
      <c r="R114" s="37"/>
      <c r="S114" s="40">
        <f>IF(Upaya_Debitur[[#This Row],[Periode Haircut]]="",0,IF(Upaya_Debitur[[#This Row],[Periode Haircut]]&lt;=$B$6,Upaya_Debitur[[#This Row],[Haircut]],0))</f>
        <v>0</v>
      </c>
      <c r="T114" s="40">
        <f>IF($B$10="",0,IF($B$10&lt;=$B$6,Upaya_Debitur[[#This Row],[Set Off]],0))</f>
        <v>0</v>
      </c>
      <c r="U114" s="37">
        <v>0</v>
      </c>
      <c r="V114" s="37">
        <v>0</v>
      </c>
      <c r="W114" s="37">
        <v>0</v>
      </c>
      <c r="X114" s="37">
        <v>683056</v>
      </c>
      <c r="Y114" s="37">
        <v>0</v>
      </c>
      <c r="Z114" s="37">
        <v>0</v>
      </c>
      <c r="AA114" s="37">
        <v>0</v>
      </c>
      <c r="AB114" s="37">
        <v>0</v>
      </c>
      <c r="AC114" s="37">
        <v>0</v>
      </c>
      <c r="AD114" s="37">
        <v>0</v>
      </c>
      <c r="AE114" s="37">
        <v>0</v>
      </c>
      <c r="AF114" s="37">
        <v>0</v>
      </c>
      <c r="AG114" s="37">
        <v>0</v>
      </c>
      <c r="AH114" s="37">
        <v>0</v>
      </c>
      <c r="AI114" s="37">
        <v>0</v>
      </c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40">
        <f ca="1">SUM(OFFSET(Upaya_Debitur[[#This Row],[Haircut Diperhitungkan]],0,0,1,$B$7+2))</f>
        <v>683056</v>
      </c>
      <c r="BR114" s="35" t="str">
        <f ca="1">IF(Upaya_Debitur[[#This Row],[Total Pencairan]]&gt;=Upaya_Debitur[[#This Row],[Kewajiban Total]],"Lunas","Belum Lunas")</f>
        <v>Lunas</v>
      </c>
      <c r="BS114" s="35" t="str">
        <f t="shared" si="5"/>
        <v>Ya</v>
      </c>
      <c r="BT114" s="35" t="str">
        <f t="shared" si="6"/>
        <v>Ya</v>
      </c>
      <c r="BU11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11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11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114" s="35" t="str">
        <f>IF(Upaya_Debitur[[#This Row],[Kondisi Debitur]]="Tidak ditemukan","Ya","Tidak")</f>
        <v>Ya</v>
      </c>
      <c r="BY11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11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11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14" s="18">
        <v>43781</v>
      </c>
      <c r="CC114" s="18">
        <v>43871</v>
      </c>
      <c r="CD114" s="18">
        <v>43826</v>
      </c>
      <c r="CE114" s="18">
        <v>43871</v>
      </c>
      <c r="CF114" s="18"/>
      <c r="CG114" s="18">
        <v>44035</v>
      </c>
      <c r="CH114" s="18">
        <v>44057</v>
      </c>
      <c r="CI114" s="18">
        <v>44077</v>
      </c>
      <c r="CJ114" s="18"/>
      <c r="CK114" s="35">
        <f ca="1">COUNTIF(Upaya_Debitur[[#This Row],[Surat Pemberitahuan?]:[Gugatan Sederhana?]],"Ya")</f>
        <v>3</v>
      </c>
      <c r="CL114" s="35">
        <f ca="1">Upaya_Debitur[[#This Row],[Target Upaya]]-COUNTIFS(Upaya_Debitur[[#This Row],[Surat Pemberitahuan?]:[Gugatan Sederhana?]],"Ya",Upaya_Debitur[[#This Row],[Surat Pemberitahuan]:[Gugatan Sederhana]],"")</f>
        <v>3</v>
      </c>
      <c r="CM114" s="36">
        <f ca="1">IF(ISNUMBER(Upaya_Debitur[[#This Row],[Realisasi]]/Upaya_Debitur[[#This Row],[Target Upaya]]),Upaya_Debitur[[#This Row],[Realisasi]]/Upaya_Debitur[[#This Row],[Target Upaya]],1)</f>
        <v>1</v>
      </c>
    </row>
    <row r="115" spans="1:91" x14ac:dyDescent="0.3">
      <c r="A115" s="16">
        <v>97</v>
      </c>
      <c r="B115" s="17"/>
      <c r="C115" s="17" t="s">
        <v>372</v>
      </c>
      <c r="D115" s="16" t="s">
        <v>373</v>
      </c>
      <c r="E115" s="37">
        <v>1010000</v>
      </c>
      <c r="F115" s="37">
        <v>0</v>
      </c>
      <c r="G115" s="37">
        <v>0</v>
      </c>
      <c r="H115" s="40">
        <f>SUM(Upaya_Debitur[[#This Row],[Kewajiban Pokok]:[Kewajiban Denda]])</f>
        <v>1010000</v>
      </c>
      <c r="I115" s="37"/>
      <c r="J115" s="40">
        <f>IF(ISNUMBER(Upaya_Debitur[[#This Row],[Angsuran Sesuai PK]]),Upaya_Debitur[[#This Row],[Angsuran Sesuai PK]],1)</f>
        <v>1</v>
      </c>
      <c r="K115" s="76"/>
      <c r="L115" s="16" t="s">
        <v>38</v>
      </c>
      <c r="N115" s="18"/>
      <c r="O115" s="76"/>
      <c r="P115" s="37"/>
      <c r="Q115" s="41"/>
      <c r="R115" s="37"/>
      <c r="S115" s="40">
        <f>IF(Upaya_Debitur[[#This Row],[Periode Haircut]]="",0,IF(Upaya_Debitur[[#This Row],[Periode Haircut]]&lt;=$B$6,Upaya_Debitur[[#This Row],[Haircut]],0))</f>
        <v>0</v>
      </c>
      <c r="T115" s="40">
        <f>IF($B$10="",0,IF($B$10&lt;=$B$6,Upaya_Debitur[[#This Row],[Set Off]],0))</f>
        <v>0</v>
      </c>
      <c r="U115" s="37">
        <v>0</v>
      </c>
      <c r="V115" s="37">
        <v>0</v>
      </c>
      <c r="W115" s="37">
        <v>0</v>
      </c>
      <c r="X115" s="37">
        <v>0</v>
      </c>
      <c r="Y115" s="37">
        <v>0</v>
      </c>
      <c r="Z115" s="37">
        <v>0</v>
      </c>
      <c r="AA115" s="37">
        <v>1010000</v>
      </c>
      <c r="AB115" s="37">
        <v>0</v>
      </c>
      <c r="AC115" s="37">
        <v>0</v>
      </c>
      <c r="AD115" s="37">
        <v>0</v>
      </c>
      <c r="AE115" s="37">
        <v>0</v>
      </c>
      <c r="AF115" s="37">
        <v>0</v>
      </c>
      <c r="AG115" s="37">
        <v>0</v>
      </c>
      <c r="AH115" s="37">
        <v>0</v>
      </c>
      <c r="AI115" s="37">
        <v>0</v>
      </c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40">
        <f ca="1">SUM(OFFSET(Upaya_Debitur[[#This Row],[Haircut Diperhitungkan]],0,0,1,$B$7+2))</f>
        <v>1010000</v>
      </c>
      <c r="BR115" s="35" t="str">
        <f ca="1">IF(Upaya_Debitur[[#This Row],[Total Pencairan]]&gt;=Upaya_Debitur[[#This Row],[Kewajiban Total]],"Lunas","Belum Lunas")</f>
        <v>Lunas</v>
      </c>
      <c r="BS115" s="35" t="str">
        <f t="shared" si="5"/>
        <v>Ya</v>
      </c>
      <c r="BT115" s="35" t="str">
        <f t="shared" si="6"/>
        <v>Ya</v>
      </c>
      <c r="BU11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11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11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115" s="35" t="str">
        <f>IF(Upaya_Debitur[[#This Row],[Kondisi Debitur]]="Tidak ditemukan","Ya","Tidak")</f>
        <v>Tidak</v>
      </c>
      <c r="BY11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11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11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15" s="18">
        <v>43781</v>
      </c>
      <c r="CC115" s="18">
        <v>43999</v>
      </c>
      <c r="CD115" s="18">
        <v>43826</v>
      </c>
      <c r="CE115" s="18">
        <v>43871</v>
      </c>
      <c r="CF115" s="18">
        <v>43887</v>
      </c>
      <c r="CG115" s="18"/>
      <c r="CH115" s="18">
        <v>44057</v>
      </c>
      <c r="CI115" s="18">
        <v>44077</v>
      </c>
      <c r="CJ115" s="18"/>
      <c r="CK115" s="35">
        <f ca="1">COUNTIF(Upaya_Debitur[[#This Row],[Surat Pemberitahuan?]:[Gugatan Sederhana?]],"Ya")</f>
        <v>2</v>
      </c>
      <c r="CL115" s="35">
        <f ca="1">Upaya_Debitur[[#This Row],[Target Upaya]]-COUNTIFS(Upaya_Debitur[[#This Row],[Surat Pemberitahuan?]:[Gugatan Sederhana?]],"Ya",Upaya_Debitur[[#This Row],[Surat Pemberitahuan]:[Gugatan Sederhana]],"")</f>
        <v>2</v>
      </c>
      <c r="CM115" s="36">
        <f ca="1">IF(ISNUMBER(Upaya_Debitur[[#This Row],[Realisasi]]/Upaya_Debitur[[#This Row],[Target Upaya]]),Upaya_Debitur[[#This Row],[Realisasi]]/Upaya_Debitur[[#This Row],[Target Upaya]],1)</f>
        <v>1</v>
      </c>
    </row>
    <row r="116" spans="1:91" x14ac:dyDescent="0.3">
      <c r="A116" s="16">
        <v>98</v>
      </c>
      <c r="B116" s="17"/>
      <c r="C116" s="17" t="s">
        <v>374</v>
      </c>
      <c r="D116" s="16" t="s">
        <v>373</v>
      </c>
      <c r="E116" s="37">
        <v>801056</v>
      </c>
      <c r="F116" s="37">
        <v>0</v>
      </c>
      <c r="G116" s="37">
        <v>0</v>
      </c>
      <c r="H116" s="40">
        <f>SUM(Upaya_Debitur[[#This Row],[Kewajiban Pokok]:[Kewajiban Denda]])</f>
        <v>801056</v>
      </c>
      <c r="I116" s="37"/>
      <c r="J116" s="40">
        <f>IF(ISNUMBER(Upaya_Debitur[[#This Row],[Angsuran Sesuai PK]]),Upaya_Debitur[[#This Row],[Angsuran Sesuai PK]],1)</f>
        <v>1</v>
      </c>
      <c r="K116" s="76"/>
      <c r="L116" s="16" t="s">
        <v>37</v>
      </c>
      <c r="N116" s="18"/>
      <c r="O116" s="76"/>
      <c r="P116" s="37"/>
      <c r="Q116" s="41"/>
      <c r="R116" s="37"/>
      <c r="S116" s="40">
        <f>IF(Upaya_Debitur[[#This Row],[Periode Haircut]]="",0,IF(Upaya_Debitur[[#This Row],[Periode Haircut]]&lt;=$B$6,Upaya_Debitur[[#This Row],[Haircut]],0))</f>
        <v>0</v>
      </c>
      <c r="T116" s="40">
        <f>IF($B$10="",0,IF($B$10&lt;=$B$6,Upaya_Debitur[[#This Row],[Set Off]],0))</f>
        <v>0</v>
      </c>
      <c r="U116" s="37">
        <v>0</v>
      </c>
      <c r="V116" s="37">
        <v>0</v>
      </c>
      <c r="W116" s="37">
        <v>0</v>
      </c>
      <c r="X116" s="37">
        <v>0</v>
      </c>
      <c r="Y116" s="37">
        <v>0</v>
      </c>
      <c r="Z116" s="37">
        <v>0</v>
      </c>
      <c r="AA116" s="37">
        <v>0</v>
      </c>
      <c r="AB116" s="37">
        <v>0</v>
      </c>
      <c r="AC116" s="37">
        <v>0</v>
      </c>
      <c r="AD116" s="37">
        <v>0</v>
      </c>
      <c r="AE116" s="37">
        <v>0</v>
      </c>
      <c r="AF116" s="37">
        <v>0</v>
      </c>
      <c r="AG116" s="37">
        <v>0</v>
      </c>
      <c r="AH116" s="37">
        <v>0</v>
      </c>
      <c r="AI116" s="37">
        <v>0</v>
      </c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40">
        <f ca="1">SUM(OFFSET(Upaya_Debitur[[#This Row],[Haircut Diperhitungkan]],0,0,1,$B$7+2))</f>
        <v>0</v>
      </c>
      <c r="BR116" s="35" t="str">
        <f ca="1">IF(Upaya_Debitur[[#This Row],[Total Pencairan]]&gt;=Upaya_Debitur[[#This Row],[Kewajiban Total]],"Lunas","Belum Lunas")</f>
        <v>Belum Lunas</v>
      </c>
      <c r="BS116" s="35" t="str">
        <f t="shared" si="5"/>
        <v>Ya</v>
      </c>
      <c r="BT116" s="35" t="str">
        <f t="shared" si="6"/>
        <v>Ya</v>
      </c>
      <c r="BU11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1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1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16" s="35" t="str">
        <f>IF(Upaya_Debitur[[#This Row],[Kondisi Debitur]]="Tidak ditemukan","Ya","Tidak")</f>
        <v>Ya</v>
      </c>
      <c r="BY11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1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1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16" s="18">
        <v>43781</v>
      </c>
      <c r="CC116" s="18">
        <v>43999</v>
      </c>
      <c r="CD116" s="18">
        <v>43826</v>
      </c>
      <c r="CE116" s="18">
        <v>43871</v>
      </c>
      <c r="CF116" s="18">
        <v>43887</v>
      </c>
      <c r="CG116" s="18">
        <v>43888</v>
      </c>
      <c r="CH116" s="18">
        <v>44057</v>
      </c>
      <c r="CI116" s="18">
        <v>44077</v>
      </c>
      <c r="CJ116" s="18"/>
      <c r="CK116" s="35">
        <f ca="1">COUNTIF(Upaya_Debitur[[#This Row],[Surat Pemberitahuan?]:[Gugatan Sederhana?]],"Ya")</f>
        <v>8</v>
      </c>
      <c r="CL116" s="35">
        <f ca="1">Upaya_Debitur[[#This Row],[Target Upaya]]-COUNTIFS(Upaya_Debitur[[#This Row],[Surat Pemberitahuan?]:[Gugatan Sederhana?]],"Ya",Upaya_Debitur[[#This Row],[Surat Pemberitahuan]:[Gugatan Sederhana]],"")</f>
        <v>8</v>
      </c>
      <c r="CM116" s="36">
        <f ca="1">IF(ISNUMBER(Upaya_Debitur[[#This Row],[Realisasi]]/Upaya_Debitur[[#This Row],[Target Upaya]]),Upaya_Debitur[[#This Row],[Realisasi]]/Upaya_Debitur[[#This Row],[Target Upaya]],1)</f>
        <v>1</v>
      </c>
    </row>
    <row r="117" spans="1:91" x14ac:dyDescent="0.3">
      <c r="A117" s="16">
        <v>99</v>
      </c>
      <c r="B117" s="17"/>
      <c r="C117" s="17" t="s">
        <v>375</v>
      </c>
      <c r="D117" s="16" t="s">
        <v>376</v>
      </c>
      <c r="E117" s="37">
        <v>421500</v>
      </c>
      <c r="F117" s="37">
        <v>0</v>
      </c>
      <c r="G117" s="37">
        <v>0</v>
      </c>
      <c r="H117" s="40">
        <f>SUM(Upaya_Debitur[[#This Row],[Kewajiban Pokok]:[Kewajiban Denda]])</f>
        <v>421500</v>
      </c>
      <c r="I117" s="37"/>
      <c r="J117" s="40">
        <f>IF(ISNUMBER(Upaya_Debitur[[#This Row],[Angsuran Sesuai PK]]),Upaya_Debitur[[#This Row],[Angsuran Sesuai PK]],1)</f>
        <v>1</v>
      </c>
      <c r="K117" s="76"/>
      <c r="L117" s="16" t="s">
        <v>37</v>
      </c>
      <c r="N117" s="18"/>
      <c r="O117" s="76"/>
      <c r="P117" s="37"/>
      <c r="Q117" s="41"/>
      <c r="R117" s="37"/>
      <c r="S117" s="40">
        <f>IF(Upaya_Debitur[[#This Row],[Periode Haircut]]="",0,IF(Upaya_Debitur[[#This Row],[Periode Haircut]]&lt;=$B$6,Upaya_Debitur[[#This Row],[Haircut]],0))</f>
        <v>0</v>
      </c>
      <c r="T117" s="40">
        <f>IF($B$10="",0,IF($B$10&lt;=$B$6,Upaya_Debitur[[#This Row],[Set Off]],0))</f>
        <v>0</v>
      </c>
      <c r="U117" s="37">
        <v>0</v>
      </c>
      <c r="V117" s="37">
        <v>0</v>
      </c>
      <c r="W117" s="37">
        <v>0</v>
      </c>
      <c r="X117" s="37">
        <v>0</v>
      </c>
      <c r="Y117" s="37">
        <v>421500</v>
      </c>
      <c r="Z117" s="37">
        <v>0</v>
      </c>
      <c r="AA117" s="37">
        <v>0</v>
      </c>
      <c r="AB117" s="37">
        <v>0</v>
      </c>
      <c r="AC117" s="37">
        <v>0</v>
      </c>
      <c r="AD117" s="37">
        <v>0</v>
      </c>
      <c r="AE117" s="37">
        <v>0</v>
      </c>
      <c r="AF117" s="37">
        <v>0</v>
      </c>
      <c r="AG117" s="37">
        <v>0</v>
      </c>
      <c r="AH117" s="37">
        <v>0</v>
      </c>
      <c r="AI117" s="37">
        <v>0</v>
      </c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40">
        <f ca="1">SUM(OFFSET(Upaya_Debitur[[#This Row],[Haircut Diperhitungkan]],0,0,1,$B$7+2))</f>
        <v>421500</v>
      </c>
      <c r="BR117" s="35" t="str">
        <f ca="1">IF(Upaya_Debitur[[#This Row],[Total Pencairan]]&gt;=Upaya_Debitur[[#This Row],[Kewajiban Total]],"Lunas","Belum Lunas")</f>
        <v>Lunas</v>
      </c>
      <c r="BS117" s="35" t="str">
        <f t="shared" si="5"/>
        <v>Ya</v>
      </c>
      <c r="BT117" s="35" t="str">
        <f t="shared" si="6"/>
        <v>Ya</v>
      </c>
      <c r="BU11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11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11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117" s="35" t="str">
        <f>IF(Upaya_Debitur[[#This Row],[Kondisi Debitur]]="Tidak ditemukan","Ya","Tidak")</f>
        <v>Ya</v>
      </c>
      <c r="BY11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11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11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17" s="18">
        <v>43781</v>
      </c>
      <c r="CC117" s="18">
        <v>43999</v>
      </c>
      <c r="CD117" s="18">
        <v>43826</v>
      </c>
      <c r="CE117" s="18"/>
      <c r="CF117" s="18"/>
      <c r="CG117" s="18">
        <v>44035</v>
      </c>
      <c r="CH117" s="18">
        <v>44057</v>
      </c>
      <c r="CI117" s="18">
        <v>44077</v>
      </c>
      <c r="CJ117" s="18"/>
      <c r="CK117" s="35">
        <f ca="1">COUNTIF(Upaya_Debitur[[#This Row],[Surat Pemberitahuan?]:[Gugatan Sederhana?]],"Ya")</f>
        <v>3</v>
      </c>
      <c r="CL117" s="35">
        <f ca="1">Upaya_Debitur[[#This Row],[Target Upaya]]-COUNTIFS(Upaya_Debitur[[#This Row],[Surat Pemberitahuan?]:[Gugatan Sederhana?]],"Ya",Upaya_Debitur[[#This Row],[Surat Pemberitahuan]:[Gugatan Sederhana]],"")</f>
        <v>3</v>
      </c>
      <c r="CM117" s="36">
        <f ca="1">IF(ISNUMBER(Upaya_Debitur[[#This Row],[Realisasi]]/Upaya_Debitur[[#This Row],[Target Upaya]]),Upaya_Debitur[[#This Row],[Realisasi]]/Upaya_Debitur[[#This Row],[Target Upaya]],1)</f>
        <v>1</v>
      </c>
    </row>
    <row r="118" spans="1:91" x14ac:dyDescent="0.3">
      <c r="A118" s="16">
        <v>100</v>
      </c>
      <c r="B118" s="17"/>
      <c r="C118" s="17" t="s">
        <v>377</v>
      </c>
      <c r="D118" s="16" t="s">
        <v>378</v>
      </c>
      <c r="E118" s="37">
        <v>813981</v>
      </c>
      <c r="F118" s="37">
        <v>0</v>
      </c>
      <c r="G118" s="37">
        <v>0</v>
      </c>
      <c r="H118" s="40">
        <f>SUM(Upaya_Debitur[[#This Row],[Kewajiban Pokok]:[Kewajiban Denda]])</f>
        <v>813981</v>
      </c>
      <c r="I118" s="37"/>
      <c r="J118" s="40">
        <f>IF(ISNUMBER(Upaya_Debitur[[#This Row],[Angsuran Sesuai PK]]),Upaya_Debitur[[#This Row],[Angsuran Sesuai PK]],1)</f>
        <v>1</v>
      </c>
      <c r="K118" s="76"/>
      <c r="L118" s="16" t="s">
        <v>37</v>
      </c>
      <c r="N118" s="18"/>
      <c r="O118" s="76"/>
      <c r="P118" s="37"/>
      <c r="Q118" s="41"/>
      <c r="R118" s="37"/>
      <c r="S118" s="40">
        <f>IF(Upaya_Debitur[[#This Row],[Periode Haircut]]="",0,IF(Upaya_Debitur[[#This Row],[Periode Haircut]]&lt;=$B$6,Upaya_Debitur[[#This Row],[Haircut]],0))</f>
        <v>0</v>
      </c>
      <c r="T118" s="40">
        <f>IF($B$10="",0,IF($B$10&lt;=$B$6,Upaya_Debitur[[#This Row],[Set Off]],0))</f>
        <v>0</v>
      </c>
      <c r="U118" s="37">
        <v>0</v>
      </c>
      <c r="V118" s="37">
        <v>0</v>
      </c>
      <c r="W118" s="37">
        <v>0</v>
      </c>
      <c r="X118" s="37">
        <v>0</v>
      </c>
      <c r="Y118" s="37">
        <v>0</v>
      </c>
      <c r="Z118" s="37">
        <v>0</v>
      </c>
      <c r="AA118" s="37">
        <v>0</v>
      </c>
      <c r="AB118" s="37">
        <v>0</v>
      </c>
      <c r="AC118" s="37">
        <v>0</v>
      </c>
      <c r="AD118" s="37">
        <v>0</v>
      </c>
      <c r="AE118" s="37">
        <v>0</v>
      </c>
      <c r="AF118" s="37">
        <v>0</v>
      </c>
      <c r="AG118" s="37">
        <v>0</v>
      </c>
      <c r="AH118" s="37">
        <v>0</v>
      </c>
      <c r="AI118" s="37">
        <v>0</v>
      </c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40">
        <f ca="1">SUM(OFFSET(Upaya_Debitur[[#This Row],[Haircut Diperhitungkan]],0,0,1,$B$7+2))</f>
        <v>0</v>
      </c>
      <c r="BR118" s="35" t="str">
        <f ca="1">IF(Upaya_Debitur[[#This Row],[Total Pencairan]]&gt;=Upaya_Debitur[[#This Row],[Kewajiban Total]],"Lunas","Belum Lunas")</f>
        <v>Belum Lunas</v>
      </c>
      <c r="BS118" s="35" t="str">
        <f t="shared" si="5"/>
        <v>Ya</v>
      </c>
      <c r="BT118" s="35" t="str">
        <f t="shared" si="6"/>
        <v>Ya</v>
      </c>
      <c r="BU11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1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1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18" s="35" t="str">
        <f>IF(Upaya_Debitur[[#This Row],[Kondisi Debitur]]="Tidak ditemukan","Ya","Tidak")</f>
        <v>Ya</v>
      </c>
      <c r="BY11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1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1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18" s="18">
        <v>43781</v>
      </c>
      <c r="CC118" s="18">
        <v>43999</v>
      </c>
      <c r="CD118" s="18">
        <v>43826</v>
      </c>
      <c r="CE118" s="18">
        <v>43871</v>
      </c>
      <c r="CF118" s="18">
        <v>43887</v>
      </c>
      <c r="CG118" s="18">
        <v>43888</v>
      </c>
      <c r="CH118" s="18">
        <v>44057</v>
      </c>
      <c r="CI118" s="18">
        <v>44077</v>
      </c>
      <c r="CJ118" s="18"/>
      <c r="CK118" s="35">
        <f ca="1">COUNTIF(Upaya_Debitur[[#This Row],[Surat Pemberitahuan?]:[Gugatan Sederhana?]],"Ya")</f>
        <v>8</v>
      </c>
      <c r="CL118" s="35">
        <f ca="1">Upaya_Debitur[[#This Row],[Target Upaya]]-COUNTIFS(Upaya_Debitur[[#This Row],[Surat Pemberitahuan?]:[Gugatan Sederhana?]],"Ya",Upaya_Debitur[[#This Row],[Surat Pemberitahuan]:[Gugatan Sederhana]],"")</f>
        <v>8</v>
      </c>
      <c r="CM118" s="36">
        <f ca="1">IF(ISNUMBER(Upaya_Debitur[[#This Row],[Realisasi]]/Upaya_Debitur[[#This Row],[Target Upaya]]),Upaya_Debitur[[#This Row],[Realisasi]]/Upaya_Debitur[[#This Row],[Target Upaya]],1)</f>
        <v>1</v>
      </c>
    </row>
    <row r="119" spans="1:91" x14ac:dyDescent="0.3">
      <c r="A119" s="16">
        <v>101</v>
      </c>
      <c r="B119" s="17"/>
      <c r="C119" s="17" t="s">
        <v>379</v>
      </c>
      <c r="D119" s="16" t="s">
        <v>380</v>
      </c>
      <c r="E119" s="37">
        <v>4500000</v>
      </c>
      <c r="F119" s="37">
        <v>0</v>
      </c>
      <c r="G119" s="37">
        <v>0</v>
      </c>
      <c r="H119" s="40">
        <f>SUM(Upaya_Debitur[[#This Row],[Kewajiban Pokok]:[Kewajiban Denda]])</f>
        <v>4500000</v>
      </c>
      <c r="I119" s="37"/>
      <c r="J119" s="40">
        <f>IF(ISNUMBER(Upaya_Debitur[[#This Row],[Angsuran Sesuai PK]]),Upaya_Debitur[[#This Row],[Angsuran Sesuai PK]],1)</f>
        <v>1</v>
      </c>
      <c r="K119" s="76"/>
      <c r="L119" s="16" t="s">
        <v>37</v>
      </c>
      <c r="N119" s="18"/>
      <c r="O119" s="76"/>
      <c r="P119" s="37"/>
      <c r="Q119" s="41"/>
      <c r="R119" s="37"/>
      <c r="S119" s="40">
        <f>IF(Upaya_Debitur[[#This Row],[Periode Haircut]]="",0,IF(Upaya_Debitur[[#This Row],[Periode Haircut]]&lt;=$B$6,Upaya_Debitur[[#This Row],[Haircut]],0))</f>
        <v>0</v>
      </c>
      <c r="T119" s="40">
        <f>IF($B$10="",0,IF($B$10&lt;=$B$6,Upaya_Debitur[[#This Row],[Set Off]],0))</f>
        <v>0</v>
      </c>
      <c r="U119" s="37">
        <v>0</v>
      </c>
      <c r="V119" s="37">
        <v>0</v>
      </c>
      <c r="W119" s="37">
        <v>0</v>
      </c>
      <c r="X119" s="37">
        <v>0</v>
      </c>
      <c r="Y119" s="37">
        <v>0</v>
      </c>
      <c r="Z119" s="37">
        <v>0</v>
      </c>
      <c r="AA119" s="37">
        <v>0</v>
      </c>
      <c r="AB119" s="37">
        <v>0</v>
      </c>
      <c r="AC119" s="37">
        <v>0</v>
      </c>
      <c r="AD119" s="37">
        <v>0</v>
      </c>
      <c r="AE119" s="37">
        <v>0</v>
      </c>
      <c r="AF119" s="37">
        <v>0</v>
      </c>
      <c r="AG119" s="37">
        <v>0</v>
      </c>
      <c r="AH119" s="37">
        <v>0</v>
      </c>
      <c r="AI119" s="37">
        <v>0</v>
      </c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40">
        <f ca="1">SUM(OFFSET(Upaya_Debitur[[#This Row],[Haircut Diperhitungkan]],0,0,1,$B$7+2))</f>
        <v>0</v>
      </c>
      <c r="BR119" s="35" t="str">
        <f ca="1">IF(Upaya_Debitur[[#This Row],[Total Pencairan]]&gt;=Upaya_Debitur[[#This Row],[Kewajiban Total]],"Lunas","Belum Lunas")</f>
        <v>Belum Lunas</v>
      </c>
      <c r="BS119" s="35" t="str">
        <f t="shared" si="5"/>
        <v>Ya</v>
      </c>
      <c r="BT119" s="35" t="str">
        <f t="shared" si="6"/>
        <v>Ya</v>
      </c>
      <c r="BU11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1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1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19" s="35" t="str">
        <f>IF(Upaya_Debitur[[#This Row],[Kondisi Debitur]]="Tidak ditemukan","Ya","Tidak")</f>
        <v>Ya</v>
      </c>
      <c r="BY11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1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1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19" s="18">
        <v>43781</v>
      </c>
      <c r="CC119" s="18">
        <v>43999</v>
      </c>
      <c r="CD119" s="18">
        <v>43826</v>
      </c>
      <c r="CE119" s="18">
        <v>43871</v>
      </c>
      <c r="CF119" s="18">
        <v>43887</v>
      </c>
      <c r="CG119" s="18">
        <v>44035</v>
      </c>
      <c r="CH119" s="18">
        <v>44057</v>
      </c>
      <c r="CI119" s="18">
        <v>44077</v>
      </c>
      <c r="CJ119" s="18"/>
      <c r="CK119" s="35">
        <f ca="1">COUNTIF(Upaya_Debitur[[#This Row],[Surat Pemberitahuan?]:[Gugatan Sederhana?]],"Ya")</f>
        <v>8</v>
      </c>
      <c r="CL119" s="35">
        <f ca="1">Upaya_Debitur[[#This Row],[Target Upaya]]-COUNTIFS(Upaya_Debitur[[#This Row],[Surat Pemberitahuan?]:[Gugatan Sederhana?]],"Ya",Upaya_Debitur[[#This Row],[Surat Pemberitahuan]:[Gugatan Sederhana]],"")</f>
        <v>8</v>
      </c>
      <c r="CM119" s="36">
        <f ca="1">IF(ISNUMBER(Upaya_Debitur[[#This Row],[Realisasi]]/Upaya_Debitur[[#This Row],[Target Upaya]]),Upaya_Debitur[[#This Row],[Realisasi]]/Upaya_Debitur[[#This Row],[Target Upaya]],1)</f>
        <v>1</v>
      </c>
    </row>
    <row r="120" spans="1:91" x14ac:dyDescent="0.3">
      <c r="A120" s="16">
        <v>102</v>
      </c>
      <c r="B120" s="17"/>
      <c r="C120" s="17" t="s">
        <v>381</v>
      </c>
      <c r="D120" s="16" t="s">
        <v>382</v>
      </c>
      <c r="E120" s="37">
        <v>672658</v>
      </c>
      <c r="F120" s="37">
        <v>0</v>
      </c>
      <c r="G120" s="37">
        <v>0</v>
      </c>
      <c r="H120" s="40">
        <f>SUM(Upaya_Debitur[[#This Row],[Kewajiban Pokok]:[Kewajiban Denda]])</f>
        <v>672658</v>
      </c>
      <c r="I120" s="37"/>
      <c r="J120" s="40">
        <f>IF(ISNUMBER(Upaya_Debitur[[#This Row],[Angsuran Sesuai PK]]),Upaya_Debitur[[#This Row],[Angsuran Sesuai PK]],1)</f>
        <v>1</v>
      </c>
      <c r="K120" s="76"/>
      <c r="L120" s="16" t="s">
        <v>37</v>
      </c>
      <c r="N120" s="18"/>
      <c r="O120" s="76"/>
      <c r="P120" s="37"/>
      <c r="Q120" s="41"/>
      <c r="R120" s="37"/>
      <c r="S120" s="40">
        <f>IF(Upaya_Debitur[[#This Row],[Periode Haircut]]="",0,IF(Upaya_Debitur[[#This Row],[Periode Haircut]]&lt;=$B$6,Upaya_Debitur[[#This Row],[Haircut]],0))</f>
        <v>0</v>
      </c>
      <c r="T120" s="40">
        <f>IF($B$10="",0,IF($B$10&lt;=$B$6,Upaya_Debitur[[#This Row],[Set Off]],0))</f>
        <v>0</v>
      </c>
      <c r="U120" s="37">
        <v>0</v>
      </c>
      <c r="V120" s="37">
        <v>0</v>
      </c>
      <c r="W120" s="37">
        <v>0</v>
      </c>
      <c r="X120" s="37">
        <v>0</v>
      </c>
      <c r="Y120" s="37">
        <v>0</v>
      </c>
      <c r="Z120" s="37">
        <v>0</v>
      </c>
      <c r="AA120" s="37">
        <v>0</v>
      </c>
      <c r="AB120" s="37">
        <v>0</v>
      </c>
      <c r="AC120" s="37">
        <v>0</v>
      </c>
      <c r="AD120" s="37">
        <v>0</v>
      </c>
      <c r="AE120" s="37">
        <v>0</v>
      </c>
      <c r="AF120" s="37">
        <v>0</v>
      </c>
      <c r="AG120" s="37">
        <v>0</v>
      </c>
      <c r="AH120" s="37">
        <v>0</v>
      </c>
      <c r="AI120" s="37">
        <v>0</v>
      </c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40">
        <f ca="1">SUM(OFFSET(Upaya_Debitur[[#This Row],[Haircut Diperhitungkan]],0,0,1,$B$7+2))</f>
        <v>0</v>
      </c>
      <c r="BR120" s="35" t="str">
        <f ca="1">IF(Upaya_Debitur[[#This Row],[Total Pencairan]]&gt;=Upaya_Debitur[[#This Row],[Kewajiban Total]],"Lunas","Belum Lunas")</f>
        <v>Belum Lunas</v>
      </c>
      <c r="BS120" s="35" t="str">
        <f t="shared" si="5"/>
        <v>Ya</v>
      </c>
      <c r="BT120" s="35" t="str">
        <f t="shared" si="6"/>
        <v>Ya</v>
      </c>
      <c r="BU12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2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2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20" s="35" t="str">
        <f>IF(Upaya_Debitur[[#This Row],[Kondisi Debitur]]="Tidak ditemukan","Ya","Tidak")</f>
        <v>Ya</v>
      </c>
      <c r="BY12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2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2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20" s="18">
        <v>43781</v>
      </c>
      <c r="CC120" s="18">
        <v>43999</v>
      </c>
      <c r="CD120" s="18">
        <v>43826</v>
      </c>
      <c r="CE120" s="18">
        <v>43871</v>
      </c>
      <c r="CF120" s="18">
        <v>43887</v>
      </c>
      <c r="CG120" s="18">
        <v>43888</v>
      </c>
      <c r="CH120" s="18">
        <v>44057</v>
      </c>
      <c r="CI120" s="18">
        <v>44077</v>
      </c>
      <c r="CJ120" s="18"/>
      <c r="CK120" s="35">
        <f ca="1">COUNTIF(Upaya_Debitur[[#This Row],[Surat Pemberitahuan?]:[Gugatan Sederhana?]],"Ya")</f>
        <v>8</v>
      </c>
      <c r="CL120" s="35">
        <f ca="1">Upaya_Debitur[[#This Row],[Target Upaya]]-COUNTIFS(Upaya_Debitur[[#This Row],[Surat Pemberitahuan?]:[Gugatan Sederhana?]],"Ya",Upaya_Debitur[[#This Row],[Surat Pemberitahuan]:[Gugatan Sederhana]],"")</f>
        <v>8</v>
      </c>
      <c r="CM120" s="36">
        <f ca="1">IF(ISNUMBER(Upaya_Debitur[[#This Row],[Realisasi]]/Upaya_Debitur[[#This Row],[Target Upaya]]),Upaya_Debitur[[#This Row],[Realisasi]]/Upaya_Debitur[[#This Row],[Target Upaya]],1)</f>
        <v>1</v>
      </c>
    </row>
    <row r="121" spans="1:91" x14ac:dyDescent="0.3">
      <c r="A121" s="16">
        <v>103</v>
      </c>
      <c r="B121" s="17"/>
      <c r="C121" s="17" t="s">
        <v>383</v>
      </c>
      <c r="D121" s="16" t="s">
        <v>382</v>
      </c>
      <c r="E121" s="37">
        <v>2105000</v>
      </c>
      <c r="F121" s="37">
        <v>0</v>
      </c>
      <c r="G121" s="37">
        <v>0</v>
      </c>
      <c r="H121" s="40">
        <f>SUM(Upaya_Debitur[[#This Row],[Kewajiban Pokok]:[Kewajiban Denda]])</f>
        <v>2105000</v>
      </c>
      <c r="I121" s="37"/>
      <c r="J121" s="40">
        <f>IF(ISNUMBER(Upaya_Debitur[[#This Row],[Angsuran Sesuai PK]]),Upaya_Debitur[[#This Row],[Angsuran Sesuai PK]],1)</f>
        <v>1</v>
      </c>
      <c r="K121" s="76"/>
      <c r="L121" s="16" t="s">
        <v>37</v>
      </c>
      <c r="N121" s="18"/>
      <c r="O121" s="76"/>
      <c r="P121" s="37"/>
      <c r="Q121" s="41"/>
      <c r="R121" s="37"/>
      <c r="S121" s="40">
        <f>IF(Upaya_Debitur[[#This Row],[Periode Haircut]]="",0,IF(Upaya_Debitur[[#This Row],[Periode Haircut]]&lt;=$B$6,Upaya_Debitur[[#This Row],[Haircut]],0))</f>
        <v>0</v>
      </c>
      <c r="T121" s="40">
        <f>IF($B$10="",0,IF($B$10&lt;=$B$6,Upaya_Debitur[[#This Row],[Set Off]],0))</f>
        <v>0</v>
      </c>
      <c r="U121" s="37">
        <v>0</v>
      </c>
      <c r="V121" s="37">
        <v>0</v>
      </c>
      <c r="W121" s="37">
        <v>0</v>
      </c>
      <c r="X121" s="37">
        <v>0</v>
      </c>
      <c r="Y121" s="37">
        <v>0</v>
      </c>
      <c r="Z121" s="37">
        <v>0</v>
      </c>
      <c r="AA121" s="37">
        <v>0</v>
      </c>
      <c r="AB121" s="37">
        <v>0</v>
      </c>
      <c r="AC121" s="37">
        <v>0</v>
      </c>
      <c r="AD121" s="37">
        <v>0</v>
      </c>
      <c r="AE121" s="37">
        <v>0</v>
      </c>
      <c r="AF121" s="37">
        <v>0</v>
      </c>
      <c r="AG121" s="37">
        <v>0</v>
      </c>
      <c r="AH121" s="37">
        <v>0</v>
      </c>
      <c r="AI121" s="37">
        <v>0</v>
      </c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40">
        <f ca="1">SUM(OFFSET(Upaya_Debitur[[#This Row],[Haircut Diperhitungkan]],0,0,1,$B$7+2))</f>
        <v>0</v>
      </c>
      <c r="BR121" s="35" t="str">
        <f ca="1">IF(Upaya_Debitur[[#This Row],[Total Pencairan]]&gt;=Upaya_Debitur[[#This Row],[Kewajiban Total]],"Lunas","Belum Lunas")</f>
        <v>Belum Lunas</v>
      </c>
      <c r="BS121" s="35" t="str">
        <f t="shared" si="5"/>
        <v>Ya</v>
      </c>
      <c r="BT121" s="35" t="str">
        <f t="shared" si="6"/>
        <v>Ya</v>
      </c>
      <c r="BU12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2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2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21" s="35" t="str">
        <f>IF(Upaya_Debitur[[#This Row],[Kondisi Debitur]]="Tidak ditemukan","Ya","Tidak")</f>
        <v>Ya</v>
      </c>
      <c r="BY12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2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2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21" s="18">
        <v>43781</v>
      </c>
      <c r="CC121" s="18">
        <v>43999</v>
      </c>
      <c r="CD121" s="18">
        <v>43826</v>
      </c>
      <c r="CE121" s="18">
        <v>43871</v>
      </c>
      <c r="CF121" s="18">
        <v>43887</v>
      </c>
      <c r="CG121" s="18">
        <v>43888</v>
      </c>
      <c r="CH121" s="18">
        <v>44057</v>
      </c>
      <c r="CI121" s="18">
        <v>44077</v>
      </c>
      <c r="CJ121" s="18"/>
      <c r="CK121" s="35">
        <f ca="1">COUNTIF(Upaya_Debitur[[#This Row],[Surat Pemberitahuan?]:[Gugatan Sederhana?]],"Ya")</f>
        <v>8</v>
      </c>
      <c r="CL121" s="35">
        <f ca="1">Upaya_Debitur[[#This Row],[Target Upaya]]-COUNTIFS(Upaya_Debitur[[#This Row],[Surat Pemberitahuan?]:[Gugatan Sederhana?]],"Ya",Upaya_Debitur[[#This Row],[Surat Pemberitahuan]:[Gugatan Sederhana]],"")</f>
        <v>8</v>
      </c>
      <c r="CM121" s="36">
        <f ca="1">IF(ISNUMBER(Upaya_Debitur[[#This Row],[Realisasi]]/Upaya_Debitur[[#This Row],[Target Upaya]]),Upaya_Debitur[[#This Row],[Realisasi]]/Upaya_Debitur[[#This Row],[Target Upaya]],1)</f>
        <v>1</v>
      </c>
    </row>
    <row r="122" spans="1:91" x14ac:dyDescent="0.3">
      <c r="A122" s="16">
        <v>104</v>
      </c>
      <c r="B122" s="17"/>
      <c r="C122" s="17" t="s">
        <v>384</v>
      </c>
      <c r="D122" s="16" t="s">
        <v>385</v>
      </c>
      <c r="E122" s="37">
        <v>7807408</v>
      </c>
      <c r="F122" s="37">
        <v>0</v>
      </c>
      <c r="G122" s="37">
        <v>0</v>
      </c>
      <c r="H122" s="40">
        <f>SUM(Upaya_Debitur[[#This Row],[Kewajiban Pokok]:[Kewajiban Denda]])</f>
        <v>7807408</v>
      </c>
      <c r="I122" s="37"/>
      <c r="J122" s="40">
        <f>IF(ISNUMBER(Upaya_Debitur[[#This Row],[Angsuran Sesuai PK]]),Upaya_Debitur[[#This Row],[Angsuran Sesuai PK]],1)</f>
        <v>1</v>
      </c>
      <c r="K122" s="76"/>
      <c r="L122" s="16" t="s">
        <v>83</v>
      </c>
      <c r="N122" s="18"/>
      <c r="O122" s="76"/>
      <c r="P122" s="37"/>
      <c r="Q122" s="41"/>
      <c r="R122" s="37"/>
      <c r="S122" s="40">
        <f>IF(Upaya_Debitur[[#This Row],[Periode Haircut]]="",0,IF(Upaya_Debitur[[#This Row],[Periode Haircut]]&lt;=$B$6,Upaya_Debitur[[#This Row],[Haircut]],0))</f>
        <v>0</v>
      </c>
      <c r="T122" s="40">
        <f>IF($B$10="",0,IF($B$10&lt;=$B$6,Upaya_Debitur[[#This Row],[Set Off]],0))</f>
        <v>0</v>
      </c>
      <c r="U122" s="37">
        <v>0</v>
      </c>
      <c r="V122" s="37">
        <v>0</v>
      </c>
      <c r="W122" s="37">
        <v>0</v>
      </c>
      <c r="X122" s="37">
        <v>0</v>
      </c>
      <c r="Y122" s="37">
        <v>0</v>
      </c>
      <c r="Z122" s="37">
        <v>0</v>
      </c>
      <c r="AA122" s="37">
        <v>0</v>
      </c>
      <c r="AB122" s="37">
        <v>0</v>
      </c>
      <c r="AC122" s="37">
        <v>0</v>
      </c>
      <c r="AD122" s="37">
        <v>0</v>
      </c>
      <c r="AE122" s="37">
        <v>0</v>
      </c>
      <c r="AF122" s="37">
        <v>0</v>
      </c>
      <c r="AG122" s="37">
        <v>0</v>
      </c>
      <c r="AH122" s="37">
        <v>0</v>
      </c>
      <c r="AI122" s="37">
        <v>0</v>
      </c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40">
        <f ca="1">SUM(OFFSET(Upaya_Debitur[[#This Row],[Haircut Diperhitungkan]],0,0,1,$B$7+2))</f>
        <v>0</v>
      </c>
      <c r="BR122" s="35" t="str">
        <f ca="1">IF(Upaya_Debitur[[#This Row],[Total Pencairan]]&gt;=Upaya_Debitur[[#This Row],[Kewajiban Total]],"Lunas","Belum Lunas")</f>
        <v>Belum Lunas</v>
      </c>
      <c r="BS122" s="35" t="str">
        <f t="shared" si="5"/>
        <v>Ya</v>
      </c>
      <c r="BT122" s="35" t="str">
        <f t="shared" si="6"/>
        <v>Ya</v>
      </c>
      <c r="BU12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2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2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22" s="35" t="str">
        <f>IF(Upaya_Debitur[[#This Row],[Kondisi Debitur]]="Tidak ditemukan","Ya","Tidak")</f>
        <v>Tidak</v>
      </c>
      <c r="BY12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2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2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22" s="18">
        <v>43781</v>
      </c>
      <c r="CC122" s="18">
        <v>43999</v>
      </c>
      <c r="CD122" s="18">
        <v>43826</v>
      </c>
      <c r="CE122" s="18">
        <v>43871</v>
      </c>
      <c r="CF122" s="18">
        <v>43887</v>
      </c>
      <c r="CG122" s="18">
        <v>43888</v>
      </c>
      <c r="CH122" s="18">
        <v>44057</v>
      </c>
      <c r="CI122" s="18">
        <v>44077</v>
      </c>
      <c r="CJ122" s="18"/>
      <c r="CK122" s="35">
        <f ca="1">COUNTIF(Upaya_Debitur[[#This Row],[Surat Pemberitahuan?]:[Gugatan Sederhana?]],"Ya")</f>
        <v>7</v>
      </c>
      <c r="CL122" s="35">
        <f ca="1">Upaya_Debitur[[#This Row],[Target Upaya]]-COUNTIFS(Upaya_Debitur[[#This Row],[Surat Pemberitahuan?]:[Gugatan Sederhana?]],"Ya",Upaya_Debitur[[#This Row],[Surat Pemberitahuan]:[Gugatan Sederhana]],"")</f>
        <v>7</v>
      </c>
      <c r="CM122" s="36">
        <f ca="1">IF(ISNUMBER(Upaya_Debitur[[#This Row],[Realisasi]]/Upaya_Debitur[[#This Row],[Target Upaya]]),Upaya_Debitur[[#This Row],[Realisasi]]/Upaya_Debitur[[#This Row],[Target Upaya]],1)</f>
        <v>1</v>
      </c>
    </row>
    <row r="123" spans="1:91" x14ac:dyDescent="0.3">
      <c r="A123" s="16">
        <v>105</v>
      </c>
      <c r="B123" s="17"/>
      <c r="C123" s="17" t="s">
        <v>386</v>
      </c>
      <c r="D123" s="16" t="s">
        <v>387</v>
      </c>
      <c r="E123" s="37">
        <v>1132780</v>
      </c>
      <c r="F123" s="37">
        <v>0</v>
      </c>
      <c r="G123" s="37">
        <v>0</v>
      </c>
      <c r="H123" s="40">
        <f>SUM(Upaya_Debitur[[#This Row],[Kewajiban Pokok]:[Kewajiban Denda]])</f>
        <v>1132780</v>
      </c>
      <c r="I123" s="37"/>
      <c r="J123" s="40">
        <f>IF(ISNUMBER(Upaya_Debitur[[#This Row],[Angsuran Sesuai PK]]),Upaya_Debitur[[#This Row],[Angsuran Sesuai PK]],1)</f>
        <v>1</v>
      </c>
      <c r="K123" s="76"/>
      <c r="L123" s="16" t="s">
        <v>37</v>
      </c>
      <c r="N123" s="18"/>
      <c r="O123" s="76"/>
      <c r="P123" s="37"/>
      <c r="Q123" s="41"/>
      <c r="R123" s="37"/>
      <c r="S123" s="40">
        <f>IF(Upaya_Debitur[[#This Row],[Periode Haircut]]="",0,IF(Upaya_Debitur[[#This Row],[Periode Haircut]]&lt;=$B$6,Upaya_Debitur[[#This Row],[Haircut]],0))</f>
        <v>0</v>
      </c>
      <c r="T123" s="40">
        <f>IF($B$10="",0,IF($B$10&lt;=$B$6,Upaya_Debitur[[#This Row],[Set Off]],0))</f>
        <v>0</v>
      </c>
      <c r="U123" s="37">
        <v>0</v>
      </c>
      <c r="V123" s="37">
        <v>0</v>
      </c>
      <c r="W123" s="37">
        <v>0</v>
      </c>
      <c r="X123" s="37">
        <v>0</v>
      </c>
      <c r="Y123" s="37">
        <v>0</v>
      </c>
      <c r="Z123" s="37">
        <v>0</v>
      </c>
      <c r="AA123" s="37">
        <v>0</v>
      </c>
      <c r="AB123" s="37">
        <v>0</v>
      </c>
      <c r="AC123" s="37">
        <v>0</v>
      </c>
      <c r="AD123" s="37">
        <v>0</v>
      </c>
      <c r="AE123" s="37">
        <v>0</v>
      </c>
      <c r="AF123" s="37">
        <v>0</v>
      </c>
      <c r="AG123" s="37">
        <v>0</v>
      </c>
      <c r="AH123" s="37">
        <v>0</v>
      </c>
      <c r="AI123" s="37">
        <v>0</v>
      </c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40">
        <f ca="1">SUM(OFFSET(Upaya_Debitur[[#This Row],[Haircut Diperhitungkan]],0,0,1,$B$7+2))</f>
        <v>0</v>
      </c>
      <c r="BR123" s="35" t="str">
        <f ca="1">IF(Upaya_Debitur[[#This Row],[Total Pencairan]]&gt;=Upaya_Debitur[[#This Row],[Kewajiban Total]],"Lunas","Belum Lunas")</f>
        <v>Belum Lunas</v>
      </c>
      <c r="BS123" s="35" t="str">
        <f t="shared" si="5"/>
        <v>Ya</v>
      </c>
      <c r="BT123" s="35" t="str">
        <f t="shared" si="6"/>
        <v>Ya</v>
      </c>
      <c r="BU12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2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2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23" s="35" t="str">
        <f>IF(Upaya_Debitur[[#This Row],[Kondisi Debitur]]="Tidak ditemukan","Ya","Tidak")</f>
        <v>Ya</v>
      </c>
      <c r="BY12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2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2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23" s="18">
        <v>43781</v>
      </c>
      <c r="CC123" s="18">
        <v>43999</v>
      </c>
      <c r="CD123" s="18">
        <v>43826</v>
      </c>
      <c r="CE123" s="18">
        <v>43871</v>
      </c>
      <c r="CF123" s="18">
        <v>43887</v>
      </c>
      <c r="CG123" s="18">
        <v>43888</v>
      </c>
      <c r="CH123" s="18">
        <v>44057</v>
      </c>
      <c r="CI123" s="18">
        <v>44077</v>
      </c>
      <c r="CJ123" s="18"/>
      <c r="CK123" s="35">
        <f ca="1">COUNTIF(Upaya_Debitur[[#This Row],[Surat Pemberitahuan?]:[Gugatan Sederhana?]],"Ya")</f>
        <v>8</v>
      </c>
      <c r="CL123" s="35">
        <f ca="1">Upaya_Debitur[[#This Row],[Target Upaya]]-COUNTIFS(Upaya_Debitur[[#This Row],[Surat Pemberitahuan?]:[Gugatan Sederhana?]],"Ya",Upaya_Debitur[[#This Row],[Surat Pemberitahuan]:[Gugatan Sederhana]],"")</f>
        <v>8</v>
      </c>
      <c r="CM123" s="36">
        <f ca="1">IF(ISNUMBER(Upaya_Debitur[[#This Row],[Realisasi]]/Upaya_Debitur[[#This Row],[Target Upaya]]),Upaya_Debitur[[#This Row],[Realisasi]]/Upaya_Debitur[[#This Row],[Target Upaya]],1)</f>
        <v>1</v>
      </c>
    </row>
    <row r="124" spans="1:91" x14ac:dyDescent="0.3">
      <c r="A124" s="16">
        <v>106</v>
      </c>
      <c r="B124" s="17"/>
      <c r="C124" s="17" t="s">
        <v>388</v>
      </c>
      <c r="D124" s="16" t="s">
        <v>389</v>
      </c>
      <c r="E124" s="37">
        <v>8000000</v>
      </c>
      <c r="F124" s="37">
        <v>0</v>
      </c>
      <c r="G124" s="37">
        <v>0</v>
      </c>
      <c r="H124" s="40">
        <f>SUM(Upaya_Debitur[[#This Row],[Kewajiban Pokok]:[Kewajiban Denda]])</f>
        <v>8000000</v>
      </c>
      <c r="I124" s="37"/>
      <c r="J124" s="40">
        <f>IF(ISNUMBER(Upaya_Debitur[[#This Row],[Angsuran Sesuai PK]]),Upaya_Debitur[[#This Row],[Angsuran Sesuai PK]],1)</f>
        <v>1</v>
      </c>
      <c r="K124" s="76"/>
      <c r="L124" s="16" t="s">
        <v>83</v>
      </c>
      <c r="N124" s="18"/>
      <c r="O124" s="76"/>
      <c r="P124" s="37"/>
      <c r="Q124" s="41"/>
      <c r="R124" s="37"/>
      <c r="S124" s="40">
        <f>IF(Upaya_Debitur[[#This Row],[Periode Haircut]]="",0,IF(Upaya_Debitur[[#This Row],[Periode Haircut]]&lt;=$B$6,Upaya_Debitur[[#This Row],[Haircut]],0))</f>
        <v>0</v>
      </c>
      <c r="T124" s="40">
        <f>IF($B$10="",0,IF($B$10&lt;=$B$6,Upaya_Debitur[[#This Row],[Set Off]],0))</f>
        <v>0</v>
      </c>
      <c r="U124" s="37">
        <v>0</v>
      </c>
      <c r="V124" s="37">
        <v>0</v>
      </c>
      <c r="W124" s="37">
        <v>0</v>
      </c>
      <c r="X124" s="37">
        <v>0</v>
      </c>
      <c r="Y124" s="37">
        <v>0</v>
      </c>
      <c r="Z124" s="37">
        <v>0</v>
      </c>
      <c r="AA124" s="37">
        <v>0</v>
      </c>
      <c r="AB124" s="37">
        <v>0</v>
      </c>
      <c r="AC124" s="37">
        <v>0</v>
      </c>
      <c r="AD124" s="37">
        <v>0</v>
      </c>
      <c r="AE124" s="37">
        <v>0</v>
      </c>
      <c r="AF124" s="37">
        <v>0</v>
      </c>
      <c r="AG124" s="37">
        <v>0</v>
      </c>
      <c r="AH124" s="37">
        <v>0</v>
      </c>
      <c r="AI124" s="37">
        <v>0</v>
      </c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40">
        <f ca="1">SUM(OFFSET(Upaya_Debitur[[#This Row],[Haircut Diperhitungkan]],0,0,1,$B$7+2))</f>
        <v>0</v>
      </c>
      <c r="BR124" s="35" t="str">
        <f ca="1">IF(Upaya_Debitur[[#This Row],[Total Pencairan]]&gt;=Upaya_Debitur[[#This Row],[Kewajiban Total]],"Lunas","Belum Lunas")</f>
        <v>Belum Lunas</v>
      </c>
      <c r="BS124" s="35" t="str">
        <f t="shared" si="5"/>
        <v>Ya</v>
      </c>
      <c r="BT124" s="35" t="str">
        <f t="shared" si="6"/>
        <v>Ya</v>
      </c>
      <c r="BU12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2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2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24" s="35" t="str">
        <f>IF(Upaya_Debitur[[#This Row],[Kondisi Debitur]]="Tidak ditemukan","Ya","Tidak")</f>
        <v>Tidak</v>
      </c>
      <c r="BY12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2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2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24" s="18">
        <v>43781</v>
      </c>
      <c r="CC124" s="18">
        <v>43999</v>
      </c>
      <c r="CD124" s="18">
        <v>43826</v>
      </c>
      <c r="CE124" s="18">
        <v>43871</v>
      </c>
      <c r="CF124" s="18">
        <v>43887</v>
      </c>
      <c r="CG124" s="18">
        <v>43888</v>
      </c>
      <c r="CH124" s="18">
        <v>44057</v>
      </c>
      <c r="CI124" s="18">
        <v>44077</v>
      </c>
      <c r="CJ124" s="18"/>
      <c r="CK124" s="35">
        <f ca="1">COUNTIF(Upaya_Debitur[[#This Row],[Surat Pemberitahuan?]:[Gugatan Sederhana?]],"Ya")</f>
        <v>7</v>
      </c>
      <c r="CL124" s="35">
        <f ca="1">Upaya_Debitur[[#This Row],[Target Upaya]]-COUNTIFS(Upaya_Debitur[[#This Row],[Surat Pemberitahuan?]:[Gugatan Sederhana?]],"Ya",Upaya_Debitur[[#This Row],[Surat Pemberitahuan]:[Gugatan Sederhana]],"")</f>
        <v>7</v>
      </c>
      <c r="CM124" s="36">
        <f ca="1">IF(ISNUMBER(Upaya_Debitur[[#This Row],[Realisasi]]/Upaya_Debitur[[#This Row],[Target Upaya]]),Upaya_Debitur[[#This Row],[Realisasi]]/Upaya_Debitur[[#This Row],[Target Upaya]],1)</f>
        <v>1</v>
      </c>
    </row>
    <row r="125" spans="1:91" x14ac:dyDescent="0.3">
      <c r="A125" s="16">
        <v>107</v>
      </c>
      <c r="B125" s="17"/>
      <c r="C125" s="17" t="s">
        <v>390</v>
      </c>
      <c r="D125" s="16" t="s">
        <v>391</v>
      </c>
      <c r="E125" s="37">
        <v>150000</v>
      </c>
      <c r="F125" s="37">
        <v>0</v>
      </c>
      <c r="G125" s="37">
        <v>0</v>
      </c>
      <c r="H125" s="40">
        <f>SUM(Upaya_Debitur[[#This Row],[Kewajiban Pokok]:[Kewajiban Denda]])</f>
        <v>150000</v>
      </c>
      <c r="I125" s="37"/>
      <c r="J125" s="40">
        <f>IF(ISNUMBER(Upaya_Debitur[[#This Row],[Angsuran Sesuai PK]]),Upaya_Debitur[[#This Row],[Angsuran Sesuai PK]],1)</f>
        <v>1</v>
      </c>
      <c r="K125" s="76"/>
      <c r="L125" s="16" t="s">
        <v>83</v>
      </c>
      <c r="N125" s="18"/>
      <c r="O125" s="76"/>
      <c r="P125" s="37"/>
      <c r="Q125" s="41"/>
      <c r="R125" s="37"/>
      <c r="S125" s="40">
        <f>IF(Upaya_Debitur[[#This Row],[Periode Haircut]]="",0,IF(Upaya_Debitur[[#This Row],[Periode Haircut]]&lt;=$B$6,Upaya_Debitur[[#This Row],[Haircut]],0))</f>
        <v>0</v>
      </c>
      <c r="T125" s="40">
        <f>IF($B$10="",0,IF($B$10&lt;=$B$6,Upaya_Debitur[[#This Row],[Set Off]],0))</f>
        <v>0</v>
      </c>
      <c r="U125" s="37">
        <v>0</v>
      </c>
      <c r="V125" s="37">
        <v>0</v>
      </c>
      <c r="W125" s="37">
        <v>0</v>
      </c>
      <c r="X125" s="37">
        <v>0</v>
      </c>
      <c r="Y125" s="37">
        <v>0</v>
      </c>
      <c r="Z125" s="37">
        <v>0</v>
      </c>
      <c r="AA125" s="37">
        <v>0</v>
      </c>
      <c r="AB125" s="37">
        <v>0</v>
      </c>
      <c r="AC125" s="37">
        <v>0</v>
      </c>
      <c r="AD125" s="37">
        <v>0</v>
      </c>
      <c r="AE125" s="37">
        <v>0</v>
      </c>
      <c r="AF125" s="37">
        <v>0</v>
      </c>
      <c r="AG125" s="37">
        <v>0</v>
      </c>
      <c r="AH125" s="37">
        <v>0</v>
      </c>
      <c r="AI125" s="37">
        <v>0</v>
      </c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40">
        <f ca="1">SUM(OFFSET(Upaya_Debitur[[#This Row],[Haircut Diperhitungkan]],0,0,1,$B$7+2))</f>
        <v>0</v>
      </c>
      <c r="BR125" s="35" t="str">
        <f ca="1">IF(Upaya_Debitur[[#This Row],[Total Pencairan]]&gt;=Upaya_Debitur[[#This Row],[Kewajiban Total]],"Lunas","Belum Lunas")</f>
        <v>Belum Lunas</v>
      </c>
      <c r="BS125" s="35" t="str">
        <f t="shared" si="5"/>
        <v>Ya</v>
      </c>
      <c r="BT125" s="35" t="str">
        <f t="shared" si="6"/>
        <v>Ya</v>
      </c>
      <c r="BU12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2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2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25" s="35" t="str">
        <f>IF(Upaya_Debitur[[#This Row],[Kondisi Debitur]]="Tidak ditemukan","Ya","Tidak")</f>
        <v>Tidak</v>
      </c>
      <c r="BY12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2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2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25" s="18">
        <v>43781</v>
      </c>
      <c r="CC125" s="18">
        <v>43999</v>
      </c>
      <c r="CD125" s="18">
        <v>43826</v>
      </c>
      <c r="CE125" s="18">
        <v>43871</v>
      </c>
      <c r="CF125" s="18">
        <v>43887</v>
      </c>
      <c r="CG125" s="18"/>
      <c r="CH125" s="18">
        <v>44057</v>
      </c>
      <c r="CI125" s="18">
        <v>44077</v>
      </c>
      <c r="CJ125" s="18"/>
      <c r="CK125" s="35">
        <f ca="1">COUNTIF(Upaya_Debitur[[#This Row],[Surat Pemberitahuan?]:[Gugatan Sederhana?]],"Ya")</f>
        <v>7</v>
      </c>
      <c r="CL125" s="35">
        <f ca="1">Upaya_Debitur[[#This Row],[Target Upaya]]-COUNTIFS(Upaya_Debitur[[#This Row],[Surat Pemberitahuan?]:[Gugatan Sederhana?]],"Ya",Upaya_Debitur[[#This Row],[Surat Pemberitahuan]:[Gugatan Sederhana]],"")</f>
        <v>7</v>
      </c>
      <c r="CM125" s="36">
        <f ca="1">IF(ISNUMBER(Upaya_Debitur[[#This Row],[Realisasi]]/Upaya_Debitur[[#This Row],[Target Upaya]]),Upaya_Debitur[[#This Row],[Realisasi]]/Upaya_Debitur[[#This Row],[Target Upaya]],1)</f>
        <v>1</v>
      </c>
    </row>
    <row r="126" spans="1:91" x14ac:dyDescent="0.3">
      <c r="A126" s="16">
        <v>108</v>
      </c>
      <c r="B126" s="17"/>
      <c r="C126" s="17" t="s">
        <v>392</v>
      </c>
      <c r="D126" s="16" t="s">
        <v>393</v>
      </c>
      <c r="E126" s="37">
        <v>500000</v>
      </c>
      <c r="F126" s="37">
        <v>0</v>
      </c>
      <c r="G126" s="37">
        <v>0</v>
      </c>
      <c r="H126" s="40">
        <f>SUM(Upaya_Debitur[[#This Row],[Kewajiban Pokok]:[Kewajiban Denda]])</f>
        <v>500000</v>
      </c>
      <c r="I126" s="37"/>
      <c r="J126" s="40">
        <f>IF(ISNUMBER(Upaya_Debitur[[#This Row],[Angsuran Sesuai PK]]),Upaya_Debitur[[#This Row],[Angsuran Sesuai PK]],1)</f>
        <v>1</v>
      </c>
      <c r="K126" s="76"/>
      <c r="L126" s="16" t="s">
        <v>37</v>
      </c>
      <c r="N126" s="18"/>
      <c r="O126" s="76"/>
      <c r="P126" s="37"/>
      <c r="Q126" s="41"/>
      <c r="R126" s="37"/>
      <c r="S126" s="40">
        <f>IF(Upaya_Debitur[[#This Row],[Periode Haircut]]="",0,IF(Upaya_Debitur[[#This Row],[Periode Haircut]]&lt;=$B$6,Upaya_Debitur[[#This Row],[Haircut]],0))</f>
        <v>0</v>
      </c>
      <c r="T126" s="40">
        <f>IF($B$10="",0,IF($B$10&lt;=$B$6,Upaya_Debitur[[#This Row],[Set Off]],0))</f>
        <v>0</v>
      </c>
      <c r="U126" s="37">
        <v>0</v>
      </c>
      <c r="V126" s="37">
        <v>0</v>
      </c>
      <c r="W126" s="37">
        <v>0</v>
      </c>
      <c r="X126" s="37">
        <v>0</v>
      </c>
      <c r="Y126" s="37">
        <v>0</v>
      </c>
      <c r="Z126" s="37">
        <v>0</v>
      </c>
      <c r="AA126" s="37">
        <v>0</v>
      </c>
      <c r="AB126" s="37">
        <v>0</v>
      </c>
      <c r="AC126" s="37">
        <v>0</v>
      </c>
      <c r="AD126" s="37">
        <v>0</v>
      </c>
      <c r="AE126" s="37">
        <v>0</v>
      </c>
      <c r="AF126" s="37">
        <v>0</v>
      </c>
      <c r="AG126" s="37">
        <v>0</v>
      </c>
      <c r="AH126" s="37">
        <v>0</v>
      </c>
      <c r="AI126" s="37">
        <v>0</v>
      </c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40">
        <f ca="1">SUM(OFFSET(Upaya_Debitur[[#This Row],[Haircut Diperhitungkan]],0,0,1,$B$7+2))</f>
        <v>0</v>
      </c>
      <c r="BR126" s="35" t="str">
        <f ca="1">IF(Upaya_Debitur[[#This Row],[Total Pencairan]]&gt;=Upaya_Debitur[[#This Row],[Kewajiban Total]],"Lunas","Belum Lunas")</f>
        <v>Belum Lunas</v>
      </c>
      <c r="BS126" s="35" t="str">
        <f t="shared" si="5"/>
        <v>Ya</v>
      </c>
      <c r="BT126" s="35" t="str">
        <f t="shared" si="6"/>
        <v>Ya</v>
      </c>
      <c r="BU12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2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2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26" s="35" t="str">
        <f>IF(Upaya_Debitur[[#This Row],[Kondisi Debitur]]="Tidak ditemukan","Ya","Tidak")</f>
        <v>Ya</v>
      </c>
      <c r="BY12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2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2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26" s="18">
        <v>43781</v>
      </c>
      <c r="CC126" s="18">
        <v>43999</v>
      </c>
      <c r="CD126" s="18">
        <v>43826</v>
      </c>
      <c r="CE126" s="18">
        <v>43871</v>
      </c>
      <c r="CF126" s="18">
        <v>43887</v>
      </c>
      <c r="CG126" s="18">
        <v>43888</v>
      </c>
      <c r="CH126" s="18">
        <v>44057</v>
      </c>
      <c r="CI126" s="18">
        <v>44077</v>
      </c>
      <c r="CJ126" s="18"/>
      <c r="CK126" s="35">
        <f ca="1">COUNTIF(Upaya_Debitur[[#This Row],[Surat Pemberitahuan?]:[Gugatan Sederhana?]],"Ya")</f>
        <v>8</v>
      </c>
      <c r="CL126" s="35">
        <f ca="1">Upaya_Debitur[[#This Row],[Target Upaya]]-COUNTIFS(Upaya_Debitur[[#This Row],[Surat Pemberitahuan?]:[Gugatan Sederhana?]],"Ya",Upaya_Debitur[[#This Row],[Surat Pemberitahuan]:[Gugatan Sederhana]],"")</f>
        <v>8</v>
      </c>
      <c r="CM126" s="36">
        <f ca="1">IF(ISNUMBER(Upaya_Debitur[[#This Row],[Realisasi]]/Upaya_Debitur[[#This Row],[Target Upaya]]),Upaya_Debitur[[#This Row],[Realisasi]]/Upaya_Debitur[[#This Row],[Target Upaya]],1)</f>
        <v>1</v>
      </c>
    </row>
    <row r="127" spans="1:91" x14ac:dyDescent="0.3">
      <c r="A127" s="16">
        <v>109</v>
      </c>
      <c r="B127" s="17"/>
      <c r="C127" s="17" t="s">
        <v>394</v>
      </c>
      <c r="D127" s="16" t="s">
        <v>395</v>
      </c>
      <c r="E127" s="37">
        <v>935000</v>
      </c>
      <c r="F127" s="37">
        <v>0</v>
      </c>
      <c r="G127" s="37">
        <v>0</v>
      </c>
      <c r="H127" s="40">
        <f>SUM(Upaya_Debitur[[#This Row],[Kewajiban Pokok]:[Kewajiban Denda]])</f>
        <v>935000</v>
      </c>
      <c r="I127" s="37"/>
      <c r="J127" s="40">
        <f>IF(ISNUMBER(Upaya_Debitur[[#This Row],[Angsuran Sesuai PK]]),Upaya_Debitur[[#This Row],[Angsuran Sesuai PK]],1)</f>
        <v>1</v>
      </c>
      <c r="K127" s="76"/>
      <c r="L127" s="16" t="s">
        <v>37</v>
      </c>
      <c r="N127" s="18"/>
      <c r="O127" s="76"/>
      <c r="P127" s="37"/>
      <c r="Q127" s="41"/>
      <c r="R127" s="37"/>
      <c r="S127" s="40">
        <f>IF(Upaya_Debitur[[#This Row],[Periode Haircut]]="",0,IF(Upaya_Debitur[[#This Row],[Periode Haircut]]&lt;=$B$6,Upaya_Debitur[[#This Row],[Haircut]],0))</f>
        <v>0</v>
      </c>
      <c r="T127" s="40">
        <f>IF($B$10="",0,IF($B$10&lt;=$B$6,Upaya_Debitur[[#This Row],[Set Off]],0))</f>
        <v>0</v>
      </c>
      <c r="U127" s="37">
        <v>0</v>
      </c>
      <c r="V127" s="37">
        <v>0</v>
      </c>
      <c r="W127" s="37">
        <v>0</v>
      </c>
      <c r="X127" s="37">
        <v>0</v>
      </c>
      <c r="Y127" s="37">
        <v>0</v>
      </c>
      <c r="Z127" s="37">
        <v>0</v>
      </c>
      <c r="AA127" s="37">
        <v>0</v>
      </c>
      <c r="AB127" s="37">
        <v>0</v>
      </c>
      <c r="AC127" s="37">
        <v>0</v>
      </c>
      <c r="AD127" s="37">
        <v>0</v>
      </c>
      <c r="AE127" s="37">
        <v>0</v>
      </c>
      <c r="AF127" s="37">
        <v>0</v>
      </c>
      <c r="AG127" s="37">
        <v>0</v>
      </c>
      <c r="AH127" s="37">
        <v>0</v>
      </c>
      <c r="AI127" s="37">
        <v>0</v>
      </c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40">
        <f ca="1">SUM(OFFSET(Upaya_Debitur[[#This Row],[Haircut Diperhitungkan]],0,0,1,$B$7+2))</f>
        <v>0</v>
      </c>
      <c r="BR127" s="35" t="str">
        <f ca="1">IF(Upaya_Debitur[[#This Row],[Total Pencairan]]&gt;=Upaya_Debitur[[#This Row],[Kewajiban Total]],"Lunas","Belum Lunas")</f>
        <v>Belum Lunas</v>
      </c>
      <c r="BS127" s="35" t="str">
        <f t="shared" si="5"/>
        <v>Ya</v>
      </c>
      <c r="BT127" s="35" t="str">
        <f t="shared" si="6"/>
        <v>Ya</v>
      </c>
      <c r="BU12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2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2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27" s="35" t="str">
        <f>IF(Upaya_Debitur[[#This Row],[Kondisi Debitur]]="Tidak ditemukan","Ya","Tidak")</f>
        <v>Ya</v>
      </c>
      <c r="BY12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2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2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27" s="18">
        <v>43781</v>
      </c>
      <c r="CC127" s="18">
        <v>43999</v>
      </c>
      <c r="CD127" s="18">
        <v>43826</v>
      </c>
      <c r="CE127" s="18">
        <v>43871</v>
      </c>
      <c r="CF127" s="18">
        <v>43887</v>
      </c>
      <c r="CG127" s="18">
        <v>44035</v>
      </c>
      <c r="CH127" s="18">
        <v>44057</v>
      </c>
      <c r="CI127" s="18">
        <v>44077</v>
      </c>
      <c r="CJ127" s="18"/>
      <c r="CK127" s="35">
        <f ca="1">COUNTIF(Upaya_Debitur[[#This Row],[Surat Pemberitahuan?]:[Gugatan Sederhana?]],"Ya")</f>
        <v>8</v>
      </c>
      <c r="CL127" s="35">
        <f ca="1">Upaya_Debitur[[#This Row],[Target Upaya]]-COUNTIFS(Upaya_Debitur[[#This Row],[Surat Pemberitahuan?]:[Gugatan Sederhana?]],"Ya",Upaya_Debitur[[#This Row],[Surat Pemberitahuan]:[Gugatan Sederhana]],"")</f>
        <v>8</v>
      </c>
      <c r="CM127" s="36">
        <f ca="1">IF(ISNUMBER(Upaya_Debitur[[#This Row],[Realisasi]]/Upaya_Debitur[[#This Row],[Target Upaya]]),Upaya_Debitur[[#This Row],[Realisasi]]/Upaya_Debitur[[#This Row],[Target Upaya]],1)</f>
        <v>1</v>
      </c>
    </row>
    <row r="128" spans="1:91" x14ac:dyDescent="0.3">
      <c r="A128" s="16">
        <v>110</v>
      </c>
      <c r="B128" s="17"/>
      <c r="C128" s="17" t="s">
        <v>396</v>
      </c>
      <c r="D128" s="16" t="s">
        <v>397</v>
      </c>
      <c r="E128" s="37">
        <v>438000</v>
      </c>
      <c r="F128" s="37">
        <v>0</v>
      </c>
      <c r="G128" s="37">
        <v>0</v>
      </c>
      <c r="H128" s="40">
        <f>SUM(Upaya_Debitur[[#This Row],[Kewajiban Pokok]:[Kewajiban Denda]])</f>
        <v>438000</v>
      </c>
      <c r="I128" s="37"/>
      <c r="J128" s="40">
        <f>IF(ISNUMBER(Upaya_Debitur[[#This Row],[Angsuran Sesuai PK]]),Upaya_Debitur[[#This Row],[Angsuran Sesuai PK]],1)</f>
        <v>1</v>
      </c>
      <c r="K128" s="76"/>
      <c r="L128" s="16" t="s">
        <v>37</v>
      </c>
      <c r="N128" s="18"/>
      <c r="O128" s="76"/>
      <c r="P128" s="37"/>
      <c r="Q128" s="41"/>
      <c r="R128" s="37"/>
      <c r="S128" s="40">
        <f>IF(Upaya_Debitur[[#This Row],[Periode Haircut]]="",0,IF(Upaya_Debitur[[#This Row],[Periode Haircut]]&lt;=$B$6,Upaya_Debitur[[#This Row],[Haircut]],0))</f>
        <v>0</v>
      </c>
      <c r="T128" s="40">
        <f>IF($B$10="",0,IF($B$10&lt;=$B$6,Upaya_Debitur[[#This Row],[Set Off]],0))</f>
        <v>0</v>
      </c>
      <c r="U128" s="37">
        <v>0</v>
      </c>
      <c r="V128" s="37">
        <v>0</v>
      </c>
      <c r="W128" s="37">
        <v>0</v>
      </c>
      <c r="X128" s="37">
        <v>0</v>
      </c>
      <c r="Y128" s="37">
        <v>0</v>
      </c>
      <c r="Z128" s="37">
        <v>0</v>
      </c>
      <c r="AA128" s="37">
        <v>0</v>
      </c>
      <c r="AB128" s="37">
        <v>0</v>
      </c>
      <c r="AC128" s="37">
        <v>0</v>
      </c>
      <c r="AD128" s="37">
        <v>0</v>
      </c>
      <c r="AE128" s="37">
        <v>0</v>
      </c>
      <c r="AF128" s="37">
        <v>0</v>
      </c>
      <c r="AG128" s="37">
        <v>0</v>
      </c>
      <c r="AH128" s="37">
        <v>0</v>
      </c>
      <c r="AI128" s="37">
        <v>0</v>
      </c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40">
        <f ca="1">SUM(OFFSET(Upaya_Debitur[[#This Row],[Haircut Diperhitungkan]],0,0,1,$B$7+2))</f>
        <v>0</v>
      </c>
      <c r="BR128" s="35" t="str">
        <f ca="1">IF(Upaya_Debitur[[#This Row],[Total Pencairan]]&gt;=Upaya_Debitur[[#This Row],[Kewajiban Total]],"Lunas","Belum Lunas")</f>
        <v>Belum Lunas</v>
      </c>
      <c r="BS128" s="35" t="str">
        <f t="shared" si="5"/>
        <v>Ya</v>
      </c>
      <c r="BT128" s="35" t="str">
        <f t="shared" si="6"/>
        <v>Ya</v>
      </c>
      <c r="BU12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2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2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28" s="35" t="str">
        <f>IF(Upaya_Debitur[[#This Row],[Kondisi Debitur]]="Tidak ditemukan","Ya","Tidak")</f>
        <v>Ya</v>
      </c>
      <c r="BY12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2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2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28" s="18">
        <v>43781</v>
      </c>
      <c r="CC128" s="18">
        <v>43999</v>
      </c>
      <c r="CD128" s="18">
        <v>43826</v>
      </c>
      <c r="CE128" s="18">
        <v>43871</v>
      </c>
      <c r="CF128" s="18">
        <v>43887</v>
      </c>
      <c r="CG128" s="18">
        <v>44035</v>
      </c>
      <c r="CH128" s="18">
        <v>44057</v>
      </c>
      <c r="CI128" s="18">
        <v>44077</v>
      </c>
      <c r="CJ128" s="18"/>
      <c r="CK128" s="35">
        <f ca="1">COUNTIF(Upaya_Debitur[[#This Row],[Surat Pemberitahuan?]:[Gugatan Sederhana?]],"Ya")</f>
        <v>8</v>
      </c>
      <c r="CL128" s="35">
        <f ca="1">Upaya_Debitur[[#This Row],[Target Upaya]]-COUNTIFS(Upaya_Debitur[[#This Row],[Surat Pemberitahuan?]:[Gugatan Sederhana?]],"Ya",Upaya_Debitur[[#This Row],[Surat Pemberitahuan]:[Gugatan Sederhana]],"")</f>
        <v>8</v>
      </c>
      <c r="CM128" s="36">
        <f ca="1">IF(ISNUMBER(Upaya_Debitur[[#This Row],[Realisasi]]/Upaya_Debitur[[#This Row],[Target Upaya]]),Upaya_Debitur[[#This Row],[Realisasi]]/Upaya_Debitur[[#This Row],[Target Upaya]],1)</f>
        <v>1</v>
      </c>
    </row>
    <row r="129" spans="1:91" x14ac:dyDescent="0.3">
      <c r="A129" s="16">
        <v>111</v>
      </c>
      <c r="B129" s="17"/>
      <c r="C129" s="17" t="s">
        <v>398</v>
      </c>
      <c r="D129" s="16" t="s">
        <v>399</v>
      </c>
      <c r="E129" s="37">
        <v>1091671</v>
      </c>
      <c r="F129" s="37">
        <v>0</v>
      </c>
      <c r="G129" s="37">
        <v>0</v>
      </c>
      <c r="H129" s="40">
        <f>SUM(Upaya_Debitur[[#This Row],[Kewajiban Pokok]:[Kewajiban Denda]])</f>
        <v>1091671</v>
      </c>
      <c r="I129" s="37"/>
      <c r="J129" s="40">
        <f>IF(ISNUMBER(Upaya_Debitur[[#This Row],[Angsuran Sesuai PK]]),Upaya_Debitur[[#This Row],[Angsuran Sesuai PK]],1)</f>
        <v>1</v>
      </c>
      <c r="K129" s="76"/>
      <c r="L129" s="16" t="s">
        <v>83</v>
      </c>
      <c r="N129" s="18"/>
      <c r="O129" s="76"/>
      <c r="P129" s="37"/>
      <c r="Q129" s="41"/>
      <c r="R129" s="37"/>
      <c r="S129" s="40">
        <f>IF(Upaya_Debitur[[#This Row],[Periode Haircut]]="",0,IF(Upaya_Debitur[[#This Row],[Periode Haircut]]&lt;=$B$6,Upaya_Debitur[[#This Row],[Haircut]],0))</f>
        <v>0</v>
      </c>
      <c r="T129" s="40">
        <f>IF($B$10="",0,IF($B$10&lt;=$B$6,Upaya_Debitur[[#This Row],[Set Off]],0))</f>
        <v>0</v>
      </c>
      <c r="U129" s="37">
        <v>0</v>
      </c>
      <c r="V129" s="37">
        <v>0</v>
      </c>
      <c r="W129" s="37">
        <v>0</v>
      </c>
      <c r="X129" s="37">
        <v>0</v>
      </c>
      <c r="Y129" s="37">
        <v>0</v>
      </c>
      <c r="Z129" s="37">
        <v>1095000</v>
      </c>
      <c r="AA129" s="37">
        <v>0</v>
      </c>
      <c r="AB129" s="37">
        <v>0</v>
      </c>
      <c r="AC129" s="37">
        <v>0</v>
      </c>
      <c r="AD129" s="37">
        <v>0</v>
      </c>
      <c r="AE129" s="37">
        <v>0</v>
      </c>
      <c r="AF129" s="37">
        <v>0</v>
      </c>
      <c r="AG129" s="37">
        <v>0</v>
      </c>
      <c r="AH129" s="37">
        <v>0</v>
      </c>
      <c r="AI129" s="37">
        <v>0</v>
      </c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40">
        <f ca="1">SUM(OFFSET(Upaya_Debitur[[#This Row],[Haircut Diperhitungkan]],0,0,1,$B$7+2))</f>
        <v>1095000</v>
      </c>
      <c r="BR129" s="35" t="str">
        <f ca="1">IF(Upaya_Debitur[[#This Row],[Total Pencairan]]&gt;=Upaya_Debitur[[#This Row],[Kewajiban Total]],"Lunas","Belum Lunas")</f>
        <v>Lunas</v>
      </c>
      <c r="BS129" s="35" t="str">
        <f t="shared" si="5"/>
        <v>Ya</v>
      </c>
      <c r="BT129" s="35" t="str">
        <f t="shared" si="6"/>
        <v>Ya</v>
      </c>
      <c r="BU12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12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12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129" s="35" t="str">
        <f>IF(Upaya_Debitur[[#This Row],[Kondisi Debitur]]="Tidak ditemukan","Ya","Tidak")</f>
        <v>Tidak</v>
      </c>
      <c r="BY12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12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12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29" s="18">
        <v>43781</v>
      </c>
      <c r="CC129" s="18">
        <v>43999</v>
      </c>
      <c r="CD129" s="18">
        <v>43826</v>
      </c>
      <c r="CE129" s="18">
        <v>43871</v>
      </c>
      <c r="CF129" s="18">
        <v>43887</v>
      </c>
      <c r="CG129" s="18"/>
      <c r="CH129" s="18">
        <v>44057</v>
      </c>
      <c r="CI129" s="18">
        <v>44077</v>
      </c>
      <c r="CJ129" s="18"/>
      <c r="CK129" s="35">
        <f ca="1">COUNTIF(Upaya_Debitur[[#This Row],[Surat Pemberitahuan?]:[Gugatan Sederhana?]],"Ya")</f>
        <v>2</v>
      </c>
      <c r="CL129" s="35">
        <f ca="1">Upaya_Debitur[[#This Row],[Target Upaya]]-COUNTIFS(Upaya_Debitur[[#This Row],[Surat Pemberitahuan?]:[Gugatan Sederhana?]],"Ya",Upaya_Debitur[[#This Row],[Surat Pemberitahuan]:[Gugatan Sederhana]],"")</f>
        <v>2</v>
      </c>
      <c r="CM129" s="36">
        <f ca="1">IF(ISNUMBER(Upaya_Debitur[[#This Row],[Realisasi]]/Upaya_Debitur[[#This Row],[Target Upaya]]),Upaya_Debitur[[#This Row],[Realisasi]]/Upaya_Debitur[[#This Row],[Target Upaya]],1)</f>
        <v>1</v>
      </c>
    </row>
    <row r="130" spans="1:91" x14ac:dyDescent="0.3">
      <c r="A130" s="16">
        <v>112</v>
      </c>
      <c r="B130" s="17"/>
      <c r="C130" s="17" t="s">
        <v>400</v>
      </c>
      <c r="D130" s="16" t="s">
        <v>401</v>
      </c>
      <c r="E130" s="37">
        <v>197152</v>
      </c>
      <c r="F130" s="37">
        <v>0</v>
      </c>
      <c r="G130" s="37">
        <v>0</v>
      </c>
      <c r="H130" s="40">
        <f>SUM(Upaya_Debitur[[#This Row],[Kewajiban Pokok]:[Kewajiban Denda]])</f>
        <v>197152</v>
      </c>
      <c r="I130" s="37"/>
      <c r="J130" s="40">
        <f>IF(ISNUMBER(Upaya_Debitur[[#This Row],[Angsuran Sesuai PK]]),Upaya_Debitur[[#This Row],[Angsuran Sesuai PK]],1)</f>
        <v>1</v>
      </c>
      <c r="K130" s="76"/>
      <c r="L130" s="16" t="s">
        <v>37</v>
      </c>
      <c r="N130" s="18"/>
      <c r="O130" s="76"/>
      <c r="P130" s="37"/>
      <c r="Q130" s="41"/>
      <c r="R130" s="37"/>
      <c r="S130" s="40">
        <f>IF(Upaya_Debitur[[#This Row],[Periode Haircut]]="",0,IF(Upaya_Debitur[[#This Row],[Periode Haircut]]&lt;=$B$6,Upaya_Debitur[[#This Row],[Haircut]],0))</f>
        <v>0</v>
      </c>
      <c r="T130" s="40">
        <f>IF($B$10="",0,IF($B$10&lt;=$B$6,Upaya_Debitur[[#This Row],[Set Off]],0))</f>
        <v>0</v>
      </c>
      <c r="U130" s="37">
        <v>0</v>
      </c>
      <c r="V130" s="37">
        <v>0</v>
      </c>
      <c r="W130" s="37">
        <v>0</v>
      </c>
      <c r="X130" s="37">
        <v>0</v>
      </c>
      <c r="Y130" s="37">
        <v>0</v>
      </c>
      <c r="Z130" s="37">
        <v>0</v>
      </c>
      <c r="AA130" s="37">
        <v>0</v>
      </c>
      <c r="AB130" s="37">
        <v>0</v>
      </c>
      <c r="AC130" s="37">
        <v>0</v>
      </c>
      <c r="AD130" s="37">
        <v>0</v>
      </c>
      <c r="AE130" s="37">
        <v>0</v>
      </c>
      <c r="AF130" s="37">
        <v>0</v>
      </c>
      <c r="AG130" s="37">
        <v>0</v>
      </c>
      <c r="AH130" s="37">
        <v>0</v>
      </c>
      <c r="AI130" s="37">
        <v>0</v>
      </c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40">
        <f ca="1">SUM(OFFSET(Upaya_Debitur[[#This Row],[Haircut Diperhitungkan]],0,0,1,$B$7+2))</f>
        <v>0</v>
      </c>
      <c r="BR130" s="35" t="str">
        <f ca="1">IF(Upaya_Debitur[[#This Row],[Total Pencairan]]&gt;=Upaya_Debitur[[#This Row],[Kewajiban Total]],"Lunas","Belum Lunas")</f>
        <v>Belum Lunas</v>
      </c>
      <c r="BS130" s="35" t="str">
        <f t="shared" si="5"/>
        <v>Ya</v>
      </c>
      <c r="BT130" s="35" t="str">
        <f t="shared" si="6"/>
        <v>Ya</v>
      </c>
      <c r="BU13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3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3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30" s="35" t="str">
        <f>IF(Upaya_Debitur[[#This Row],[Kondisi Debitur]]="Tidak ditemukan","Ya","Tidak")</f>
        <v>Ya</v>
      </c>
      <c r="BY13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3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3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30" s="18">
        <v>43781</v>
      </c>
      <c r="CC130" s="18">
        <v>43999</v>
      </c>
      <c r="CD130" s="18">
        <v>43826</v>
      </c>
      <c r="CE130" s="18">
        <v>43871</v>
      </c>
      <c r="CF130" s="18">
        <v>43887</v>
      </c>
      <c r="CG130" s="18">
        <v>44035</v>
      </c>
      <c r="CH130" s="18">
        <v>44057</v>
      </c>
      <c r="CI130" s="18">
        <v>44077</v>
      </c>
      <c r="CJ130" s="18"/>
      <c r="CK130" s="35">
        <f ca="1">COUNTIF(Upaya_Debitur[[#This Row],[Surat Pemberitahuan?]:[Gugatan Sederhana?]],"Ya")</f>
        <v>8</v>
      </c>
      <c r="CL130" s="35">
        <f ca="1">Upaya_Debitur[[#This Row],[Target Upaya]]-COUNTIFS(Upaya_Debitur[[#This Row],[Surat Pemberitahuan?]:[Gugatan Sederhana?]],"Ya",Upaya_Debitur[[#This Row],[Surat Pemberitahuan]:[Gugatan Sederhana]],"")</f>
        <v>8</v>
      </c>
      <c r="CM130" s="36">
        <f ca="1">IF(ISNUMBER(Upaya_Debitur[[#This Row],[Realisasi]]/Upaya_Debitur[[#This Row],[Target Upaya]]),Upaya_Debitur[[#This Row],[Realisasi]]/Upaya_Debitur[[#This Row],[Target Upaya]],1)</f>
        <v>1</v>
      </c>
    </row>
    <row r="131" spans="1:91" x14ac:dyDescent="0.3">
      <c r="A131" s="16">
        <v>113</v>
      </c>
      <c r="B131" s="17"/>
      <c r="C131" s="17" t="s">
        <v>402</v>
      </c>
      <c r="D131" s="16" t="s">
        <v>403</v>
      </c>
      <c r="E131" s="37">
        <v>2550919</v>
      </c>
      <c r="F131" s="37">
        <v>0</v>
      </c>
      <c r="G131" s="37">
        <v>0</v>
      </c>
      <c r="H131" s="40">
        <f>SUM(Upaya_Debitur[[#This Row],[Kewajiban Pokok]:[Kewajiban Denda]])</f>
        <v>2550919</v>
      </c>
      <c r="I131" s="37"/>
      <c r="J131" s="40">
        <f>IF(ISNUMBER(Upaya_Debitur[[#This Row],[Angsuran Sesuai PK]]),Upaya_Debitur[[#This Row],[Angsuran Sesuai PK]],1)</f>
        <v>1</v>
      </c>
      <c r="K131" s="76"/>
      <c r="L131" s="16" t="s">
        <v>83</v>
      </c>
      <c r="N131" s="18"/>
      <c r="O131" s="76"/>
      <c r="P131" s="37"/>
      <c r="Q131" s="41"/>
      <c r="R131" s="37"/>
      <c r="S131" s="40">
        <f>IF(Upaya_Debitur[[#This Row],[Periode Haircut]]="",0,IF(Upaya_Debitur[[#This Row],[Periode Haircut]]&lt;=$B$6,Upaya_Debitur[[#This Row],[Haircut]],0))</f>
        <v>0</v>
      </c>
      <c r="T131" s="40">
        <f>IF($B$10="",0,IF($B$10&lt;=$B$6,Upaya_Debitur[[#This Row],[Set Off]],0))</f>
        <v>0</v>
      </c>
      <c r="U131" s="37">
        <v>0</v>
      </c>
      <c r="V131" s="37">
        <v>0</v>
      </c>
      <c r="W131" s="37">
        <v>0</v>
      </c>
      <c r="X131" s="37">
        <v>0</v>
      </c>
      <c r="Y131" s="37">
        <v>0</v>
      </c>
      <c r="Z131" s="37">
        <v>0</v>
      </c>
      <c r="AA131" s="37">
        <v>0</v>
      </c>
      <c r="AB131" s="37">
        <v>0</v>
      </c>
      <c r="AC131" s="37">
        <v>0</v>
      </c>
      <c r="AD131" s="37">
        <v>0</v>
      </c>
      <c r="AE131" s="37">
        <v>0</v>
      </c>
      <c r="AF131" s="37">
        <v>0</v>
      </c>
      <c r="AG131" s="37">
        <v>0</v>
      </c>
      <c r="AH131" s="37">
        <v>0</v>
      </c>
      <c r="AI131" s="37">
        <v>0</v>
      </c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40">
        <f ca="1">SUM(OFFSET(Upaya_Debitur[[#This Row],[Haircut Diperhitungkan]],0,0,1,$B$7+2))</f>
        <v>0</v>
      </c>
      <c r="BR131" s="35" t="str">
        <f ca="1">IF(Upaya_Debitur[[#This Row],[Total Pencairan]]&gt;=Upaya_Debitur[[#This Row],[Kewajiban Total]],"Lunas","Belum Lunas")</f>
        <v>Belum Lunas</v>
      </c>
      <c r="BS131" s="35" t="str">
        <f t="shared" si="5"/>
        <v>Ya</v>
      </c>
      <c r="BT131" s="35" t="str">
        <f t="shared" si="6"/>
        <v>Ya</v>
      </c>
      <c r="BU13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3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3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31" s="35" t="str">
        <f>IF(Upaya_Debitur[[#This Row],[Kondisi Debitur]]="Tidak ditemukan","Ya","Tidak")</f>
        <v>Tidak</v>
      </c>
      <c r="BY13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3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3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31" s="18">
        <v>43781</v>
      </c>
      <c r="CC131" s="18">
        <v>43999</v>
      </c>
      <c r="CD131" s="18">
        <v>43826</v>
      </c>
      <c r="CE131" s="18">
        <v>43871</v>
      </c>
      <c r="CF131" s="18">
        <v>43887</v>
      </c>
      <c r="CG131" s="18"/>
      <c r="CH131" s="18">
        <v>44057</v>
      </c>
      <c r="CI131" s="18">
        <v>44077</v>
      </c>
      <c r="CJ131" s="18"/>
      <c r="CK131" s="35">
        <f ca="1">COUNTIF(Upaya_Debitur[[#This Row],[Surat Pemberitahuan?]:[Gugatan Sederhana?]],"Ya")</f>
        <v>7</v>
      </c>
      <c r="CL131" s="35">
        <f ca="1">Upaya_Debitur[[#This Row],[Target Upaya]]-COUNTIFS(Upaya_Debitur[[#This Row],[Surat Pemberitahuan?]:[Gugatan Sederhana?]],"Ya",Upaya_Debitur[[#This Row],[Surat Pemberitahuan]:[Gugatan Sederhana]],"")</f>
        <v>7</v>
      </c>
      <c r="CM131" s="36">
        <f ca="1">IF(ISNUMBER(Upaya_Debitur[[#This Row],[Realisasi]]/Upaya_Debitur[[#This Row],[Target Upaya]]),Upaya_Debitur[[#This Row],[Realisasi]]/Upaya_Debitur[[#This Row],[Target Upaya]],1)</f>
        <v>1</v>
      </c>
    </row>
    <row r="132" spans="1:91" x14ac:dyDescent="0.3">
      <c r="A132" s="16">
        <v>114</v>
      </c>
      <c r="B132" s="17"/>
      <c r="C132" s="17" t="s">
        <v>404</v>
      </c>
      <c r="D132" s="16" t="s">
        <v>403</v>
      </c>
      <c r="E132" s="37">
        <v>2009802</v>
      </c>
      <c r="F132" s="37">
        <v>0</v>
      </c>
      <c r="G132" s="37">
        <v>0</v>
      </c>
      <c r="H132" s="40">
        <f>SUM(Upaya_Debitur[[#This Row],[Kewajiban Pokok]:[Kewajiban Denda]])</f>
        <v>2009802</v>
      </c>
      <c r="I132" s="37"/>
      <c r="J132" s="40">
        <f>IF(ISNUMBER(Upaya_Debitur[[#This Row],[Angsuran Sesuai PK]]),Upaya_Debitur[[#This Row],[Angsuran Sesuai PK]],1)</f>
        <v>1</v>
      </c>
      <c r="K132" s="76"/>
      <c r="L132" s="16" t="s">
        <v>83</v>
      </c>
      <c r="N132" s="18"/>
      <c r="O132" s="76"/>
      <c r="P132" s="37"/>
      <c r="Q132" s="41"/>
      <c r="R132" s="37"/>
      <c r="S132" s="40">
        <f>IF(Upaya_Debitur[[#This Row],[Periode Haircut]]="",0,IF(Upaya_Debitur[[#This Row],[Periode Haircut]]&lt;=$B$6,Upaya_Debitur[[#This Row],[Haircut]],0))</f>
        <v>0</v>
      </c>
      <c r="T132" s="40">
        <f>IF($B$10="",0,IF($B$10&lt;=$B$6,Upaya_Debitur[[#This Row],[Set Off]],0))</f>
        <v>0</v>
      </c>
      <c r="U132" s="37">
        <v>0</v>
      </c>
      <c r="V132" s="37">
        <v>0</v>
      </c>
      <c r="W132" s="37">
        <v>0</v>
      </c>
      <c r="X132" s="37">
        <v>0</v>
      </c>
      <c r="Y132" s="37">
        <v>0</v>
      </c>
      <c r="Z132" s="37">
        <v>0</v>
      </c>
      <c r="AA132" s="37">
        <v>0</v>
      </c>
      <c r="AB132" s="37">
        <v>0</v>
      </c>
      <c r="AC132" s="37">
        <v>0</v>
      </c>
      <c r="AD132" s="37">
        <v>0</v>
      </c>
      <c r="AE132" s="37">
        <v>0</v>
      </c>
      <c r="AF132" s="37">
        <v>0</v>
      </c>
      <c r="AG132" s="37">
        <v>0</v>
      </c>
      <c r="AH132" s="37">
        <v>0</v>
      </c>
      <c r="AI132" s="37">
        <v>0</v>
      </c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40">
        <f ca="1">SUM(OFFSET(Upaya_Debitur[[#This Row],[Haircut Diperhitungkan]],0,0,1,$B$7+2))</f>
        <v>0</v>
      </c>
      <c r="BR132" s="35" t="str">
        <f ca="1">IF(Upaya_Debitur[[#This Row],[Total Pencairan]]&gt;=Upaya_Debitur[[#This Row],[Kewajiban Total]],"Lunas","Belum Lunas")</f>
        <v>Belum Lunas</v>
      </c>
      <c r="BS132" s="35" t="str">
        <f t="shared" si="5"/>
        <v>Ya</v>
      </c>
      <c r="BT132" s="35" t="str">
        <f t="shared" si="6"/>
        <v>Ya</v>
      </c>
      <c r="BU13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3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3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32" s="35" t="str">
        <f>IF(Upaya_Debitur[[#This Row],[Kondisi Debitur]]="Tidak ditemukan","Ya","Tidak")</f>
        <v>Tidak</v>
      </c>
      <c r="BY13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3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3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32" s="18">
        <v>43781</v>
      </c>
      <c r="CC132" s="18">
        <v>43999</v>
      </c>
      <c r="CD132" s="18">
        <v>43826</v>
      </c>
      <c r="CE132" s="18">
        <v>43871</v>
      </c>
      <c r="CF132" s="18">
        <v>43887</v>
      </c>
      <c r="CG132" s="18">
        <v>43888</v>
      </c>
      <c r="CH132" s="18">
        <v>44057</v>
      </c>
      <c r="CI132" s="18">
        <v>44077</v>
      </c>
      <c r="CJ132" s="18"/>
      <c r="CK132" s="35">
        <f ca="1">COUNTIF(Upaya_Debitur[[#This Row],[Surat Pemberitahuan?]:[Gugatan Sederhana?]],"Ya")</f>
        <v>7</v>
      </c>
      <c r="CL132" s="35">
        <f ca="1">Upaya_Debitur[[#This Row],[Target Upaya]]-COUNTIFS(Upaya_Debitur[[#This Row],[Surat Pemberitahuan?]:[Gugatan Sederhana?]],"Ya",Upaya_Debitur[[#This Row],[Surat Pemberitahuan]:[Gugatan Sederhana]],"")</f>
        <v>7</v>
      </c>
      <c r="CM132" s="36">
        <f ca="1">IF(ISNUMBER(Upaya_Debitur[[#This Row],[Realisasi]]/Upaya_Debitur[[#This Row],[Target Upaya]]),Upaya_Debitur[[#This Row],[Realisasi]]/Upaya_Debitur[[#This Row],[Target Upaya]],1)</f>
        <v>1</v>
      </c>
    </row>
    <row r="133" spans="1:91" x14ac:dyDescent="0.3">
      <c r="A133" s="16">
        <v>115</v>
      </c>
      <c r="B133" s="17"/>
      <c r="C133" s="17" t="s">
        <v>405</v>
      </c>
      <c r="D133" s="16" t="s">
        <v>406</v>
      </c>
      <c r="E133" s="37">
        <v>759893</v>
      </c>
      <c r="F133" s="37">
        <v>0</v>
      </c>
      <c r="G133" s="37">
        <v>0</v>
      </c>
      <c r="H133" s="40">
        <f>SUM(Upaya_Debitur[[#This Row],[Kewajiban Pokok]:[Kewajiban Denda]])</f>
        <v>759893</v>
      </c>
      <c r="I133" s="37"/>
      <c r="J133" s="40">
        <f>IF(ISNUMBER(Upaya_Debitur[[#This Row],[Angsuran Sesuai PK]]),Upaya_Debitur[[#This Row],[Angsuran Sesuai PK]],1)</f>
        <v>1</v>
      </c>
      <c r="K133" s="76"/>
      <c r="L133" s="16" t="s">
        <v>37</v>
      </c>
      <c r="N133" s="18"/>
      <c r="O133" s="76"/>
      <c r="P133" s="37"/>
      <c r="Q133" s="41"/>
      <c r="R133" s="37"/>
      <c r="S133" s="40">
        <f>IF(Upaya_Debitur[[#This Row],[Periode Haircut]]="",0,IF(Upaya_Debitur[[#This Row],[Periode Haircut]]&lt;=$B$6,Upaya_Debitur[[#This Row],[Haircut]],0))</f>
        <v>0</v>
      </c>
      <c r="T133" s="40">
        <f>IF($B$10="",0,IF($B$10&lt;=$B$6,Upaya_Debitur[[#This Row],[Set Off]],0))</f>
        <v>0</v>
      </c>
      <c r="U133" s="37">
        <v>0</v>
      </c>
      <c r="V133" s="37">
        <v>0</v>
      </c>
      <c r="W133" s="37">
        <v>0</v>
      </c>
      <c r="X133" s="37">
        <v>0</v>
      </c>
      <c r="Y133" s="37">
        <v>0</v>
      </c>
      <c r="Z133" s="37">
        <v>0</v>
      </c>
      <c r="AA133" s="37">
        <v>0</v>
      </c>
      <c r="AB133" s="37">
        <v>0</v>
      </c>
      <c r="AC133" s="37">
        <v>0</v>
      </c>
      <c r="AD133" s="37">
        <v>0</v>
      </c>
      <c r="AE133" s="37">
        <v>0</v>
      </c>
      <c r="AF133" s="37">
        <v>0</v>
      </c>
      <c r="AG133" s="37">
        <v>0</v>
      </c>
      <c r="AH133" s="37">
        <v>0</v>
      </c>
      <c r="AI133" s="37">
        <v>0</v>
      </c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40">
        <f ca="1">SUM(OFFSET(Upaya_Debitur[[#This Row],[Haircut Diperhitungkan]],0,0,1,$B$7+2))</f>
        <v>0</v>
      </c>
      <c r="BR133" s="35" t="str">
        <f ca="1">IF(Upaya_Debitur[[#This Row],[Total Pencairan]]&gt;=Upaya_Debitur[[#This Row],[Kewajiban Total]],"Lunas","Belum Lunas")</f>
        <v>Belum Lunas</v>
      </c>
      <c r="BS133" s="35" t="str">
        <f t="shared" si="5"/>
        <v>Ya</v>
      </c>
      <c r="BT133" s="35" t="str">
        <f t="shared" si="6"/>
        <v>Ya</v>
      </c>
      <c r="BU13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3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3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33" s="35" t="str">
        <f>IF(Upaya_Debitur[[#This Row],[Kondisi Debitur]]="Tidak ditemukan","Ya","Tidak")</f>
        <v>Ya</v>
      </c>
      <c r="BY13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3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3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33" s="18">
        <v>43781</v>
      </c>
      <c r="CC133" s="18">
        <v>43999</v>
      </c>
      <c r="CD133" s="18">
        <v>43826</v>
      </c>
      <c r="CE133" s="18">
        <v>43871</v>
      </c>
      <c r="CF133" s="18">
        <v>43887</v>
      </c>
      <c r="CG133" s="18">
        <v>43888</v>
      </c>
      <c r="CH133" s="18">
        <v>44057</v>
      </c>
      <c r="CI133" s="18">
        <v>44077</v>
      </c>
      <c r="CJ133" s="18"/>
      <c r="CK133" s="35">
        <f ca="1">COUNTIF(Upaya_Debitur[[#This Row],[Surat Pemberitahuan?]:[Gugatan Sederhana?]],"Ya")</f>
        <v>8</v>
      </c>
      <c r="CL133" s="35">
        <f ca="1">Upaya_Debitur[[#This Row],[Target Upaya]]-COUNTIFS(Upaya_Debitur[[#This Row],[Surat Pemberitahuan?]:[Gugatan Sederhana?]],"Ya",Upaya_Debitur[[#This Row],[Surat Pemberitahuan]:[Gugatan Sederhana]],"")</f>
        <v>8</v>
      </c>
      <c r="CM133" s="36">
        <f ca="1">IF(ISNUMBER(Upaya_Debitur[[#This Row],[Realisasi]]/Upaya_Debitur[[#This Row],[Target Upaya]]),Upaya_Debitur[[#This Row],[Realisasi]]/Upaya_Debitur[[#This Row],[Target Upaya]],1)</f>
        <v>1</v>
      </c>
    </row>
    <row r="134" spans="1:91" x14ac:dyDescent="0.3">
      <c r="A134" s="16">
        <v>116</v>
      </c>
      <c r="B134" s="17"/>
      <c r="C134" s="17" t="s">
        <v>407</v>
      </c>
      <c r="D134" s="16" t="s">
        <v>408</v>
      </c>
      <c r="E134" s="37">
        <v>3896711</v>
      </c>
      <c r="F134" s="37">
        <v>0</v>
      </c>
      <c r="G134" s="37">
        <v>0</v>
      </c>
      <c r="H134" s="40">
        <f>SUM(Upaya_Debitur[[#This Row],[Kewajiban Pokok]:[Kewajiban Denda]])</f>
        <v>3896711</v>
      </c>
      <c r="I134" s="37"/>
      <c r="J134" s="40">
        <f>IF(ISNUMBER(Upaya_Debitur[[#This Row],[Angsuran Sesuai PK]]),Upaya_Debitur[[#This Row],[Angsuran Sesuai PK]],1)</f>
        <v>1</v>
      </c>
      <c r="K134" s="76"/>
      <c r="L134" s="16" t="s">
        <v>83</v>
      </c>
      <c r="N134" s="18"/>
      <c r="O134" s="76"/>
      <c r="P134" s="37"/>
      <c r="Q134" s="41"/>
      <c r="R134" s="37"/>
      <c r="S134" s="40">
        <f>IF(Upaya_Debitur[[#This Row],[Periode Haircut]]="",0,IF(Upaya_Debitur[[#This Row],[Periode Haircut]]&lt;=$B$6,Upaya_Debitur[[#This Row],[Haircut]],0))</f>
        <v>0</v>
      </c>
      <c r="T134" s="40">
        <f>IF($B$10="",0,IF($B$10&lt;=$B$6,Upaya_Debitur[[#This Row],[Set Off]],0))</f>
        <v>0</v>
      </c>
      <c r="U134" s="37">
        <v>0</v>
      </c>
      <c r="V134" s="37">
        <v>0</v>
      </c>
      <c r="W134" s="37">
        <v>0</v>
      </c>
      <c r="X134" s="37">
        <v>0</v>
      </c>
      <c r="Y134" s="37">
        <v>0</v>
      </c>
      <c r="Z134" s="37">
        <v>0</v>
      </c>
      <c r="AA134" s="37">
        <v>0</v>
      </c>
      <c r="AB134" s="37">
        <v>0</v>
      </c>
      <c r="AC134" s="37">
        <v>0</v>
      </c>
      <c r="AD134" s="37">
        <v>0</v>
      </c>
      <c r="AE134" s="37">
        <v>0</v>
      </c>
      <c r="AF134" s="37">
        <v>0</v>
      </c>
      <c r="AG134" s="37">
        <v>0</v>
      </c>
      <c r="AH134" s="37">
        <v>0</v>
      </c>
      <c r="AI134" s="37">
        <v>0</v>
      </c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40">
        <f ca="1">SUM(OFFSET(Upaya_Debitur[[#This Row],[Haircut Diperhitungkan]],0,0,1,$B$7+2))</f>
        <v>0</v>
      </c>
      <c r="BR134" s="35" t="str">
        <f ca="1">IF(Upaya_Debitur[[#This Row],[Total Pencairan]]&gt;=Upaya_Debitur[[#This Row],[Kewajiban Total]],"Lunas","Belum Lunas")</f>
        <v>Belum Lunas</v>
      </c>
      <c r="BS134" s="35" t="str">
        <f t="shared" si="5"/>
        <v>Ya</v>
      </c>
      <c r="BT134" s="35" t="str">
        <f t="shared" si="6"/>
        <v>Ya</v>
      </c>
      <c r="BU13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3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3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34" s="35" t="str">
        <f>IF(Upaya_Debitur[[#This Row],[Kondisi Debitur]]="Tidak ditemukan","Ya","Tidak")</f>
        <v>Tidak</v>
      </c>
      <c r="BY13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3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3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34" s="18">
        <v>43781</v>
      </c>
      <c r="CC134" s="18">
        <v>43999</v>
      </c>
      <c r="CD134" s="18">
        <v>43826</v>
      </c>
      <c r="CE134" s="18">
        <v>43871</v>
      </c>
      <c r="CF134" s="18">
        <v>43887</v>
      </c>
      <c r="CG134" s="18">
        <v>43888</v>
      </c>
      <c r="CH134" s="18">
        <v>44057</v>
      </c>
      <c r="CI134" s="18">
        <v>44077</v>
      </c>
      <c r="CJ134" s="18"/>
      <c r="CK134" s="35">
        <f ca="1">COUNTIF(Upaya_Debitur[[#This Row],[Surat Pemberitahuan?]:[Gugatan Sederhana?]],"Ya")</f>
        <v>7</v>
      </c>
      <c r="CL134" s="35">
        <f ca="1">Upaya_Debitur[[#This Row],[Target Upaya]]-COUNTIFS(Upaya_Debitur[[#This Row],[Surat Pemberitahuan?]:[Gugatan Sederhana?]],"Ya",Upaya_Debitur[[#This Row],[Surat Pemberitahuan]:[Gugatan Sederhana]],"")</f>
        <v>7</v>
      </c>
      <c r="CM134" s="36">
        <f ca="1">IF(ISNUMBER(Upaya_Debitur[[#This Row],[Realisasi]]/Upaya_Debitur[[#This Row],[Target Upaya]]),Upaya_Debitur[[#This Row],[Realisasi]]/Upaya_Debitur[[#This Row],[Target Upaya]],1)</f>
        <v>1</v>
      </c>
    </row>
    <row r="135" spans="1:91" x14ac:dyDescent="0.3">
      <c r="A135" s="16">
        <v>117</v>
      </c>
      <c r="B135" s="17"/>
      <c r="C135" s="17" t="s">
        <v>409</v>
      </c>
      <c r="D135" s="16" t="s">
        <v>410</v>
      </c>
      <c r="E135" s="37">
        <v>2785668</v>
      </c>
      <c r="F135" s="37">
        <v>0</v>
      </c>
      <c r="G135" s="37">
        <v>0</v>
      </c>
      <c r="H135" s="40">
        <f>SUM(Upaya_Debitur[[#This Row],[Kewajiban Pokok]:[Kewajiban Denda]])</f>
        <v>2785668</v>
      </c>
      <c r="I135" s="37"/>
      <c r="J135" s="40">
        <f>IF(ISNUMBER(Upaya_Debitur[[#This Row],[Angsuran Sesuai PK]]),Upaya_Debitur[[#This Row],[Angsuran Sesuai PK]],1)</f>
        <v>1</v>
      </c>
      <c r="K135" s="76"/>
      <c r="L135" s="16" t="s">
        <v>83</v>
      </c>
      <c r="N135" s="18"/>
      <c r="O135" s="76"/>
      <c r="P135" s="37"/>
      <c r="Q135" s="41"/>
      <c r="R135" s="37"/>
      <c r="S135" s="40">
        <f>IF(Upaya_Debitur[[#This Row],[Periode Haircut]]="",0,IF(Upaya_Debitur[[#This Row],[Periode Haircut]]&lt;=$B$6,Upaya_Debitur[[#This Row],[Haircut]],0))</f>
        <v>0</v>
      </c>
      <c r="T135" s="40">
        <f>IF($B$10="",0,IF($B$10&lt;=$B$6,Upaya_Debitur[[#This Row],[Set Off]],0))</f>
        <v>0</v>
      </c>
      <c r="U135" s="37">
        <v>0</v>
      </c>
      <c r="V135" s="37">
        <v>0</v>
      </c>
      <c r="W135" s="37">
        <v>0</v>
      </c>
      <c r="X135" s="37">
        <v>0</v>
      </c>
      <c r="Y135" s="37">
        <v>0</v>
      </c>
      <c r="Z135" s="37">
        <v>2200000</v>
      </c>
      <c r="AA135" s="37">
        <v>0</v>
      </c>
      <c r="AB135" s="37">
        <v>0</v>
      </c>
      <c r="AC135" s="37">
        <v>0</v>
      </c>
      <c r="AD135" s="37">
        <v>0</v>
      </c>
      <c r="AE135" s="37">
        <v>0</v>
      </c>
      <c r="AF135" s="37">
        <v>0</v>
      </c>
      <c r="AG135" s="37">
        <v>0</v>
      </c>
      <c r="AH135" s="37">
        <v>0</v>
      </c>
      <c r="AI135" s="37">
        <v>0</v>
      </c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40">
        <f ca="1">SUM(OFFSET(Upaya_Debitur[[#This Row],[Haircut Diperhitungkan]],0,0,1,$B$7+2))</f>
        <v>2200000</v>
      </c>
      <c r="BR135" s="35" t="str">
        <f ca="1">IF(Upaya_Debitur[[#This Row],[Total Pencairan]]&gt;=Upaya_Debitur[[#This Row],[Kewajiban Total]],"Lunas","Belum Lunas")</f>
        <v>Belum Lunas</v>
      </c>
      <c r="BS135" s="35" t="str">
        <f t="shared" si="5"/>
        <v>Ya</v>
      </c>
      <c r="BT135" s="35" t="str">
        <f t="shared" si="6"/>
        <v>Ya</v>
      </c>
      <c r="BU13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3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3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35" s="35" t="str">
        <f>IF(Upaya_Debitur[[#This Row],[Kondisi Debitur]]="Tidak ditemukan","Ya","Tidak")</f>
        <v>Tidak</v>
      </c>
      <c r="BY13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3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3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35" s="18">
        <v>43781</v>
      </c>
      <c r="CC135" s="18">
        <v>43999</v>
      </c>
      <c r="CD135" s="18">
        <v>43826</v>
      </c>
      <c r="CE135" s="18">
        <v>43871</v>
      </c>
      <c r="CF135" s="18">
        <v>43887</v>
      </c>
      <c r="CG135" s="18"/>
      <c r="CH135" s="18">
        <v>44057</v>
      </c>
      <c r="CI135" s="18">
        <v>44077</v>
      </c>
      <c r="CJ135" s="18"/>
      <c r="CK135" s="35">
        <f ca="1">COUNTIF(Upaya_Debitur[[#This Row],[Surat Pemberitahuan?]:[Gugatan Sederhana?]],"Ya")</f>
        <v>7</v>
      </c>
      <c r="CL135" s="35">
        <f ca="1">Upaya_Debitur[[#This Row],[Target Upaya]]-COUNTIFS(Upaya_Debitur[[#This Row],[Surat Pemberitahuan?]:[Gugatan Sederhana?]],"Ya",Upaya_Debitur[[#This Row],[Surat Pemberitahuan]:[Gugatan Sederhana]],"")</f>
        <v>7</v>
      </c>
      <c r="CM135" s="36">
        <f ca="1">IF(ISNUMBER(Upaya_Debitur[[#This Row],[Realisasi]]/Upaya_Debitur[[#This Row],[Target Upaya]]),Upaya_Debitur[[#This Row],[Realisasi]]/Upaya_Debitur[[#This Row],[Target Upaya]],1)</f>
        <v>1</v>
      </c>
    </row>
    <row r="136" spans="1:91" x14ac:dyDescent="0.3">
      <c r="A136" s="16">
        <v>118</v>
      </c>
      <c r="B136" s="17"/>
      <c r="C136" s="17" t="s">
        <v>411</v>
      </c>
      <c r="D136" s="16" t="s">
        <v>412</v>
      </c>
      <c r="E136" s="37">
        <v>2790062</v>
      </c>
      <c r="F136" s="37">
        <v>0</v>
      </c>
      <c r="G136" s="37">
        <v>0</v>
      </c>
      <c r="H136" s="40">
        <f>SUM(Upaya_Debitur[[#This Row],[Kewajiban Pokok]:[Kewajiban Denda]])</f>
        <v>2790062</v>
      </c>
      <c r="I136" s="37"/>
      <c r="J136" s="40">
        <f>IF(ISNUMBER(Upaya_Debitur[[#This Row],[Angsuran Sesuai PK]]),Upaya_Debitur[[#This Row],[Angsuran Sesuai PK]],1)</f>
        <v>1</v>
      </c>
      <c r="K136" s="76"/>
      <c r="L136" s="16" t="s">
        <v>83</v>
      </c>
      <c r="N136" s="18"/>
      <c r="O136" s="76"/>
      <c r="P136" s="37"/>
      <c r="Q136" s="41"/>
      <c r="R136" s="37"/>
      <c r="S136" s="40">
        <f>IF(Upaya_Debitur[[#This Row],[Periode Haircut]]="",0,IF(Upaya_Debitur[[#This Row],[Periode Haircut]]&lt;=$B$6,Upaya_Debitur[[#This Row],[Haircut]],0))</f>
        <v>0</v>
      </c>
      <c r="T136" s="40">
        <f>IF($B$10="",0,IF($B$10&lt;=$B$6,Upaya_Debitur[[#This Row],[Set Off]],0))</f>
        <v>0</v>
      </c>
      <c r="U136" s="37">
        <v>0</v>
      </c>
      <c r="V136" s="37">
        <v>0</v>
      </c>
      <c r="W136" s="37">
        <v>0</v>
      </c>
      <c r="X136" s="37">
        <v>1500000</v>
      </c>
      <c r="Y136" s="37">
        <v>0</v>
      </c>
      <c r="Z136" s="37">
        <v>0</v>
      </c>
      <c r="AA136" s="37">
        <v>0</v>
      </c>
      <c r="AB136" s="37">
        <v>0</v>
      </c>
      <c r="AC136" s="37">
        <v>0</v>
      </c>
      <c r="AD136" s="37">
        <v>0</v>
      </c>
      <c r="AE136" s="37">
        <v>0</v>
      </c>
      <c r="AF136" s="37">
        <v>0</v>
      </c>
      <c r="AG136" s="37">
        <v>0</v>
      </c>
      <c r="AH136" s="37">
        <v>0</v>
      </c>
      <c r="AI136" s="37">
        <v>0</v>
      </c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40">
        <f ca="1">SUM(OFFSET(Upaya_Debitur[[#This Row],[Haircut Diperhitungkan]],0,0,1,$B$7+2))</f>
        <v>1500000</v>
      </c>
      <c r="BR136" s="35" t="str">
        <f ca="1">IF(Upaya_Debitur[[#This Row],[Total Pencairan]]&gt;=Upaya_Debitur[[#This Row],[Kewajiban Total]],"Lunas","Belum Lunas")</f>
        <v>Belum Lunas</v>
      </c>
      <c r="BS136" s="35" t="str">
        <f t="shared" si="5"/>
        <v>Ya</v>
      </c>
      <c r="BT136" s="35" t="str">
        <f t="shared" si="6"/>
        <v>Ya</v>
      </c>
      <c r="BU13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3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3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36" s="35" t="str">
        <f>IF(Upaya_Debitur[[#This Row],[Kondisi Debitur]]="Tidak ditemukan","Ya","Tidak")</f>
        <v>Tidak</v>
      </c>
      <c r="BY13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3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3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36" s="18">
        <v>43781</v>
      </c>
      <c r="CC136" s="18">
        <v>43999</v>
      </c>
      <c r="CD136" s="18">
        <v>43826</v>
      </c>
      <c r="CE136" s="18">
        <v>43871</v>
      </c>
      <c r="CF136" s="18">
        <v>43887</v>
      </c>
      <c r="CG136" s="18"/>
      <c r="CH136" s="18">
        <v>44057</v>
      </c>
      <c r="CI136" s="18">
        <v>44077</v>
      </c>
      <c r="CJ136" s="18"/>
      <c r="CK136" s="35">
        <f ca="1">COUNTIF(Upaya_Debitur[[#This Row],[Surat Pemberitahuan?]:[Gugatan Sederhana?]],"Ya")</f>
        <v>7</v>
      </c>
      <c r="CL136" s="35">
        <f ca="1">Upaya_Debitur[[#This Row],[Target Upaya]]-COUNTIFS(Upaya_Debitur[[#This Row],[Surat Pemberitahuan?]:[Gugatan Sederhana?]],"Ya",Upaya_Debitur[[#This Row],[Surat Pemberitahuan]:[Gugatan Sederhana]],"")</f>
        <v>7</v>
      </c>
      <c r="CM136" s="36">
        <f ca="1">IF(ISNUMBER(Upaya_Debitur[[#This Row],[Realisasi]]/Upaya_Debitur[[#This Row],[Target Upaya]]),Upaya_Debitur[[#This Row],[Realisasi]]/Upaya_Debitur[[#This Row],[Target Upaya]],1)</f>
        <v>1</v>
      </c>
    </row>
    <row r="137" spans="1:91" x14ac:dyDescent="0.3">
      <c r="A137" s="16">
        <v>119</v>
      </c>
      <c r="B137" s="17"/>
      <c r="C137" s="17" t="s">
        <v>413</v>
      </c>
      <c r="D137" s="16" t="s">
        <v>414</v>
      </c>
      <c r="E137" s="37">
        <v>859596</v>
      </c>
      <c r="F137" s="37">
        <v>0</v>
      </c>
      <c r="G137" s="37">
        <v>0</v>
      </c>
      <c r="H137" s="40">
        <f>SUM(Upaya_Debitur[[#This Row],[Kewajiban Pokok]:[Kewajiban Denda]])</f>
        <v>859596</v>
      </c>
      <c r="I137" s="37"/>
      <c r="J137" s="40">
        <f>IF(ISNUMBER(Upaya_Debitur[[#This Row],[Angsuran Sesuai PK]]),Upaya_Debitur[[#This Row],[Angsuran Sesuai PK]],1)</f>
        <v>1</v>
      </c>
      <c r="K137" s="76"/>
      <c r="L137" s="16" t="s">
        <v>37</v>
      </c>
      <c r="N137" s="18"/>
      <c r="O137" s="76"/>
      <c r="P137" s="37"/>
      <c r="Q137" s="41"/>
      <c r="R137" s="37"/>
      <c r="S137" s="40">
        <f>IF(Upaya_Debitur[[#This Row],[Periode Haircut]]="",0,IF(Upaya_Debitur[[#This Row],[Periode Haircut]]&lt;=$B$6,Upaya_Debitur[[#This Row],[Haircut]],0))</f>
        <v>0</v>
      </c>
      <c r="T137" s="40">
        <f>IF($B$10="",0,IF($B$10&lt;=$B$6,Upaya_Debitur[[#This Row],[Set Off]],0))</f>
        <v>0</v>
      </c>
      <c r="U137" s="37">
        <v>0</v>
      </c>
      <c r="V137" s="37">
        <v>0</v>
      </c>
      <c r="W137" s="37">
        <v>0</v>
      </c>
      <c r="X137" s="37">
        <v>0</v>
      </c>
      <c r="Y137" s="37">
        <v>0</v>
      </c>
      <c r="Z137" s="37">
        <v>0</v>
      </c>
      <c r="AA137" s="37">
        <v>0</v>
      </c>
      <c r="AB137" s="37">
        <v>0</v>
      </c>
      <c r="AC137" s="37">
        <v>0</v>
      </c>
      <c r="AD137" s="37">
        <v>0</v>
      </c>
      <c r="AE137" s="37">
        <v>0</v>
      </c>
      <c r="AF137" s="37">
        <v>0</v>
      </c>
      <c r="AG137" s="37">
        <v>0</v>
      </c>
      <c r="AH137" s="37">
        <v>0</v>
      </c>
      <c r="AI137" s="37">
        <v>0</v>
      </c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40">
        <f ca="1">SUM(OFFSET(Upaya_Debitur[[#This Row],[Haircut Diperhitungkan]],0,0,1,$B$7+2))</f>
        <v>0</v>
      </c>
      <c r="BR137" s="35" t="str">
        <f ca="1">IF(Upaya_Debitur[[#This Row],[Total Pencairan]]&gt;=Upaya_Debitur[[#This Row],[Kewajiban Total]],"Lunas","Belum Lunas")</f>
        <v>Belum Lunas</v>
      </c>
      <c r="BS137" s="35" t="str">
        <f t="shared" si="5"/>
        <v>Ya</v>
      </c>
      <c r="BT137" s="35" t="str">
        <f t="shared" si="6"/>
        <v>Ya</v>
      </c>
      <c r="BU13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3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3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37" s="35" t="str">
        <f>IF(Upaya_Debitur[[#This Row],[Kondisi Debitur]]="Tidak ditemukan","Ya","Tidak")</f>
        <v>Ya</v>
      </c>
      <c r="BY13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3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3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37" s="18">
        <v>43781</v>
      </c>
      <c r="CC137" s="18">
        <v>43999</v>
      </c>
      <c r="CD137" s="18">
        <v>43826</v>
      </c>
      <c r="CE137" s="18">
        <v>43871</v>
      </c>
      <c r="CF137" s="18">
        <v>43887</v>
      </c>
      <c r="CG137" s="18">
        <v>43888</v>
      </c>
      <c r="CH137" s="18">
        <v>44057</v>
      </c>
      <c r="CI137" s="18">
        <v>44077</v>
      </c>
      <c r="CJ137" s="18"/>
      <c r="CK137" s="35">
        <f ca="1">COUNTIF(Upaya_Debitur[[#This Row],[Surat Pemberitahuan?]:[Gugatan Sederhana?]],"Ya")</f>
        <v>8</v>
      </c>
      <c r="CL137" s="35">
        <f ca="1">Upaya_Debitur[[#This Row],[Target Upaya]]-COUNTIFS(Upaya_Debitur[[#This Row],[Surat Pemberitahuan?]:[Gugatan Sederhana?]],"Ya",Upaya_Debitur[[#This Row],[Surat Pemberitahuan]:[Gugatan Sederhana]],"")</f>
        <v>8</v>
      </c>
      <c r="CM137" s="36">
        <f ca="1">IF(ISNUMBER(Upaya_Debitur[[#This Row],[Realisasi]]/Upaya_Debitur[[#This Row],[Target Upaya]]),Upaya_Debitur[[#This Row],[Realisasi]]/Upaya_Debitur[[#This Row],[Target Upaya]],1)</f>
        <v>1</v>
      </c>
    </row>
    <row r="138" spans="1:91" x14ac:dyDescent="0.3">
      <c r="A138" s="16">
        <v>120</v>
      </c>
      <c r="B138" s="17"/>
      <c r="C138" s="17" t="s">
        <v>415</v>
      </c>
      <c r="D138" s="16" t="s">
        <v>416</v>
      </c>
      <c r="E138" s="37">
        <v>544851</v>
      </c>
      <c r="F138" s="37">
        <v>0</v>
      </c>
      <c r="G138" s="37">
        <v>0</v>
      </c>
      <c r="H138" s="40">
        <f>SUM(Upaya_Debitur[[#This Row],[Kewajiban Pokok]:[Kewajiban Denda]])</f>
        <v>544851</v>
      </c>
      <c r="I138" s="37"/>
      <c r="J138" s="40">
        <f>IF(ISNUMBER(Upaya_Debitur[[#This Row],[Angsuran Sesuai PK]]),Upaya_Debitur[[#This Row],[Angsuran Sesuai PK]],1)</f>
        <v>1</v>
      </c>
      <c r="K138" s="76"/>
      <c r="L138" s="16" t="s">
        <v>37</v>
      </c>
      <c r="N138" s="18"/>
      <c r="O138" s="76"/>
      <c r="P138" s="37"/>
      <c r="Q138" s="41"/>
      <c r="R138" s="37"/>
      <c r="S138" s="40">
        <f>IF(Upaya_Debitur[[#This Row],[Periode Haircut]]="",0,IF(Upaya_Debitur[[#This Row],[Periode Haircut]]&lt;=$B$6,Upaya_Debitur[[#This Row],[Haircut]],0))</f>
        <v>0</v>
      </c>
      <c r="T138" s="40">
        <f>IF($B$10="",0,IF($B$10&lt;=$B$6,Upaya_Debitur[[#This Row],[Set Off]],0))</f>
        <v>0</v>
      </c>
      <c r="U138" s="37">
        <v>0</v>
      </c>
      <c r="V138" s="37">
        <v>0</v>
      </c>
      <c r="W138" s="37">
        <v>0</v>
      </c>
      <c r="X138" s="37">
        <v>0</v>
      </c>
      <c r="Y138" s="37">
        <v>0</v>
      </c>
      <c r="Z138" s="37">
        <v>0</v>
      </c>
      <c r="AA138" s="37">
        <v>0</v>
      </c>
      <c r="AB138" s="37">
        <v>0</v>
      </c>
      <c r="AC138" s="37">
        <v>0</v>
      </c>
      <c r="AD138" s="37">
        <v>0</v>
      </c>
      <c r="AE138" s="37">
        <v>0</v>
      </c>
      <c r="AF138" s="37">
        <v>0</v>
      </c>
      <c r="AG138" s="37">
        <v>0</v>
      </c>
      <c r="AH138" s="37">
        <v>0</v>
      </c>
      <c r="AI138" s="37">
        <v>0</v>
      </c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40">
        <f ca="1">SUM(OFFSET(Upaya_Debitur[[#This Row],[Haircut Diperhitungkan]],0,0,1,$B$7+2))</f>
        <v>0</v>
      </c>
      <c r="BR138" s="35" t="str">
        <f ca="1">IF(Upaya_Debitur[[#This Row],[Total Pencairan]]&gt;=Upaya_Debitur[[#This Row],[Kewajiban Total]],"Lunas","Belum Lunas")</f>
        <v>Belum Lunas</v>
      </c>
      <c r="BS138" s="35" t="str">
        <f t="shared" si="5"/>
        <v>Ya</v>
      </c>
      <c r="BT138" s="35" t="str">
        <f t="shared" si="6"/>
        <v>Ya</v>
      </c>
      <c r="BU13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3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3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38" s="35" t="str">
        <f>IF(Upaya_Debitur[[#This Row],[Kondisi Debitur]]="Tidak ditemukan","Ya","Tidak")</f>
        <v>Ya</v>
      </c>
      <c r="BY13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3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3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38" s="18">
        <v>43781</v>
      </c>
      <c r="CC138" s="18">
        <v>43999</v>
      </c>
      <c r="CD138" s="18">
        <v>43826</v>
      </c>
      <c r="CE138" s="18">
        <v>43871</v>
      </c>
      <c r="CF138" s="18">
        <v>43887</v>
      </c>
      <c r="CG138" s="18">
        <v>43888</v>
      </c>
      <c r="CH138" s="18">
        <v>44057</v>
      </c>
      <c r="CI138" s="18">
        <v>44077</v>
      </c>
      <c r="CJ138" s="18"/>
      <c r="CK138" s="35">
        <f ca="1">COUNTIF(Upaya_Debitur[[#This Row],[Surat Pemberitahuan?]:[Gugatan Sederhana?]],"Ya")</f>
        <v>8</v>
      </c>
      <c r="CL138" s="35">
        <f ca="1">Upaya_Debitur[[#This Row],[Target Upaya]]-COUNTIFS(Upaya_Debitur[[#This Row],[Surat Pemberitahuan?]:[Gugatan Sederhana?]],"Ya",Upaya_Debitur[[#This Row],[Surat Pemberitahuan]:[Gugatan Sederhana]],"")</f>
        <v>8</v>
      </c>
      <c r="CM138" s="36">
        <f ca="1">IF(ISNUMBER(Upaya_Debitur[[#This Row],[Realisasi]]/Upaya_Debitur[[#This Row],[Target Upaya]]),Upaya_Debitur[[#This Row],[Realisasi]]/Upaya_Debitur[[#This Row],[Target Upaya]],1)</f>
        <v>1</v>
      </c>
    </row>
    <row r="139" spans="1:91" x14ac:dyDescent="0.3">
      <c r="A139" s="16">
        <v>121</v>
      </c>
      <c r="B139" s="17"/>
      <c r="C139" s="17" t="s">
        <v>417</v>
      </c>
      <c r="D139" s="16" t="s">
        <v>418</v>
      </c>
      <c r="E139" s="37">
        <v>7055000</v>
      </c>
      <c r="F139" s="37">
        <v>0</v>
      </c>
      <c r="G139" s="37">
        <v>0</v>
      </c>
      <c r="H139" s="40">
        <f>SUM(Upaya_Debitur[[#This Row],[Kewajiban Pokok]:[Kewajiban Denda]])</f>
        <v>7055000</v>
      </c>
      <c r="I139" s="37"/>
      <c r="J139" s="40">
        <f>IF(ISNUMBER(Upaya_Debitur[[#This Row],[Angsuran Sesuai PK]]),Upaya_Debitur[[#This Row],[Angsuran Sesuai PK]],1)</f>
        <v>1</v>
      </c>
      <c r="K139" s="76"/>
      <c r="L139" s="16" t="s">
        <v>37</v>
      </c>
      <c r="N139" s="18"/>
      <c r="O139" s="76"/>
      <c r="P139" s="37"/>
      <c r="Q139" s="41"/>
      <c r="R139" s="37"/>
      <c r="S139" s="40">
        <f>IF(Upaya_Debitur[[#This Row],[Periode Haircut]]="",0,IF(Upaya_Debitur[[#This Row],[Periode Haircut]]&lt;=$B$6,Upaya_Debitur[[#This Row],[Haircut]],0))</f>
        <v>0</v>
      </c>
      <c r="T139" s="40">
        <f>IF($B$10="",0,IF($B$10&lt;=$B$6,Upaya_Debitur[[#This Row],[Set Off]],0))</f>
        <v>0</v>
      </c>
      <c r="U139" s="37">
        <v>0</v>
      </c>
      <c r="V139" s="37">
        <v>0</v>
      </c>
      <c r="W139" s="37">
        <v>0</v>
      </c>
      <c r="X139" s="37">
        <v>0</v>
      </c>
      <c r="Y139" s="37">
        <v>0</v>
      </c>
      <c r="Z139" s="37">
        <v>0</v>
      </c>
      <c r="AA139" s="37">
        <v>0</v>
      </c>
      <c r="AB139" s="37">
        <v>0</v>
      </c>
      <c r="AC139" s="37">
        <v>0</v>
      </c>
      <c r="AD139" s="37">
        <v>0</v>
      </c>
      <c r="AE139" s="37">
        <v>0</v>
      </c>
      <c r="AF139" s="37">
        <v>0</v>
      </c>
      <c r="AG139" s="37">
        <v>0</v>
      </c>
      <c r="AH139" s="37">
        <v>0</v>
      </c>
      <c r="AI139" s="37">
        <v>0</v>
      </c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40">
        <f ca="1">SUM(OFFSET(Upaya_Debitur[[#This Row],[Haircut Diperhitungkan]],0,0,1,$B$7+2))</f>
        <v>0</v>
      </c>
      <c r="BR139" s="35" t="str">
        <f ca="1">IF(Upaya_Debitur[[#This Row],[Total Pencairan]]&gt;=Upaya_Debitur[[#This Row],[Kewajiban Total]],"Lunas","Belum Lunas")</f>
        <v>Belum Lunas</v>
      </c>
      <c r="BS139" s="35" t="str">
        <f t="shared" si="5"/>
        <v>Ya</v>
      </c>
      <c r="BT139" s="35" t="str">
        <f t="shared" si="6"/>
        <v>Ya</v>
      </c>
      <c r="BU13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3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3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39" s="35" t="str">
        <f>IF(Upaya_Debitur[[#This Row],[Kondisi Debitur]]="Tidak ditemukan","Ya","Tidak")</f>
        <v>Ya</v>
      </c>
      <c r="BY13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3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3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39" s="18">
        <v>43781</v>
      </c>
      <c r="CC139" s="18">
        <v>43999</v>
      </c>
      <c r="CD139" s="18">
        <v>43826</v>
      </c>
      <c r="CE139" s="18">
        <v>43871</v>
      </c>
      <c r="CF139" s="18">
        <v>43887</v>
      </c>
      <c r="CG139" s="18">
        <v>44035</v>
      </c>
      <c r="CH139" s="18">
        <v>44057</v>
      </c>
      <c r="CI139" s="18">
        <v>44077</v>
      </c>
      <c r="CJ139" s="18"/>
      <c r="CK139" s="35">
        <f ca="1">COUNTIF(Upaya_Debitur[[#This Row],[Surat Pemberitahuan?]:[Gugatan Sederhana?]],"Ya")</f>
        <v>8</v>
      </c>
      <c r="CL139" s="35">
        <f ca="1">Upaya_Debitur[[#This Row],[Target Upaya]]-COUNTIFS(Upaya_Debitur[[#This Row],[Surat Pemberitahuan?]:[Gugatan Sederhana?]],"Ya",Upaya_Debitur[[#This Row],[Surat Pemberitahuan]:[Gugatan Sederhana]],"")</f>
        <v>8</v>
      </c>
      <c r="CM139" s="36">
        <f ca="1">IF(ISNUMBER(Upaya_Debitur[[#This Row],[Realisasi]]/Upaya_Debitur[[#This Row],[Target Upaya]]),Upaya_Debitur[[#This Row],[Realisasi]]/Upaya_Debitur[[#This Row],[Target Upaya]],1)</f>
        <v>1</v>
      </c>
    </row>
    <row r="140" spans="1:91" x14ac:dyDescent="0.3">
      <c r="A140" s="16">
        <v>122</v>
      </c>
      <c r="B140" s="17"/>
      <c r="C140" s="17" t="s">
        <v>419</v>
      </c>
      <c r="D140" s="16" t="s">
        <v>420</v>
      </c>
      <c r="E140" s="37">
        <v>216000</v>
      </c>
      <c r="F140" s="37">
        <v>0</v>
      </c>
      <c r="G140" s="37">
        <v>0</v>
      </c>
      <c r="H140" s="40">
        <f>SUM(Upaya_Debitur[[#This Row],[Kewajiban Pokok]:[Kewajiban Denda]])</f>
        <v>216000</v>
      </c>
      <c r="I140" s="37"/>
      <c r="J140" s="40">
        <f>IF(ISNUMBER(Upaya_Debitur[[#This Row],[Angsuran Sesuai PK]]),Upaya_Debitur[[#This Row],[Angsuran Sesuai PK]],1)</f>
        <v>1</v>
      </c>
      <c r="K140" s="76"/>
      <c r="L140" s="16" t="s">
        <v>37</v>
      </c>
      <c r="N140" s="18"/>
      <c r="O140" s="76"/>
      <c r="P140" s="37"/>
      <c r="Q140" s="41"/>
      <c r="R140" s="37"/>
      <c r="S140" s="40">
        <f>IF(Upaya_Debitur[[#This Row],[Periode Haircut]]="",0,IF(Upaya_Debitur[[#This Row],[Periode Haircut]]&lt;=$B$6,Upaya_Debitur[[#This Row],[Haircut]],0))</f>
        <v>0</v>
      </c>
      <c r="T140" s="40">
        <f>IF($B$10="",0,IF($B$10&lt;=$B$6,Upaya_Debitur[[#This Row],[Set Off]],0))</f>
        <v>0</v>
      </c>
      <c r="U140" s="37">
        <v>0</v>
      </c>
      <c r="V140" s="37">
        <v>0</v>
      </c>
      <c r="W140" s="37">
        <v>0</v>
      </c>
      <c r="X140" s="37">
        <v>0</v>
      </c>
      <c r="Y140" s="37">
        <v>0</v>
      </c>
      <c r="Z140" s="37">
        <v>0</v>
      </c>
      <c r="AA140" s="37">
        <v>0</v>
      </c>
      <c r="AB140" s="37">
        <v>0</v>
      </c>
      <c r="AC140" s="37">
        <v>0</v>
      </c>
      <c r="AD140" s="37">
        <v>0</v>
      </c>
      <c r="AE140" s="37">
        <v>0</v>
      </c>
      <c r="AF140" s="37">
        <v>0</v>
      </c>
      <c r="AG140" s="37">
        <v>0</v>
      </c>
      <c r="AH140" s="37">
        <v>0</v>
      </c>
      <c r="AI140" s="37">
        <v>0</v>
      </c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40">
        <f ca="1">SUM(OFFSET(Upaya_Debitur[[#This Row],[Haircut Diperhitungkan]],0,0,1,$B$7+2))</f>
        <v>0</v>
      </c>
      <c r="BR140" s="35" t="str">
        <f ca="1">IF(Upaya_Debitur[[#This Row],[Total Pencairan]]&gt;=Upaya_Debitur[[#This Row],[Kewajiban Total]],"Lunas","Belum Lunas")</f>
        <v>Belum Lunas</v>
      </c>
      <c r="BS140" s="35" t="str">
        <f t="shared" si="5"/>
        <v>Ya</v>
      </c>
      <c r="BT140" s="35" t="str">
        <f t="shared" si="6"/>
        <v>Ya</v>
      </c>
      <c r="BU14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4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4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40" s="35" t="str">
        <f>IF(Upaya_Debitur[[#This Row],[Kondisi Debitur]]="Tidak ditemukan","Ya","Tidak")</f>
        <v>Ya</v>
      </c>
      <c r="BY14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4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4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40" s="18">
        <v>43781</v>
      </c>
      <c r="CC140" s="18">
        <v>43999</v>
      </c>
      <c r="CD140" s="18">
        <v>43826</v>
      </c>
      <c r="CE140" s="18">
        <v>43871</v>
      </c>
      <c r="CF140" s="18">
        <v>43887</v>
      </c>
      <c r="CG140" s="18">
        <v>44035</v>
      </c>
      <c r="CH140" s="18">
        <v>44057</v>
      </c>
      <c r="CI140" s="18">
        <v>44077</v>
      </c>
      <c r="CJ140" s="18"/>
      <c r="CK140" s="35">
        <f ca="1">COUNTIF(Upaya_Debitur[[#This Row],[Surat Pemberitahuan?]:[Gugatan Sederhana?]],"Ya")</f>
        <v>8</v>
      </c>
      <c r="CL140" s="35">
        <f ca="1">Upaya_Debitur[[#This Row],[Target Upaya]]-COUNTIFS(Upaya_Debitur[[#This Row],[Surat Pemberitahuan?]:[Gugatan Sederhana?]],"Ya",Upaya_Debitur[[#This Row],[Surat Pemberitahuan]:[Gugatan Sederhana]],"")</f>
        <v>8</v>
      </c>
      <c r="CM140" s="36">
        <f ca="1">IF(ISNUMBER(Upaya_Debitur[[#This Row],[Realisasi]]/Upaya_Debitur[[#This Row],[Target Upaya]]),Upaya_Debitur[[#This Row],[Realisasi]]/Upaya_Debitur[[#This Row],[Target Upaya]],1)</f>
        <v>1</v>
      </c>
    </row>
    <row r="141" spans="1:91" x14ac:dyDescent="0.3">
      <c r="A141" s="16">
        <v>123</v>
      </c>
      <c r="B141" s="17"/>
      <c r="C141" s="17" t="s">
        <v>421</v>
      </c>
      <c r="D141" s="16" t="s">
        <v>420</v>
      </c>
      <c r="E141" s="37">
        <v>2333335</v>
      </c>
      <c r="F141" s="37">
        <v>0</v>
      </c>
      <c r="G141" s="37">
        <v>0</v>
      </c>
      <c r="H141" s="40">
        <f>SUM(Upaya_Debitur[[#This Row],[Kewajiban Pokok]:[Kewajiban Denda]])</f>
        <v>2333335</v>
      </c>
      <c r="I141" s="37"/>
      <c r="J141" s="40">
        <f>IF(ISNUMBER(Upaya_Debitur[[#This Row],[Angsuran Sesuai PK]]),Upaya_Debitur[[#This Row],[Angsuran Sesuai PK]],1)</f>
        <v>1</v>
      </c>
      <c r="K141" s="76"/>
      <c r="L141" s="16" t="s">
        <v>83</v>
      </c>
      <c r="N141" s="18"/>
      <c r="O141" s="76"/>
      <c r="P141" s="37"/>
      <c r="Q141" s="41"/>
      <c r="R141" s="37"/>
      <c r="S141" s="40">
        <f>IF(Upaya_Debitur[[#This Row],[Periode Haircut]]="",0,IF(Upaya_Debitur[[#This Row],[Periode Haircut]]&lt;=$B$6,Upaya_Debitur[[#This Row],[Haircut]],0))</f>
        <v>0</v>
      </c>
      <c r="T141" s="40">
        <f>IF($B$10="",0,IF($B$10&lt;=$B$6,Upaya_Debitur[[#This Row],[Set Off]],0))</f>
        <v>0</v>
      </c>
      <c r="U141" s="37">
        <v>0</v>
      </c>
      <c r="V141" s="37">
        <v>0</v>
      </c>
      <c r="W141" s="37">
        <v>0</v>
      </c>
      <c r="X141" s="37">
        <v>0</v>
      </c>
      <c r="Y141" s="37">
        <v>0</v>
      </c>
      <c r="Z141" s="37">
        <v>0</v>
      </c>
      <c r="AA141" s="37">
        <v>0</v>
      </c>
      <c r="AB141" s="37">
        <v>0</v>
      </c>
      <c r="AC141" s="37">
        <v>0</v>
      </c>
      <c r="AD141" s="37">
        <v>0</v>
      </c>
      <c r="AE141" s="37">
        <v>0</v>
      </c>
      <c r="AF141" s="37">
        <v>0</v>
      </c>
      <c r="AG141" s="37">
        <v>0</v>
      </c>
      <c r="AH141" s="37">
        <v>0</v>
      </c>
      <c r="AI141" s="37">
        <v>0</v>
      </c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40">
        <f ca="1">SUM(OFFSET(Upaya_Debitur[[#This Row],[Haircut Diperhitungkan]],0,0,1,$B$7+2))</f>
        <v>0</v>
      </c>
      <c r="BR141" s="35" t="str">
        <f ca="1">IF(Upaya_Debitur[[#This Row],[Total Pencairan]]&gt;=Upaya_Debitur[[#This Row],[Kewajiban Total]],"Lunas","Belum Lunas")</f>
        <v>Belum Lunas</v>
      </c>
      <c r="BS141" s="35" t="str">
        <f t="shared" si="5"/>
        <v>Ya</v>
      </c>
      <c r="BT141" s="35" t="str">
        <f t="shared" si="6"/>
        <v>Ya</v>
      </c>
      <c r="BU14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4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4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41" s="35" t="str">
        <f>IF(Upaya_Debitur[[#This Row],[Kondisi Debitur]]="Tidak ditemukan","Ya","Tidak")</f>
        <v>Tidak</v>
      </c>
      <c r="BY14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4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4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41" s="18">
        <v>43781</v>
      </c>
      <c r="CC141" s="18">
        <v>43999</v>
      </c>
      <c r="CD141" s="18">
        <v>43826</v>
      </c>
      <c r="CE141" s="18">
        <v>43871</v>
      </c>
      <c r="CF141" s="18">
        <v>43887</v>
      </c>
      <c r="CG141" s="18">
        <v>43888</v>
      </c>
      <c r="CH141" s="18">
        <v>44057</v>
      </c>
      <c r="CI141" s="18">
        <v>44077</v>
      </c>
      <c r="CJ141" s="18"/>
      <c r="CK141" s="35">
        <f ca="1">COUNTIF(Upaya_Debitur[[#This Row],[Surat Pemberitahuan?]:[Gugatan Sederhana?]],"Ya")</f>
        <v>7</v>
      </c>
      <c r="CL141" s="35">
        <f ca="1">Upaya_Debitur[[#This Row],[Target Upaya]]-COUNTIFS(Upaya_Debitur[[#This Row],[Surat Pemberitahuan?]:[Gugatan Sederhana?]],"Ya",Upaya_Debitur[[#This Row],[Surat Pemberitahuan]:[Gugatan Sederhana]],"")</f>
        <v>7</v>
      </c>
      <c r="CM141" s="36">
        <f ca="1">IF(ISNUMBER(Upaya_Debitur[[#This Row],[Realisasi]]/Upaya_Debitur[[#This Row],[Target Upaya]]),Upaya_Debitur[[#This Row],[Realisasi]]/Upaya_Debitur[[#This Row],[Target Upaya]],1)</f>
        <v>1</v>
      </c>
    </row>
    <row r="142" spans="1:91" x14ac:dyDescent="0.3">
      <c r="A142" s="16">
        <v>124</v>
      </c>
      <c r="B142" s="17"/>
      <c r="C142" s="17" t="s">
        <v>422</v>
      </c>
      <c r="D142" s="16" t="s">
        <v>423</v>
      </c>
      <c r="E142" s="37">
        <v>5000000</v>
      </c>
      <c r="F142" s="37">
        <v>0</v>
      </c>
      <c r="G142" s="37">
        <v>0</v>
      </c>
      <c r="H142" s="40">
        <f>SUM(Upaya_Debitur[[#This Row],[Kewajiban Pokok]:[Kewajiban Denda]])</f>
        <v>5000000</v>
      </c>
      <c r="I142" s="37"/>
      <c r="J142" s="40">
        <f>IF(ISNUMBER(Upaya_Debitur[[#This Row],[Angsuran Sesuai PK]]),Upaya_Debitur[[#This Row],[Angsuran Sesuai PK]],1)</f>
        <v>1</v>
      </c>
      <c r="K142" s="76"/>
      <c r="L142" s="16" t="s">
        <v>37</v>
      </c>
      <c r="N142" s="18"/>
      <c r="O142" s="76"/>
      <c r="P142" s="37"/>
      <c r="Q142" s="41"/>
      <c r="R142" s="37"/>
      <c r="S142" s="40">
        <f>IF(Upaya_Debitur[[#This Row],[Periode Haircut]]="",0,IF(Upaya_Debitur[[#This Row],[Periode Haircut]]&lt;=$B$6,Upaya_Debitur[[#This Row],[Haircut]],0))</f>
        <v>0</v>
      </c>
      <c r="T142" s="40">
        <f>IF($B$10="",0,IF($B$10&lt;=$B$6,Upaya_Debitur[[#This Row],[Set Off]],0))</f>
        <v>0</v>
      </c>
      <c r="U142" s="37">
        <v>0</v>
      </c>
      <c r="V142" s="37">
        <v>0</v>
      </c>
      <c r="W142" s="37">
        <v>0</v>
      </c>
      <c r="X142" s="37">
        <v>0</v>
      </c>
      <c r="Y142" s="37">
        <v>0</v>
      </c>
      <c r="Z142" s="37">
        <v>0</v>
      </c>
      <c r="AA142" s="37">
        <v>0</v>
      </c>
      <c r="AB142" s="37">
        <v>0</v>
      </c>
      <c r="AC142" s="37">
        <v>0</v>
      </c>
      <c r="AD142" s="37">
        <v>0</v>
      </c>
      <c r="AE142" s="37">
        <v>0</v>
      </c>
      <c r="AF142" s="37">
        <v>0</v>
      </c>
      <c r="AG142" s="37">
        <v>0</v>
      </c>
      <c r="AH142" s="37">
        <v>0</v>
      </c>
      <c r="AI142" s="37">
        <v>0</v>
      </c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40">
        <f ca="1">SUM(OFFSET(Upaya_Debitur[[#This Row],[Haircut Diperhitungkan]],0,0,1,$B$7+2))</f>
        <v>0</v>
      </c>
      <c r="BR142" s="35" t="str">
        <f ca="1">IF(Upaya_Debitur[[#This Row],[Total Pencairan]]&gt;=Upaya_Debitur[[#This Row],[Kewajiban Total]],"Lunas","Belum Lunas")</f>
        <v>Belum Lunas</v>
      </c>
      <c r="BS142" s="35" t="str">
        <f t="shared" si="5"/>
        <v>Ya</v>
      </c>
      <c r="BT142" s="35" t="str">
        <f t="shared" si="6"/>
        <v>Ya</v>
      </c>
      <c r="BU14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4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4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42" s="35" t="str">
        <f>IF(Upaya_Debitur[[#This Row],[Kondisi Debitur]]="Tidak ditemukan","Ya","Tidak")</f>
        <v>Ya</v>
      </c>
      <c r="BY14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4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4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42" s="18">
        <v>43781</v>
      </c>
      <c r="CC142" s="18">
        <v>43999</v>
      </c>
      <c r="CD142" s="18">
        <v>43826</v>
      </c>
      <c r="CE142" s="18">
        <v>43871</v>
      </c>
      <c r="CF142" s="18">
        <v>43887</v>
      </c>
      <c r="CG142" s="18">
        <v>44035</v>
      </c>
      <c r="CH142" s="18">
        <v>44057</v>
      </c>
      <c r="CI142" s="18">
        <v>44077</v>
      </c>
      <c r="CJ142" s="18"/>
      <c r="CK142" s="35">
        <f ca="1">COUNTIF(Upaya_Debitur[[#This Row],[Surat Pemberitahuan?]:[Gugatan Sederhana?]],"Ya")</f>
        <v>8</v>
      </c>
      <c r="CL142" s="35">
        <f ca="1">Upaya_Debitur[[#This Row],[Target Upaya]]-COUNTIFS(Upaya_Debitur[[#This Row],[Surat Pemberitahuan?]:[Gugatan Sederhana?]],"Ya",Upaya_Debitur[[#This Row],[Surat Pemberitahuan]:[Gugatan Sederhana]],"")</f>
        <v>8</v>
      </c>
      <c r="CM142" s="36">
        <f ca="1">IF(ISNUMBER(Upaya_Debitur[[#This Row],[Realisasi]]/Upaya_Debitur[[#This Row],[Target Upaya]]),Upaya_Debitur[[#This Row],[Realisasi]]/Upaya_Debitur[[#This Row],[Target Upaya]],1)</f>
        <v>1</v>
      </c>
    </row>
    <row r="143" spans="1:91" x14ac:dyDescent="0.3">
      <c r="A143" s="16">
        <v>125</v>
      </c>
      <c r="B143" s="17"/>
      <c r="C143" s="17" t="s">
        <v>424</v>
      </c>
      <c r="D143" s="16" t="s">
        <v>425</v>
      </c>
      <c r="E143" s="37">
        <v>1668800</v>
      </c>
      <c r="F143" s="37">
        <v>0</v>
      </c>
      <c r="G143" s="37">
        <v>0</v>
      </c>
      <c r="H143" s="40">
        <f>SUM(Upaya_Debitur[[#This Row],[Kewajiban Pokok]:[Kewajiban Denda]])</f>
        <v>1668800</v>
      </c>
      <c r="I143" s="37"/>
      <c r="J143" s="40">
        <f>IF(ISNUMBER(Upaya_Debitur[[#This Row],[Angsuran Sesuai PK]]),Upaya_Debitur[[#This Row],[Angsuran Sesuai PK]],1)</f>
        <v>1</v>
      </c>
      <c r="K143" s="76"/>
      <c r="L143" s="16" t="s">
        <v>37</v>
      </c>
      <c r="N143" s="18"/>
      <c r="O143" s="76"/>
      <c r="P143" s="37"/>
      <c r="Q143" s="41"/>
      <c r="R143" s="37"/>
      <c r="S143" s="40">
        <f>IF(Upaya_Debitur[[#This Row],[Periode Haircut]]="",0,IF(Upaya_Debitur[[#This Row],[Periode Haircut]]&lt;=$B$6,Upaya_Debitur[[#This Row],[Haircut]],0))</f>
        <v>0</v>
      </c>
      <c r="T143" s="40">
        <f>IF($B$10="",0,IF($B$10&lt;=$B$6,Upaya_Debitur[[#This Row],[Set Off]],0))</f>
        <v>0</v>
      </c>
      <c r="U143" s="37">
        <v>0</v>
      </c>
      <c r="V143" s="37">
        <v>0</v>
      </c>
      <c r="W143" s="37">
        <v>0</v>
      </c>
      <c r="X143" s="37">
        <v>0</v>
      </c>
      <c r="Y143" s="37">
        <v>0</v>
      </c>
      <c r="Z143" s="37">
        <v>0</v>
      </c>
      <c r="AA143" s="37">
        <v>0</v>
      </c>
      <c r="AB143" s="37">
        <v>0</v>
      </c>
      <c r="AC143" s="37">
        <v>0</v>
      </c>
      <c r="AD143" s="37">
        <v>0</v>
      </c>
      <c r="AE143" s="37">
        <v>0</v>
      </c>
      <c r="AF143" s="37">
        <v>0</v>
      </c>
      <c r="AG143" s="37">
        <v>0</v>
      </c>
      <c r="AH143" s="37">
        <v>0</v>
      </c>
      <c r="AI143" s="37">
        <v>0</v>
      </c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40">
        <f ca="1">SUM(OFFSET(Upaya_Debitur[[#This Row],[Haircut Diperhitungkan]],0,0,1,$B$7+2))</f>
        <v>0</v>
      </c>
      <c r="BR143" s="35" t="str">
        <f ca="1">IF(Upaya_Debitur[[#This Row],[Total Pencairan]]&gt;=Upaya_Debitur[[#This Row],[Kewajiban Total]],"Lunas","Belum Lunas")</f>
        <v>Belum Lunas</v>
      </c>
      <c r="BS143" s="35" t="str">
        <f t="shared" si="5"/>
        <v>Ya</v>
      </c>
      <c r="BT143" s="35" t="str">
        <f t="shared" si="6"/>
        <v>Ya</v>
      </c>
      <c r="BU14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4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4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43" s="35" t="str">
        <f>IF(Upaya_Debitur[[#This Row],[Kondisi Debitur]]="Tidak ditemukan","Ya","Tidak")</f>
        <v>Ya</v>
      </c>
      <c r="BY14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4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4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43" s="18">
        <v>43781</v>
      </c>
      <c r="CC143" s="18">
        <v>43999</v>
      </c>
      <c r="CD143" s="18">
        <v>43826</v>
      </c>
      <c r="CE143" s="18">
        <v>43871</v>
      </c>
      <c r="CF143" s="18">
        <v>43887</v>
      </c>
      <c r="CG143" s="18">
        <v>44035</v>
      </c>
      <c r="CH143" s="18">
        <v>44057</v>
      </c>
      <c r="CI143" s="18">
        <v>44077</v>
      </c>
      <c r="CJ143" s="18"/>
      <c r="CK143" s="35">
        <f ca="1">COUNTIF(Upaya_Debitur[[#This Row],[Surat Pemberitahuan?]:[Gugatan Sederhana?]],"Ya")</f>
        <v>8</v>
      </c>
      <c r="CL143" s="35">
        <f ca="1">Upaya_Debitur[[#This Row],[Target Upaya]]-COUNTIFS(Upaya_Debitur[[#This Row],[Surat Pemberitahuan?]:[Gugatan Sederhana?]],"Ya",Upaya_Debitur[[#This Row],[Surat Pemberitahuan]:[Gugatan Sederhana]],"")</f>
        <v>8</v>
      </c>
      <c r="CM143" s="36">
        <f ca="1">IF(ISNUMBER(Upaya_Debitur[[#This Row],[Realisasi]]/Upaya_Debitur[[#This Row],[Target Upaya]]),Upaya_Debitur[[#This Row],[Realisasi]]/Upaya_Debitur[[#This Row],[Target Upaya]],1)</f>
        <v>1</v>
      </c>
    </row>
    <row r="144" spans="1:91" x14ac:dyDescent="0.3">
      <c r="A144" s="16">
        <v>126</v>
      </c>
      <c r="B144" s="17"/>
      <c r="C144" s="17" t="s">
        <v>426</v>
      </c>
      <c r="D144" s="16" t="s">
        <v>427</v>
      </c>
      <c r="E144" s="37">
        <v>5500000</v>
      </c>
      <c r="F144" s="37">
        <v>0</v>
      </c>
      <c r="G144" s="37">
        <v>0</v>
      </c>
      <c r="H144" s="40">
        <f>SUM(Upaya_Debitur[[#This Row],[Kewajiban Pokok]:[Kewajiban Denda]])</f>
        <v>5500000</v>
      </c>
      <c r="I144" s="37"/>
      <c r="J144" s="40">
        <f>IF(ISNUMBER(Upaya_Debitur[[#This Row],[Angsuran Sesuai PK]]),Upaya_Debitur[[#This Row],[Angsuran Sesuai PK]],1)</f>
        <v>1</v>
      </c>
      <c r="K144" s="76"/>
      <c r="L144" s="16" t="s">
        <v>37</v>
      </c>
      <c r="N144" s="18"/>
      <c r="O144" s="76"/>
      <c r="P144" s="37"/>
      <c r="Q144" s="41"/>
      <c r="R144" s="37"/>
      <c r="S144" s="40">
        <f>IF(Upaya_Debitur[[#This Row],[Periode Haircut]]="",0,IF(Upaya_Debitur[[#This Row],[Periode Haircut]]&lt;=$B$6,Upaya_Debitur[[#This Row],[Haircut]],0))</f>
        <v>0</v>
      </c>
      <c r="T144" s="40">
        <f>IF($B$10="",0,IF($B$10&lt;=$B$6,Upaya_Debitur[[#This Row],[Set Off]],0))</f>
        <v>0</v>
      </c>
      <c r="U144" s="37">
        <v>0</v>
      </c>
      <c r="V144" s="37">
        <v>0</v>
      </c>
      <c r="W144" s="37">
        <v>0</v>
      </c>
      <c r="X144" s="37">
        <v>0</v>
      </c>
      <c r="Y144" s="37">
        <v>0</v>
      </c>
      <c r="Z144" s="37">
        <v>0</v>
      </c>
      <c r="AA144" s="37">
        <v>0</v>
      </c>
      <c r="AB144" s="37">
        <v>0</v>
      </c>
      <c r="AC144" s="37">
        <v>0</v>
      </c>
      <c r="AD144" s="37">
        <v>0</v>
      </c>
      <c r="AE144" s="37">
        <v>0</v>
      </c>
      <c r="AF144" s="37">
        <v>0</v>
      </c>
      <c r="AG144" s="37">
        <v>0</v>
      </c>
      <c r="AH144" s="37">
        <v>0</v>
      </c>
      <c r="AI144" s="37">
        <v>0</v>
      </c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40">
        <f ca="1">SUM(OFFSET(Upaya_Debitur[[#This Row],[Haircut Diperhitungkan]],0,0,1,$B$7+2))</f>
        <v>0</v>
      </c>
      <c r="BR144" s="35" t="str">
        <f ca="1">IF(Upaya_Debitur[[#This Row],[Total Pencairan]]&gt;=Upaya_Debitur[[#This Row],[Kewajiban Total]],"Lunas","Belum Lunas")</f>
        <v>Belum Lunas</v>
      </c>
      <c r="BS144" s="35" t="str">
        <f t="shared" si="5"/>
        <v>Ya</v>
      </c>
      <c r="BT144" s="35" t="str">
        <f t="shared" si="6"/>
        <v>Ya</v>
      </c>
      <c r="BU14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4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4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44" s="35" t="str">
        <f>IF(Upaya_Debitur[[#This Row],[Kondisi Debitur]]="Tidak ditemukan","Ya","Tidak")</f>
        <v>Ya</v>
      </c>
      <c r="BY14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4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4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44" s="18">
        <v>43781</v>
      </c>
      <c r="CC144" s="18">
        <v>43999</v>
      </c>
      <c r="CD144" s="18">
        <v>43826</v>
      </c>
      <c r="CE144" s="18">
        <v>43871</v>
      </c>
      <c r="CF144" s="18">
        <v>43887</v>
      </c>
      <c r="CG144" s="18">
        <v>43888</v>
      </c>
      <c r="CH144" s="18">
        <v>44057</v>
      </c>
      <c r="CI144" s="18">
        <v>44077</v>
      </c>
      <c r="CJ144" s="18"/>
      <c r="CK144" s="35">
        <f ca="1">COUNTIF(Upaya_Debitur[[#This Row],[Surat Pemberitahuan?]:[Gugatan Sederhana?]],"Ya")</f>
        <v>8</v>
      </c>
      <c r="CL144" s="35">
        <f ca="1">Upaya_Debitur[[#This Row],[Target Upaya]]-COUNTIFS(Upaya_Debitur[[#This Row],[Surat Pemberitahuan?]:[Gugatan Sederhana?]],"Ya",Upaya_Debitur[[#This Row],[Surat Pemberitahuan]:[Gugatan Sederhana]],"")</f>
        <v>8</v>
      </c>
      <c r="CM144" s="36">
        <f ca="1">IF(ISNUMBER(Upaya_Debitur[[#This Row],[Realisasi]]/Upaya_Debitur[[#This Row],[Target Upaya]]),Upaya_Debitur[[#This Row],[Realisasi]]/Upaya_Debitur[[#This Row],[Target Upaya]],1)</f>
        <v>1</v>
      </c>
    </row>
    <row r="145" spans="1:91" x14ac:dyDescent="0.3">
      <c r="A145" s="16">
        <v>127</v>
      </c>
      <c r="B145" s="17"/>
      <c r="C145" s="17" t="s">
        <v>428</v>
      </c>
      <c r="D145" s="16" t="s">
        <v>429</v>
      </c>
      <c r="E145" s="37">
        <v>5000000</v>
      </c>
      <c r="F145" s="37">
        <v>0</v>
      </c>
      <c r="G145" s="37">
        <v>0</v>
      </c>
      <c r="H145" s="40">
        <f>SUM(Upaya_Debitur[[#This Row],[Kewajiban Pokok]:[Kewajiban Denda]])</f>
        <v>5000000</v>
      </c>
      <c r="I145" s="37"/>
      <c r="J145" s="40">
        <f>IF(ISNUMBER(Upaya_Debitur[[#This Row],[Angsuran Sesuai PK]]),Upaya_Debitur[[#This Row],[Angsuran Sesuai PK]],1)</f>
        <v>1</v>
      </c>
      <c r="K145" s="76"/>
      <c r="L145" s="16" t="s">
        <v>83</v>
      </c>
      <c r="N145" s="18"/>
      <c r="O145" s="76"/>
      <c r="P145" s="37"/>
      <c r="Q145" s="41"/>
      <c r="R145" s="37"/>
      <c r="S145" s="40">
        <f>IF(Upaya_Debitur[[#This Row],[Periode Haircut]]="",0,IF(Upaya_Debitur[[#This Row],[Periode Haircut]]&lt;=$B$6,Upaya_Debitur[[#This Row],[Haircut]],0))</f>
        <v>0</v>
      </c>
      <c r="T145" s="40">
        <f>IF($B$10="",0,IF($B$10&lt;=$B$6,Upaya_Debitur[[#This Row],[Set Off]],0))</f>
        <v>0</v>
      </c>
      <c r="U145" s="37">
        <v>0</v>
      </c>
      <c r="V145" s="37">
        <v>0</v>
      </c>
      <c r="W145" s="37">
        <v>0</v>
      </c>
      <c r="X145" s="37">
        <v>0</v>
      </c>
      <c r="Y145" s="37">
        <v>0</v>
      </c>
      <c r="Z145" s="37">
        <v>0</v>
      </c>
      <c r="AA145" s="37">
        <v>0</v>
      </c>
      <c r="AB145" s="37">
        <v>0</v>
      </c>
      <c r="AC145" s="37">
        <v>0</v>
      </c>
      <c r="AD145" s="37">
        <v>0</v>
      </c>
      <c r="AE145" s="37">
        <v>0</v>
      </c>
      <c r="AF145" s="37">
        <v>0</v>
      </c>
      <c r="AG145" s="37">
        <v>0</v>
      </c>
      <c r="AH145" s="37">
        <v>0</v>
      </c>
      <c r="AI145" s="37">
        <v>0</v>
      </c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40">
        <f ca="1">SUM(OFFSET(Upaya_Debitur[[#This Row],[Haircut Diperhitungkan]],0,0,1,$B$7+2))</f>
        <v>0</v>
      </c>
      <c r="BR145" s="35" t="str">
        <f ca="1">IF(Upaya_Debitur[[#This Row],[Total Pencairan]]&gt;=Upaya_Debitur[[#This Row],[Kewajiban Total]],"Lunas","Belum Lunas")</f>
        <v>Belum Lunas</v>
      </c>
      <c r="BS145" s="35" t="str">
        <f t="shared" si="5"/>
        <v>Ya</v>
      </c>
      <c r="BT145" s="35" t="str">
        <f t="shared" si="6"/>
        <v>Ya</v>
      </c>
      <c r="BU14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4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4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45" s="35" t="str">
        <f>IF(Upaya_Debitur[[#This Row],[Kondisi Debitur]]="Tidak ditemukan","Ya","Tidak")</f>
        <v>Tidak</v>
      </c>
      <c r="BY14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4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4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45" s="18">
        <v>43781</v>
      </c>
      <c r="CC145" s="18">
        <v>43999</v>
      </c>
      <c r="CD145" s="18">
        <v>43826</v>
      </c>
      <c r="CE145" s="18">
        <v>43871</v>
      </c>
      <c r="CF145" s="18">
        <v>43887</v>
      </c>
      <c r="CG145" s="18">
        <v>43888</v>
      </c>
      <c r="CH145" s="18">
        <v>44057</v>
      </c>
      <c r="CI145" s="18">
        <v>44077</v>
      </c>
      <c r="CJ145" s="18"/>
      <c r="CK145" s="35">
        <f ca="1">COUNTIF(Upaya_Debitur[[#This Row],[Surat Pemberitahuan?]:[Gugatan Sederhana?]],"Ya")</f>
        <v>7</v>
      </c>
      <c r="CL145" s="35">
        <f ca="1">Upaya_Debitur[[#This Row],[Target Upaya]]-COUNTIFS(Upaya_Debitur[[#This Row],[Surat Pemberitahuan?]:[Gugatan Sederhana?]],"Ya",Upaya_Debitur[[#This Row],[Surat Pemberitahuan]:[Gugatan Sederhana]],"")</f>
        <v>7</v>
      </c>
      <c r="CM145" s="36">
        <f ca="1">IF(ISNUMBER(Upaya_Debitur[[#This Row],[Realisasi]]/Upaya_Debitur[[#This Row],[Target Upaya]]),Upaya_Debitur[[#This Row],[Realisasi]]/Upaya_Debitur[[#This Row],[Target Upaya]],1)</f>
        <v>1</v>
      </c>
    </row>
    <row r="146" spans="1:91" x14ac:dyDescent="0.3">
      <c r="A146" s="16">
        <v>128</v>
      </c>
      <c r="B146" s="17"/>
      <c r="C146" s="17" t="s">
        <v>430</v>
      </c>
      <c r="D146" s="16" t="s">
        <v>431</v>
      </c>
      <c r="E146" s="37">
        <v>803270</v>
      </c>
      <c r="F146" s="37">
        <v>0</v>
      </c>
      <c r="G146" s="37">
        <v>0</v>
      </c>
      <c r="H146" s="40">
        <f>SUM(Upaya_Debitur[[#This Row],[Kewajiban Pokok]:[Kewajiban Denda]])</f>
        <v>803270</v>
      </c>
      <c r="I146" s="37"/>
      <c r="J146" s="40">
        <f>IF(ISNUMBER(Upaya_Debitur[[#This Row],[Angsuran Sesuai PK]]),Upaya_Debitur[[#This Row],[Angsuran Sesuai PK]],1)</f>
        <v>1</v>
      </c>
      <c r="K146" s="76"/>
      <c r="L146" s="16" t="s">
        <v>37</v>
      </c>
      <c r="N146" s="18"/>
      <c r="O146" s="76"/>
      <c r="P146" s="37"/>
      <c r="Q146" s="41"/>
      <c r="R146" s="37"/>
      <c r="S146" s="40">
        <f>IF(Upaya_Debitur[[#This Row],[Periode Haircut]]="",0,IF(Upaya_Debitur[[#This Row],[Periode Haircut]]&lt;=$B$6,Upaya_Debitur[[#This Row],[Haircut]],0))</f>
        <v>0</v>
      </c>
      <c r="T146" s="40">
        <f>IF($B$10="",0,IF($B$10&lt;=$B$6,Upaya_Debitur[[#This Row],[Set Off]],0))</f>
        <v>0</v>
      </c>
      <c r="U146" s="37">
        <v>0</v>
      </c>
      <c r="V146" s="37">
        <v>0</v>
      </c>
      <c r="W146" s="37">
        <v>0</v>
      </c>
      <c r="X146" s="37">
        <v>0</v>
      </c>
      <c r="Y146" s="37">
        <v>0</v>
      </c>
      <c r="Z146" s="37">
        <v>0</v>
      </c>
      <c r="AA146" s="37">
        <v>0</v>
      </c>
      <c r="AB146" s="37">
        <v>0</v>
      </c>
      <c r="AC146" s="37">
        <v>0</v>
      </c>
      <c r="AD146" s="37">
        <v>0</v>
      </c>
      <c r="AE146" s="37">
        <v>0</v>
      </c>
      <c r="AF146" s="37">
        <v>0</v>
      </c>
      <c r="AG146" s="37">
        <v>0</v>
      </c>
      <c r="AH146" s="37">
        <v>0</v>
      </c>
      <c r="AI146" s="37">
        <v>0</v>
      </c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40">
        <f ca="1">SUM(OFFSET(Upaya_Debitur[[#This Row],[Haircut Diperhitungkan]],0,0,1,$B$7+2))</f>
        <v>0</v>
      </c>
      <c r="BR146" s="35" t="str">
        <f ca="1">IF(Upaya_Debitur[[#This Row],[Total Pencairan]]&gt;=Upaya_Debitur[[#This Row],[Kewajiban Total]],"Lunas","Belum Lunas")</f>
        <v>Belum Lunas</v>
      </c>
      <c r="BS146" s="35" t="str">
        <f t="shared" si="5"/>
        <v>Ya</v>
      </c>
      <c r="BT146" s="35" t="str">
        <f t="shared" si="6"/>
        <v>Ya</v>
      </c>
      <c r="BU14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4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4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46" s="35" t="str">
        <f>IF(Upaya_Debitur[[#This Row],[Kondisi Debitur]]="Tidak ditemukan","Ya","Tidak")</f>
        <v>Ya</v>
      </c>
      <c r="BY14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4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4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46" s="18">
        <v>43781</v>
      </c>
      <c r="CC146" s="18">
        <v>43999</v>
      </c>
      <c r="CD146" s="18">
        <v>43826</v>
      </c>
      <c r="CE146" s="18">
        <v>43871</v>
      </c>
      <c r="CF146" s="18">
        <v>43887</v>
      </c>
      <c r="CG146" s="18">
        <v>43888</v>
      </c>
      <c r="CH146" s="18">
        <v>44057</v>
      </c>
      <c r="CI146" s="18">
        <v>44077</v>
      </c>
      <c r="CJ146" s="18"/>
      <c r="CK146" s="35">
        <f ca="1">COUNTIF(Upaya_Debitur[[#This Row],[Surat Pemberitahuan?]:[Gugatan Sederhana?]],"Ya")</f>
        <v>8</v>
      </c>
      <c r="CL146" s="35">
        <f ca="1">Upaya_Debitur[[#This Row],[Target Upaya]]-COUNTIFS(Upaya_Debitur[[#This Row],[Surat Pemberitahuan?]:[Gugatan Sederhana?]],"Ya",Upaya_Debitur[[#This Row],[Surat Pemberitahuan]:[Gugatan Sederhana]],"")</f>
        <v>8</v>
      </c>
      <c r="CM146" s="36">
        <f ca="1">IF(ISNUMBER(Upaya_Debitur[[#This Row],[Realisasi]]/Upaya_Debitur[[#This Row],[Target Upaya]]),Upaya_Debitur[[#This Row],[Realisasi]]/Upaya_Debitur[[#This Row],[Target Upaya]],1)</f>
        <v>1</v>
      </c>
    </row>
    <row r="147" spans="1:91" x14ac:dyDescent="0.3">
      <c r="A147" s="16">
        <v>129</v>
      </c>
      <c r="B147" s="17"/>
      <c r="C147" s="17" t="s">
        <v>432</v>
      </c>
      <c r="D147" s="16" t="s">
        <v>433</v>
      </c>
      <c r="E147" s="37">
        <v>240000</v>
      </c>
      <c r="F147" s="37">
        <v>0</v>
      </c>
      <c r="G147" s="37">
        <v>0</v>
      </c>
      <c r="H147" s="40">
        <f>SUM(Upaya_Debitur[[#This Row],[Kewajiban Pokok]:[Kewajiban Denda]])</f>
        <v>240000</v>
      </c>
      <c r="I147" s="37"/>
      <c r="J147" s="40">
        <f>IF(ISNUMBER(Upaya_Debitur[[#This Row],[Angsuran Sesuai PK]]),Upaya_Debitur[[#This Row],[Angsuran Sesuai PK]],1)</f>
        <v>1</v>
      </c>
      <c r="K147" s="76"/>
      <c r="L147" s="16" t="s">
        <v>37</v>
      </c>
      <c r="N147" s="18"/>
      <c r="O147" s="76"/>
      <c r="P147" s="37"/>
      <c r="Q147" s="41"/>
      <c r="R147" s="37"/>
      <c r="S147" s="40">
        <f>IF(Upaya_Debitur[[#This Row],[Periode Haircut]]="",0,IF(Upaya_Debitur[[#This Row],[Periode Haircut]]&lt;=$B$6,Upaya_Debitur[[#This Row],[Haircut]],0))</f>
        <v>0</v>
      </c>
      <c r="T147" s="40">
        <f>IF($B$10="",0,IF($B$10&lt;=$B$6,Upaya_Debitur[[#This Row],[Set Off]],0))</f>
        <v>0</v>
      </c>
      <c r="U147" s="37">
        <v>0</v>
      </c>
      <c r="V147" s="37">
        <v>0</v>
      </c>
      <c r="W147" s="37">
        <v>0</v>
      </c>
      <c r="X147" s="37">
        <v>0</v>
      </c>
      <c r="Y147" s="37">
        <v>0</v>
      </c>
      <c r="Z147" s="37">
        <v>0</v>
      </c>
      <c r="AA147" s="37">
        <v>0</v>
      </c>
      <c r="AB147" s="37">
        <v>0</v>
      </c>
      <c r="AC147" s="37">
        <v>0</v>
      </c>
      <c r="AD147" s="37">
        <v>0</v>
      </c>
      <c r="AE147" s="37">
        <v>0</v>
      </c>
      <c r="AF147" s="37">
        <v>0</v>
      </c>
      <c r="AG147" s="37">
        <v>0</v>
      </c>
      <c r="AH147" s="37">
        <v>0</v>
      </c>
      <c r="AI147" s="37">
        <v>0</v>
      </c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40">
        <f ca="1">SUM(OFFSET(Upaya_Debitur[[#This Row],[Haircut Diperhitungkan]],0,0,1,$B$7+2))</f>
        <v>0</v>
      </c>
      <c r="BR147" s="35" t="str">
        <f ca="1">IF(Upaya_Debitur[[#This Row],[Total Pencairan]]&gt;=Upaya_Debitur[[#This Row],[Kewajiban Total]],"Lunas","Belum Lunas")</f>
        <v>Belum Lunas</v>
      </c>
      <c r="BS147" s="35" t="str">
        <f t="shared" si="5"/>
        <v>Ya</v>
      </c>
      <c r="BT147" s="35" t="str">
        <f t="shared" si="6"/>
        <v>Ya</v>
      </c>
      <c r="BU14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4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4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47" s="35" t="str">
        <f>IF(Upaya_Debitur[[#This Row],[Kondisi Debitur]]="Tidak ditemukan","Ya","Tidak")</f>
        <v>Ya</v>
      </c>
      <c r="BY14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4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4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47" s="18">
        <v>43781</v>
      </c>
      <c r="CC147" s="18">
        <v>43999</v>
      </c>
      <c r="CD147" s="18">
        <v>43826</v>
      </c>
      <c r="CE147" s="18">
        <v>43871</v>
      </c>
      <c r="CF147" s="18">
        <v>43887</v>
      </c>
      <c r="CG147" s="18">
        <v>44035</v>
      </c>
      <c r="CH147" s="18">
        <v>44057</v>
      </c>
      <c r="CI147" s="18">
        <v>44077</v>
      </c>
      <c r="CJ147" s="18"/>
      <c r="CK147" s="35">
        <f ca="1">COUNTIF(Upaya_Debitur[[#This Row],[Surat Pemberitahuan?]:[Gugatan Sederhana?]],"Ya")</f>
        <v>8</v>
      </c>
      <c r="CL147" s="35">
        <f ca="1">Upaya_Debitur[[#This Row],[Target Upaya]]-COUNTIFS(Upaya_Debitur[[#This Row],[Surat Pemberitahuan?]:[Gugatan Sederhana?]],"Ya",Upaya_Debitur[[#This Row],[Surat Pemberitahuan]:[Gugatan Sederhana]],"")</f>
        <v>8</v>
      </c>
      <c r="CM147" s="36">
        <f ca="1">IF(ISNUMBER(Upaya_Debitur[[#This Row],[Realisasi]]/Upaya_Debitur[[#This Row],[Target Upaya]]),Upaya_Debitur[[#This Row],[Realisasi]]/Upaya_Debitur[[#This Row],[Target Upaya]],1)</f>
        <v>1</v>
      </c>
    </row>
    <row r="148" spans="1:91" x14ac:dyDescent="0.3">
      <c r="A148" s="16">
        <v>130</v>
      </c>
      <c r="B148" s="17"/>
      <c r="C148" s="17" t="s">
        <v>434</v>
      </c>
      <c r="D148" s="16" t="s">
        <v>435</v>
      </c>
      <c r="E148" s="37">
        <v>1669500</v>
      </c>
      <c r="F148" s="37">
        <v>0</v>
      </c>
      <c r="G148" s="37">
        <v>0</v>
      </c>
      <c r="H148" s="40">
        <f>SUM(Upaya_Debitur[[#This Row],[Kewajiban Pokok]:[Kewajiban Denda]])</f>
        <v>1669500</v>
      </c>
      <c r="I148" s="37"/>
      <c r="J148" s="40">
        <f>IF(ISNUMBER(Upaya_Debitur[[#This Row],[Angsuran Sesuai PK]]),Upaya_Debitur[[#This Row],[Angsuran Sesuai PK]],1)</f>
        <v>1</v>
      </c>
      <c r="K148" s="76"/>
      <c r="L148" s="16" t="s">
        <v>83</v>
      </c>
      <c r="N148" s="18"/>
      <c r="O148" s="76"/>
      <c r="P148" s="37"/>
      <c r="Q148" s="41"/>
      <c r="R148" s="37"/>
      <c r="S148" s="40">
        <f>IF(Upaya_Debitur[[#This Row],[Periode Haircut]]="",0,IF(Upaya_Debitur[[#This Row],[Periode Haircut]]&lt;=$B$6,Upaya_Debitur[[#This Row],[Haircut]],0))</f>
        <v>0</v>
      </c>
      <c r="T148" s="40">
        <f>IF($B$10="",0,IF($B$10&lt;=$B$6,Upaya_Debitur[[#This Row],[Set Off]],0))</f>
        <v>0</v>
      </c>
      <c r="U148" s="37">
        <v>0</v>
      </c>
      <c r="V148" s="37">
        <v>1670000</v>
      </c>
      <c r="W148" s="37">
        <v>0</v>
      </c>
      <c r="X148" s="37">
        <v>0</v>
      </c>
      <c r="Y148" s="37">
        <v>0</v>
      </c>
      <c r="Z148" s="37">
        <v>0</v>
      </c>
      <c r="AA148" s="37">
        <v>0</v>
      </c>
      <c r="AB148" s="37">
        <v>0</v>
      </c>
      <c r="AC148" s="37">
        <v>0</v>
      </c>
      <c r="AD148" s="37">
        <v>0</v>
      </c>
      <c r="AE148" s="37">
        <v>0</v>
      </c>
      <c r="AF148" s="37">
        <v>0</v>
      </c>
      <c r="AG148" s="37">
        <v>0</v>
      </c>
      <c r="AH148" s="37">
        <v>0</v>
      </c>
      <c r="AI148" s="37">
        <v>0</v>
      </c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40">
        <f ca="1">SUM(OFFSET(Upaya_Debitur[[#This Row],[Haircut Diperhitungkan]],0,0,1,$B$7+2))</f>
        <v>1670000</v>
      </c>
      <c r="BR148" s="35" t="str">
        <f ca="1">IF(Upaya_Debitur[[#This Row],[Total Pencairan]]&gt;=Upaya_Debitur[[#This Row],[Kewajiban Total]],"Lunas","Belum Lunas")</f>
        <v>Lunas</v>
      </c>
      <c r="BS148" s="35" t="str">
        <f t="shared" si="5"/>
        <v>Ya</v>
      </c>
      <c r="BT148" s="35" t="str">
        <f t="shared" si="6"/>
        <v>Ya</v>
      </c>
      <c r="BU14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14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14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148" s="35" t="str">
        <f>IF(Upaya_Debitur[[#This Row],[Kondisi Debitur]]="Tidak ditemukan","Ya","Tidak")</f>
        <v>Tidak</v>
      </c>
      <c r="BY14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14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14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48" s="18">
        <v>43781</v>
      </c>
      <c r="CC148" s="18">
        <v>43871</v>
      </c>
      <c r="CD148" s="18"/>
      <c r="CE148" s="18"/>
      <c r="CF148" s="18"/>
      <c r="CG148" s="18"/>
      <c r="CH148" s="18">
        <v>44057</v>
      </c>
      <c r="CI148" s="18">
        <v>44077</v>
      </c>
      <c r="CJ148" s="18"/>
      <c r="CK148" s="35">
        <f ca="1">COUNTIF(Upaya_Debitur[[#This Row],[Surat Pemberitahuan?]:[Gugatan Sederhana?]],"Ya")</f>
        <v>2</v>
      </c>
      <c r="CL148" s="35">
        <f ca="1">Upaya_Debitur[[#This Row],[Target Upaya]]-COUNTIFS(Upaya_Debitur[[#This Row],[Surat Pemberitahuan?]:[Gugatan Sederhana?]],"Ya",Upaya_Debitur[[#This Row],[Surat Pemberitahuan]:[Gugatan Sederhana]],"")</f>
        <v>2</v>
      </c>
      <c r="CM148" s="36">
        <f ca="1">IF(ISNUMBER(Upaya_Debitur[[#This Row],[Realisasi]]/Upaya_Debitur[[#This Row],[Target Upaya]]),Upaya_Debitur[[#This Row],[Realisasi]]/Upaya_Debitur[[#This Row],[Target Upaya]],1)</f>
        <v>1</v>
      </c>
    </row>
    <row r="149" spans="1:91" x14ac:dyDescent="0.3">
      <c r="A149" s="16">
        <v>131</v>
      </c>
      <c r="B149" s="17"/>
      <c r="C149" s="17" t="s">
        <v>436</v>
      </c>
      <c r="D149" s="16" t="s">
        <v>437</v>
      </c>
      <c r="E149" s="37">
        <v>108269</v>
      </c>
      <c r="F149" s="37">
        <v>0</v>
      </c>
      <c r="G149" s="37">
        <v>0</v>
      </c>
      <c r="H149" s="40">
        <f>SUM(Upaya_Debitur[[#This Row],[Kewajiban Pokok]:[Kewajiban Denda]])</f>
        <v>108269</v>
      </c>
      <c r="I149" s="37"/>
      <c r="J149" s="40">
        <f>IF(ISNUMBER(Upaya_Debitur[[#This Row],[Angsuran Sesuai PK]]),Upaya_Debitur[[#This Row],[Angsuran Sesuai PK]],1)</f>
        <v>1</v>
      </c>
      <c r="K149" s="76"/>
      <c r="L149" s="16" t="s">
        <v>37</v>
      </c>
      <c r="N149" s="18"/>
      <c r="O149" s="76"/>
      <c r="P149" s="37"/>
      <c r="Q149" s="41"/>
      <c r="R149" s="37"/>
      <c r="S149" s="40">
        <f>IF(Upaya_Debitur[[#This Row],[Periode Haircut]]="",0,IF(Upaya_Debitur[[#This Row],[Periode Haircut]]&lt;=$B$6,Upaya_Debitur[[#This Row],[Haircut]],0))</f>
        <v>0</v>
      </c>
      <c r="T149" s="40">
        <f>IF($B$10="",0,IF($B$10&lt;=$B$6,Upaya_Debitur[[#This Row],[Set Off]],0))</f>
        <v>0</v>
      </c>
      <c r="U149" s="37">
        <v>0</v>
      </c>
      <c r="V149" s="37">
        <v>108269</v>
      </c>
      <c r="W149" s="37">
        <v>0</v>
      </c>
      <c r="X149" s="37">
        <v>0</v>
      </c>
      <c r="Y149" s="37">
        <v>0</v>
      </c>
      <c r="Z149" s="37">
        <v>0</v>
      </c>
      <c r="AA149" s="37">
        <v>0</v>
      </c>
      <c r="AB149" s="37">
        <v>0</v>
      </c>
      <c r="AC149" s="37">
        <v>0</v>
      </c>
      <c r="AD149" s="37">
        <v>0</v>
      </c>
      <c r="AE149" s="37">
        <v>0</v>
      </c>
      <c r="AF149" s="37">
        <v>0</v>
      </c>
      <c r="AG149" s="37">
        <v>0</v>
      </c>
      <c r="AH149" s="37">
        <v>0</v>
      </c>
      <c r="AI149" s="37">
        <v>0</v>
      </c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40">
        <f ca="1">SUM(OFFSET(Upaya_Debitur[[#This Row],[Haircut Diperhitungkan]],0,0,1,$B$7+2))</f>
        <v>108269</v>
      </c>
      <c r="BR149" s="35" t="str">
        <f ca="1">IF(Upaya_Debitur[[#This Row],[Total Pencairan]]&gt;=Upaya_Debitur[[#This Row],[Kewajiban Total]],"Lunas","Belum Lunas")</f>
        <v>Lunas</v>
      </c>
      <c r="BS149" s="35" t="str">
        <f t="shared" si="5"/>
        <v>Ya</v>
      </c>
      <c r="BT149" s="35" t="str">
        <f t="shared" si="6"/>
        <v>Ya</v>
      </c>
      <c r="BU14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14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14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149" s="35" t="str">
        <f>IF(Upaya_Debitur[[#This Row],[Kondisi Debitur]]="Tidak ditemukan","Ya","Tidak")</f>
        <v>Ya</v>
      </c>
      <c r="BY14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14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14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49" s="18">
        <v>43781</v>
      </c>
      <c r="CC149" s="18">
        <v>43871</v>
      </c>
      <c r="CD149" s="18">
        <v>43826</v>
      </c>
      <c r="CE149" s="18"/>
      <c r="CF149" s="18"/>
      <c r="CG149" s="18">
        <v>44035</v>
      </c>
      <c r="CH149" s="18">
        <v>44057</v>
      </c>
      <c r="CI149" s="18">
        <v>44077</v>
      </c>
      <c r="CJ149" s="18"/>
      <c r="CK149" s="35">
        <f ca="1">COUNTIF(Upaya_Debitur[[#This Row],[Surat Pemberitahuan?]:[Gugatan Sederhana?]],"Ya")</f>
        <v>3</v>
      </c>
      <c r="CL149" s="35">
        <f ca="1">Upaya_Debitur[[#This Row],[Target Upaya]]-COUNTIFS(Upaya_Debitur[[#This Row],[Surat Pemberitahuan?]:[Gugatan Sederhana?]],"Ya",Upaya_Debitur[[#This Row],[Surat Pemberitahuan]:[Gugatan Sederhana]],"")</f>
        <v>3</v>
      </c>
      <c r="CM149" s="36">
        <f ca="1">IF(ISNUMBER(Upaya_Debitur[[#This Row],[Realisasi]]/Upaya_Debitur[[#This Row],[Target Upaya]]),Upaya_Debitur[[#This Row],[Realisasi]]/Upaya_Debitur[[#This Row],[Target Upaya]],1)</f>
        <v>1</v>
      </c>
    </row>
    <row r="150" spans="1:91" x14ac:dyDescent="0.3">
      <c r="A150" s="16">
        <v>132</v>
      </c>
      <c r="B150" s="17"/>
      <c r="C150" s="17" t="s">
        <v>438</v>
      </c>
      <c r="D150" s="16" t="s">
        <v>439</v>
      </c>
      <c r="E150" s="37">
        <v>90000</v>
      </c>
      <c r="F150" s="37">
        <v>0</v>
      </c>
      <c r="G150" s="37">
        <v>0</v>
      </c>
      <c r="H150" s="40">
        <f>SUM(Upaya_Debitur[[#This Row],[Kewajiban Pokok]:[Kewajiban Denda]])</f>
        <v>90000</v>
      </c>
      <c r="I150" s="37"/>
      <c r="J150" s="40">
        <f>IF(ISNUMBER(Upaya_Debitur[[#This Row],[Angsuran Sesuai PK]]),Upaya_Debitur[[#This Row],[Angsuran Sesuai PK]],1)</f>
        <v>1</v>
      </c>
      <c r="K150" s="76"/>
      <c r="L150" s="16" t="s">
        <v>37</v>
      </c>
      <c r="N150" s="18"/>
      <c r="O150" s="76"/>
      <c r="P150" s="37"/>
      <c r="Q150" s="41"/>
      <c r="R150" s="37"/>
      <c r="S150" s="40">
        <f>IF(Upaya_Debitur[[#This Row],[Periode Haircut]]="",0,IF(Upaya_Debitur[[#This Row],[Periode Haircut]]&lt;=$B$6,Upaya_Debitur[[#This Row],[Haircut]],0))</f>
        <v>0</v>
      </c>
      <c r="T150" s="40">
        <f>IF($B$10="",0,IF($B$10&lt;=$B$6,Upaya_Debitur[[#This Row],[Set Off]],0))</f>
        <v>0</v>
      </c>
      <c r="U150" s="37">
        <v>0</v>
      </c>
      <c r="V150" s="37">
        <v>0</v>
      </c>
      <c r="W150" s="37">
        <v>0</v>
      </c>
      <c r="X150" s="37">
        <v>0</v>
      </c>
      <c r="Y150" s="37">
        <v>0</v>
      </c>
      <c r="Z150" s="37">
        <v>0</v>
      </c>
      <c r="AA150" s="37">
        <v>0</v>
      </c>
      <c r="AB150" s="37">
        <v>0</v>
      </c>
      <c r="AC150" s="37">
        <v>0</v>
      </c>
      <c r="AD150" s="37">
        <v>0</v>
      </c>
      <c r="AE150" s="37">
        <v>0</v>
      </c>
      <c r="AF150" s="37">
        <v>0</v>
      </c>
      <c r="AG150" s="37">
        <v>0</v>
      </c>
      <c r="AH150" s="37">
        <v>0</v>
      </c>
      <c r="AI150" s="37">
        <v>0</v>
      </c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40">
        <f ca="1">SUM(OFFSET(Upaya_Debitur[[#This Row],[Haircut Diperhitungkan]],0,0,1,$B$7+2))</f>
        <v>0</v>
      </c>
      <c r="BR150" s="35" t="str">
        <f ca="1">IF(Upaya_Debitur[[#This Row],[Total Pencairan]]&gt;=Upaya_Debitur[[#This Row],[Kewajiban Total]],"Lunas","Belum Lunas")</f>
        <v>Belum Lunas</v>
      </c>
      <c r="BS150" s="35" t="str">
        <f t="shared" ref="BS150:BS213" si="7">"Ya"</f>
        <v>Ya</v>
      </c>
      <c r="BT150" s="35" t="str">
        <f t="shared" ref="BT150:BT213" si="8">"Ya"</f>
        <v>Ya</v>
      </c>
      <c r="BU15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5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5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50" s="35" t="str">
        <f>IF(Upaya_Debitur[[#This Row],[Kondisi Debitur]]="Tidak ditemukan","Ya","Tidak")</f>
        <v>Ya</v>
      </c>
      <c r="BY15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5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5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50" s="18">
        <v>43781</v>
      </c>
      <c r="CC150" s="18">
        <v>43999</v>
      </c>
      <c r="CD150" s="18">
        <v>43826</v>
      </c>
      <c r="CE150" s="18">
        <v>43871</v>
      </c>
      <c r="CF150" s="18">
        <v>43887</v>
      </c>
      <c r="CG150" s="18">
        <v>44035</v>
      </c>
      <c r="CH150" s="18">
        <v>44057</v>
      </c>
      <c r="CI150" s="18">
        <v>44077</v>
      </c>
      <c r="CJ150" s="18"/>
      <c r="CK150" s="35">
        <f ca="1">COUNTIF(Upaya_Debitur[[#This Row],[Surat Pemberitahuan?]:[Gugatan Sederhana?]],"Ya")</f>
        <v>8</v>
      </c>
      <c r="CL150" s="35">
        <f ca="1">Upaya_Debitur[[#This Row],[Target Upaya]]-COUNTIFS(Upaya_Debitur[[#This Row],[Surat Pemberitahuan?]:[Gugatan Sederhana?]],"Ya",Upaya_Debitur[[#This Row],[Surat Pemberitahuan]:[Gugatan Sederhana]],"")</f>
        <v>8</v>
      </c>
      <c r="CM150" s="36">
        <f ca="1">IF(ISNUMBER(Upaya_Debitur[[#This Row],[Realisasi]]/Upaya_Debitur[[#This Row],[Target Upaya]]),Upaya_Debitur[[#This Row],[Realisasi]]/Upaya_Debitur[[#This Row],[Target Upaya]],1)</f>
        <v>1</v>
      </c>
    </row>
    <row r="151" spans="1:91" x14ac:dyDescent="0.3">
      <c r="A151" s="16">
        <v>133</v>
      </c>
      <c r="B151" s="17"/>
      <c r="C151" s="17" t="s">
        <v>440</v>
      </c>
      <c r="D151" s="16" t="s">
        <v>441</v>
      </c>
      <c r="E151" s="37">
        <v>6440000</v>
      </c>
      <c r="F151" s="37">
        <v>0</v>
      </c>
      <c r="G151" s="37">
        <v>0</v>
      </c>
      <c r="H151" s="40">
        <f>SUM(Upaya_Debitur[[#This Row],[Kewajiban Pokok]:[Kewajiban Denda]])</f>
        <v>6440000</v>
      </c>
      <c r="I151" s="37"/>
      <c r="J151" s="40">
        <f>IF(ISNUMBER(Upaya_Debitur[[#This Row],[Angsuran Sesuai PK]]),Upaya_Debitur[[#This Row],[Angsuran Sesuai PK]],1)</f>
        <v>1</v>
      </c>
      <c r="K151" s="76"/>
      <c r="L151" s="16" t="s">
        <v>83</v>
      </c>
      <c r="N151" s="18"/>
      <c r="O151" s="76"/>
      <c r="P151" s="37"/>
      <c r="Q151" s="41"/>
      <c r="R151" s="37"/>
      <c r="S151" s="40">
        <f>IF(Upaya_Debitur[[#This Row],[Periode Haircut]]="",0,IF(Upaya_Debitur[[#This Row],[Periode Haircut]]&lt;=$B$6,Upaya_Debitur[[#This Row],[Haircut]],0))</f>
        <v>0</v>
      </c>
      <c r="T151" s="40">
        <f>IF($B$10="",0,IF($B$10&lt;=$B$6,Upaya_Debitur[[#This Row],[Set Off]],0))</f>
        <v>0</v>
      </c>
      <c r="U151" s="37">
        <v>0</v>
      </c>
      <c r="V151" s="37">
        <v>0</v>
      </c>
      <c r="W151" s="37">
        <v>0</v>
      </c>
      <c r="X151" s="37">
        <v>0</v>
      </c>
      <c r="Y151" s="37">
        <v>0</v>
      </c>
      <c r="Z151" s="37">
        <v>0</v>
      </c>
      <c r="AA151" s="37">
        <v>0</v>
      </c>
      <c r="AB151" s="37">
        <v>0</v>
      </c>
      <c r="AC151" s="37">
        <v>0</v>
      </c>
      <c r="AD151" s="37">
        <v>0</v>
      </c>
      <c r="AE151" s="37">
        <v>0</v>
      </c>
      <c r="AF151" s="37">
        <v>0</v>
      </c>
      <c r="AG151" s="37">
        <v>0</v>
      </c>
      <c r="AH151" s="37">
        <v>0</v>
      </c>
      <c r="AI151" s="37">
        <v>0</v>
      </c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40">
        <f ca="1">SUM(OFFSET(Upaya_Debitur[[#This Row],[Haircut Diperhitungkan]],0,0,1,$B$7+2))</f>
        <v>0</v>
      </c>
      <c r="BR151" s="35" t="str">
        <f ca="1">IF(Upaya_Debitur[[#This Row],[Total Pencairan]]&gt;=Upaya_Debitur[[#This Row],[Kewajiban Total]],"Lunas","Belum Lunas")</f>
        <v>Belum Lunas</v>
      </c>
      <c r="BS151" s="35" t="str">
        <f t="shared" si="7"/>
        <v>Ya</v>
      </c>
      <c r="BT151" s="35" t="str">
        <f t="shared" si="8"/>
        <v>Ya</v>
      </c>
      <c r="BU15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5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5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51" s="35" t="str">
        <f>IF(Upaya_Debitur[[#This Row],[Kondisi Debitur]]="Tidak ditemukan","Ya","Tidak")</f>
        <v>Tidak</v>
      </c>
      <c r="BY15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5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5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51" s="18">
        <v>43781</v>
      </c>
      <c r="CC151" s="18">
        <v>43999</v>
      </c>
      <c r="CD151" s="18">
        <v>43826</v>
      </c>
      <c r="CE151" s="18">
        <v>43871</v>
      </c>
      <c r="CF151" s="18">
        <v>43887</v>
      </c>
      <c r="CG151" s="18"/>
      <c r="CH151" s="18">
        <v>44057</v>
      </c>
      <c r="CI151" s="18">
        <v>44077</v>
      </c>
      <c r="CJ151" s="18"/>
      <c r="CK151" s="35">
        <f ca="1">COUNTIF(Upaya_Debitur[[#This Row],[Surat Pemberitahuan?]:[Gugatan Sederhana?]],"Ya")</f>
        <v>7</v>
      </c>
      <c r="CL151" s="35">
        <f ca="1">Upaya_Debitur[[#This Row],[Target Upaya]]-COUNTIFS(Upaya_Debitur[[#This Row],[Surat Pemberitahuan?]:[Gugatan Sederhana?]],"Ya",Upaya_Debitur[[#This Row],[Surat Pemberitahuan]:[Gugatan Sederhana]],"")</f>
        <v>7</v>
      </c>
      <c r="CM151" s="36">
        <f ca="1">IF(ISNUMBER(Upaya_Debitur[[#This Row],[Realisasi]]/Upaya_Debitur[[#This Row],[Target Upaya]]),Upaya_Debitur[[#This Row],[Realisasi]]/Upaya_Debitur[[#This Row],[Target Upaya]],1)</f>
        <v>1</v>
      </c>
    </row>
    <row r="152" spans="1:91" x14ac:dyDescent="0.3">
      <c r="A152" s="16">
        <v>134</v>
      </c>
      <c r="B152" s="17"/>
      <c r="C152" s="17" t="s">
        <v>442</v>
      </c>
      <c r="D152" s="16" t="s">
        <v>443</v>
      </c>
      <c r="E152" s="37">
        <v>7000000</v>
      </c>
      <c r="F152" s="37">
        <v>0</v>
      </c>
      <c r="G152" s="37">
        <v>0</v>
      </c>
      <c r="H152" s="40">
        <f>SUM(Upaya_Debitur[[#This Row],[Kewajiban Pokok]:[Kewajiban Denda]])</f>
        <v>7000000</v>
      </c>
      <c r="I152" s="37"/>
      <c r="J152" s="40">
        <f>IF(ISNUMBER(Upaya_Debitur[[#This Row],[Angsuran Sesuai PK]]),Upaya_Debitur[[#This Row],[Angsuran Sesuai PK]],1)</f>
        <v>1</v>
      </c>
      <c r="K152" s="76"/>
      <c r="L152" s="16" t="s">
        <v>37</v>
      </c>
      <c r="N152" s="18"/>
      <c r="O152" s="76"/>
      <c r="P152" s="37"/>
      <c r="Q152" s="41"/>
      <c r="R152" s="37"/>
      <c r="S152" s="40">
        <f>IF(Upaya_Debitur[[#This Row],[Periode Haircut]]="",0,IF(Upaya_Debitur[[#This Row],[Periode Haircut]]&lt;=$B$6,Upaya_Debitur[[#This Row],[Haircut]],0))</f>
        <v>0</v>
      </c>
      <c r="T152" s="40">
        <f>IF($B$10="",0,IF($B$10&lt;=$B$6,Upaya_Debitur[[#This Row],[Set Off]],0))</f>
        <v>0</v>
      </c>
      <c r="U152" s="37">
        <v>0</v>
      </c>
      <c r="V152" s="37">
        <v>0</v>
      </c>
      <c r="W152" s="37">
        <v>0</v>
      </c>
      <c r="X152" s="37">
        <v>0</v>
      </c>
      <c r="Y152" s="37">
        <v>0</v>
      </c>
      <c r="Z152" s="37">
        <v>0</v>
      </c>
      <c r="AA152" s="37">
        <v>0</v>
      </c>
      <c r="AB152" s="37">
        <v>0</v>
      </c>
      <c r="AC152" s="37">
        <v>0</v>
      </c>
      <c r="AD152" s="37">
        <v>0</v>
      </c>
      <c r="AE152" s="37">
        <v>0</v>
      </c>
      <c r="AF152" s="37">
        <v>0</v>
      </c>
      <c r="AG152" s="37">
        <v>0</v>
      </c>
      <c r="AH152" s="37">
        <v>0</v>
      </c>
      <c r="AI152" s="37">
        <v>0</v>
      </c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40">
        <f ca="1">SUM(OFFSET(Upaya_Debitur[[#This Row],[Haircut Diperhitungkan]],0,0,1,$B$7+2))</f>
        <v>0</v>
      </c>
      <c r="BR152" s="35" t="str">
        <f ca="1">IF(Upaya_Debitur[[#This Row],[Total Pencairan]]&gt;=Upaya_Debitur[[#This Row],[Kewajiban Total]],"Lunas","Belum Lunas")</f>
        <v>Belum Lunas</v>
      </c>
      <c r="BS152" s="35" t="str">
        <f t="shared" si="7"/>
        <v>Ya</v>
      </c>
      <c r="BT152" s="35" t="str">
        <f t="shared" si="8"/>
        <v>Ya</v>
      </c>
      <c r="BU15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5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5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52" s="35" t="str">
        <f>IF(Upaya_Debitur[[#This Row],[Kondisi Debitur]]="Tidak ditemukan","Ya","Tidak")</f>
        <v>Ya</v>
      </c>
      <c r="BY15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5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5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52" s="18">
        <v>43781</v>
      </c>
      <c r="CC152" s="18">
        <v>43999</v>
      </c>
      <c r="CD152" s="18">
        <v>43826</v>
      </c>
      <c r="CE152" s="18">
        <v>43871</v>
      </c>
      <c r="CF152" s="18">
        <v>43887</v>
      </c>
      <c r="CG152" s="18">
        <v>43888</v>
      </c>
      <c r="CH152" s="18">
        <v>44057</v>
      </c>
      <c r="CI152" s="18">
        <v>44077</v>
      </c>
      <c r="CJ152" s="18"/>
      <c r="CK152" s="35">
        <f ca="1">COUNTIF(Upaya_Debitur[[#This Row],[Surat Pemberitahuan?]:[Gugatan Sederhana?]],"Ya")</f>
        <v>8</v>
      </c>
      <c r="CL152" s="35">
        <f ca="1">Upaya_Debitur[[#This Row],[Target Upaya]]-COUNTIFS(Upaya_Debitur[[#This Row],[Surat Pemberitahuan?]:[Gugatan Sederhana?]],"Ya",Upaya_Debitur[[#This Row],[Surat Pemberitahuan]:[Gugatan Sederhana]],"")</f>
        <v>8</v>
      </c>
      <c r="CM152" s="36">
        <f ca="1">IF(ISNUMBER(Upaya_Debitur[[#This Row],[Realisasi]]/Upaya_Debitur[[#This Row],[Target Upaya]]),Upaya_Debitur[[#This Row],[Realisasi]]/Upaya_Debitur[[#This Row],[Target Upaya]],1)</f>
        <v>1</v>
      </c>
    </row>
    <row r="153" spans="1:91" x14ac:dyDescent="0.3">
      <c r="A153" s="16">
        <v>135</v>
      </c>
      <c r="B153" s="17"/>
      <c r="C153" s="17" t="s">
        <v>444</v>
      </c>
      <c r="D153" s="16" t="s">
        <v>445</v>
      </c>
      <c r="E153" s="37">
        <v>109893</v>
      </c>
      <c r="F153" s="37">
        <v>0</v>
      </c>
      <c r="G153" s="37">
        <v>0</v>
      </c>
      <c r="H153" s="40">
        <f>SUM(Upaya_Debitur[[#This Row],[Kewajiban Pokok]:[Kewajiban Denda]])</f>
        <v>109893</v>
      </c>
      <c r="I153" s="37"/>
      <c r="J153" s="40">
        <f>IF(ISNUMBER(Upaya_Debitur[[#This Row],[Angsuran Sesuai PK]]),Upaya_Debitur[[#This Row],[Angsuran Sesuai PK]],1)</f>
        <v>1</v>
      </c>
      <c r="K153" s="76"/>
      <c r="L153" s="16" t="s">
        <v>37</v>
      </c>
      <c r="N153" s="18"/>
      <c r="O153" s="76"/>
      <c r="P153" s="37"/>
      <c r="Q153" s="41"/>
      <c r="R153" s="37"/>
      <c r="S153" s="40">
        <f>IF(Upaya_Debitur[[#This Row],[Periode Haircut]]="",0,IF(Upaya_Debitur[[#This Row],[Periode Haircut]]&lt;=$B$6,Upaya_Debitur[[#This Row],[Haircut]],0))</f>
        <v>0</v>
      </c>
      <c r="T153" s="40">
        <f>IF($B$10="",0,IF($B$10&lt;=$B$6,Upaya_Debitur[[#This Row],[Set Off]],0))</f>
        <v>0</v>
      </c>
      <c r="U153" s="37">
        <v>0</v>
      </c>
      <c r="V153" s="37">
        <v>0</v>
      </c>
      <c r="W153" s="37">
        <v>0</v>
      </c>
      <c r="X153" s="37">
        <v>109893</v>
      </c>
      <c r="Y153" s="37">
        <v>0</v>
      </c>
      <c r="Z153" s="37">
        <v>0</v>
      </c>
      <c r="AA153" s="37">
        <v>0</v>
      </c>
      <c r="AB153" s="37">
        <v>0</v>
      </c>
      <c r="AC153" s="37">
        <v>0</v>
      </c>
      <c r="AD153" s="37">
        <v>0</v>
      </c>
      <c r="AE153" s="37">
        <v>0</v>
      </c>
      <c r="AF153" s="37">
        <v>0</v>
      </c>
      <c r="AG153" s="37">
        <v>0</v>
      </c>
      <c r="AH153" s="37">
        <v>0</v>
      </c>
      <c r="AI153" s="37">
        <v>0</v>
      </c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40">
        <f ca="1">SUM(OFFSET(Upaya_Debitur[[#This Row],[Haircut Diperhitungkan]],0,0,1,$B$7+2))</f>
        <v>109893</v>
      </c>
      <c r="BR153" s="35" t="str">
        <f ca="1">IF(Upaya_Debitur[[#This Row],[Total Pencairan]]&gt;=Upaya_Debitur[[#This Row],[Kewajiban Total]],"Lunas","Belum Lunas")</f>
        <v>Lunas</v>
      </c>
      <c r="BS153" s="35" t="str">
        <f t="shared" si="7"/>
        <v>Ya</v>
      </c>
      <c r="BT153" s="35" t="str">
        <f t="shared" si="8"/>
        <v>Ya</v>
      </c>
      <c r="BU15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15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15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153" s="35" t="str">
        <f>IF(Upaya_Debitur[[#This Row],[Kondisi Debitur]]="Tidak ditemukan","Ya","Tidak")</f>
        <v>Ya</v>
      </c>
      <c r="BY15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15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15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53" s="18">
        <v>43781</v>
      </c>
      <c r="CC153" s="18">
        <v>43871</v>
      </c>
      <c r="CD153" s="18">
        <v>43826</v>
      </c>
      <c r="CE153" s="18"/>
      <c r="CF153" s="18"/>
      <c r="CG153" s="18">
        <v>44035</v>
      </c>
      <c r="CH153" s="18">
        <v>44057</v>
      </c>
      <c r="CI153" s="18">
        <v>44077</v>
      </c>
      <c r="CJ153" s="18"/>
      <c r="CK153" s="35">
        <f ca="1">COUNTIF(Upaya_Debitur[[#This Row],[Surat Pemberitahuan?]:[Gugatan Sederhana?]],"Ya")</f>
        <v>3</v>
      </c>
      <c r="CL153" s="35">
        <f ca="1">Upaya_Debitur[[#This Row],[Target Upaya]]-COUNTIFS(Upaya_Debitur[[#This Row],[Surat Pemberitahuan?]:[Gugatan Sederhana?]],"Ya",Upaya_Debitur[[#This Row],[Surat Pemberitahuan]:[Gugatan Sederhana]],"")</f>
        <v>3</v>
      </c>
      <c r="CM153" s="36">
        <f ca="1">IF(ISNUMBER(Upaya_Debitur[[#This Row],[Realisasi]]/Upaya_Debitur[[#This Row],[Target Upaya]]),Upaya_Debitur[[#This Row],[Realisasi]]/Upaya_Debitur[[#This Row],[Target Upaya]],1)</f>
        <v>1</v>
      </c>
    </row>
    <row r="154" spans="1:91" x14ac:dyDescent="0.3">
      <c r="A154" s="16">
        <v>136</v>
      </c>
      <c r="B154" s="17"/>
      <c r="C154" s="17" t="s">
        <v>446</v>
      </c>
      <c r="D154" s="16" t="s">
        <v>447</v>
      </c>
      <c r="E154" s="37">
        <v>53750</v>
      </c>
      <c r="F154" s="37">
        <v>0</v>
      </c>
      <c r="G154" s="37">
        <v>0</v>
      </c>
      <c r="H154" s="40">
        <f>SUM(Upaya_Debitur[[#This Row],[Kewajiban Pokok]:[Kewajiban Denda]])</f>
        <v>53750</v>
      </c>
      <c r="I154" s="37"/>
      <c r="J154" s="40">
        <f>IF(ISNUMBER(Upaya_Debitur[[#This Row],[Angsuran Sesuai PK]]),Upaya_Debitur[[#This Row],[Angsuran Sesuai PK]],1)</f>
        <v>1</v>
      </c>
      <c r="K154" s="76"/>
      <c r="L154" s="16" t="s">
        <v>37</v>
      </c>
      <c r="N154" s="18"/>
      <c r="O154" s="76"/>
      <c r="P154" s="37"/>
      <c r="Q154" s="41"/>
      <c r="R154" s="37"/>
      <c r="S154" s="40">
        <f>IF(Upaya_Debitur[[#This Row],[Periode Haircut]]="",0,IF(Upaya_Debitur[[#This Row],[Periode Haircut]]&lt;=$B$6,Upaya_Debitur[[#This Row],[Haircut]],0))</f>
        <v>0</v>
      </c>
      <c r="T154" s="40">
        <f>IF($B$10="",0,IF($B$10&lt;=$B$6,Upaya_Debitur[[#This Row],[Set Off]],0))</f>
        <v>0</v>
      </c>
      <c r="U154" s="37">
        <v>0</v>
      </c>
      <c r="V154" s="37">
        <v>0</v>
      </c>
      <c r="W154" s="37">
        <v>0</v>
      </c>
      <c r="X154" s="37">
        <v>0</v>
      </c>
      <c r="Y154" s="37">
        <v>0</v>
      </c>
      <c r="Z154" s="37">
        <v>0</v>
      </c>
      <c r="AA154" s="37">
        <v>0</v>
      </c>
      <c r="AB154" s="37">
        <v>0</v>
      </c>
      <c r="AC154" s="37">
        <v>0</v>
      </c>
      <c r="AD154" s="37">
        <v>0</v>
      </c>
      <c r="AE154" s="37">
        <v>0</v>
      </c>
      <c r="AF154" s="37">
        <v>0</v>
      </c>
      <c r="AG154" s="37">
        <v>0</v>
      </c>
      <c r="AH154" s="37">
        <v>0</v>
      </c>
      <c r="AI154" s="37">
        <v>0</v>
      </c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40">
        <f ca="1">SUM(OFFSET(Upaya_Debitur[[#This Row],[Haircut Diperhitungkan]],0,0,1,$B$7+2))</f>
        <v>0</v>
      </c>
      <c r="BR154" s="35" t="str">
        <f ca="1">IF(Upaya_Debitur[[#This Row],[Total Pencairan]]&gt;=Upaya_Debitur[[#This Row],[Kewajiban Total]],"Lunas","Belum Lunas")</f>
        <v>Belum Lunas</v>
      </c>
      <c r="BS154" s="35" t="str">
        <f t="shared" si="7"/>
        <v>Ya</v>
      </c>
      <c r="BT154" s="35" t="str">
        <f t="shared" si="8"/>
        <v>Ya</v>
      </c>
      <c r="BU15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5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5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54" s="35" t="str">
        <f>IF(Upaya_Debitur[[#This Row],[Kondisi Debitur]]="Tidak ditemukan","Ya","Tidak")</f>
        <v>Ya</v>
      </c>
      <c r="BY15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5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5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54" s="18">
        <v>43781</v>
      </c>
      <c r="CC154" s="18">
        <v>43999</v>
      </c>
      <c r="CD154" s="18">
        <v>43826</v>
      </c>
      <c r="CE154" s="18">
        <v>43871</v>
      </c>
      <c r="CF154" s="18">
        <v>43887</v>
      </c>
      <c r="CG154" s="18">
        <v>44035</v>
      </c>
      <c r="CH154" s="18">
        <v>44057</v>
      </c>
      <c r="CI154" s="18">
        <v>44077</v>
      </c>
      <c r="CJ154" s="18"/>
      <c r="CK154" s="35">
        <f ca="1">COUNTIF(Upaya_Debitur[[#This Row],[Surat Pemberitahuan?]:[Gugatan Sederhana?]],"Ya")</f>
        <v>8</v>
      </c>
      <c r="CL154" s="35">
        <f ca="1">Upaya_Debitur[[#This Row],[Target Upaya]]-COUNTIFS(Upaya_Debitur[[#This Row],[Surat Pemberitahuan?]:[Gugatan Sederhana?]],"Ya",Upaya_Debitur[[#This Row],[Surat Pemberitahuan]:[Gugatan Sederhana]],"")</f>
        <v>8</v>
      </c>
      <c r="CM154" s="36">
        <f ca="1">IF(ISNUMBER(Upaya_Debitur[[#This Row],[Realisasi]]/Upaya_Debitur[[#This Row],[Target Upaya]]),Upaya_Debitur[[#This Row],[Realisasi]]/Upaya_Debitur[[#This Row],[Target Upaya]],1)</f>
        <v>1</v>
      </c>
    </row>
    <row r="155" spans="1:91" x14ac:dyDescent="0.3">
      <c r="A155" s="16">
        <v>137</v>
      </c>
      <c r="B155" s="17"/>
      <c r="C155" s="17" t="s">
        <v>448</v>
      </c>
      <c r="D155" s="16" t="s">
        <v>449</v>
      </c>
      <c r="E155" s="37">
        <v>733828</v>
      </c>
      <c r="F155" s="37">
        <v>0</v>
      </c>
      <c r="G155" s="37">
        <v>0</v>
      </c>
      <c r="H155" s="40">
        <f>SUM(Upaya_Debitur[[#This Row],[Kewajiban Pokok]:[Kewajiban Denda]])</f>
        <v>733828</v>
      </c>
      <c r="I155" s="37"/>
      <c r="J155" s="40">
        <f>IF(ISNUMBER(Upaya_Debitur[[#This Row],[Angsuran Sesuai PK]]),Upaya_Debitur[[#This Row],[Angsuran Sesuai PK]],1)</f>
        <v>1</v>
      </c>
      <c r="K155" s="76"/>
      <c r="L155" s="16" t="s">
        <v>37</v>
      </c>
      <c r="N155" s="18"/>
      <c r="O155" s="76"/>
      <c r="P155" s="37"/>
      <c r="Q155" s="41"/>
      <c r="R155" s="37"/>
      <c r="S155" s="40">
        <f>IF(Upaya_Debitur[[#This Row],[Periode Haircut]]="",0,IF(Upaya_Debitur[[#This Row],[Periode Haircut]]&lt;=$B$6,Upaya_Debitur[[#This Row],[Haircut]],0))</f>
        <v>0</v>
      </c>
      <c r="T155" s="40">
        <f>IF($B$10="",0,IF($B$10&lt;=$B$6,Upaya_Debitur[[#This Row],[Set Off]],0))</f>
        <v>0</v>
      </c>
      <c r="U155" s="37">
        <v>0</v>
      </c>
      <c r="V155" s="37">
        <v>0</v>
      </c>
      <c r="W155" s="37">
        <v>0</v>
      </c>
      <c r="X155" s="37">
        <v>0</v>
      </c>
      <c r="Y155" s="37">
        <v>0</v>
      </c>
      <c r="Z155" s="37">
        <v>0</v>
      </c>
      <c r="AA155" s="37">
        <v>0</v>
      </c>
      <c r="AB155" s="37">
        <v>0</v>
      </c>
      <c r="AC155" s="37">
        <v>0</v>
      </c>
      <c r="AD155" s="37">
        <v>0</v>
      </c>
      <c r="AE155" s="37">
        <v>0</v>
      </c>
      <c r="AF155" s="37">
        <v>0</v>
      </c>
      <c r="AG155" s="37">
        <v>0</v>
      </c>
      <c r="AH155" s="37">
        <v>0</v>
      </c>
      <c r="AI155" s="37">
        <v>0</v>
      </c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40">
        <f ca="1">SUM(OFFSET(Upaya_Debitur[[#This Row],[Haircut Diperhitungkan]],0,0,1,$B$7+2))</f>
        <v>0</v>
      </c>
      <c r="BR155" s="35" t="str">
        <f ca="1">IF(Upaya_Debitur[[#This Row],[Total Pencairan]]&gt;=Upaya_Debitur[[#This Row],[Kewajiban Total]],"Lunas","Belum Lunas")</f>
        <v>Belum Lunas</v>
      </c>
      <c r="BS155" s="35" t="str">
        <f t="shared" si="7"/>
        <v>Ya</v>
      </c>
      <c r="BT155" s="35" t="str">
        <f t="shared" si="8"/>
        <v>Ya</v>
      </c>
      <c r="BU15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5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5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55" s="35" t="str">
        <f>IF(Upaya_Debitur[[#This Row],[Kondisi Debitur]]="Tidak ditemukan","Ya","Tidak")</f>
        <v>Ya</v>
      </c>
      <c r="BY15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5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5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55" s="18">
        <v>43781</v>
      </c>
      <c r="CC155" s="18">
        <v>43999</v>
      </c>
      <c r="CD155" s="18">
        <v>43826</v>
      </c>
      <c r="CE155" s="18">
        <v>43871</v>
      </c>
      <c r="CF155" s="18">
        <v>43887</v>
      </c>
      <c r="CG155" s="18">
        <v>43888</v>
      </c>
      <c r="CH155" s="18">
        <v>44057</v>
      </c>
      <c r="CI155" s="18">
        <v>44077</v>
      </c>
      <c r="CJ155" s="18"/>
      <c r="CK155" s="35">
        <f ca="1">COUNTIF(Upaya_Debitur[[#This Row],[Surat Pemberitahuan?]:[Gugatan Sederhana?]],"Ya")</f>
        <v>8</v>
      </c>
      <c r="CL155" s="35">
        <f ca="1">Upaya_Debitur[[#This Row],[Target Upaya]]-COUNTIFS(Upaya_Debitur[[#This Row],[Surat Pemberitahuan?]:[Gugatan Sederhana?]],"Ya",Upaya_Debitur[[#This Row],[Surat Pemberitahuan]:[Gugatan Sederhana]],"")</f>
        <v>8</v>
      </c>
      <c r="CM155" s="36">
        <f ca="1">IF(ISNUMBER(Upaya_Debitur[[#This Row],[Realisasi]]/Upaya_Debitur[[#This Row],[Target Upaya]]),Upaya_Debitur[[#This Row],[Realisasi]]/Upaya_Debitur[[#This Row],[Target Upaya]],1)</f>
        <v>1</v>
      </c>
    </row>
    <row r="156" spans="1:91" x14ac:dyDescent="0.3">
      <c r="A156" s="16">
        <v>138</v>
      </c>
      <c r="B156" s="17"/>
      <c r="C156" s="17" t="s">
        <v>450</v>
      </c>
      <c r="D156" s="16" t="s">
        <v>451</v>
      </c>
      <c r="E156" s="37">
        <v>936272</v>
      </c>
      <c r="F156" s="37">
        <v>0</v>
      </c>
      <c r="G156" s="37">
        <v>0</v>
      </c>
      <c r="H156" s="40">
        <f>SUM(Upaya_Debitur[[#This Row],[Kewajiban Pokok]:[Kewajiban Denda]])</f>
        <v>936272</v>
      </c>
      <c r="I156" s="37"/>
      <c r="J156" s="40">
        <f>IF(ISNUMBER(Upaya_Debitur[[#This Row],[Angsuran Sesuai PK]]),Upaya_Debitur[[#This Row],[Angsuran Sesuai PK]],1)</f>
        <v>1</v>
      </c>
      <c r="K156" s="76"/>
      <c r="L156" s="16" t="s">
        <v>83</v>
      </c>
      <c r="N156" s="18"/>
      <c r="O156" s="76"/>
      <c r="P156" s="37"/>
      <c r="Q156" s="41"/>
      <c r="R156" s="37"/>
      <c r="S156" s="40">
        <f>IF(Upaya_Debitur[[#This Row],[Periode Haircut]]="",0,IF(Upaya_Debitur[[#This Row],[Periode Haircut]]&lt;=$B$6,Upaya_Debitur[[#This Row],[Haircut]],0))</f>
        <v>0</v>
      </c>
      <c r="T156" s="40">
        <f>IF($B$10="",0,IF($B$10&lt;=$B$6,Upaya_Debitur[[#This Row],[Set Off]],0))</f>
        <v>0</v>
      </c>
      <c r="U156" s="37">
        <v>0</v>
      </c>
      <c r="V156" s="37">
        <v>0</v>
      </c>
      <c r="W156" s="37">
        <v>0</v>
      </c>
      <c r="X156" s="37">
        <v>0</v>
      </c>
      <c r="Y156" s="37">
        <v>0</v>
      </c>
      <c r="Z156" s="37">
        <v>0</v>
      </c>
      <c r="AA156" s="37">
        <v>0</v>
      </c>
      <c r="AB156" s="37">
        <v>0</v>
      </c>
      <c r="AC156" s="37">
        <v>0</v>
      </c>
      <c r="AD156" s="37">
        <v>0</v>
      </c>
      <c r="AE156" s="37">
        <v>0</v>
      </c>
      <c r="AF156" s="37">
        <v>0</v>
      </c>
      <c r="AG156" s="37">
        <v>0</v>
      </c>
      <c r="AH156" s="37">
        <v>0</v>
      </c>
      <c r="AI156" s="37">
        <v>0</v>
      </c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40">
        <f ca="1">SUM(OFFSET(Upaya_Debitur[[#This Row],[Haircut Diperhitungkan]],0,0,1,$B$7+2))</f>
        <v>0</v>
      </c>
      <c r="BR156" s="35" t="str">
        <f ca="1">IF(Upaya_Debitur[[#This Row],[Total Pencairan]]&gt;=Upaya_Debitur[[#This Row],[Kewajiban Total]],"Lunas","Belum Lunas")</f>
        <v>Belum Lunas</v>
      </c>
      <c r="BS156" s="35" t="str">
        <f t="shared" si="7"/>
        <v>Ya</v>
      </c>
      <c r="BT156" s="35" t="str">
        <f t="shared" si="8"/>
        <v>Ya</v>
      </c>
      <c r="BU15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5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5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56" s="35" t="str">
        <f>IF(Upaya_Debitur[[#This Row],[Kondisi Debitur]]="Tidak ditemukan","Ya","Tidak")</f>
        <v>Tidak</v>
      </c>
      <c r="BY15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5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5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56" s="18">
        <v>43781</v>
      </c>
      <c r="CC156" s="18">
        <v>43999</v>
      </c>
      <c r="CD156" s="18">
        <v>43826</v>
      </c>
      <c r="CE156" s="18">
        <v>43871</v>
      </c>
      <c r="CF156" s="18">
        <v>43887</v>
      </c>
      <c r="CG156" s="18">
        <v>43888</v>
      </c>
      <c r="CH156" s="18">
        <v>44057</v>
      </c>
      <c r="CI156" s="18">
        <v>44077</v>
      </c>
      <c r="CJ156" s="18"/>
      <c r="CK156" s="35">
        <f ca="1">COUNTIF(Upaya_Debitur[[#This Row],[Surat Pemberitahuan?]:[Gugatan Sederhana?]],"Ya")</f>
        <v>7</v>
      </c>
      <c r="CL156" s="35">
        <f ca="1">Upaya_Debitur[[#This Row],[Target Upaya]]-COUNTIFS(Upaya_Debitur[[#This Row],[Surat Pemberitahuan?]:[Gugatan Sederhana?]],"Ya",Upaya_Debitur[[#This Row],[Surat Pemberitahuan]:[Gugatan Sederhana]],"")</f>
        <v>7</v>
      </c>
      <c r="CM156" s="36">
        <f ca="1">IF(ISNUMBER(Upaya_Debitur[[#This Row],[Realisasi]]/Upaya_Debitur[[#This Row],[Target Upaya]]),Upaya_Debitur[[#This Row],[Realisasi]]/Upaya_Debitur[[#This Row],[Target Upaya]],1)</f>
        <v>1</v>
      </c>
    </row>
    <row r="157" spans="1:91" x14ac:dyDescent="0.3">
      <c r="A157" s="16">
        <v>139</v>
      </c>
      <c r="B157" s="17"/>
      <c r="C157" s="17" t="s">
        <v>452</v>
      </c>
      <c r="D157" s="16" t="s">
        <v>453</v>
      </c>
      <c r="E157" s="37">
        <v>1183000</v>
      </c>
      <c r="F157" s="37">
        <v>0</v>
      </c>
      <c r="G157" s="37">
        <v>0</v>
      </c>
      <c r="H157" s="40">
        <f>SUM(Upaya_Debitur[[#This Row],[Kewajiban Pokok]:[Kewajiban Denda]])</f>
        <v>1183000</v>
      </c>
      <c r="I157" s="37"/>
      <c r="J157" s="40">
        <f>IF(ISNUMBER(Upaya_Debitur[[#This Row],[Angsuran Sesuai PK]]),Upaya_Debitur[[#This Row],[Angsuran Sesuai PK]],1)</f>
        <v>1</v>
      </c>
      <c r="K157" s="76"/>
      <c r="L157" s="16" t="s">
        <v>37</v>
      </c>
      <c r="N157" s="18"/>
      <c r="O157" s="76"/>
      <c r="P157" s="37"/>
      <c r="Q157" s="41"/>
      <c r="R157" s="37"/>
      <c r="S157" s="40">
        <f>IF(Upaya_Debitur[[#This Row],[Periode Haircut]]="",0,IF(Upaya_Debitur[[#This Row],[Periode Haircut]]&lt;=$B$6,Upaya_Debitur[[#This Row],[Haircut]],0))</f>
        <v>0</v>
      </c>
      <c r="T157" s="40">
        <f>IF($B$10="",0,IF($B$10&lt;=$B$6,Upaya_Debitur[[#This Row],[Set Off]],0))</f>
        <v>0</v>
      </c>
      <c r="U157" s="37">
        <v>0</v>
      </c>
      <c r="V157" s="37">
        <v>0</v>
      </c>
      <c r="W157" s="37">
        <v>0</v>
      </c>
      <c r="X157" s="37">
        <v>0</v>
      </c>
      <c r="Y157" s="37">
        <v>0</v>
      </c>
      <c r="Z157" s="37">
        <v>0</v>
      </c>
      <c r="AA157" s="37">
        <v>0</v>
      </c>
      <c r="AB157" s="37">
        <v>0</v>
      </c>
      <c r="AC157" s="37">
        <v>0</v>
      </c>
      <c r="AD157" s="37">
        <v>0</v>
      </c>
      <c r="AE157" s="37">
        <v>0</v>
      </c>
      <c r="AF157" s="37">
        <v>0</v>
      </c>
      <c r="AG157" s="37">
        <v>0</v>
      </c>
      <c r="AH157" s="37">
        <v>0</v>
      </c>
      <c r="AI157" s="37">
        <v>0</v>
      </c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40">
        <f ca="1">SUM(OFFSET(Upaya_Debitur[[#This Row],[Haircut Diperhitungkan]],0,0,1,$B$7+2))</f>
        <v>0</v>
      </c>
      <c r="BR157" s="35" t="str">
        <f ca="1">IF(Upaya_Debitur[[#This Row],[Total Pencairan]]&gt;=Upaya_Debitur[[#This Row],[Kewajiban Total]],"Lunas","Belum Lunas")</f>
        <v>Belum Lunas</v>
      </c>
      <c r="BS157" s="35" t="str">
        <f t="shared" si="7"/>
        <v>Ya</v>
      </c>
      <c r="BT157" s="35" t="str">
        <f t="shared" si="8"/>
        <v>Ya</v>
      </c>
      <c r="BU15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5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5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57" s="35" t="str">
        <f>IF(Upaya_Debitur[[#This Row],[Kondisi Debitur]]="Tidak ditemukan","Ya","Tidak")</f>
        <v>Ya</v>
      </c>
      <c r="BY15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5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5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57" s="18">
        <v>43781</v>
      </c>
      <c r="CC157" s="18">
        <v>43999</v>
      </c>
      <c r="CD157" s="18">
        <v>43826</v>
      </c>
      <c r="CE157" s="18">
        <v>43871</v>
      </c>
      <c r="CF157" s="18">
        <v>43887</v>
      </c>
      <c r="CG157" s="18">
        <v>43888</v>
      </c>
      <c r="CH157" s="18">
        <v>44057</v>
      </c>
      <c r="CI157" s="18">
        <v>44077</v>
      </c>
      <c r="CJ157" s="18"/>
      <c r="CK157" s="35">
        <f ca="1">COUNTIF(Upaya_Debitur[[#This Row],[Surat Pemberitahuan?]:[Gugatan Sederhana?]],"Ya")</f>
        <v>8</v>
      </c>
      <c r="CL157" s="35">
        <f ca="1">Upaya_Debitur[[#This Row],[Target Upaya]]-COUNTIFS(Upaya_Debitur[[#This Row],[Surat Pemberitahuan?]:[Gugatan Sederhana?]],"Ya",Upaya_Debitur[[#This Row],[Surat Pemberitahuan]:[Gugatan Sederhana]],"")</f>
        <v>8</v>
      </c>
      <c r="CM157" s="36">
        <f ca="1">IF(ISNUMBER(Upaya_Debitur[[#This Row],[Realisasi]]/Upaya_Debitur[[#This Row],[Target Upaya]]),Upaya_Debitur[[#This Row],[Realisasi]]/Upaya_Debitur[[#This Row],[Target Upaya]],1)</f>
        <v>1</v>
      </c>
    </row>
    <row r="158" spans="1:91" x14ac:dyDescent="0.3">
      <c r="A158" s="16">
        <v>140</v>
      </c>
      <c r="B158" s="17"/>
      <c r="C158" s="17" t="s">
        <v>454</v>
      </c>
      <c r="D158" s="16" t="s">
        <v>455</v>
      </c>
      <c r="E158" s="37">
        <v>655529</v>
      </c>
      <c r="F158" s="37">
        <v>0</v>
      </c>
      <c r="G158" s="37">
        <v>0</v>
      </c>
      <c r="H158" s="40">
        <f>SUM(Upaya_Debitur[[#This Row],[Kewajiban Pokok]:[Kewajiban Denda]])</f>
        <v>655529</v>
      </c>
      <c r="I158" s="37"/>
      <c r="J158" s="40">
        <f>IF(ISNUMBER(Upaya_Debitur[[#This Row],[Angsuran Sesuai PK]]),Upaya_Debitur[[#This Row],[Angsuran Sesuai PK]],1)</f>
        <v>1</v>
      </c>
      <c r="K158" s="76"/>
      <c r="L158" s="16" t="s">
        <v>37</v>
      </c>
      <c r="N158" s="18"/>
      <c r="O158" s="76"/>
      <c r="P158" s="37"/>
      <c r="Q158" s="41"/>
      <c r="R158" s="37"/>
      <c r="S158" s="40">
        <f>IF(Upaya_Debitur[[#This Row],[Periode Haircut]]="",0,IF(Upaya_Debitur[[#This Row],[Periode Haircut]]&lt;=$B$6,Upaya_Debitur[[#This Row],[Haircut]],0))</f>
        <v>0</v>
      </c>
      <c r="T158" s="40">
        <f>IF($B$10="",0,IF($B$10&lt;=$B$6,Upaya_Debitur[[#This Row],[Set Off]],0))</f>
        <v>0</v>
      </c>
      <c r="U158" s="37">
        <v>0</v>
      </c>
      <c r="V158" s="37">
        <v>0</v>
      </c>
      <c r="W158" s="37">
        <v>0</v>
      </c>
      <c r="X158" s="37">
        <v>0</v>
      </c>
      <c r="Y158" s="37">
        <v>0</v>
      </c>
      <c r="Z158" s="37">
        <v>0</v>
      </c>
      <c r="AA158" s="37">
        <v>0</v>
      </c>
      <c r="AB158" s="37">
        <v>0</v>
      </c>
      <c r="AC158" s="37">
        <v>0</v>
      </c>
      <c r="AD158" s="37">
        <v>0</v>
      </c>
      <c r="AE158" s="37">
        <v>0</v>
      </c>
      <c r="AF158" s="37">
        <v>0</v>
      </c>
      <c r="AG158" s="37">
        <v>0</v>
      </c>
      <c r="AH158" s="37">
        <v>0</v>
      </c>
      <c r="AI158" s="37">
        <v>0</v>
      </c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40">
        <f ca="1">SUM(OFFSET(Upaya_Debitur[[#This Row],[Haircut Diperhitungkan]],0,0,1,$B$7+2))</f>
        <v>0</v>
      </c>
      <c r="BR158" s="35" t="str">
        <f ca="1">IF(Upaya_Debitur[[#This Row],[Total Pencairan]]&gt;=Upaya_Debitur[[#This Row],[Kewajiban Total]],"Lunas","Belum Lunas")</f>
        <v>Belum Lunas</v>
      </c>
      <c r="BS158" s="35" t="str">
        <f t="shared" si="7"/>
        <v>Ya</v>
      </c>
      <c r="BT158" s="35" t="str">
        <f t="shared" si="8"/>
        <v>Ya</v>
      </c>
      <c r="BU15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5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5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58" s="35" t="str">
        <f>IF(Upaya_Debitur[[#This Row],[Kondisi Debitur]]="Tidak ditemukan","Ya","Tidak")</f>
        <v>Ya</v>
      </c>
      <c r="BY15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5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5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58" s="18">
        <v>43781</v>
      </c>
      <c r="CC158" s="18">
        <v>43999</v>
      </c>
      <c r="CD158" s="18">
        <v>43826</v>
      </c>
      <c r="CE158" s="18">
        <v>43871</v>
      </c>
      <c r="CF158" s="18">
        <v>43887</v>
      </c>
      <c r="CG158" s="18">
        <v>43888</v>
      </c>
      <c r="CH158" s="18">
        <v>44057</v>
      </c>
      <c r="CI158" s="18">
        <v>44077</v>
      </c>
      <c r="CJ158" s="18"/>
      <c r="CK158" s="35">
        <f ca="1">COUNTIF(Upaya_Debitur[[#This Row],[Surat Pemberitahuan?]:[Gugatan Sederhana?]],"Ya")</f>
        <v>8</v>
      </c>
      <c r="CL158" s="35">
        <f ca="1">Upaya_Debitur[[#This Row],[Target Upaya]]-COUNTIFS(Upaya_Debitur[[#This Row],[Surat Pemberitahuan?]:[Gugatan Sederhana?]],"Ya",Upaya_Debitur[[#This Row],[Surat Pemberitahuan]:[Gugatan Sederhana]],"")</f>
        <v>8</v>
      </c>
      <c r="CM158" s="36">
        <f ca="1">IF(ISNUMBER(Upaya_Debitur[[#This Row],[Realisasi]]/Upaya_Debitur[[#This Row],[Target Upaya]]),Upaya_Debitur[[#This Row],[Realisasi]]/Upaya_Debitur[[#This Row],[Target Upaya]],1)</f>
        <v>1</v>
      </c>
    </row>
    <row r="159" spans="1:91" x14ac:dyDescent="0.3">
      <c r="A159" s="16">
        <v>141</v>
      </c>
      <c r="B159" s="17"/>
      <c r="C159" s="17" t="s">
        <v>456</v>
      </c>
      <c r="D159" s="16" t="s">
        <v>457</v>
      </c>
      <c r="E159" s="37">
        <v>385219</v>
      </c>
      <c r="F159" s="37">
        <v>0</v>
      </c>
      <c r="G159" s="37">
        <v>0</v>
      </c>
      <c r="H159" s="40">
        <f>SUM(Upaya_Debitur[[#This Row],[Kewajiban Pokok]:[Kewajiban Denda]])</f>
        <v>385219</v>
      </c>
      <c r="I159" s="37"/>
      <c r="J159" s="40">
        <f>IF(ISNUMBER(Upaya_Debitur[[#This Row],[Angsuran Sesuai PK]]),Upaya_Debitur[[#This Row],[Angsuran Sesuai PK]],1)</f>
        <v>1</v>
      </c>
      <c r="K159" s="76"/>
      <c r="L159" s="16" t="s">
        <v>37</v>
      </c>
      <c r="N159" s="18"/>
      <c r="O159" s="76"/>
      <c r="P159" s="37"/>
      <c r="Q159" s="41"/>
      <c r="R159" s="37"/>
      <c r="S159" s="40">
        <f>IF(Upaya_Debitur[[#This Row],[Periode Haircut]]="",0,IF(Upaya_Debitur[[#This Row],[Periode Haircut]]&lt;=$B$6,Upaya_Debitur[[#This Row],[Haircut]],0))</f>
        <v>0</v>
      </c>
      <c r="T159" s="40">
        <f>IF($B$10="",0,IF($B$10&lt;=$B$6,Upaya_Debitur[[#This Row],[Set Off]],0))</f>
        <v>0</v>
      </c>
      <c r="U159" s="37">
        <v>0</v>
      </c>
      <c r="V159" s="37">
        <v>0</v>
      </c>
      <c r="W159" s="37">
        <v>0</v>
      </c>
      <c r="X159" s="37">
        <v>0</v>
      </c>
      <c r="Y159" s="37">
        <v>0</v>
      </c>
      <c r="Z159" s="37">
        <v>0</v>
      </c>
      <c r="AA159" s="37">
        <v>0</v>
      </c>
      <c r="AB159" s="37">
        <v>0</v>
      </c>
      <c r="AC159" s="37">
        <v>0</v>
      </c>
      <c r="AD159" s="37">
        <v>0</v>
      </c>
      <c r="AE159" s="37">
        <v>0</v>
      </c>
      <c r="AF159" s="37">
        <v>0</v>
      </c>
      <c r="AG159" s="37">
        <v>0</v>
      </c>
      <c r="AH159" s="37">
        <v>0</v>
      </c>
      <c r="AI159" s="37">
        <v>0</v>
      </c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40">
        <f ca="1">SUM(OFFSET(Upaya_Debitur[[#This Row],[Haircut Diperhitungkan]],0,0,1,$B$7+2))</f>
        <v>0</v>
      </c>
      <c r="BR159" s="35" t="str">
        <f ca="1">IF(Upaya_Debitur[[#This Row],[Total Pencairan]]&gt;=Upaya_Debitur[[#This Row],[Kewajiban Total]],"Lunas","Belum Lunas")</f>
        <v>Belum Lunas</v>
      </c>
      <c r="BS159" s="35" t="str">
        <f t="shared" si="7"/>
        <v>Ya</v>
      </c>
      <c r="BT159" s="35" t="str">
        <f t="shared" si="8"/>
        <v>Ya</v>
      </c>
      <c r="BU15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5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5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59" s="35" t="str">
        <f>IF(Upaya_Debitur[[#This Row],[Kondisi Debitur]]="Tidak ditemukan","Ya","Tidak")</f>
        <v>Ya</v>
      </c>
      <c r="BY15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5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5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59" s="18">
        <v>43781</v>
      </c>
      <c r="CC159" s="18">
        <v>43999</v>
      </c>
      <c r="CD159" s="18">
        <v>43826</v>
      </c>
      <c r="CE159" s="18">
        <v>43871</v>
      </c>
      <c r="CF159" s="18">
        <v>43887</v>
      </c>
      <c r="CG159" s="18">
        <v>44035</v>
      </c>
      <c r="CH159" s="18">
        <v>44057</v>
      </c>
      <c r="CI159" s="18">
        <v>44077</v>
      </c>
      <c r="CJ159" s="18"/>
      <c r="CK159" s="35">
        <f ca="1">COUNTIF(Upaya_Debitur[[#This Row],[Surat Pemberitahuan?]:[Gugatan Sederhana?]],"Ya")</f>
        <v>8</v>
      </c>
      <c r="CL159" s="35">
        <f ca="1">Upaya_Debitur[[#This Row],[Target Upaya]]-COUNTIFS(Upaya_Debitur[[#This Row],[Surat Pemberitahuan?]:[Gugatan Sederhana?]],"Ya",Upaya_Debitur[[#This Row],[Surat Pemberitahuan]:[Gugatan Sederhana]],"")</f>
        <v>8</v>
      </c>
      <c r="CM159" s="36">
        <f ca="1">IF(ISNUMBER(Upaya_Debitur[[#This Row],[Realisasi]]/Upaya_Debitur[[#This Row],[Target Upaya]]),Upaya_Debitur[[#This Row],[Realisasi]]/Upaya_Debitur[[#This Row],[Target Upaya]],1)</f>
        <v>1</v>
      </c>
    </row>
    <row r="160" spans="1:91" x14ac:dyDescent="0.3">
      <c r="A160" s="16">
        <v>142</v>
      </c>
      <c r="B160" s="17"/>
      <c r="C160" s="17" t="s">
        <v>458</v>
      </c>
      <c r="D160" s="16" t="s">
        <v>457</v>
      </c>
      <c r="E160" s="37">
        <v>3900000</v>
      </c>
      <c r="F160" s="37">
        <v>0</v>
      </c>
      <c r="G160" s="37">
        <v>0</v>
      </c>
      <c r="H160" s="40">
        <f>SUM(Upaya_Debitur[[#This Row],[Kewajiban Pokok]:[Kewajiban Denda]])</f>
        <v>3900000</v>
      </c>
      <c r="I160" s="37"/>
      <c r="J160" s="40">
        <f>IF(ISNUMBER(Upaya_Debitur[[#This Row],[Angsuran Sesuai PK]]),Upaya_Debitur[[#This Row],[Angsuran Sesuai PK]],1)</f>
        <v>1</v>
      </c>
      <c r="K160" s="76"/>
      <c r="L160" s="16" t="s">
        <v>37</v>
      </c>
      <c r="N160" s="18"/>
      <c r="O160" s="76"/>
      <c r="P160" s="37"/>
      <c r="Q160" s="41"/>
      <c r="R160" s="37"/>
      <c r="S160" s="40">
        <f>IF(Upaya_Debitur[[#This Row],[Periode Haircut]]="",0,IF(Upaya_Debitur[[#This Row],[Periode Haircut]]&lt;=$B$6,Upaya_Debitur[[#This Row],[Haircut]],0))</f>
        <v>0</v>
      </c>
      <c r="T160" s="40">
        <f>IF($B$10="",0,IF($B$10&lt;=$B$6,Upaya_Debitur[[#This Row],[Set Off]],0))</f>
        <v>0</v>
      </c>
      <c r="U160" s="37">
        <v>0</v>
      </c>
      <c r="V160" s="37">
        <v>0</v>
      </c>
      <c r="W160" s="37">
        <v>0</v>
      </c>
      <c r="X160" s="37">
        <v>0</v>
      </c>
      <c r="Y160" s="37">
        <v>0</v>
      </c>
      <c r="Z160" s="37">
        <v>0</v>
      </c>
      <c r="AA160" s="37">
        <v>0</v>
      </c>
      <c r="AB160" s="37">
        <v>0</v>
      </c>
      <c r="AC160" s="37">
        <v>0</v>
      </c>
      <c r="AD160" s="37">
        <v>0</v>
      </c>
      <c r="AE160" s="37">
        <v>0</v>
      </c>
      <c r="AF160" s="37">
        <v>0</v>
      </c>
      <c r="AG160" s="37">
        <v>0</v>
      </c>
      <c r="AH160" s="37">
        <v>0</v>
      </c>
      <c r="AI160" s="37">
        <v>0</v>
      </c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40">
        <f ca="1">SUM(OFFSET(Upaya_Debitur[[#This Row],[Haircut Diperhitungkan]],0,0,1,$B$7+2))</f>
        <v>0</v>
      </c>
      <c r="BR160" s="35" t="str">
        <f ca="1">IF(Upaya_Debitur[[#This Row],[Total Pencairan]]&gt;=Upaya_Debitur[[#This Row],[Kewajiban Total]],"Lunas","Belum Lunas")</f>
        <v>Belum Lunas</v>
      </c>
      <c r="BS160" s="35" t="str">
        <f t="shared" si="7"/>
        <v>Ya</v>
      </c>
      <c r="BT160" s="35" t="str">
        <f t="shared" si="8"/>
        <v>Ya</v>
      </c>
      <c r="BU16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6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6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60" s="35" t="str">
        <f>IF(Upaya_Debitur[[#This Row],[Kondisi Debitur]]="Tidak ditemukan","Ya","Tidak")</f>
        <v>Ya</v>
      </c>
      <c r="BY16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6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6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60" s="18">
        <v>43781</v>
      </c>
      <c r="CC160" s="18">
        <v>43999</v>
      </c>
      <c r="CD160" s="18">
        <v>43826</v>
      </c>
      <c r="CE160" s="18">
        <v>43871</v>
      </c>
      <c r="CF160" s="18">
        <v>43887</v>
      </c>
      <c r="CG160" s="18">
        <v>43888</v>
      </c>
      <c r="CH160" s="18">
        <v>44057</v>
      </c>
      <c r="CI160" s="18">
        <v>44077</v>
      </c>
      <c r="CJ160" s="18"/>
      <c r="CK160" s="35">
        <f ca="1">COUNTIF(Upaya_Debitur[[#This Row],[Surat Pemberitahuan?]:[Gugatan Sederhana?]],"Ya")</f>
        <v>8</v>
      </c>
      <c r="CL160" s="35">
        <f ca="1">Upaya_Debitur[[#This Row],[Target Upaya]]-COUNTIFS(Upaya_Debitur[[#This Row],[Surat Pemberitahuan?]:[Gugatan Sederhana?]],"Ya",Upaya_Debitur[[#This Row],[Surat Pemberitahuan]:[Gugatan Sederhana]],"")</f>
        <v>8</v>
      </c>
      <c r="CM160" s="36">
        <f ca="1">IF(ISNUMBER(Upaya_Debitur[[#This Row],[Realisasi]]/Upaya_Debitur[[#This Row],[Target Upaya]]),Upaya_Debitur[[#This Row],[Realisasi]]/Upaya_Debitur[[#This Row],[Target Upaya]],1)</f>
        <v>1</v>
      </c>
    </row>
    <row r="161" spans="1:91" x14ac:dyDescent="0.3">
      <c r="A161" s="16">
        <v>143</v>
      </c>
      <c r="B161" s="17"/>
      <c r="C161" s="17" t="s">
        <v>459</v>
      </c>
      <c r="D161" s="16" t="s">
        <v>460</v>
      </c>
      <c r="E161" s="37">
        <v>2625000</v>
      </c>
      <c r="F161" s="37">
        <v>0</v>
      </c>
      <c r="G161" s="37">
        <v>0</v>
      </c>
      <c r="H161" s="40">
        <f>SUM(Upaya_Debitur[[#This Row],[Kewajiban Pokok]:[Kewajiban Denda]])</f>
        <v>2625000</v>
      </c>
      <c r="I161" s="37"/>
      <c r="J161" s="40">
        <f>IF(ISNUMBER(Upaya_Debitur[[#This Row],[Angsuran Sesuai PK]]),Upaya_Debitur[[#This Row],[Angsuran Sesuai PK]],1)</f>
        <v>1</v>
      </c>
      <c r="K161" s="76"/>
      <c r="L161" s="16" t="s">
        <v>83</v>
      </c>
      <c r="N161" s="18"/>
      <c r="O161" s="76"/>
      <c r="P161" s="37"/>
      <c r="Q161" s="41"/>
      <c r="R161" s="37"/>
      <c r="S161" s="40">
        <f>IF(Upaya_Debitur[[#This Row],[Periode Haircut]]="",0,IF(Upaya_Debitur[[#This Row],[Periode Haircut]]&lt;=$B$6,Upaya_Debitur[[#This Row],[Haircut]],0))</f>
        <v>0</v>
      </c>
      <c r="T161" s="40">
        <f>IF($B$10="",0,IF($B$10&lt;=$B$6,Upaya_Debitur[[#This Row],[Set Off]],0))</f>
        <v>0</v>
      </c>
      <c r="U161" s="37">
        <v>0</v>
      </c>
      <c r="V161" s="37">
        <v>0</v>
      </c>
      <c r="W161" s="37">
        <v>0</v>
      </c>
      <c r="X161" s="37">
        <v>0</v>
      </c>
      <c r="Y161" s="37">
        <v>0</v>
      </c>
      <c r="Z161" s="37">
        <v>0</v>
      </c>
      <c r="AA161" s="37">
        <v>0</v>
      </c>
      <c r="AB161" s="37">
        <v>0</v>
      </c>
      <c r="AC161" s="37">
        <v>0</v>
      </c>
      <c r="AD161" s="37">
        <v>0</v>
      </c>
      <c r="AE161" s="37">
        <v>0</v>
      </c>
      <c r="AF161" s="37">
        <v>0</v>
      </c>
      <c r="AG161" s="37">
        <v>0</v>
      </c>
      <c r="AH161" s="37">
        <v>0</v>
      </c>
      <c r="AI161" s="37">
        <v>0</v>
      </c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40">
        <f ca="1">SUM(OFFSET(Upaya_Debitur[[#This Row],[Haircut Diperhitungkan]],0,0,1,$B$7+2))</f>
        <v>0</v>
      </c>
      <c r="BR161" s="35" t="str">
        <f ca="1">IF(Upaya_Debitur[[#This Row],[Total Pencairan]]&gt;=Upaya_Debitur[[#This Row],[Kewajiban Total]],"Lunas","Belum Lunas")</f>
        <v>Belum Lunas</v>
      </c>
      <c r="BS161" s="35" t="str">
        <f t="shared" si="7"/>
        <v>Ya</v>
      </c>
      <c r="BT161" s="35" t="str">
        <f t="shared" si="8"/>
        <v>Ya</v>
      </c>
      <c r="BU16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6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6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61" s="35" t="str">
        <f>IF(Upaya_Debitur[[#This Row],[Kondisi Debitur]]="Tidak ditemukan","Ya","Tidak")</f>
        <v>Tidak</v>
      </c>
      <c r="BY16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6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6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61" s="18">
        <v>43781</v>
      </c>
      <c r="CC161" s="18">
        <v>43999</v>
      </c>
      <c r="CD161" s="18">
        <v>43826</v>
      </c>
      <c r="CE161" s="18">
        <v>43871</v>
      </c>
      <c r="CF161" s="18">
        <v>43887</v>
      </c>
      <c r="CG161" s="18">
        <v>43888</v>
      </c>
      <c r="CH161" s="18">
        <v>44057</v>
      </c>
      <c r="CI161" s="18">
        <v>44077</v>
      </c>
      <c r="CJ161" s="18"/>
      <c r="CK161" s="35">
        <f ca="1">COUNTIF(Upaya_Debitur[[#This Row],[Surat Pemberitahuan?]:[Gugatan Sederhana?]],"Ya")</f>
        <v>7</v>
      </c>
      <c r="CL161" s="35">
        <f ca="1">Upaya_Debitur[[#This Row],[Target Upaya]]-COUNTIFS(Upaya_Debitur[[#This Row],[Surat Pemberitahuan?]:[Gugatan Sederhana?]],"Ya",Upaya_Debitur[[#This Row],[Surat Pemberitahuan]:[Gugatan Sederhana]],"")</f>
        <v>7</v>
      </c>
      <c r="CM161" s="36">
        <f ca="1">IF(ISNUMBER(Upaya_Debitur[[#This Row],[Realisasi]]/Upaya_Debitur[[#This Row],[Target Upaya]]),Upaya_Debitur[[#This Row],[Realisasi]]/Upaya_Debitur[[#This Row],[Target Upaya]],1)</f>
        <v>1</v>
      </c>
    </row>
    <row r="162" spans="1:91" x14ac:dyDescent="0.3">
      <c r="A162" s="16">
        <v>144</v>
      </c>
      <c r="B162" s="17"/>
      <c r="C162" s="17" t="s">
        <v>461</v>
      </c>
      <c r="D162" s="16" t="s">
        <v>462</v>
      </c>
      <c r="E162" s="37">
        <v>4607500</v>
      </c>
      <c r="F162" s="37">
        <v>0</v>
      </c>
      <c r="G162" s="37">
        <v>0</v>
      </c>
      <c r="H162" s="40">
        <f>SUM(Upaya_Debitur[[#This Row],[Kewajiban Pokok]:[Kewajiban Denda]])</f>
        <v>4607500</v>
      </c>
      <c r="I162" s="37"/>
      <c r="J162" s="40">
        <f>IF(ISNUMBER(Upaya_Debitur[[#This Row],[Angsuran Sesuai PK]]),Upaya_Debitur[[#This Row],[Angsuran Sesuai PK]],1)</f>
        <v>1</v>
      </c>
      <c r="K162" s="76"/>
      <c r="L162" s="16" t="s">
        <v>83</v>
      </c>
      <c r="N162" s="18"/>
      <c r="O162" s="76"/>
      <c r="P162" s="37"/>
      <c r="Q162" s="41"/>
      <c r="R162" s="37"/>
      <c r="S162" s="40">
        <f>IF(Upaya_Debitur[[#This Row],[Periode Haircut]]="",0,IF(Upaya_Debitur[[#This Row],[Periode Haircut]]&lt;=$B$6,Upaya_Debitur[[#This Row],[Haircut]],0))</f>
        <v>0</v>
      </c>
      <c r="T162" s="40">
        <f>IF($B$10="",0,IF($B$10&lt;=$B$6,Upaya_Debitur[[#This Row],[Set Off]],0))</f>
        <v>0</v>
      </c>
      <c r="U162" s="37">
        <v>0</v>
      </c>
      <c r="V162" s="37">
        <v>400000</v>
      </c>
      <c r="W162" s="37">
        <v>0</v>
      </c>
      <c r="X162" s="37">
        <v>0</v>
      </c>
      <c r="Y162" s="37">
        <v>0</v>
      </c>
      <c r="Z162" s="37">
        <v>0</v>
      </c>
      <c r="AA162" s="37">
        <v>0</v>
      </c>
      <c r="AB162" s="37">
        <v>0</v>
      </c>
      <c r="AC162" s="37">
        <v>0</v>
      </c>
      <c r="AD162" s="37">
        <v>0</v>
      </c>
      <c r="AE162" s="37">
        <v>0</v>
      </c>
      <c r="AF162" s="37">
        <v>0</v>
      </c>
      <c r="AG162" s="37">
        <v>0</v>
      </c>
      <c r="AH162" s="37">
        <v>0</v>
      </c>
      <c r="AI162" s="37">
        <v>0</v>
      </c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40">
        <f ca="1">SUM(OFFSET(Upaya_Debitur[[#This Row],[Haircut Diperhitungkan]],0,0,1,$B$7+2))</f>
        <v>400000</v>
      </c>
      <c r="BR162" s="35" t="str">
        <f ca="1">IF(Upaya_Debitur[[#This Row],[Total Pencairan]]&gt;=Upaya_Debitur[[#This Row],[Kewajiban Total]],"Lunas","Belum Lunas")</f>
        <v>Belum Lunas</v>
      </c>
      <c r="BS162" s="35" t="str">
        <f t="shared" si="7"/>
        <v>Ya</v>
      </c>
      <c r="BT162" s="35" t="str">
        <f t="shared" si="8"/>
        <v>Ya</v>
      </c>
      <c r="BU16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6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6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62" s="35" t="str">
        <f>IF(Upaya_Debitur[[#This Row],[Kondisi Debitur]]="Tidak ditemukan","Ya","Tidak")</f>
        <v>Tidak</v>
      </c>
      <c r="BY16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6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6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62" s="18">
        <v>43781</v>
      </c>
      <c r="CC162" s="18">
        <v>43999</v>
      </c>
      <c r="CD162" s="18">
        <v>43826</v>
      </c>
      <c r="CE162" s="18">
        <v>43871</v>
      </c>
      <c r="CF162" s="18">
        <v>43887</v>
      </c>
      <c r="CG162" s="18"/>
      <c r="CH162" s="18">
        <v>44057</v>
      </c>
      <c r="CI162" s="18">
        <v>44077</v>
      </c>
      <c r="CJ162" s="18"/>
      <c r="CK162" s="35">
        <f ca="1">COUNTIF(Upaya_Debitur[[#This Row],[Surat Pemberitahuan?]:[Gugatan Sederhana?]],"Ya")</f>
        <v>7</v>
      </c>
      <c r="CL162" s="35">
        <f ca="1">Upaya_Debitur[[#This Row],[Target Upaya]]-COUNTIFS(Upaya_Debitur[[#This Row],[Surat Pemberitahuan?]:[Gugatan Sederhana?]],"Ya",Upaya_Debitur[[#This Row],[Surat Pemberitahuan]:[Gugatan Sederhana]],"")</f>
        <v>7</v>
      </c>
      <c r="CM162" s="36">
        <f ca="1">IF(ISNUMBER(Upaya_Debitur[[#This Row],[Realisasi]]/Upaya_Debitur[[#This Row],[Target Upaya]]),Upaya_Debitur[[#This Row],[Realisasi]]/Upaya_Debitur[[#This Row],[Target Upaya]],1)</f>
        <v>1</v>
      </c>
    </row>
    <row r="163" spans="1:91" x14ac:dyDescent="0.3">
      <c r="A163" s="16">
        <v>145</v>
      </c>
      <c r="B163" s="17"/>
      <c r="C163" s="17" t="s">
        <v>463</v>
      </c>
      <c r="D163" s="16" t="s">
        <v>464</v>
      </c>
      <c r="E163" s="37">
        <v>640000</v>
      </c>
      <c r="F163" s="37">
        <v>0</v>
      </c>
      <c r="G163" s="37">
        <v>0</v>
      </c>
      <c r="H163" s="40">
        <f>SUM(Upaya_Debitur[[#This Row],[Kewajiban Pokok]:[Kewajiban Denda]])</f>
        <v>640000</v>
      </c>
      <c r="I163" s="37"/>
      <c r="J163" s="40">
        <f>IF(ISNUMBER(Upaya_Debitur[[#This Row],[Angsuran Sesuai PK]]),Upaya_Debitur[[#This Row],[Angsuran Sesuai PK]],1)</f>
        <v>1</v>
      </c>
      <c r="K163" s="76"/>
      <c r="L163" s="16" t="s">
        <v>83</v>
      </c>
      <c r="N163" s="18"/>
      <c r="O163" s="76"/>
      <c r="P163" s="37"/>
      <c r="Q163" s="41"/>
      <c r="R163" s="37"/>
      <c r="S163" s="40">
        <f>IF(Upaya_Debitur[[#This Row],[Periode Haircut]]="",0,IF(Upaya_Debitur[[#This Row],[Periode Haircut]]&lt;=$B$6,Upaya_Debitur[[#This Row],[Haircut]],0))</f>
        <v>0</v>
      </c>
      <c r="T163" s="40">
        <f>IF($B$10="",0,IF($B$10&lt;=$B$6,Upaya_Debitur[[#This Row],[Set Off]],0))</f>
        <v>0</v>
      </c>
      <c r="U163" s="37">
        <v>0</v>
      </c>
      <c r="V163" s="37">
        <v>200000</v>
      </c>
      <c r="W163" s="37">
        <v>0</v>
      </c>
      <c r="X163" s="37">
        <v>150000</v>
      </c>
      <c r="Y163" s="37">
        <v>0</v>
      </c>
      <c r="Z163" s="37">
        <v>0</v>
      </c>
      <c r="AA163" s="37">
        <v>0</v>
      </c>
      <c r="AB163" s="37">
        <v>0</v>
      </c>
      <c r="AC163" s="37">
        <v>0</v>
      </c>
      <c r="AD163" s="37">
        <v>0</v>
      </c>
      <c r="AE163" s="37">
        <v>0</v>
      </c>
      <c r="AF163" s="37">
        <v>0</v>
      </c>
      <c r="AG163" s="37">
        <v>0</v>
      </c>
      <c r="AH163" s="37">
        <v>0</v>
      </c>
      <c r="AI163" s="37">
        <v>0</v>
      </c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40">
        <f ca="1">SUM(OFFSET(Upaya_Debitur[[#This Row],[Haircut Diperhitungkan]],0,0,1,$B$7+2))</f>
        <v>350000</v>
      </c>
      <c r="BR163" s="35" t="str">
        <f ca="1">IF(Upaya_Debitur[[#This Row],[Total Pencairan]]&gt;=Upaya_Debitur[[#This Row],[Kewajiban Total]],"Lunas","Belum Lunas")</f>
        <v>Belum Lunas</v>
      </c>
      <c r="BS163" s="35" t="str">
        <f t="shared" si="7"/>
        <v>Ya</v>
      </c>
      <c r="BT163" s="35" t="str">
        <f t="shared" si="8"/>
        <v>Ya</v>
      </c>
      <c r="BU16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6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6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63" s="35" t="str">
        <f>IF(Upaya_Debitur[[#This Row],[Kondisi Debitur]]="Tidak ditemukan","Ya","Tidak")</f>
        <v>Tidak</v>
      </c>
      <c r="BY16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6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6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63" s="18">
        <v>43781</v>
      </c>
      <c r="CC163" s="18">
        <v>43999</v>
      </c>
      <c r="CD163" s="18">
        <v>43826</v>
      </c>
      <c r="CE163" s="18">
        <v>43871</v>
      </c>
      <c r="CF163" s="18">
        <v>43887</v>
      </c>
      <c r="CG163" s="18"/>
      <c r="CH163" s="18">
        <v>44057</v>
      </c>
      <c r="CI163" s="18">
        <v>44077</v>
      </c>
      <c r="CJ163" s="18"/>
      <c r="CK163" s="35">
        <f ca="1">COUNTIF(Upaya_Debitur[[#This Row],[Surat Pemberitahuan?]:[Gugatan Sederhana?]],"Ya")</f>
        <v>7</v>
      </c>
      <c r="CL163" s="35">
        <f ca="1">Upaya_Debitur[[#This Row],[Target Upaya]]-COUNTIFS(Upaya_Debitur[[#This Row],[Surat Pemberitahuan?]:[Gugatan Sederhana?]],"Ya",Upaya_Debitur[[#This Row],[Surat Pemberitahuan]:[Gugatan Sederhana]],"")</f>
        <v>7</v>
      </c>
      <c r="CM163" s="36">
        <f ca="1">IF(ISNUMBER(Upaya_Debitur[[#This Row],[Realisasi]]/Upaya_Debitur[[#This Row],[Target Upaya]]),Upaya_Debitur[[#This Row],[Realisasi]]/Upaya_Debitur[[#This Row],[Target Upaya]],1)</f>
        <v>1</v>
      </c>
    </row>
    <row r="164" spans="1:91" x14ac:dyDescent="0.3">
      <c r="A164" s="16">
        <v>146</v>
      </c>
      <c r="B164" s="17"/>
      <c r="C164" s="17" t="s">
        <v>465</v>
      </c>
      <c r="D164" s="16" t="s">
        <v>466</v>
      </c>
      <c r="E164" s="37">
        <v>816423</v>
      </c>
      <c r="F164" s="37">
        <v>0</v>
      </c>
      <c r="G164" s="37">
        <v>0</v>
      </c>
      <c r="H164" s="40">
        <f>SUM(Upaya_Debitur[[#This Row],[Kewajiban Pokok]:[Kewajiban Denda]])</f>
        <v>816423</v>
      </c>
      <c r="I164" s="37"/>
      <c r="J164" s="40">
        <f>IF(ISNUMBER(Upaya_Debitur[[#This Row],[Angsuran Sesuai PK]]),Upaya_Debitur[[#This Row],[Angsuran Sesuai PK]],1)</f>
        <v>1</v>
      </c>
      <c r="K164" s="76"/>
      <c r="L164" s="16" t="s">
        <v>37</v>
      </c>
      <c r="N164" s="18"/>
      <c r="O164" s="76"/>
      <c r="P164" s="37"/>
      <c r="Q164" s="41"/>
      <c r="R164" s="37"/>
      <c r="S164" s="40">
        <f>IF(Upaya_Debitur[[#This Row],[Periode Haircut]]="",0,IF(Upaya_Debitur[[#This Row],[Periode Haircut]]&lt;=$B$6,Upaya_Debitur[[#This Row],[Haircut]],0))</f>
        <v>0</v>
      </c>
      <c r="T164" s="40">
        <f>IF($B$10="",0,IF($B$10&lt;=$B$6,Upaya_Debitur[[#This Row],[Set Off]],0))</f>
        <v>0</v>
      </c>
      <c r="U164" s="37">
        <v>0</v>
      </c>
      <c r="V164" s="37">
        <v>0</v>
      </c>
      <c r="W164" s="37">
        <v>0</v>
      </c>
      <c r="X164" s="37">
        <v>0</v>
      </c>
      <c r="Y164" s="37">
        <v>0</v>
      </c>
      <c r="Z164" s="37">
        <v>0</v>
      </c>
      <c r="AA164" s="37">
        <v>0</v>
      </c>
      <c r="AB164" s="37">
        <v>0</v>
      </c>
      <c r="AC164" s="37">
        <v>0</v>
      </c>
      <c r="AD164" s="37">
        <v>0</v>
      </c>
      <c r="AE164" s="37">
        <v>0</v>
      </c>
      <c r="AF164" s="37">
        <v>0</v>
      </c>
      <c r="AG164" s="37">
        <v>0</v>
      </c>
      <c r="AH164" s="37">
        <v>0</v>
      </c>
      <c r="AI164" s="37">
        <v>0</v>
      </c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40">
        <f ca="1">SUM(OFFSET(Upaya_Debitur[[#This Row],[Haircut Diperhitungkan]],0,0,1,$B$7+2))</f>
        <v>0</v>
      </c>
      <c r="BR164" s="35" t="str">
        <f ca="1">IF(Upaya_Debitur[[#This Row],[Total Pencairan]]&gt;=Upaya_Debitur[[#This Row],[Kewajiban Total]],"Lunas","Belum Lunas")</f>
        <v>Belum Lunas</v>
      </c>
      <c r="BS164" s="35" t="str">
        <f t="shared" si="7"/>
        <v>Ya</v>
      </c>
      <c r="BT164" s="35" t="str">
        <f t="shared" si="8"/>
        <v>Ya</v>
      </c>
      <c r="BU16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6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6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64" s="35" t="str">
        <f>IF(Upaya_Debitur[[#This Row],[Kondisi Debitur]]="Tidak ditemukan","Ya","Tidak")</f>
        <v>Ya</v>
      </c>
      <c r="BY16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6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6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64" s="18">
        <v>43781</v>
      </c>
      <c r="CC164" s="18">
        <v>43999</v>
      </c>
      <c r="CD164" s="18">
        <v>43826</v>
      </c>
      <c r="CE164" s="18">
        <v>43871</v>
      </c>
      <c r="CF164" s="18">
        <v>43887</v>
      </c>
      <c r="CG164" s="18">
        <v>43888</v>
      </c>
      <c r="CH164" s="18">
        <v>44057</v>
      </c>
      <c r="CI164" s="18">
        <v>44077</v>
      </c>
      <c r="CJ164" s="18"/>
      <c r="CK164" s="35">
        <f ca="1">COUNTIF(Upaya_Debitur[[#This Row],[Surat Pemberitahuan?]:[Gugatan Sederhana?]],"Ya")</f>
        <v>8</v>
      </c>
      <c r="CL164" s="35">
        <f ca="1">Upaya_Debitur[[#This Row],[Target Upaya]]-COUNTIFS(Upaya_Debitur[[#This Row],[Surat Pemberitahuan?]:[Gugatan Sederhana?]],"Ya",Upaya_Debitur[[#This Row],[Surat Pemberitahuan]:[Gugatan Sederhana]],"")</f>
        <v>8</v>
      </c>
      <c r="CM164" s="36">
        <f ca="1">IF(ISNUMBER(Upaya_Debitur[[#This Row],[Realisasi]]/Upaya_Debitur[[#This Row],[Target Upaya]]),Upaya_Debitur[[#This Row],[Realisasi]]/Upaya_Debitur[[#This Row],[Target Upaya]],1)</f>
        <v>1</v>
      </c>
    </row>
    <row r="165" spans="1:91" x14ac:dyDescent="0.3">
      <c r="A165" s="16">
        <v>147</v>
      </c>
      <c r="B165" s="17"/>
      <c r="C165" s="17" t="s">
        <v>467</v>
      </c>
      <c r="D165" s="16" t="s">
        <v>468</v>
      </c>
      <c r="E165" s="37">
        <v>10000000</v>
      </c>
      <c r="F165" s="37">
        <v>0</v>
      </c>
      <c r="G165" s="37">
        <v>0</v>
      </c>
      <c r="H165" s="40">
        <f>SUM(Upaya_Debitur[[#This Row],[Kewajiban Pokok]:[Kewajiban Denda]])</f>
        <v>10000000</v>
      </c>
      <c r="I165" s="37"/>
      <c r="J165" s="40">
        <f>IF(ISNUMBER(Upaya_Debitur[[#This Row],[Angsuran Sesuai PK]]),Upaya_Debitur[[#This Row],[Angsuran Sesuai PK]],1)</f>
        <v>1</v>
      </c>
      <c r="K165" s="76"/>
      <c r="L165" s="16" t="s">
        <v>83</v>
      </c>
      <c r="N165" s="18"/>
      <c r="O165" s="76"/>
      <c r="P165" s="37"/>
      <c r="Q165" s="41"/>
      <c r="R165" s="37"/>
      <c r="S165" s="40">
        <f>IF(Upaya_Debitur[[#This Row],[Periode Haircut]]="",0,IF(Upaya_Debitur[[#This Row],[Periode Haircut]]&lt;=$B$6,Upaya_Debitur[[#This Row],[Haircut]],0))</f>
        <v>0</v>
      </c>
      <c r="T165" s="40">
        <f>IF($B$10="",0,IF($B$10&lt;=$B$6,Upaya_Debitur[[#This Row],[Set Off]],0))</f>
        <v>0</v>
      </c>
      <c r="U165" s="37">
        <v>0</v>
      </c>
      <c r="V165" s="37">
        <v>0</v>
      </c>
      <c r="W165" s="37">
        <v>0</v>
      </c>
      <c r="X165" s="37">
        <v>0</v>
      </c>
      <c r="Y165" s="37">
        <v>0</v>
      </c>
      <c r="Z165" s="37">
        <v>0</v>
      </c>
      <c r="AA165" s="37">
        <v>0</v>
      </c>
      <c r="AB165" s="37">
        <v>0</v>
      </c>
      <c r="AC165" s="37">
        <v>0</v>
      </c>
      <c r="AD165" s="37">
        <v>0</v>
      </c>
      <c r="AE165" s="37">
        <v>0</v>
      </c>
      <c r="AF165" s="37">
        <v>0</v>
      </c>
      <c r="AG165" s="37">
        <v>0</v>
      </c>
      <c r="AH165" s="37">
        <v>0</v>
      </c>
      <c r="AI165" s="37">
        <v>0</v>
      </c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40">
        <f ca="1">SUM(OFFSET(Upaya_Debitur[[#This Row],[Haircut Diperhitungkan]],0,0,1,$B$7+2))</f>
        <v>0</v>
      </c>
      <c r="BR165" s="35" t="str">
        <f ca="1">IF(Upaya_Debitur[[#This Row],[Total Pencairan]]&gt;=Upaya_Debitur[[#This Row],[Kewajiban Total]],"Lunas","Belum Lunas")</f>
        <v>Belum Lunas</v>
      </c>
      <c r="BS165" s="35" t="str">
        <f t="shared" si="7"/>
        <v>Ya</v>
      </c>
      <c r="BT165" s="35" t="str">
        <f t="shared" si="8"/>
        <v>Ya</v>
      </c>
      <c r="BU16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6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6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65" s="35" t="str">
        <f>IF(Upaya_Debitur[[#This Row],[Kondisi Debitur]]="Tidak ditemukan","Ya","Tidak")</f>
        <v>Tidak</v>
      </c>
      <c r="BY16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6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6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65" s="18">
        <v>43781</v>
      </c>
      <c r="CC165" s="18">
        <v>43999</v>
      </c>
      <c r="CD165" s="18">
        <v>43826</v>
      </c>
      <c r="CE165" s="18">
        <v>43871</v>
      </c>
      <c r="CF165" s="18">
        <v>43887</v>
      </c>
      <c r="CG165" s="18">
        <v>43888</v>
      </c>
      <c r="CH165" s="18">
        <v>44057</v>
      </c>
      <c r="CI165" s="18">
        <v>44077</v>
      </c>
      <c r="CJ165" s="18"/>
      <c r="CK165" s="35">
        <f ca="1">COUNTIF(Upaya_Debitur[[#This Row],[Surat Pemberitahuan?]:[Gugatan Sederhana?]],"Ya")</f>
        <v>7</v>
      </c>
      <c r="CL165" s="35">
        <f ca="1">Upaya_Debitur[[#This Row],[Target Upaya]]-COUNTIFS(Upaya_Debitur[[#This Row],[Surat Pemberitahuan?]:[Gugatan Sederhana?]],"Ya",Upaya_Debitur[[#This Row],[Surat Pemberitahuan]:[Gugatan Sederhana]],"")</f>
        <v>7</v>
      </c>
      <c r="CM165" s="36">
        <f ca="1">IF(ISNUMBER(Upaya_Debitur[[#This Row],[Realisasi]]/Upaya_Debitur[[#This Row],[Target Upaya]]),Upaya_Debitur[[#This Row],[Realisasi]]/Upaya_Debitur[[#This Row],[Target Upaya]],1)</f>
        <v>1</v>
      </c>
    </row>
    <row r="166" spans="1:91" x14ac:dyDescent="0.3">
      <c r="A166" s="16">
        <v>148</v>
      </c>
      <c r="B166" s="17"/>
      <c r="C166" s="17" t="s">
        <v>469</v>
      </c>
      <c r="D166" s="16" t="s">
        <v>470</v>
      </c>
      <c r="E166" s="37">
        <v>1000000</v>
      </c>
      <c r="F166" s="37">
        <v>0</v>
      </c>
      <c r="G166" s="37">
        <v>0</v>
      </c>
      <c r="H166" s="40">
        <f>SUM(Upaya_Debitur[[#This Row],[Kewajiban Pokok]:[Kewajiban Denda]])</f>
        <v>1000000</v>
      </c>
      <c r="I166" s="37"/>
      <c r="J166" s="40">
        <f>IF(ISNUMBER(Upaya_Debitur[[#This Row],[Angsuran Sesuai PK]]),Upaya_Debitur[[#This Row],[Angsuran Sesuai PK]],1)</f>
        <v>1</v>
      </c>
      <c r="K166" s="76"/>
      <c r="L166" s="16" t="s">
        <v>37</v>
      </c>
      <c r="N166" s="18"/>
      <c r="O166" s="76"/>
      <c r="P166" s="37"/>
      <c r="Q166" s="41"/>
      <c r="R166" s="37"/>
      <c r="S166" s="40">
        <f>IF(Upaya_Debitur[[#This Row],[Periode Haircut]]="",0,IF(Upaya_Debitur[[#This Row],[Periode Haircut]]&lt;=$B$6,Upaya_Debitur[[#This Row],[Haircut]],0))</f>
        <v>0</v>
      </c>
      <c r="T166" s="40">
        <f>IF($B$10="",0,IF($B$10&lt;=$B$6,Upaya_Debitur[[#This Row],[Set Off]],0))</f>
        <v>0</v>
      </c>
      <c r="U166" s="37">
        <v>0</v>
      </c>
      <c r="V166" s="37">
        <v>0</v>
      </c>
      <c r="W166" s="37">
        <v>0</v>
      </c>
      <c r="X166" s="37">
        <v>0</v>
      </c>
      <c r="Y166" s="37">
        <v>0</v>
      </c>
      <c r="Z166" s="37">
        <v>0</v>
      </c>
      <c r="AA166" s="37">
        <v>0</v>
      </c>
      <c r="AB166" s="37">
        <v>0</v>
      </c>
      <c r="AC166" s="37">
        <v>0</v>
      </c>
      <c r="AD166" s="37">
        <v>0</v>
      </c>
      <c r="AE166" s="37">
        <v>0</v>
      </c>
      <c r="AF166" s="37">
        <v>0</v>
      </c>
      <c r="AG166" s="37">
        <v>0</v>
      </c>
      <c r="AH166" s="37">
        <v>0</v>
      </c>
      <c r="AI166" s="37">
        <v>0</v>
      </c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40">
        <f ca="1">SUM(OFFSET(Upaya_Debitur[[#This Row],[Haircut Diperhitungkan]],0,0,1,$B$7+2))</f>
        <v>0</v>
      </c>
      <c r="BR166" s="35" t="str">
        <f ca="1">IF(Upaya_Debitur[[#This Row],[Total Pencairan]]&gt;=Upaya_Debitur[[#This Row],[Kewajiban Total]],"Lunas","Belum Lunas")</f>
        <v>Belum Lunas</v>
      </c>
      <c r="BS166" s="35" t="str">
        <f t="shared" si="7"/>
        <v>Ya</v>
      </c>
      <c r="BT166" s="35" t="str">
        <f t="shared" si="8"/>
        <v>Ya</v>
      </c>
      <c r="BU16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6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6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66" s="35" t="str">
        <f>IF(Upaya_Debitur[[#This Row],[Kondisi Debitur]]="Tidak ditemukan","Ya","Tidak")</f>
        <v>Ya</v>
      </c>
      <c r="BY16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6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6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66" s="18">
        <v>43781</v>
      </c>
      <c r="CC166" s="18">
        <v>43999</v>
      </c>
      <c r="CD166" s="18">
        <v>43826</v>
      </c>
      <c r="CE166" s="18">
        <v>43871</v>
      </c>
      <c r="CF166" s="18">
        <v>43887</v>
      </c>
      <c r="CG166" s="18">
        <v>44035</v>
      </c>
      <c r="CH166" s="18">
        <v>44057</v>
      </c>
      <c r="CI166" s="18">
        <v>44077</v>
      </c>
      <c r="CJ166" s="18"/>
      <c r="CK166" s="35">
        <f ca="1">COUNTIF(Upaya_Debitur[[#This Row],[Surat Pemberitahuan?]:[Gugatan Sederhana?]],"Ya")</f>
        <v>8</v>
      </c>
      <c r="CL166" s="35">
        <f ca="1">Upaya_Debitur[[#This Row],[Target Upaya]]-COUNTIFS(Upaya_Debitur[[#This Row],[Surat Pemberitahuan?]:[Gugatan Sederhana?]],"Ya",Upaya_Debitur[[#This Row],[Surat Pemberitahuan]:[Gugatan Sederhana]],"")</f>
        <v>8</v>
      </c>
      <c r="CM166" s="36">
        <f ca="1">IF(ISNUMBER(Upaya_Debitur[[#This Row],[Realisasi]]/Upaya_Debitur[[#This Row],[Target Upaya]]),Upaya_Debitur[[#This Row],[Realisasi]]/Upaya_Debitur[[#This Row],[Target Upaya]],1)</f>
        <v>1</v>
      </c>
    </row>
    <row r="167" spans="1:91" x14ac:dyDescent="0.3">
      <c r="A167" s="16">
        <v>149</v>
      </c>
      <c r="B167" s="17"/>
      <c r="C167" s="17" t="s">
        <v>471</v>
      </c>
      <c r="D167" s="16" t="s">
        <v>472</v>
      </c>
      <c r="E167" s="37">
        <v>950346</v>
      </c>
      <c r="F167" s="37">
        <v>0</v>
      </c>
      <c r="G167" s="37">
        <v>0</v>
      </c>
      <c r="H167" s="40">
        <f>SUM(Upaya_Debitur[[#This Row],[Kewajiban Pokok]:[Kewajiban Denda]])</f>
        <v>950346</v>
      </c>
      <c r="I167" s="37"/>
      <c r="J167" s="40">
        <f>IF(ISNUMBER(Upaya_Debitur[[#This Row],[Angsuran Sesuai PK]]),Upaya_Debitur[[#This Row],[Angsuran Sesuai PK]],1)</f>
        <v>1</v>
      </c>
      <c r="K167" s="76"/>
      <c r="L167" s="16" t="s">
        <v>37</v>
      </c>
      <c r="N167" s="18"/>
      <c r="O167" s="76"/>
      <c r="P167" s="37"/>
      <c r="Q167" s="41"/>
      <c r="R167" s="37"/>
      <c r="S167" s="40">
        <f>IF(Upaya_Debitur[[#This Row],[Periode Haircut]]="",0,IF(Upaya_Debitur[[#This Row],[Periode Haircut]]&lt;=$B$6,Upaya_Debitur[[#This Row],[Haircut]],0))</f>
        <v>0</v>
      </c>
      <c r="T167" s="40">
        <f>IF($B$10="",0,IF($B$10&lt;=$B$6,Upaya_Debitur[[#This Row],[Set Off]],0))</f>
        <v>0</v>
      </c>
      <c r="U167" s="37">
        <v>0</v>
      </c>
      <c r="V167" s="37">
        <v>0</v>
      </c>
      <c r="W167" s="37">
        <v>0</v>
      </c>
      <c r="X167" s="37">
        <v>0</v>
      </c>
      <c r="Y167" s="37">
        <v>0</v>
      </c>
      <c r="Z167" s="37">
        <v>0</v>
      </c>
      <c r="AA167" s="37">
        <v>0</v>
      </c>
      <c r="AB167" s="37">
        <v>0</v>
      </c>
      <c r="AC167" s="37">
        <v>0</v>
      </c>
      <c r="AD167" s="37">
        <v>0</v>
      </c>
      <c r="AE167" s="37">
        <v>0</v>
      </c>
      <c r="AF167" s="37">
        <v>0</v>
      </c>
      <c r="AG167" s="37">
        <v>0</v>
      </c>
      <c r="AH167" s="37">
        <v>0</v>
      </c>
      <c r="AI167" s="37">
        <v>0</v>
      </c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40">
        <f ca="1">SUM(OFFSET(Upaya_Debitur[[#This Row],[Haircut Diperhitungkan]],0,0,1,$B$7+2))</f>
        <v>0</v>
      </c>
      <c r="BR167" s="35" t="str">
        <f ca="1">IF(Upaya_Debitur[[#This Row],[Total Pencairan]]&gt;=Upaya_Debitur[[#This Row],[Kewajiban Total]],"Lunas","Belum Lunas")</f>
        <v>Belum Lunas</v>
      </c>
      <c r="BS167" s="35" t="str">
        <f t="shared" si="7"/>
        <v>Ya</v>
      </c>
      <c r="BT167" s="35" t="str">
        <f t="shared" si="8"/>
        <v>Ya</v>
      </c>
      <c r="BU16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6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6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67" s="35" t="str">
        <f>IF(Upaya_Debitur[[#This Row],[Kondisi Debitur]]="Tidak ditemukan","Ya","Tidak")</f>
        <v>Ya</v>
      </c>
      <c r="BY16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6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6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67" s="18">
        <v>43781</v>
      </c>
      <c r="CC167" s="18">
        <v>43999</v>
      </c>
      <c r="CD167" s="18">
        <v>43826</v>
      </c>
      <c r="CE167" s="18">
        <v>43871</v>
      </c>
      <c r="CF167" s="18">
        <v>43887</v>
      </c>
      <c r="CG167" s="18">
        <v>43888</v>
      </c>
      <c r="CH167" s="18">
        <v>44057</v>
      </c>
      <c r="CI167" s="18">
        <v>44077</v>
      </c>
      <c r="CJ167" s="18"/>
      <c r="CK167" s="35">
        <f ca="1">COUNTIF(Upaya_Debitur[[#This Row],[Surat Pemberitahuan?]:[Gugatan Sederhana?]],"Ya")</f>
        <v>8</v>
      </c>
      <c r="CL167" s="35">
        <f ca="1">Upaya_Debitur[[#This Row],[Target Upaya]]-COUNTIFS(Upaya_Debitur[[#This Row],[Surat Pemberitahuan?]:[Gugatan Sederhana?]],"Ya",Upaya_Debitur[[#This Row],[Surat Pemberitahuan]:[Gugatan Sederhana]],"")</f>
        <v>8</v>
      </c>
      <c r="CM167" s="36">
        <f ca="1">IF(ISNUMBER(Upaya_Debitur[[#This Row],[Realisasi]]/Upaya_Debitur[[#This Row],[Target Upaya]]),Upaya_Debitur[[#This Row],[Realisasi]]/Upaya_Debitur[[#This Row],[Target Upaya]],1)</f>
        <v>1</v>
      </c>
    </row>
    <row r="168" spans="1:91" x14ac:dyDescent="0.3">
      <c r="A168" s="16">
        <v>150</v>
      </c>
      <c r="B168" s="17"/>
      <c r="C168" s="17" t="s">
        <v>473</v>
      </c>
      <c r="D168" s="16" t="s">
        <v>474</v>
      </c>
      <c r="E168" s="37">
        <v>18287503</v>
      </c>
      <c r="F168" s="37">
        <v>0</v>
      </c>
      <c r="G168" s="37">
        <v>0</v>
      </c>
      <c r="H168" s="40">
        <f>SUM(Upaya_Debitur[[#This Row],[Kewajiban Pokok]:[Kewajiban Denda]])</f>
        <v>18287503</v>
      </c>
      <c r="I168" s="37"/>
      <c r="J168" s="40">
        <f>IF(ISNUMBER(Upaya_Debitur[[#This Row],[Angsuran Sesuai PK]]),Upaya_Debitur[[#This Row],[Angsuran Sesuai PK]],1)</f>
        <v>1</v>
      </c>
      <c r="K168" s="76"/>
      <c r="L168" s="16" t="s">
        <v>83</v>
      </c>
      <c r="N168" s="18"/>
      <c r="O168" s="76"/>
      <c r="P168" s="37"/>
      <c r="Q168" s="41"/>
      <c r="R168" s="37"/>
      <c r="S168" s="40">
        <f>IF(Upaya_Debitur[[#This Row],[Periode Haircut]]="",0,IF(Upaya_Debitur[[#This Row],[Periode Haircut]]&lt;=$B$6,Upaya_Debitur[[#This Row],[Haircut]],0))</f>
        <v>0</v>
      </c>
      <c r="T168" s="40">
        <f>IF($B$10="",0,IF($B$10&lt;=$B$6,Upaya_Debitur[[#This Row],[Set Off]],0))</f>
        <v>0</v>
      </c>
      <c r="U168" s="37">
        <v>0</v>
      </c>
      <c r="V168" s="37">
        <v>0</v>
      </c>
      <c r="W168" s="37">
        <v>0</v>
      </c>
      <c r="X168" s="37">
        <v>300000</v>
      </c>
      <c r="Y168" s="37">
        <v>0</v>
      </c>
      <c r="Z168" s="37">
        <v>0</v>
      </c>
      <c r="AA168" s="37">
        <v>0</v>
      </c>
      <c r="AB168" s="37">
        <v>0</v>
      </c>
      <c r="AC168" s="37">
        <v>0</v>
      </c>
      <c r="AD168" s="37">
        <v>0</v>
      </c>
      <c r="AE168" s="37">
        <v>0</v>
      </c>
      <c r="AF168" s="37">
        <v>0</v>
      </c>
      <c r="AG168" s="37">
        <v>0</v>
      </c>
      <c r="AH168" s="37">
        <v>0</v>
      </c>
      <c r="AI168" s="37">
        <v>0</v>
      </c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40">
        <f ca="1">SUM(OFFSET(Upaya_Debitur[[#This Row],[Haircut Diperhitungkan]],0,0,1,$B$7+2))</f>
        <v>300000</v>
      </c>
      <c r="BR168" s="35" t="str">
        <f ca="1">IF(Upaya_Debitur[[#This Row],[Total Pencairan]]&gt;=Upaya_Debitur[[#This Row],[Kewajiban Total]],"Lunas","Belum Lunas")</f>
        <v>Belum Lunas</v>
      </c>
      <c r="BS168" s="35" t="str">
        <f t="shared" si="7"/>
        <v>Ya</v>
      </c>
      <c r="BT168" s="35" t="str">
        <f t="shared" si="8"/>
        <v>Ya</v>
      </c>
      <c r="BU16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6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6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68" s="35" t="str">
        <f>IF(Upaya_Debitur[[#This Row],[Kondisi Debitur]]="Tidak ditemukan","Ya","Tidak")</f>
        <v>Tidak</v>
      </c>
      <c r="BY16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6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6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68" s="18">
        <v>43781</v>
      </c>
      <c r="CC168" s="18">
        <v>43999</v>
      </c>
      <c r="CD168" s="18">
        <v>43826</v>
      </c>
      <c r="CE168" s="18">
        <v>43871</v>
      </c>
      <c r="CF168" s="18">
        <v>43887</v>
      </c>
      <c r="CG168" s="18"/>
      <c r="CH168" s="18">
        <v>44057</v>
      </c>
      <c r="CI168" s="18">
        <v>44077</v>
      </c>
      <c r="CJ168" s="18"/>
      <c r="CK168" s="35">
        <f ca="1">COUNTIF(Upaya_Debitur[[#This Row],[Surat Pemberitahuan?]:[Gugatan Sederhana?]],"Ya")</f>
        <v>7</v>
      </c>
      <c r="CL168" s="35">
        <f ca="1">Upaya_Debitur[[#This Row],[Target Upaya]]-COUNTIFS(Upaya_Debitur[[#This Row],[Surat Pemberitahuan?]:[Gugatan Sederhana?]],"Ya",Upaya_Debitur[[#This Row],[Surat Pemberitahuan]:[Gugatan Sederhana]],"")</f>
        <v>7</v>
      </c>
      <c r="CM168" s="36">
        <f ca="1">IF(ISNUMBER(Upaya_Debitur[[#This Row],[Realisasi]]/Upaya_Debitur[[#This Row],[Target Upaya]]),Upaya_Debitur[[#This Row],[Realisasi]]/Upaya_Debitur[[#This Row],[Target Upaya]],1)</f>
        <v>1</v>
      </c>
    </row>
    <row r="169" spans="1:91" x14ac:dyDescent="0.3">
      <c r="A169" s="16">
        <v>151</v>
      </c>
      <c r="B169" s="17"/>
      <c r="C169" s="17" t="s">
        <v>475</v>
      </c>
      <c r="D169" s="16" t="s">
        <v>476</v>
      </c>
      <c r="E169" s="37">
        <v>1403668</v>
      </c>
      <c r="F169" s="37">
        <v>0</v>
      </c>
      <c r="G169" s="37">
        <v>0</v>
      </c>
      <c r="H169" s="40">
        <f>SUM(Upaya_Debitur[[#This Row],[Kewajiban Pokok]:[Kewajiban Denda]])</f>
        <v>1403668</v>
      </c>
      <c r="I169" s="37"/>
      <c r="J169" s="40">
        <f>IF(ISNUMBER(Upaya_Debitur[[#This Row],[Angsuran Sesuai PK]]),Upaya_Debitur[[#This Row],[Angsuran Sesuai PK]],1)</f>
        <v>1</v>
      </c>
      <c r="K169" s="76"/>
      <c r="L169" s="16" t="s">
        <v>83</v>
      </c>
      <c r="N169" s="18"/>
      <c r="O169" s="76"/>
      <c r="P169" s="37"/>
      <c r="Q169" s="41"/>
      <c r="R169" s="37"/>
      <c r="S169" s="40">
        <f>IF(Upaya_Debitur[[#This Row],[Periode Haircut]]="",0,IF(Upaya_Debitur[[#This Row],[Periode Haircut]]&lt;=$B$6,Upaya_Debitur[[#This Row],[Haircut]],0))</f>
        <v>0</v>
      </c>
      <c r="T169" s="40">
        <f>IF($B$10="",0,IF($B$10&lt;=$B$6,Upaya_Debitur[[#This Row],[Set Off]],0))</f>
        <v>0</v>
      </c>
      <c r="U169" s="37">
        <v>0</v>
      </c>
      <c r="V169" s="37">
        <v>0</v>
      </c>
      <c r="W169" s="37">
        <v>0</v>
      </c>
      <c r="X169" s="37">
        <v>0</v>
      </c>
      <c r="Y169" s="37">
        <v>0</v>
      </c>
      <c r="Z169" s="37">
        <v>403668</v>
      </c>
      <c r="AA169" s="37">
        <v>0</v>
      </c>
      <c r="AB169" s="37">
        <v>1000000</v>
      </c>
      <c r="AC169" s="37">
        <v>0</v>
      </c>
      <c r="AD169" s="37">
        <v>0</v>
      </c>
      <c r="AE169" s="37">
        <v>0</v>
      </c>
      <c r="AF169" s="37">
        <v>0</v>
      </c>
      <c r="AG169" s="37">
        <v>0</v>
      </c>
      <c r="AH169" s="37">
        <v>0</v>
      </c>
      <c r="AI169" s="37">
        <v>0</v>
      </c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40">
        <f ca="1">SUM(OFFSET(Upaya_Debitur[[#This Row],[Haircut Diperhitungkan]],0,0,1,$B$7+2))</f>
        <v>1403668</v>
      </c>
      <c r="BR169" s="35" t="str">
        <f ca="1">IF(Upaya_Debitur[[#This Row],[Total Pencairan]]&gt;=Upaya_Debitur[[#This Row],[Kewajiban Total]],"Lunas","Belum Lunas")</f>
        <v>Lunas</v>
      </c>
      <c r="BS169" s="35" t="str">
        <f t="shared" si="7"/>
        <v>Ya</v>
      </c>
      <c r="BT169" s="35" t="str">
        <f t="shared" si="8"/>
        <v>Ya</v>
      </c>
      <c r="BU16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16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16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169" s="35" t="str">
        <f>IF(Upaya_Debitur[[#This Row],[Kondisi Debitur]]="Tidak ditemukan","Ya","Tidak")</f>
        <v>Tidak</v>
      </c>
      <c r="BY16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16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16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69" s="18">
        <v>43781</v>
      </c>
      <c r="CC169" s="18">
        <v>43999</v>
      </c>
      <c r="CD169" s="18">
        <v>43826</v>
      </c>
      <c r="CE169" s="18">
        <v>43871</v>
      </c>
      <c r="CF169" s="18">
        <v>43887</v>
      </c>
      <c r="CG169" s="18"/>
      <c r="CH169" s="18">
        <v>44057</v>
      </c>
      <c r="CI169" s="18">
        <v>44077</v>
      </c>
      <c r="CJ169" s="18"/>
      <c r="CK169" s="35">
        <f ca="1">COUNTIF(Upaya_Debitur[[#This Row],[Surat Pemberitahuan?]:[Gugatan Sederhana?]],"Ya")</f>
        <v>2</v>
      </c>
      <c r="CL169" s="35">
        <f ca="1">Upaya_Debitur[[#This Row],[Target Upaya]]-COUNTIFS(Upaya_Debitur[[#This Row],[Surat Pemberitahuan?]:[Gugatan Sederhana?]],"Ya",Upaya_Debitur[[#This Row],[Surat Pemberitahuan]:[Gugatan Sederhana]],"")</f>
        <v>2</v>
      </c>
      <c r="CM169" s="36">
        <f ca="1">IF(ISNUMBER(Upaya_Debitur[[#This Row],[Realisasi]]/Upaya_Debitur[[#This Row],[Target Upaya]]),Upaya_Debitur[[#This Row],[Realisasi]]/Upaya_Debitur[[#This Row],[Target Upaya]],1)</f>
        <v>1</v>
      </c>
    </row>
    <row r="170" spans="1:91" x14ac:dyDescent="0.3">
      <c r="A170" s="16">
        <v>152</v>
      </c>
      <c r="B170" s="17"/>
      <c r="C170" s="17" t="s">
        <v>477</v>
      </c>
      <c r="D170" s="16" t="s">
        <v>478</v>
      </c>
      <c r="E170" s="37">
        <v>235000</v>
      </c>
      <c r="F170" s="37">
        <v>0</v>
      </c>
      <c r="G170" s="37">
        <v>0</v>
      </c>
      <c r="H170" s="40">
        <f>SUM(Upaya_Debitur[[#This Row],[Kewajiban Pokok]:[Kewajiban Denda]])</f>
        <v>235000</v>
      </c>
      <c r="I170" s="37"/>
      <c r="J170" s="40">
        <f>IF(ISNUMBER(Upaya_Debitur[[#This Row],[Angsuran Sesuai PK]]),Upaya_Debitur[[#This Row],[Angsuran Sesuai PK]],1)</f>
        <v>1</v>
      </c>
      <c r="K170" s="76"/>
      <c r="L170" s="16" t="s">
        <v>37</v>
      </c>
      <c r="N170" s="18"/>
      <c r="O170" s="76"/>
      <c r="P170" s="37"/>
      <c r="Q170" s="41"/>
      <c r="R170" s="37"/>
      <c r="S170" s="40">
        <f>IF(Upaya_Debitur[[#This Row],[Periode Haircut]]="",0,IF(Upaya_Debitur[[#This Row],[Periode Haircut]]&lt;=$B$6,Upaya_Debitur[[#This Row],[Haircut]],0))</f>
        <v>0</v>
      </c>
      <c r="T170" s="40">
        <f>IF($B$10="",0,IF($B$10&lt;=$B$6,Upaya_Debitur[[#This Row],[Set Off]],0))</f>
        <v>0</v>
      </c>
      <c r="U170" s="37">
        <v>0</v>
      </c>
      <c r="V170" s="37">
        <v>0</v>
      </c>
      <c r="W170" s="37">
        <v>0</v>
      </c>
      <c r="X170" s="37">
        <v>0</v>
      </c>
      <c r="Y170" s="37">
        <v>235000</v>
      </c>
      <c r="Z170" s="37">
        <v>0</v>
      </c>
      <c r="AA170" s="37">
        <v>0</v>
      </c>
      <c r="AB170" s="37">
        <v>0</v>
      </c>
      <c r="AC170" s="37">
        <v>0</v>
      </c>
      <c r="AD170" s="37">
        <v>0</v>
      </c>
      <c r="AE170" s="37">
        <v>0</v>
      </c>
      <c r="AF170" s="37">
        <v>0</v>
      </c>
      <c r="AG170" s="37">
        <v>0</v>
      </c>
      <c r="AH170" s="37">
        <v>0</v>
      </c>
      <c r="AI170" s="37">
        <v>0</v>
      </c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40">
        <f ca="1">SUM(OFFSET(Upaya_Debitur[[#This Row],[Haircut Diperhitungkan]],0,0,1,$B$7+2))</f>
        <v>235000</v>
      </c>
      <c r="BR170" s="35" t="str">
        <f ca="1">IF(Upaya_Debitur[[#This Row],[Total Pencairan]]&gt;=Upaya_Debitur[[#This Row],[Kewajiban Total]],"Lunas","Belum Lunas")</f>
        <v>Lunas</v>
      </c>
      <c r="BS170" s="35" t="str">
        <f t="shared" si="7"/>
        <v>Ya</v>
      </c>
      <c r="BT170" s="35" t="str">
        <f t="shared" si="8"/>
        <v>Ya</v>
      </c>
      <c r="BU17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17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17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170" s="35" t="str">
        <f>IF(Upaya_Debitur[[#This Row],[Kondisi Debitur]]="Tidak ditemukan","Ya","Tidak")</f>
        <v>Ya</v>
      </c>
      <c r="BY17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17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17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70" s="18">
        <v>43781</v>
      </c>
      <c r="CC170" s="18">
        <v>43999</v>
      </c>
      <c r="CD170" s="18">
        <v>43826</v>
      </c>
      <c r="CE170" s="18">
        <v>43871</v>
      </c>
      <c r="CF170" s="18"/>
      <c r="CG170" s="18">
        <v>44035</v>
      </c>
      <c r="CH170" s="18">
        <v>44057</v>
      </c>
      <c r="CI170" s="18">
        <v>44077</v>
      </c>
      <c r="CJ170" s="18"/>
      <c r="CK170" s="35">
        <f ca="1">COUNTIF(Upaya_Debitur[[#This Row],[Surat Pemberitahuan?]:[Gugatan Sederhana?]],"Ya")</f>
        <v>3</v>
      </c>
      <c r="CL170" s="35">
        <f ca="1">Upaya_Debitur[[#This Row],[Target Upaya]]-COUNTIFS(Upaya_Debitur[[#This Row],[Surat Pemberitahuan?]:[Gugatan Sederhana?]],"Ya",Upaya_Debitur[[#This Row],[Surat Pemberitahuan]:[Gugatan Sederhana]],"")</f>
        <v>3</v>
      </c>
      <c r="CM170" s="36">
        <f ca="1">IF(ISNUMBER(Upaya_Debitur[[#This Row],[Realisasi]]/Upaya_Debitur[[#This Row],[Target Upaya]]),Upaya_Debitur[[#This Row],[Realisasi]]/Upaya_Debitur[[#This Row],[Target Upaya]],1)</f>
        <v>1</v>
      </c>
    </row>
    <row r="171" spans="1:91" x14ac:dyDescent="0.3">
      <c r="A171" s="16">
        <v>153</v>
      </c>
      <c r="B171" s="17"/>
      <c r="C171" s="17" t="s">
        <v>479</v>
      </c>
      <c r="D171" s="16" t="s">
        <v>480</v>
      </c>
      <c r="E171" s="37">
        <v>1511398</v>
      </c>
      <c r="F171" s="37">
        <v>0</v>
      </c>
      <c r="G171" s="37">
        <v>0</v>
      </c>
      <c r="H171" s="40">
        <f>SUM(Upaya_Debitur[[#This Row],[Kewajiban Pokok]:[Kewajiban Denda]])</f>
        <v>1511398</v>
      </c>
      <c r="I171" s="37"/>
      <c r="J171" s="40">
        <f>IF(ISNUMBER(Upaya_Debitur[[#This Row],[Angsuran Sesuai PK]]),Upaya_Debitur[[#This Row],[Angsuran Sesuai PK]],1)</f>
        <v>1</v>
      </c>
      <c r="K171" s="76"/>
      <c r="L171" s="16" t="s">
        <v>37</v>
      </c>
      <c r="N171" s="18"/>
      <c r="O171" s="76"/>
      <c r="P171" s="37"/>
      <c r="Q171" s="41"/>
      <c r="R171" s="37"/>
      <c r="S171" s="40">
        <f>IF(Upaya_Debitur[[#This Row],[Periode Haircut]]="",0,IF(Upaya_Debitur[[#This Row],[Periode Haircut]]&lt;=$B$6,Upaya_Debitur[[#This Row],[Haircut]],0))</f>
        <v>0</v>
      </c>
      <c r="T171" s="40">
        <f>IF($B$10="",0,IF($B$10&lt;=$B$6,Upaya_Debitur[[#This Row],[Set Off]],0))</f>
        <v>0</v>
      </c>
      <c r="U171" s="37">
        <v>0</v>
      </c>
      <c r="V171" s="37">
        <v>0</v>
      </c>
      <c r="W171" s="37">
        <v>0</v>
      </c>
      <c r="X171" s="37">
        <v>0</v>
      </c>
      <c r="Y171" s="37">
        <v>0</v>
      </c>
      <c r="Z171" s="37">
        <v>0</v>
      </c>
      <c r="AA171" s="37">
        <v>0</v>
      </c>
      <c r="AB171" s="37">
        <v>0</v>
      </c>
      <c r="AC171" s="37">
        <v>0</v>
      </c>
      <c r="AD171" s="37">
        <v>0</v>
      </c>
      <c r="AE171" s="37">
        <v>0</v>
      </c>
      <c r="AF171" s="37">
        <v>0</v>
      </c>
      <c r="AG171" s="37">
        <v>0</v>
      </c>
      <c r="AH171" s="37">
        <v>0</v>
      </c>
      <c r="AI171" s="37">
        <v>0</v>
      </c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40">
        <f ca="1">SUM(OFFSET(Upaya_Debitur[[#This Row],[Haircut Diperhitungkan]],0,0,1,$B$7+2))</f>
        <v>0</v>
      </c>
      <c r="BR171" s="35" t="str">
        <f ca="1">IF(Upaya_Debitur[[#This Row],[Total Pencairan]]&gt;=Upaya_Debitur[[#This Row],[Kewajiban Total]],"Lunas","Belum Lunas")</f>
        <v>Belum Lunas</v>
      </c>
      <c r="BS171" s="35" t="str">
        <f t="shared" si="7"/>
        <v>Ya</v>
      </c>
      <c r="BT171" s="35" t="str">
        <f t="shared" si="8"/>
        <v>Ya</v>
      </c>
      <c r="BU17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7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7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71" s="35" t="str">
        <f>IF(Upaya_Debitur[[#This Row],[Kondisi Debitur]]="Tidak ditemukan","Ya","Tidak")</f>
        <v>Ya</v>
      </c>
      <c r="BY17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7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7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71" s="18">
        <v>43781</v>
      </c>
      <c r="CC171" s="18">
        <v>43999</v>
      </c>
      <c r="CD171" s="18">
        <v>43826</v>
      </c>
      <c r="CE171" s="18">
        <v>43871</v>
      </c>
      <c r="CF171" s="18">
        <v>43887</v>
      </c>
      <c r="CG171" s="18">
        <v>43888</v>
      </c>
      <c r="CH171" s="18">
        <v>44057</v>
      </c>
      <c r="CI171" s="18">
        <v>44077</v>
      </c>
      <c r="CJ171" s="18"/>
      <c r="CK171" s="35">
        <f ca="1">COUNTIF(Upaya_Debitur[[#This Row],[Surat Pemberitahuan?]:[Gugatan Sederhana?]],"Ya")</f>
        <v>8</v>
      </c>
      <c r="CL171" s="35">
        <f ca="1">Upaya_Debitur[[#This Row],[Target Upaya]]-COUNTIFS(Upaya_Debitur[[#This Row],[Surat Pemberitahuan?]:[Gugatan Sederhana?]],"Ya",Upaya_Debitur[[#This Row],[Surat Pemberitahuan]:[Gugatan Sederhana]],"")</f>
        <v>8</v>
      </c>
      <c r="CM171" s="36">
        <f ca="1">IF(ISNUMBER(Upaya_Debitur[[#This Row],[Realisasi]]/Upaya_Debitur[[#This Row],[Target Upaya]]),Upaya_Debitur[[#This Row],[Realisasi]]/Upaya_Debitur[[#This Row],[Target Upaya]],1)</f>
        <v>1</v>
      </c>
    </row>
    <row r="172" spans="1:91" x14ac:dyDescent="0.3">
      <c r="A172" s="16">
        <v>154</v>
      </c>
      <c r="B172" s="17"/>
      <c r="C172" s="17" t="s">
        <v>481</v>
      </c>
      <c r="D172" s="16" t="s">
        <v>482</v>
      </c>
      <c r="E172" s="37">
        <v>1370000</v>
      </c>
      <c r="F172" s="37">
        <v>0</v>
      </c>
      <c r="G172" s="37">
        <v>0</v>
      </c>
      <c r="H172" s="40">
        <f>SUM(Upaya_Debitur[[#This Row],[Kewajiban Pokok]:[Kewajiban Denda]])</f>
        <v>1370000</v>
      </c>
      <c r="I172" s="37"/>
      <c r="J172" s="40">
        <f>IF(ISNUMBER(Upaya_Debitur[[#This Row],[Angsuran Sesuai PK]]),Upaya_Debitur[[#This Row],[Angsuran Sesuai PK]],1)</f>
        <v>1</v>
      </c>
      <c r="K172" s="76"/>
      <c r="L172" s="16" t="s">
        <v>38</v>
      </c>
      <c r="N172" s="18"/>
      <c r="O172" s="76"/>
      <c r="P172" s="37"/>
      <c r="Q172" s="41"/>
      <c r="R172" s="37"/>
      <c r="S172" s="40">
        <f>IF(Upaya_Debitur[[#This Row],[Periode Haircut]]="",0,IF(Upaya_Debitur[[#This Row],[Periode Haircut]]&lt;=$B$6,Upaya_Debitur[[#This Row],[Haircut]],0))</f>
        <v>0</v>
      </c>
      <c r="T172" s="40">
        <f>IF($B$10="",0,IF($B$10&lt;=$B$6,Upaya_Debitur[[#This Row],[Set Off]],0))</f>
        <v>0</v>
      </c>
      <c r="U172" s="37">
        <v>0</v>
      </c>
      <c r="V172" s="37">
        <v>0</v>
      </c>
      <c r="W172" s="37">
        <v>0</v>
      </c>
      <c r="X172" s="37">
        <v>0</v>
      </c>
      <c r="Y172" s="37">
        <v>0</v>
      </c>
      <c r="Z172" s="37">
        <v>0</v>
      </c>
      <c r="AA172" s="37">
        <v>0</v>
      </c>
      <c r="AB172" s="37">
        <v>0</v>
      </c>
      <c r="AC172" s="37">
        <v>0</v>
      </c>
      <c r="AD172" s="37">
        <v>0</v>
      </c>
      <c r="AE172" s="37">
        <v>0</v>
      </c>
      <c r="AF172" s="37">
        <v>0</v>
      </c>
      <c r="AG172" s="37">
        <v>0</v>
      </c>
      <c r="AH172" s="37">
        <v>0</v>
      </c>
      <c r="AI172" s="37">
        <v>0</v>
      </c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40">
        <f ca="1">SUM(OFFSET(Upaya_Debitur[[#This Row],[Haircut Diperhitungkan]],0,0,1,$B$7+2))</f>
        <v>0</v>
      </c>
      <c r="BR172" s="35" t="str">
        <f ca="1">IF(Upaya_Debitur[[#This Row],[Total Pencairan]]&gt;=Upaya_Debitur[[#This Row],[Kewajiban Total]],"Lunas","Belum Lunas")</f>
        <v>Belum Lunas</v>
      </c>
      <c r="BS172" s="35" t="str">
        <f t="shared" si="7"/>
        <v>Ya</v>
      </c>
      <c r="BT172" s="35" t="str">
        <f t="shared" si="8"/>
        <v>Ya</v>
      </c>
      <c r="BU17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7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7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72" s="35" t="str">
        <f>IF(Upaya_Debitur[[#This Row],[Kondisi Debitur]]="Tidak ditemukan","Ya","Tidak")</f>
        <v>Tidak</v>
      </c>
      <c r="BY17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7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7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72" s="18">
        <v>43781</v>
      </c>
      <c r="CC172" s="18">
        <v>43999</v>
      </c>
      <c r="CD172" s="18">
        <v>43826</v>
      </c>
      <c r="CE172" s="18">
        <v>43871</v>
      </c>
      <c r="CF172" s="18">
        <v>43887</v>
      </c>
      <c r="CG172" s="18">
        <v>43888</v>
      </c>
      <c r="CH172" s="18">
        <v>44057</v>
      </c>
      <c r="CI172" s="18">
        <v>44077</v>
      </c>
      <c r="CJ172" s="18"/>
      <c r="CK172" s="35">
        <f ca="1">COUNTIF(Upaya_Debitur[[#This Row],[Surat Pemberitahuan?]:[Gugatan Sederhana?]],"Ya")</f>
        <v>7</v>
      </c>
      <c r="CL172" s="35">
        <f ca="1">Upaya_Debitur[[#This Row],[Target Upaya]]-COUNTIFS(Upaya_Debitur[[#This Row],[Surat Pemberitahuan?]:[Gugatan Sederhana?]],"Ya",Upaya_Debitur[[#This Row],[Surat Pemberitahuan]:[Gugatan Sederhana]],"")</f>
        <v>7</v>
      </c>
      <c r="CM172" s="36">
        <f ca="1">IF(ISNUMBER(Upaya_Debitur[[#This Row],[Realisasi]]/Upaya_Debitur[[#This Row],[Target Upaya]]),Upaya_Debitur[[#This Row],[Realisasi]]/Upaya_Debitur[[#This Row],[Target Upaya]],1)</f>
        <v>1</v>
      </c>
    </row>
    <row r="173" spans="1:91" x14ac:dyDescent="0.3">
      <c r="A173" s="16">
        <v>155</v>
      </c>
      <c r="B173" s="17"/>
      <c r="C173" s="17" t="s">
        <v>483</v>
      </c>
      <c r="D173" s="16" t="s">
        <v>484</v>
      </c>
      <c r="E173" s="37">
        <v>1276900</v>
      </c>
      <c r="F173" s="37">
        <v>0</v>
      </c>
      <c r="G173" s="37">
        <v>0</v>
      </c>
      <c r="H173" s="40">
        <f>SUM(Upaya_Debitur[[#This Row],[Kewajiban Pokok]:[Kewajiban Denda]])</f>
        <v>1276900</v>
      </c>
      <c r="I173" s="37"/>
      <c r="J173" s="40">
        <f>IF(ISNUMBER(Upaya_Debitur[[#This Row],[Angsuran Sesuai PK]]),Upaya_Debitur[[#This Row],[Angsuran Sesuai PK]],1)</f>
        <v>1</v>
      </c>
      <c r="K173" s="76"/>
      <c r="L173" s="16" t="s">
        <v>83</v>
      </c>
      <c r="N173" s="18"/>
      <c r="O173" s="76"/>
      <c r="P173" s="37"/>
      <c r="Q173" s="41"/>
      <c r="R173" s="37"/>
      <c r="S173" s="40">
        <f>IF(Upaya_Debitur[[#This Row],[Periode Haircut]]="",0,IF(Upaya_Debitur[[#This Row],[Periode Haircut]]&lt;=$B$6,Upaya_Debitur[[#This Row],[Haircut]],0))</f>
        <v>0</v>
      </c>
      <c r="T173" s="40">
        <f>IF($B$10="",0,IF($B$10&lt;=$B$6,Upaya_Debitur[[#This Row],[Set Off]],0))</f>
        <v>0</v>
      </c>
      <c r="U173" s="37">
        <v>0</v>
      </c>
      <c r="V173" s="37">
        <v>0</v>
      </c>
      <c r="W173" s="37">
        <v>0</v>
      </c>
      <c r="X173" s="37">
        <v>0</v>
      </c>
      <c r="Y173" s="37">
        <v>0</v>
      </c>
      <c r="Z173" s="37">
        <v>0</v>
      </c>
      <c r="AA173" s="37">
        <v>0</v>
      </c>
      <c r="AB173" s="37">
        <v>0</v>
      </c>
      <c r="AC173" s="37">
        <v>0</v>
      </c>
      <c r="AD173" s="37">
        <v>0</v>
      </c>
      <c r="AE173" s="37">
        <v>0</v>
      </c>
      <c r="AF173" s="37">
        <v>0</v>
      </c>
      <c r="AG173" s="37">
        <v>0</v>
      </c>
      <c r="AH173" s="37">
        <v>0</v>
      </c>
      <c r="AI173" s="37">
        <v>0</v>
      </c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40">
        <f ca="1">SUM(OFFSET(Upaya_Debitur[[#This Row],[Haircut Diperhitungkan]],0,0,1,$B$7+2))</f>
        <v>0</v>
      </c>
      <c r="BR173" s="35" t="str">
        <f ca="1">IF(Upaya_Debitur[[#This Row],[Total Pencairan]]&gt;=Upaya_Debitur[[#This Row],[Kewajiban Total]],"Lunas","Belum Lunas")</f>
        <v>Belum Lunas</v>
      </c>
      <c r="BS173" s="35" t="str">
        <f t="shared" si="7"/>
        <v>Ya</v>
      </c>
      <c r="BT173" s="35" t="str">
        <f t="shared" si="8"/>
        <v>Ya</v>
      </c>
      <c r="BU17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7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7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73" s="35" t="str">
        <f>IF(Upaya_Debitur[[#This Row],[Kondisi Debitur]]="Tidak ditemukan","Ya","Tidak")</f>
        <v>Tidak</v>
      </c>
      <c r="BY17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7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7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73" s="18">
        <v>43781</v>
      </c>
      <c r="CC173" s="18">
        <v>43999</v>
      </c>
      <c r="CD173" s="18">
        <v>43826</v>
      </c>
      <c r="CE173" s="18">
        <v>43871</v>
      </c>
      <c r="CF173" s="18">
        <v>43887</v>
      </c>
      <c r="CG173" s="18">
        <v>43888</v>
      </c>
      <c r="CH173" s="18">
        <v>44057</v>
      </c>
      <c r="CI173" s="18">
        <v>44077</v>
      </c>
      <c r="CJ173" s="18"/>
      <c r="CK173" s="35">
        <f ca="1">COUNTIF(Upaya_Debitur[[#This Row],[Surat Pemberitahuan?]:[Gugatan Sederhana?]],"Ya")</f>
        <v>7</v>
      </c>
      <c r="CL173" s="35">
        <f ca="1">Upaya_Debitur[[#This Row],[Target Upaya]]-COUNTIFS(Upaya_Debitur[[#This Row],[Surat Pemberitahuan?]:[Gugatan Sederhana?]],"Ya",Upaya_Debitur[[#This Row],[Surat Pemberitahuan]:[Gugatan Sederhana]],"")</f>
        <v>7</v>
      </c>
      <c r="CM173" s="36">
        <f ca="1">IF(ISNUMBER(Upaya_Debitur[[#This Row],[Realisasi]]/Upaya_Debitur[[#This Row],[Target Upaya]]),Upaya_Debitur[[#This Row],[Realisasi]]/Upaya_Debitur[[#This Row],[Target Upaya]],1)</f>
        <v>1</v>
      </c>
    </row>
    <row r="174" spans="1:91" x14ac:dyDescent="0.3">
      <c r="A174" s="16">
        <v>156</v>
      </c>
      <c r="B174" s="17"/>
      <c r="C174" s="17" t="s">
        <v>485</v>
      </c>
      <c r="D174" s="16" t="s">
        <v>486</v>
      </c>
      <c r="E174" s="37">
        <v>8350000</v>
      </c>
      <c r="F174" s="37">
        <v>0</v>
      </c>
      <c r="G174" s="37">
        <v>0</v>
      </c>
      <c r="H174" s="40">
        <f>SUM(Upaya_Debitur[[#This Row],[Kewajiban Pokok]:[Kewajiban Denda]])</f>
        <v>8350000</v>
      </c>
      <c r="I174" s="37"/>
      <c r="J174" s="40">
        <f>IF(ISNUMBER(Upaya_Debitur[[#This Row],[Angsuran Sesuai PK]]),Upaya_Debitur[[#This Row],[Angsuran Sesuai PK]],1)</f>
        <v>1</v>
      </c>
      <c r="K174" s="76"/>
      <c r="L174" s="16" t="s">
        <v>37</v>
      </c>
      <c r="N174" s="18"/>
      <c r="O174" s="76"/>
      <c r="P174" s="37"/>
      <c r="Q174" s="41"/>
      <c r="R174" s="37"/>
      <c r="S174" s="40">
        <f>IF(Upaya_Debitur[[#This Row],[Periode Haircut]]="",0,IF(Upaya_Debitur[[#This Row],[Periode Haircut]]&lt;=$B$6,Upaya_Debitur[[#This Row],[Haircut]],0))</f>
        <v>0</v>
      </c>
      <c r="T174" s="40">
        <f>IF($B$10="",0,IF($B$10&lt;=$B$6,Upaya_Debitur[[#This Row],[Set Off]],0))</f>
        <v>0</v>
      </c>
      <c r="U174" s="37">
        <v>0</v>
      </c>
      <c r="V174" s="37">
        <v>0</v>
      </c>
      <c r="W174" s="37">
        <v>0</v>
      </c>
      <c r="X174" s="37">
        <v>0</v>
      </c>
      <c r="Y174" s="37">
        <v>0</v>
      </c>
      <c r="Z174" s="37">
        <v>0</v>
      </c>
      <c r="AA174" s="37">
        <v>0</v>
      </c>
      <c r="AB174" s="37">
        <v>0</v>
      </c>
      <c r="AC174" s="37">
        <v>0</v>
      </c>
      <c r="AD174" s="37">
        <v>0</v>
      </c>
      <c r="AE174" s="37">
        <v>0</v>
      </c>
      <c r="AF174" s="37">
        <v>0</v>
      </c>
      <c r="AG174" s="37">
        <v>0</v>
      </c>
      <c r="AH174" s="37">
        <v>0</v>
      </c>
      <c r="AI174" s="37">
        <v>0</v>
      </c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40">
        <f ca="1">SUM(OFFSET(Upaya_Debitur[[#This Row],[Haircut Diperhitungkan]],0,0,1,$B$7+2))</f>
        <v>0</v>
      </c>
      <c r="BR174" s="35" t="str">
        <f ca="1">IF(Upaya_Debitur[[#This Row],[Total Pencairan]]&gt;=Upaya_Debitur[[#This Row],[Kewajiban Total]],"Lunas","Belum Lunas")</f>
        <v>Belum Lunas</v>
      </c>
      <c r="BS174" s="35" t="str">
        <f t="shared" si="7"/>
        <v>Ya</v>
      </c>
      <c r="BT174" s="35" t="str">
        <f t="shared" si="8"/>
        <v>Ya</v>
      </c>
      <c r="BU17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7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7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74" s="35" t="str">
        <f>IF(Upaya_Debitur[[#This Row],[Kondisi Debitur]]="Tidak ditemukan","Ya","Tidak")</f>
        <v>Ya</v>
      </c>
      <c r="BY17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7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7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74" s="18">
        <v>43781</v>
      </c>
      <c r="CC174" s="18">
        <v>43999</v>
      </c>
      <c r="CD174" s="18">
        <v>43826</v>
      </c>
      <c r="CE174" s="18">
        <v>43871</v>
      </c>
      <c r="CF174" s="18">
        <v>43887</v>
      </c>
      <c r="CG174" s="18">
        <v>44035</v>
      </c>
      <c r="CH174" s="18">
        <v>44057</v>
      </c>
      <c r="CI174" s="18">
        <v>44077</v>
      </c>
      <c r="CJ174" s="18"/>
      <c r="CK174" s="35">
        <f ca="1">COUNTIF(Upaya_Debitur[[#This Row],[Surat Pemberitahuan?]:[Gugatan Sederhana?]],"Ya")</f>
        <v>8</v>
      </c>
      <c r="CL174" s="35">
        <f ca="1">Upaya_Debitur[[#This Row],[Target Upaya]]-COUNTIFS(Upaya_Debitur[[#This Row],[Surat Pemberitahuan?]:[Gugatan Sederhana?]],"Ya",Upaya_Debitur[[#This Row],[Surat Pemberitahuan]:[Gugatan Sederhana]],"")</f>
        <v>8</v>
      </c>
      <c r="CM174" s="36">
        <f ca="1">IF(ISNUMBER(Upaya_Debitur[[#This Row],[Realisasi]]/Upaya_Debitur[[#This Row],[Target Upaya]]),Upaya_Debitur[[#This Row],[Realisasi]]/Upaya_Debitur[[#This Row],[Target Upaya]],1)</f>
        <v>1</v>
      </c>
    </row>
    <row r="175" spans="1:91" x14ac:dyDescent="0.3">
      <c r="A175" s="16">
        <v>157</v>
      </c>
      <c r="B175" s="17"/>
      <c r="C175" s="17" t="s">
        <v>487</v>
      </c>
      <c r="D175" s="16" t="s">
        <v>488</v>
      </c>
      <c r="E175" s="37">
        <v>653500</v>
      </c>
      <c r="F175" s="37">
        <v>0</v>
      </c>
      <c r="G175" s="37">
        <v>0</v>
      </c>
      <c r="H175" s="40">
        <f>SUM(Upaya_Debitur[[#This Row],[Kewajiban Pokok]:[Kewajiban Denda]])</f>
        <v>653500</v>
      </c>
      <c r="I175" s="37"/>
      <c r="J175" s="40">
        <f>IF(ISNUMBER(Upaya_Debitur[[#This Row],[Angsuran Sesuai PK]]),Upaya_Debitur[[#This Row],[Angsuran Sesuai PK]],1)</f>
        <v>1</v>
      </c>
      <c r="K175" s="76"/>
      <c r="L175" s="16" t="s">
        <v>37</v>
      </c>
      <c r="N175" s="18"/>
      <c r="O175" s="76"/>
      <c r="P175" s="37"/>
      <c r="Q175" s="41"/>
      <c r="R175" s="37"/>
      <c r="S175" s="40">
        <f>IF(Upaya_Debitur[[#This Row],[Periode Haircut]]="",0,IF(Upaya_Debitur[[#This Row],[Periode Haircut]]&lt;=$B$6,Upaya_Debitur[[#This Row],[Haircut]],0))</f>
        <v>0</v>
      </c>
      <c r="T175" s="40">
        <f>IF($B$10="",0,IF($B$10&lt;=$B$6,Upaya_Debitur[[#This Row],[Set Off]],0))</f>
        <v>0</v>
      </c>
      <c r="U175" s="37">
        <v>0</v>
      </c>
      <c r="V175" s="37">
        <v>0</v>
      </c>
      <c r="W175" s="37">
        <v>0</v>
      </c>
      <c r="X175" s="37">
        <v>653500</v>
      </c>
      <c r="Y175" s="37">
        <v>0</v>
      </c>
      <c r="Z175" s="37">
        <v>0</v>
      </c>
      <c r="AA175" s="37">
        <v>0</v>
      </c>
      <c r="AB175" s="37">
        <v>0</v>
      </c>
      <c r="AC175" s="37">
        <v>0</v>
      </c>
      <c r="AD175" s="37">
        <v>0</v>
      </c>
      <c r="AE175" s="37">
        <v>0</v>
      </c>
      <c r="AF175" s="37">
        <v>0</v>
      </c>
      <c r="AG175" s="37">
        <v>0</v>
      </c>
      <c r="AH175" s="37">
        <v>0</v>
      </c>
      <c r="AI175" s="37">
        <v>0</v>
      </c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40">
        <f ca="1">SUM(OFFSET(Upaya_Debitur[[#This Row],[Haircut Diperhitungkan]],0,0,1,$B$7+2))</f>
        <v>653500</v>
      </c>
      <c r="BR175" s="35" t="str">
        <f ca="1">IF(Upaya_Debitur[[#This Row],[Total Pencairan]]&gt;=Upaya_Debitur[[#This Row],[Kewajiban Total]],"Lunas","Belum Lunas")</f>
        <v>Lunas</v>
      </c>
      <c r="BS175" s="35" t="str">
        <f t="shared" si="7"/>
        <v>Ya</v>
      </c>
      <c r="BT175" s="35" t="str">
        <f t="shared" si="8"/>
        <v>Ya</v>
      </c>
      <c r="BU17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17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17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175" s="35" t="str">
        <f>IF(Upaya_Debitur[[#This Row],[Kondisi Debitur]]="Tidak ditemukan","Ya","Tidak")</f>
        <v>Ya</v>
      </c>
      <c r="BY17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17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17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75" s="18">
        <v>43781</v>
      </c>
      <c r="CC175" s="18">
        <v>43871</v>
      </c>
      <c r="CD175" s="18">
        <v>43826</v>
      </c>
      <c r="CE175" s="18"/>
      <c r="CF175" s="18"/>
      <c r="CG175" s="18">
        <v>44035</v>
      </c>
      <c r="CH175" s="18">
        <v>44057</v>
      </c>
      <c r="CI175" s="18">
        <v>44077</v>
      </c>
      <c r="CJ175" s="18"/>
      <c r="CK175" s="35">
        <f ca="1">COUNTIF(Upaya_Debitur[[#This Row],[Surat Pemberitahuan?]:[Gugatan Sederhana?]],"Ya")</f>
        <v>3</v>
      </c>
      <c r="CL175" s="35">
        <f ca="1">Upaya_Debitur[[#This Row],[Target Upaya]]-COUNTIFS(Upaya_Debitur[[#This Row],[Surat Pemberitahuan?]:[Gugatan Sederhana?]],"Ya",Upaya_Debitur[[#This Row],[Surat Pemberitahuan]:[Gugatan Sederhana]],"")</f>
        <v>3</v>
      </c>
      <c r="CM175" s="36">
        <f ca="1">IF(ISNUMBER(Upaya_Debitur[[#This Row],[Realisasi]]/Upaya_Debitur[[#This Row],[Target Upaya]]),Upaya_Debitur[[#This Row],[Realisasi]]/Upaya_Debitur[[#This Row],[Target Upaya]],1)</f>
        <v>1</v>
      </c>
    </row>
    <row r="176" spans="1:91" x14ac:dyDescent="0.3">
      <c r="A176" s="16">
        <v>158</v>
      </c>
      <c r="B176" s="17"/>
      <c r="C176" s="17" t="s">
        <v>489</v>
      </c>
      <c r="D176" s="16" t="s">
        <v>490</v>
      </c>
      <c r="E176" s="37">
        <v>510000</v>
      </c>
      <c r="F176" s="37">
        <v>0</v>
      </c>
      <c r="G176" s="37">
        <v>0</v>
      </c>
      <c r="H176" s="40">
        <f>SUM(Upaya_Debitur[[#This Row],[Kewajiban Pokok]:[Kewajiban Denda]])</f>
        <v>510000</v>
      </c>
      <c r="I176" s="37"/>
      <c r="J176" s="40">
        <f>IF(ISNUMBER(Upaya_Debitur[[#This Row],[Angsuran Sesuai PK]]),Upaya_Debitur[[#This Row],[Angsuran Sesuai PK]],1)</f>
        <v>1</v>
      </c>
      <c r="K176" s="76"/>
      <c r="L176" s="16" t="s">
        <v>37</v>
      </c>
      <c r="N176" s="18"/>
      <c r="O176" s="76"/>
      <c r="P176" s="37"/>
      <c r="Q176" s="41"/>
      <c r="R176" s="37"/>
      <c r="S176" s="40">
        <f>IF(Upaya_Debitur[[#This Row],[Periode Haircut]]="",0,IF(Upaya_Debitur[[#This Row],[Periode Haircut]]&lt;=$B$6,Upaya_Debitur[[#This Row],[Haircut]],0))</f>
        <v>0</v>
      </c>
      <c r="T176" s="40">
        <f>IF($B$10="",0,IF($B$10&lt;=$B$6,Upaya_Debitur[[#This Row],[Set Off]],0))</f>
        <v>0</v>
      </c>
      <c r="U176" s="37">
        <v>0</v>
      </c>
      <c r="V176" s="37">
        <v>0</v>
      </c>
      <c r="W176" s="37">
        <v>0</v>
      </c>
      <c r="X176" s="37">
        <v>0</v>
      </c>
      <c r="Y176" s="37">
        <v>510000</v>
      </c>
      <c r="Z176" s="37">
        <v>0</v>
      </c>
      <c r="AA176" s="37">
        <v>0</v>
      </c>
      <c r="AB176" s="37">
        <v>0</v>
      </c>
      <c r="AC176" s="37">
        <v>0</v>
      </c>
      <c r="AD176" s="37">
        <v>0</v>
      </c>
      <c r="AE176" s="37">
        <v>0</v>
      </c>
      <c r="AF176" s="37">
        <v>0</v>
      </c>
      <c r="AG176" s="37">
        <v>0</v>
      </c>
      <c r="AH176" s="37">
        <v>0</v>
      </c>
      <c r="AI176" s="37">
        <v>0</v>
      </c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40">
        <f ca="1">SUM(OFFSET(Upaya_Debitur[[#This Row],[Haircut Diperhitungkan]],0,0,1,$B$7+2))</f>
        <v>510000</v>
      </c>
      <c r="BR176" s="35" t="str">
        <f ca="1">IF(Upaya_Debitur[[#This Row],[Total Pencairan]]&gt;=Upaya_Debitur[[#This Row],[Kewajiban Total]],"Lunas","Belum Lunas")</f>
        <v>Lunas</v>
      </c>
      <c r="BS176" s="35" t="str">
        <f t="shared" si="7"/>
        <v>Ya</v>
      </c>
      <c r="BT176" s="35" t="str">
        <f t="shared" si="8"/>
        <v>Ya</v>
      </c>
      <c r="BU17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17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17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176" s="35" t="str">
        <f>IF(Upaya_Debitur[[#This Row],[Kondisi Debitur]]="Tidak ditemukan","Ya","Tidak")</f>
        <v>Ya</v>
      </c>
      <c r="BY17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17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17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76" s="18">
        <v>43781</v>
      </c>
      <c r="CC176" s="18">
        <v>43999</v>
      </c>
      <c r="CD176" s="18">
        <v>43826</v>
      </c>
      <c r="CE176" s="18">
        <v>43871</v>
      </c>
      <c r="CF176" s="18"/>
      <c r="CG176" s="18">
        <v>44035</v>
      </c>
      <c r="CH176" s="18">
        <v>44057</v>
      </c>
      <c r="CI176" s="18">
        <v>44077</v>
      </c>
      <c r="CJ176" s="18"/>
      <c r="CK176" s="35">
        <f ca="1">COUNTIF(Upaya_Debitur[[#This Row],[Surat Pemberitahuan?]:[Gugatan Sederhana?]],"Ya")</f>
        <v>3</v>
      </c>
      <c r="CL176" s="35">
        <f ca="1">Upaya_Debitur[[#This Row],[Target Upaya]]-COUNTIFS(Upaya_Debitur[[#This Row],[Surat Pemberitahuan?]:[Gugatan Sederhana?]],"Ya",Upaya_Debitur[[#This Row],[Surat Pemberitahuan]:[Gugatan Sederhana]],"")</f>
        <v>3</v>
      </c>
      <c r="CM176" s="36">
        <f ca="1">IF(ISNUMBER(Upaya_Debitur[[#This Row],[Realisasi]]/Upaya_Debitur[[#This Row],[Target Upaya]]),Upaya_Debitur[[#This Row],[Realisasi]]/Upaya_Debitur[[#This Row],[Target Upaya]],1)</f>
        <v>1</v>
      </c>
    </row>
    <row r="177" spans="1:91" x14ac:dyDescent="0.3">
      <c r="A177" s="16">
        <v>159</v>
      </c>
      <c r="B177" s="17"/>
      <c r="C177" s="17" t="s">
        <v>491</v>
      </c>
      <c r="D177" s="16" t="s">
        <v>492</v>
      </c>
      <c r="E177" s="37">
        <v>3562885</v>
      </c>
      <c r="F177" s="37">
        <v>0</v>
      </c>
      <c r="G177" s="37">
        <v>0</v>
      </c>
      <c r="H177" s="40">
        <f>SUM(Upaya_Debitur[[#This Row],[Kewajiban Pokok]:[Kewajiban Denda]])</f>
        <v>3562885</v>
      </c>
      <c r="I177" s="37"/>
      <c r="J177" s="40">
        <f>IF(ISNUMBER(Upaya_Debitur[[#This Row],[Angsuran Sesuai PK]]),Upaya_Debitur[[#This Row],[Angsuran Sesuai PK]],1)</f>
        <v>1</v>
      </c>
      <c r="K177" s="76"/>
      <c r="L177" s="16" t="s">
        <v>83</v>
      </c>
      <c r="N177" s="18"/>
      <c r="O177" s="76"/>
      <c r="P177" s="37"/>
      <c r="Q177" s="41"/>
      <c r="R177" s="37"/>
      <c r="S177" s="40">
        <f>IF(Upaya_Debitur[[#This Row],[Periode Haircut]]="",0,IF(Upaya_Debitur[[#This Row],[Periode Haircut]]&lt;=$B$6,Upaya_Debitur[[#This Row],[Haircut]],0))</f>
        <v>0</v>
      </c>
      <c r="T177" s="40">
        <f>IF($B$10="",0,IF($B$10&lt;=$B$6,Upaya_Debitur[[#This Row],[Set Off]],0))</f>
        <v>0</v>
      </c>
      <c r="U177" s="37">
        <v>0</v>
      </c>
      <c r="V177" s="37">
        <v>0</v>
      </c>
      <c r="W177" s="37">
        <v>0</v>
      </c>
      <c r="X177" s="37">
        <v>0</v>
      </c>
      <c r="Y177" s="37">
        <v>0</v>
      </c>
      <c r="Z177" s="37">
        <v>0</v>
      </c>
      <c r="AA177" s="37">
        <v>0</v>
      </c>
      <c r="AB177" s="37">
        <v>0</v>
      </c>
      <c r="AC177" s="37">
        <v>0</v>
      </c>
      <c r="AD177" s="37">
        <v>0</v>
      </c>
      <c r="AE177" s="37">
        <v>0</v>
      </c>
      <c r="AF177" s="37">
        <v>0</v>
      </c>
      <c r="AG177" s="37">
        <v>0</v>
      </c>
      <c r="AH177" s="37">
        <v>0</v>
      </c>
      <c r="AI177" s="37">
        <v>0</v>
      </c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40">
        <f ca="1">SUM(OFFSET(Upaya_Debitur[[#This Row],[Haircut Diperhitungkan]],0,0,1,$B$7+2))</f>
        <v>0</v>
      </c>
      <c r="BR177" s="35" t="str">
        <f ca="1">IF(Upaya_Debitur[[#This Row],[Total Pencairan]]&gt;=Upaya_Debitur[[#This Row],[Kewajiban Total]],"Lunas","Belum Lunas")</f>
        <v>Belum Lunas</v>
      </c>
      <c r="BS177" s="35" t="str">
        <f t="shared" si="7"/>
        <v>Ya</v>
      </c>
      <c r="BT177" s="35" t="str">
        <f t="shared" si="8"/>
        <v>Ya</v>
      </c>
      <c r="BU17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7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7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77" s="35" t="str">
        <f>IF(Upaya_Debitur[[#This Row],[Kondisi Debitur]]="Tidak ditemukan","Ya","Tidak")</f>
        <v>Tidak</v>
      </c>
      <c r="BY17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7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7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77" s="18">
        <v>43781</v>
      </c>
      <c r="CC177" s="18">
        <v>43999</v>
      </c>
      <c r="CD177" s="18">
        <v>43826</v>
      </c>
      <c r="CE177" s="18">
        <v>43871</v>
      </c>
      <c r="CF177" s="18">
        <v>43887</v>
      </c>
      <c r="CG177" s="18">
        <v>43888</v>
      </c>
      <c r="CH177" s="18">
        <v>44057</v>
      </c>
      <c r="CI177" s="18">
        <v>44077</v>
      </c>
      <c r="CJ177" s="18"/>
      <c r="CK177" s="35">
        <f ca="1">COUNTIF(Upaya_Debitur[[#This Row],[Surat Pemberitahuan?]:[Gugatan Sederhana?]],"Ya")</f>
        <v>7</v>
      </c>
      <c r="CL177" s="35">
        <f ca="1">Upaya_Debitur[[#This Row],[Target Upaya]]-COUNTIFS(Upaya_Debitur[[#This Row],[Surat Pemberitahuan?]:[Gugatan Sederhana?]],"Ya",Upaya_Debitur[[#This Row],[Surat Pemberitahuan]:[Gugatan Sederhana]],"")</f>
        <v>7</v>
      </c>
      <c r="CM177" s="36">
        <f ca="1">IF(ISNUMBER(Upaya_Debitur[[#This Row],[Realisasi]]/Upaya_Debitur[[#This Row],[Target Upaya]]),Upaya_Debitur[[#This Row],[Realisasi]]/Upaya_Debitur[[#This Row],[Target Upaya]],1)</f>
        <v>1</v>
      </c>
    </row>
    <row r="178" spans="1:91" x14ac:dyDescent="0.3">
      <c r="A178" s="16">
        <v>160</v>
      </c>
      <c r="B178" s="17"/>
      <c r="C178" s="17" t="s">
        <v>493</v>
      </c>
      <c r="D178" s="16" t="s">
        <v>494</v>
      </c>
      <c r="E178" s="37">
        <v>1800000</v>
      </c>
      <c r="F178" s="37">
        <v>0</v>
      </c>
      <c r="G178" s="37">
        <v>0</v>
      </c>
      <c r="H178" s="40">
        <f>SUM(Upaya_Debitur[[#This Row],[Kewajiban Pokok]:[Kewajiban Denda]])</f>
        <v>1800000</v>
      </c>
      <c r="I178" s="37"/>
      <c r="J178" s="40">
        <f>IF(ISNUMBER(Upaya_Debitur[[#This Row],[Angsuran Sesuai PK]]),Upaya_Debitur[[#This Row],[Angsuran Sesuai PK]],1)</f>
        <v>1</v>
      </c>
      <c r="K178" s="76"/>
      <c r="L178" s="16" t="s">
        <v>83</v>
      </c>
      <c r="N178" s="18"/>
      <c r="O178" s="76"/>
      <c r="P178" s="37"/>
      <c r="Q178" s="41"/>
      <c r="R178" s="37"/>
      <c r="S178" s="40">
        <f>IF(Upaya_Debitur[[#This Row],[Periode Haircut]]="",0,IF(Upaya_Debitur[[#This Row],[Periode Haircut]]&lt;=$B$6,Upaya_Debitur[[#This Row],[Haircut]],0))</f>
        <v>0</v>
      </c>
      <c r="T178" s="40">
        <f>IF($B$10="",0,IF($B$10&lt;=$B$6,Upaya_Debitur[[#This Row],[Set Off]],0))</f>
        <v>0</v>
      </c>
      <c r="U178" s="37">
        <v>0</v>
      </c>
      <c r="V178" s="37">
        <v>0</v>
      </c>
      <c r="W178" s="37">
        <v>0</v>
      </c>
      <c r="X178" s="37">
        <v>500000</v>
      </c>
      <c r="Y178" s="37">
        <v>0</v>
      </c>
      <c r="Z178" s="37">
        <v>0</v>
      </c>
      <c r="AA178" s="37">
        <v>0</v>
      </c>
      <c r="AB178" s="37">
        <v>0</v>
      </c>
      <c r="AC178" s="37">
        <v>0</v>
      </c>
      <c r="AD178" s="37">
        <v>0</v>
      </c>
      <c r="AE178" s="37">
        <v>0</v>
      </c>
      <c r="AF178" s="37">
        <v>0</v>
      </c>
      <c r="AG178" s="37">
        <v>0</v>
      </c>
      <c r="AH178" s="37">
        <v>0</v>
      </c>
      <c r="AI178" s="37">
        <v>0</v>
      </c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40">
        <f ca="1">SUM(OFFSET(Upaya_Debitur[[#This Row],[Haircut Diperhitungkan]],0,0,1,$B$7+2))</f>
        <v>500000</v>
      </c>
      <c r="BR178" s="35" t="str">
        <f ca="1">IF(Upaya_Debitur[[#This Row],[Total Pencairan]]&gt;=Upaya_Debitur[[#This Row],[Kewajiban Total]],"Lunas","Belum Lunas")</f>
        <v>Belum Lunas</v>
      </c>
      <c r="BS178" s="35" t="str">
        <f t="shared" si="7"/>
        <v>Ya</v>
      </c>
      <c r="BT178" s="35" t="str">
        <f t="shared" si="8"/>
        <v>Ya</v>
      </c>
      <c r="BU17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7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7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78" s="35" t="str">
        <f>IF(Upaya_Debitur[[#This Row],[Kondisi Debitur]]="Tidak ditemukan","Ya","Tidak")</f>
        <v>Tidak</v>
      </c>
      <c r="BY17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7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7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78" s="18">
        <v>43781</v>
      </c>
      <c r="CC178" s="18">
        <v>43999</v>
      </c>
      <c r="CD178" s="18">
        <v>43826</v>
      </c>
      <c r="CE178" s="18">
        <v>43871</v>
      </c>
      <c r="CF178" s="18">
        <v>43887</v>
      </c>
      <c r="CG178" s="18"/>
      <c r="CH178" s="18">
        <v>44057</v>
      </c>
      <c r="CI178" s="18">
        <v>44077</v>
      </c>
      <c r="CJ178" s="18"/>
      <c r="CK178" s="35">
        <f ca="1">COUNTIF(Upaya_Debitur[[#This Row],[Surat Pemberitahuan?]:[Gugatan Sederhana?]],"Ya")</f>
        <v>7</v>
      </c>
      <c r="CL178" s="35">
        <f ca="1">Upaya_Debitur[[#This Row],[Target Upaya]]-COUNTIFS(Upaya_Debitur[[#This Row],[Surat Pemberitahuan?]:[Gugatan Sederhana?]],"Ya",Upaya_Debitur[[#This Row],[Surat Pemberitahuan]:[Gugatan Sederhana]],"")</f>
        <v>7</v>
      </c>
      <c r="CM178" s="36">
        <f ca="1">IF(ISNUMBER(Upaya_Debitur[[#This Row],[Realisasi]]/Upaya_Debitur[[#This Row],[Target Upaya]]),Upaya_Debitur[[#This Row],[Realisasi]]/Upaya_Debitur[[#This Row],[Target Upaya]],1)</f>
        <v>1</v>
      </c>
    </row>
    <row r="179" spans="1:91" x14ac:dyDescent="0.3">
      <c r="A179" s="16">
        <v>161</v>
      </c>
      <c r="B179" s="17"/>
      <c r="C179" s="17" t="s">
        <v>495</v>
      </c>
      <c r="D179" s="16" t="s">
        <v>496</v>
      </c>
      <c r="E179" s="37">
        <v>3131738</v>
      </c>
      <c r="F179" s="37">
        <v>0</v>
      </c>
      <c r="G179" s="37">
        <v>0</v>
      </c>
      <c r="H179" s="40">
        <f>SUM(Upaya_Debitur[[#This Row],[Kewajiban Pokok]:[Kewajiban Denda]])</f>
        <v>3131738</v>
      </c>
      <c r="I179" s="37"/>
      <c r="J179" s="40">
        <f>IF(ISNUMBER(Upaya_Debitur[[#This Row],[Angsuran Sesuai PK]]),Upaya_Debitur[[#This Row],[Angsuran Sesuai PK]],1)</f>
        <v>1</v>
      </c>
      <c r="K179" s="76"/>
      <c r="L179" s="16" t="s">
        <v>37</v>
      </c>
      <c r="N179" s="18"/>
      <c r="O179" s="76"/>
      <c r="P179" s="37"/>
      <c r="Q179" s="41"/>
      <c r="R179" s="37"/>
      <c r="S179" s="40">
        <f>IF(Upaya_Debitur[[#This Row],[Periode Haircut]]="",0,IF(Upaya_Debitur[[#This Row],[Periode Haircut]]&lt;=$B$6,Upaya_Debitur[[#This Row],[Haircut]],0))</f>
        <v>0</v>
      </c>
      <c r="T179" s="40">
        <f>IF($B$10="",0,IF($B$10&lt;=$B$6,Upaya_Debitur[[#This Row],[Set Off]],0))</f>
        <v>0</v>
      </c>
      <c r="U179" s="37">
        <v>0</v>
      </c>
      <c r="V179" s="37">
        <v>0</v>
      </c>
      <c r="W179" s="37">
        <v>0</v>
      </c>
      <c r="X179" s="37">
        <v>0</v>
      </c>
      <c r="Y179" s="37">
        <v>0</v>
      </c>
      <c r="Z179" s="37">
        <v>0</v>
      </c>
      <c r="AA179" s="37">
        <v>0</v>
      </c>
      <c r="AB179" s="37">
        <v>0</v>
      </c>
      <c r="AC179" s="37">
        <v>0</v>
      </c>
      <c r="AD179" s="37">
        <v>0</v>
      </c>
      <c r="AE179" s="37">
        <v>0</v>
      </c>
      <c r="AF179" s="37">
        <v>0</v>
      </c>
      <c r="AG179" s="37">
        <v>0</v>
      </c>
      <c r="AH179" s="37">
        <v>0</v>
      </c>
      <c r="AI179" s="37">
        <v>0</v>
      </c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40">
        <f ca="1">SUM(OFFSET(Upaya_Debitur[[#This Row],[Haircut Diperhitungkan]],0,0,1,$B$7+2))</f>
        <v>0</v>
      </c>
      <c r="BR179" s="35" t="str">
        <f ca="1">IF(Upaya_Debitur[[#This Row],[Total Pencairan]]&gt;=Upaya_Debitur[[#This Row],[Kewajiban Total]],"Lunas","Belum Lunas")</f>
        <v>Belum Lunas</v>
      </c>
      <c r="BS179" s="35" t="str">
        <f t="shared" si="7"/>
        <v>Ya</v>
      </c>
      <c r="BT179" s="35" t="str">
        <f t="shared" si="8"/>
        <v>Ya</v>
      </c>
      <c r="BU17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7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7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79" s="35" t="str">
        <f>IF(Upaya_Debitur[[#This Row],[Kondisi Debitur]]="Tidak ditemukan","Ya","Tidak")</f>
        <v>Ya</v>
      </c>
      <c r="BY17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7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7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79" s="18">
        <v>43781</v>
      </c>
      <c r="CC179" s="18">
        <v>43999</v>
      </c>
      <c r="CD179" s="18">
        <v>43826</v>
      </c>
      <c r="CE179" s="18">
        <v>43871</v>
      </c>
      <c r="CF179" s="18">
        <v>43887</v>
      </c>
      <c r="CG179" s="18">
        <v>43888</v>
      </c>
      <c r="CH179" s="18">
        <v>44057</v>
      </c>
      <c r="CI179" s="18">
        <v>44077</v>
      </c>
      <c r="CJ179" s="18"/>
      <c r="CK179" s="35">
        <f ca="1">COUNTIF(Upaya_Debitur[[#This Row],[Surat Pemberitahuan?]:[Gugatan Sederhana?]],"Ya")</f>
        <v>8</v>
      </c>
      <c r="CL179" s="35">
        <f ca="1">Upaya_Debitur[[#This Row],[Target Upaya]]-COUNTIFS(Upaya_Debitur[[#This Row],[Surat Pemberitahuan?]:[Gugatan Sederhana?]],"Ya",Upaya_Debitur[[#This Row],[Surat Pemberitahuan]:[Gugatan Sederhana]],"")</f>
        <v>8</v>
      </c>
      <c r="CM179" s="36">
        <f ca="1">IF(ISNUMBER(Upaya_Debitur[[#This Row],[Realisasi]]/Upaya_Debitur[[#This Row],[Target Upaya]]),Upaya_Debitur[[#This Row],[Realisasi]]/Upaya_Debitur[[#This Row],[Target Upaya]],1)</f>
        <v>1</v>
      </c>
    </row>
    <row r="180" spans="1:91" x14ac:dyDescent="0.3">
      <c r="A180" s="16">
        <v>162</v>
      </c>
      <c r="B180" s="17"/>
      <c r="C180" s="17" t="s">
        <v>497</v>
      </c>
      <c r="D180" s="16" t="s">
        <v>498</v>
      </c>
      <c r="E180" s="37">
        <v>790000</v>
      </c>
      <c r="F180" s="37">
        <v>0</v>
      </c>
      <c r="G180" s="37">
        <v>0</v>
      </c>
      <c r="H180" s="40">
        <f>SUM(Upaya_Debitur[[#This Row],[Kewajiban Pokok]:[Kewajiban Denda]])</f>
        <v>790000</v>
      </c>
      <c r="I180" s="37"/>
      <c r="J180" s="40">
        <f>IF(ISNUMBER(Upaya_Debitur[[#This Row],[Angsuran Sesuai PK]]),Upaya_Debitur[[#This Row],[Angsuran Sesuai PK]],1)</f>
        <v>1</v>
      </c>
      <c r="K180" s="76"/>
      <c r="L180" s="16" t="s">
        <v>37</v>
      </c>
      <c r="N180" s="18"/>
      <c r="O180" s="76"/>
      <c r="P180" s="37"/>
      <c r="Q180" s="41"/>
      <c r="R180" s="37"/>
      <c r="S180" s="40">
        <f>IF(Upaya_Debitur[[#This Row],[Periode Haircut]]="",0,IF(Upaya_Debitur[[#This Row],[Periode Haircut]]&lt;=$B$6,Upaya_Debitur[[#This Row],[Haircut]],0))</f>
        <v>0</v>
      </c>
      <c r="T180" s="40">
        <f>IF($B$10="",0,IF($B$10&lt;=$B$6,Upaya_Debitur[[#This Row],[Set Off]],0))</f>
        <v>0</v>
      </c>
      <c r="U180" s="37">
        <v>0</v>
      </c>
      <c r="V180" s="37">
        <v>0</v>
      </c>
      <c r="W180" s="37">
        <v>0</v>
      </c>
      <c r="X180" s="37">
        <v>0</v>
      </c>
      <c r="Y180" s="37">
        <v>0</v>
      </c>
      <c r="Z180" s="37">
        <v>0</v>
      </c>
      <c r="AA180" s="37">
        <v>0</v>
      </c>
      <c r="AB180" s="37">
        <v>0</v>
      </c>
      <c r="AC180" s="37">
        <v>0</v>
      </c>
      <c r="AD180" s="37">
        <v>0</v>
      </c>
      <c r="AE180" s="37">
        <v>0</v>
      </c>
      <c r="AF180" s="37">
        <v>0</v>
      </c>
      <c r="AG180" s="37">
        <v>0</v>
      </c>
      <c r="AH180" s="37">
        <v>0</v>
      </c>
      <c r="AI180" s="37">
        <v>0</v>
      </c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40">
        <f ca="1">SUM(OFFSET(Upaya_Debitur[[#This Row],[Haircut Diperhitungkan]],0,0,1,$B$7+2))</f>
        <v>0</v>
      </c>
      <c r="BR180" s="35" t="str">
        <f ca="1">IF(Upaya_Debitur[[#This Row],[Total Pencairan]]&gt;=Upaya_Debitur[[#This Row],[Kewajiban Total]],"Lunas","Belum Lunas")</f>
        <v>Belum Lunas</v>
      </c>
      <c r="BS180" s="35" t="str">
        <f t="shared" si="7"/>
        <v>Ya</v>
      </c>
      <c r="BT180" s="35" t="str">
        <f t="shared" si="8"/>
        <v>Ya</v>
      </c>
      <c r="BU18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8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8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80" s="35" t="str">
        <f>IF(Upaya_Debitur[[#This Row],[Kondisi Debitur]]="Tidak ditemukan","Ya","Tidak")</f>
        <v>Ya</v>
      </c>
      <c r="BY18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8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8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80" s="18">
        <v>43781</v>
      </c>
      <c r="CC180" s="18">
        <v>43999</v>
      </c>
      <c r="CD180" s="18">
        <v>43826</v>
      </c>
      <c r="CE180" s="18">
        <v>43871</v>
      </c>
      <c r="CF180" s="18">
        <v>43887</v>
      </c>
      <c r="CG180" s="18">
        <v>43888</v>
      </c>
      <c r="CH180" s="18">
        <v>44057</v>
      </c>
      <c r="CI180" s="18">
        <v>44077</v>
      </c>
      <c r="CJ180" s="18"/>
      <c r="CK180" s="35">
        <f ca="1">COUNTIF(Upaya_Debitur[[#This Row],[Surat Pemberitahuan?]:[Gugatan Sederhana?]],"Ya")</f>
        <v>8</v>
      </c>
      <c r="CL180" s="35">
        <f ca="1">Upaya_Debitur[[#This Row],[Target Upaya]]-COUNTIFS(Upaya_Debitur[[#This Row],[Surat Pemberitahuan?]:[Gugatan Sederhana?]],"Ya",Upaya_Debitur[[#This Row],[Surat Pemberitahuan]:[Gugatan Sederhana]],"")</f>
        <v>8</v>
      </c>
      <c r="CM180" s="36">
        <f ca="1">IF(ISNUMBER(Upaya_Debitur[[#This Row],[Realisasi]]/Upaya_Debitur[[#This Row],[Target Upaya]]),Upaya_Debitur[[#This Row],[Realisasi]]/Upaya_Debitur[[#This Row],[Target Upaya]],1)</f>
        <v>1</v>
      </c>
    </row>
    <row r="181" spans="1:91" x14ac:dyDescent="0.3">
      <c r="A181" s="16">
        <v>163</v>
      </c>
      <c r="B181" s="17"/>
      <c r="C181" s="17" t="s">
        <v>499</v>
      </c>
      <c r="D181" s="16" t="s">
        <v>500</v>
      </c>
      <c r="E181" s="37">
        <v>1500000</v>
      </c>
      <c r="F181" s="37">
        <v>0</v>
      </c>
      <c r="G181" s="37">
        <v>0</v>
      </c>
      <c r="H181" s="40">
        <f>SUM(Upaya_Debitur[[#This Row],[Kewajiban Pokok]:[Kewajiban Denda]])</f>
        <v>1500000</v>
      </c>
      <c r="I181" s="37"/>
      <c r="J181" s="40">
        <f>IF(ISNUMBER(Upaya_Debitur[[#This Row],[Angsuran Sesuai PK]]),Upaya_Debitur[[#This Row],[Angsuran Sesuai PK]],1)</f>
        <v>1</v>
      </c>
      <c r="K181" s="76"/>
      <c r="L181" s="16" t="s">
        <v>37</v>
      </c>
      <c r="N181" s="18"/>
      <c r="O181" s="76"/>
      <c r="P181" s="37"/>
      <c r="Q181" s="41"/>
      <c r="R181" s="37"/>
      <c r="S181" s="40">
        <f>IF(Upaya_Debitur[[#This Row],[Periode Haircut]]="",0,IF(Upaya_Debitur[[#This Row],[Periode Haircut]]&lt;=$B$6,Upaya_Debitur[[#This Row],[Haircut]],0))</f>
        <v>0</v>
      </c>
      <c r="T181" s="40">
        <f>IF($B$10="",0,IF($B$10&lt;=$B$6,Upaya_Debitur[[#This Row],[Set Off]],0))</f>
        <v>0</v>
      </c>
      <c r="U181" s="37">
        <v>0</v>
      </c>
      <c r="V181" s="37">
        <v>0</v>
      </c>
      <c r="W181" s="37">
        <v>0</v>
      </c>
      <c r="X181" s="37">
        <v>0</v>
      </c>
      <c r="Y181" s="37">
        <v>0</v>
      </c>
      <c r="Z181" s="37">
        <v>0</v>
      </c>
      <c r="AA181" s="37">
        <v>0</v>
      </c>
      <c r="AB181" s="37">
        <v>0</v>
      </c>
      <c r="AC181" s="37">
        <v>0</v>
      </c>
      <c r="AD181" s="37">
        <v>0</v>
      </c>
      <c r="AE181" s="37">
        <v>0</v>
      </c>
      <c r="AF181" s="37">
        <v>0</v>
      </c>
      <c r="AG181" s="37">
        <v>0</v>
      </c>
      <c r="AH181" s="37">
        <v>0</v>
      </c>
      <c r="AI181" s="37">
        <v>0</v>
      </c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40">
        <f ca="1">SUM(OFFSET(Upaya_Debitur[[#This Row],[Haircut Diperhitungkan]],0,0,1,$B$7+2))</f>
        <v>0</v>
      </c>
      <c r="BR181" s="35" t="str">
        <f ca="1">IF(Upaya_Debitur[[#This Row],[Total Pencairan]]&gt;=Upaya_Debitur[[#This Row],[Kewajiban Total]],"Lunas","Belum Lunas")</f>
        <v>Belum Lunas</v>
      </c>
      <c r="BS181" s="35" t="str">
        <f t="shared" si="7"/>
        <v>Ya</v>
      </c>
      <c r="BT181" s="35" t="str">
        <f t="shared" si="8"/>
        <v>Ya</v>
      </c>
      <c r="BU18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8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8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81" s="35" t="str">
        <f>IF(Upaya_Debitur[[#This Row],[Kondisi Debitur]]="Tidak ditemukan","Ya","Tidak")</f>
        <v>Ya</v>
      </c>
      <c r="BY18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8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8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81" s="18">
        <v>43781</v>
      </c>
      <c r="CC181" s="18">
        <v>43999</v>
      </c>
      <c r="CD181" s="18">
        <v>43826</v>
      </c>
      <c r="CE181" s="18">
        <v>43871</v>
      </c>
      <c r="CF181" s="18">
        <v>43887</v>
      </c>
      <c r="CG181" s="18">
        <v>43888</v>
      </c>
      <c r="CH181" s="18">
        <v>44057</v>
      </c>
      <c r="CI181" s="18">
        <v>44077</v>
      </c>
      <c r="CJ181" s="18"/>
      <c r="CK181" s="35">
        <f ca="1">COUNTIF(Upaya_Debitur[[#This Row],[Surat Pemberitahuan?]:[Gugatan Sederhana?]],"Ya")</f>
        <v>8</v>
      </c>
      <c r="CL181" s="35">
        <f ca="1">Upaya_Debitur[[#This Row],[Target Upaya]]-COUNTIFS(Upaya_Debitur[[#This Row],[Surat Pemberitahuan?]:[Gugatan Sederhana?]],"Ya",Upaya_Debitur[[#This Row],[Surat Pemberitahuan]:[Gugatan Sederhana]],"")</f>
        <v>8</v>
      </c>
      <c r="CM181" s="36">
        <f ca="1">IF(ISNUMBER(Upaya_Debitur[[#This Row],[Realisasi]]/Upaya_Debitur[[#This Row],[Target Upaya]]),Upaya_Debitur[[#This Row],[Realisasi]]/Upaya_Debitur[[#This Row],[Target Upaya]],1)</f>
        <v>1</v>
      </c>
    </row>
    <row r="182" spans="1:91" x14ac:dyDescent="0.3">
      <c r="A182" s="16">
        <v>164</v>
      </c>
      <c r="B182" s="17"/>
      <c r="C182" s="17" t="s">
        <v>501</v>
      </c>
      <c r="D182" s="16" t="s">
        <v>502</v>
      </c>
      <c r="E182" s="37">
        <v>1123500</v>
      </c>
      <c r="F182" s="37">
        <v>0</v>
      </c>
      <c r="G182" s="37">
        <v>0</v>
      </c>
      <c r="H182" s="40">
        <f>SUM(Upaya_Debitur[[#This Row],[Kewajiban Pokok]:[Kewajiban Denda]])</f>
        <v>1123500</v>
      </c>
      <c r="I182" s="37"/>
      <c r="J182" s="40">
        <f>IF(ISNUMBER(Upaya_Debitur[[#This Row],[Angsuran Sesuai PK]]),Upaya_Debitur[[#This Row],[Angsuran Sesuai PK]],1)</f>
        <v>1</v>
      </c>
      <c r="K182" s="76"/>
      <c r="L182" s="16" t="s">
        <v>37</v>
      </c>
      <c r="N182" s="18"/>
      <c r="O182" s="76"/>
      <c r="P182" s="37"/>
      <c r="Q182" s="41"/>
      <c r="R182" s="37"/>
      <c r="S182" s="40">
        <f>IF(Upaya_Debitur[[#This Row],[Periode Haircut]]="",0,IF(Upaya_Debitur[[#This Row],[Periode Haircut]]&lt;=$B$6,Upaya_Debitur[[#This Row],[Haircut]],0))</f>
        <v>0</v>
      </c>
      <c r="T182" s="40">
        <f>IF($B$10="",0,IF($B$10&lt;=$B$6,Upaya_Debitur[[#This Row],[Set Off]],0))</f>
        <v>0</v>
      </c>
      <c r="U182" s="37">
        <v>0</v>
      </c>
      <c r="V182" s="37">
        <v>0</v>
      </c>
      <c r="W182" s="37">
        <v>0</v>
      </c>
      <c r="X182" s="37">
        <v>0</v>
      </c>
      <c r="Y182" s="37">
        <v>0</v>
      </c>
      <c r="Z182" s="37">
        <v>0</v>
      </c>
      <c r="AA182" s="37">
        <v>0</v>
      </c>
      <c r="AB182" s="37">
        <v>0</v>
      </c>
      <c r="AC182" s="37">
        <v>0</v>
      </c>
      <c r="AD182" s="37">
        <v>0</v>
      </c>
      <c r="AE182" s="37">
        <v>0</v>
      </c>
      <c r="AF182" s="37">
        <v>0</v>
      </c>
      <c r="AG182" s="37">
        <v>0</v>
      </c>
      <c r="AH182" s="37">
        <v>0</v>
      </c>
      <c r="AI182" s="37">
        <v>0</v>
      </c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40">
        <f ca="1">SUM(OFFSET(Upaya_Debitur[[#This Row],[Haircut Diperhitungkan]],0,0,1,$B$7+2))</f>
        <v>0</v>
      </c>
      <c r="BR182" s="35" t="str">
        <f ca="1">IF(Upaya_Debitur[[#This Row],[Total Pencairan]]&gt;=Upaya_Debitur[[#This Row],[Kewajiban Total]],"Lunas","Belum Lunas")</f>
        <v>Belum Lunas</v>
      </c>
      <c r="BS182" s="35" t="str">
        <f t="shared" si="7"/>
        <v>Ya</v>
      </c>
      <c r="BT182" s="35" t="str">
        <f t="shared" si="8"/>
        <v>Ya</v>
      </c>
      <c r="BU18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8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8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82" s="35" t="str">
        <f>IF(Upaya_Debitur[[#This Row],[Kondisi Debitur]]="Tidak ditemukan","Ya","Tidak")</f>
        <v>Ya</v>
      </c>
      <c r="BY18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8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8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82" s="18">
        <v>43781</v>
      </c>
      <c r="CC182" s="18">
        <v>43999</v>
      </c>
      <c r="CD182" s="18">
        <v>43826</v>
      </c>
      <c r="CE182" s="18">
        <v>43871</v>
      </c>
      <c r="CF182" s="18">
        <v>43887</v>
      </c>
      <c r="CG182" s="18">
        <v>43888</v>
      </c>
      <c r="CH182" s="18">
        <v>44057</v>
      </c>
      <c r="CI182" s="18">
        <v>44077</v>
      </c>
      <c r="CJ182" s="18"/>
      <c r="CK182" s="35">
        <f ca="1">COUNTIF(Upaya_Debitur[[#This Row],[Surat Pemberitahuan?]:[Gugatan Sederhana?]],"Ya")</f>
        <v>8</v>
      </c>
      <c r="CL182" s="35">
        <f ca="1">Upaya_Debitur[[#This Row],[Target Upaya]]-COUNTIFS(Upaya_Debitur[[#This Row],[Surat Pemberitahuan?]:[Gugatan Sederhana?]],"Ya",Upaya_Debitur[[#This Row],[Surat Pemberitahuan]:[Gugatan Sederhana]],"")</f>
        <v>8</v>
      </c>
      <c r="CM182" s="36">
        <f ca="1">IF(ISNUMBER(Upaya_Debitur[[#This Row],[Realisasi]]/Upaya_Debitur[[#This Row],[Target Upaya]]),Upaya_Debitur[[#This Row],[Realisasi]]/Upaya_Debitur[[#This Row],[Target Upaya]],1)</f>
        <v>1</v>
      </c>
    </row>
    <row r="183" spans="1:91" x14ac:dyDescent="0.3">
      <c r="A183" s="16">
        <v>165</v>
      </c>
      <c r="B183" s="17"/>
      <c r="C183" s="17" t="s">
        <v>503</v>
      </c>
      <c r="D183" s="16" t="s">
        <v>504</v>
      </c>
      <c r="E183" s="37">
        <v>3750000</v>
      </c>
      <c r="F183" s="37">
        <v>0</v>
      </c>
      <c r="G183" s="37">
        <v>0</v>
      </c>
      <c r="H183" s="40">
        <f>SUM(Upaya_Debitur[[#This Row],[Kewajiban Pokok]:[Kewajiban Denda]])</f>
        <v>3750000</v>
      </c>
      <c r="I183" s="37"/>
      <c r="J183" s="40">
        <f>IF(ISNUMBER(Upaya_Debitur[[#This Row],[Angsuran Sesuai PK]]),Upaya_Debitur[[#This Row],[Angsuran Sesuai PK]],1)</f>
        <v>1</v>
      </c>
      <c r="K183" s="76"/>
      <c r="L183" s="16" t="s">
        <v>37</v>
      </c>
      <c r="N183" s="18"/>
      <c r="O183" s="76"/>
      <c r="P183" s="37"/>
      <c r="Q183" s="41"/>
      <c r="R183" s="37"/>
      <c r="S183" s="40">
        <f>IF(Upaya_Debitur[[#This Row],[Periode Haircut]]="",0,IF(Upaya_Debitur[[#This Row],[Periode Haircut]]&lt;=$B$6,Upaya_Debitur[[#This Row],[Haircut]],0))</f>
        <v>0</v>
      </c>
      <c r="T183" s="40">
        <f>IF($B$10="",0,IF($B$10&lt;=$B$6,Upaya_Debitur[[#This Row],[Set Off]],0))</f>
        <v>0</v>
      </c>
      <c r="U183" s="37">
        <v>0</v>
      </c>
      <c r="V183" s="37">
        <v>0</v>
      </c>
      <c r="W183" s="37">
        <v>0</v>
      </c>
      <c r="X183" s="37">
        <v>0</v>
      </c>
      <c r="Y183" s="37">
        <v>0</v>
      </c>
      <c r="Z183" s="37">
        <v>0</v>
      </c>
      <c r="AA183" s="37">
        <v>0</v>
      </c>
      <c r="AB183" s="37">
        <v>0</v>
      </c>
      <c r="AC183" s="37">
        <v>0</v>
      </c>
      <c r="AD183" s="37">
        <v>0</v>
      </c>
      <c r="AE183" s="37">
        <v>0</v>
      </c>
      <c r="AF183" s="37">
        <v>0</v>
      </c>
      <c r="AG183" s="37">
        <v>0</v>
      </c>
      <c r="AH183" s="37">
        <v>0</v>
      </c>
      <c r="AI183" s="37">
        <v>0</v>
      </c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40">
        <f ca="1">SUM(OFFSET(Upaya_Debitur[[#This Row],[Haircut Diperhitungkan]],0,0,1,$B$7+2))</f>
        <v>0</v>
      </c>
      <c r="BR183" s="35" t="str">
        <f ca="1">IF(Upaya_Debitur[[#This Row],[Total Pencairan]]&gt;=Upaya_Debitur[[#This Row],[Kewajiban Total]],"Lunas","Belum Lunas")</f>
        <v>Belum Lunas</v>
      </c>
      <c r="BS183" s="35" t="str">
        <f t="shared" si="7"/>
        <v>Ya</v>
      </c>
      <c r="BT183" s="35" t="str">
        <f t="shared" si="8"/>
        <v>Ya</v>
      </c>
      <c r="BU18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8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8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83" s="35" t="str">
        <f>IF(Upaya_Debitur[[#This Row],[Kondisi Debitur]]="Tidak ditemukan","Ya","Tidak")</f>
        <v>Ya</v>
      </c>
      <c r="BY18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8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8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83" s="18">
        <v>43781</v>
      </c>
      <c r="CC183" s="18">
        <v>43999</v>
      </c>
      <c r="CD183" s="18">
        <v>43826</v>
      </c>
      <c r="CE183" s="18">
        <v>43871</v>
      </c>
      <c r="CF183" s="18">
        <v>43887</v>
      </c>
      <c r="CG183" s="18">
        <v>44035</v>
      </c>
      <c r="CH183" s="18">
        <v>44057</v>
      </c>
      <c r="CI183" s="18">
        <v>44077</v>
      </c>
      <c r="CJ183" s="18"/>
      <c r="CK183" s="35">
        <f ca="1">COUNTIF(Upaya_Debitur[[#This Row],[Surat Pemberitahuan?]:[Gugatan Sederhana?]],"Ya")</f>
        <v>8</v>
      </c>
      <c r="CL183" s="35">
        <f ca="1">Upaya_Debitur[[#This Row],[Target Upaya]]-COUNTIFS(Upaya_Debitur[[#This Row],[Surat Pemberitahuan?]:[Gugatan Sederhana?]],"Ya",Upaya_Debitur[[#This Row],[Surat Pemberitahuan]:[Gugatan Sederhana]],"")</f>
        <v>8</v>
      </c>
      <c r="CM183" s="36">
        <f ca="1">IF(ISNUMBER(Upaya_Debitur[[#This Row],[Realisasi]]/Upaya_Debitur[[#This Row],[Target Upaya]]),Upaya_Debitur[[#This Row],[Realisasi]]/Upaya_Debitur[[#This Row],[Target Upaya]],1)</f>
        <v>1</v>
      </c>
    </row>
    <row r="184" spans="1:91" x14ac:dyDescent="0.3">
      <c r="A184" s="16">
        <v>166</v>
      </c>
      <c r="B184" s="17"/>
      <c r="C184" s="17" t="s">
        <v>505</v>
      </c>
      <c r="D184" s="16" t="s">
        <v>506</v>
      </c>
      <c r="E184" s="37">
        <v>949033</v>
      </c>
      <c r="F184" s="37">
        <v>0</v>
      </c>
      <c r="G184" s="37">
        <v>0</v>
      </c>
      <c r="H184" s="40">
        <f>SUM(Upaya_Debitur[[#This Row],[Kewajiban Pokok]:[Kewajiban Denda]])</f>
        <v>949033</v>
      </c>
      <c r="I184" s="37"/>
      <c r="J184" s="40">
        <f>IF(ISNUMBER(Upaya_Debitur[[#This Row],[Angsuran Sesuai PK]]),Upaya_Debitur[[#This Row],[Angsuran Sesuai PK]],1)</f>
        <v>1</v>
      </c>
      <c r="K184" s="76"/>
      <c r="L184" s="16" t="s">
        <v>37</v>
      </c>
      <c r="N184" s="18"/>
      <c r="O184" s="76"/>
      <c r="P184" s="37"/>
      <c r="Q184" s="41"/>
      <c r="R184" s="37"/>
      <c r="S184" s="40">
        <f>IF(Upaya_Debitur[[#This Row],[Periode Haircut]]="",0,IF(Upaya_Debitur[[#This Row],[Periode Haircut]]&lt;=$B$6,Upaya_Debitur[[#This Row],[Haircut]],0))</f>
        <v>0</v>
      </c>
      <c r="T184" s="40">
        <f>IF($B$10="",0,IF($B$10&lt;=$B$6,Upaya_Debitur[[#This Row],[Set Off]],0))</f>
        <v>0</v>
      </c>
      <c r="U184" s="37">
        <v>0</v>
      </c>
      <c r="V184" s="37">
        <v>0</v>
      </c>
      <c r="W184" s="37">
        <v>0</v>
      </c>
      <c r="X184" s="37">
        <v>0</v>
      </c>
      <c r="Y184" s="37">
        <v>0</v>
      </c>
      <c r="Z184" s="37">
        <v>0</v>
      </c>
      <c r="AA184" s="37">
        <v>0</v>
      </c>
      <c r="AB184" s="37">
        <v>0</v>
      </c>
      <c r="AC184" s="37">
        <v>0</v>
      </c>
      <c r="AD184" s="37">
        <v>0</v>
      </c>
      <c r="AE184" s="37">
        <v>0</v>
      </c>
      <c r="AF184" s="37">
        <v>0</v>
      </c>
      <c r="AG184" s="37">
        <v>0</v>
      </c>
      <c r="AH184" s="37">
        <v>0</v>
      </c>
      <c r="AI184" s="37">
        <v>0</v>
      </c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40">
        <f ca="1">SUM(OFFSET(Upaya_Debitur[[#This Row],[Haircut Diperhitungkan]],0,0,1,$B$7+2))</f>
        <v>0</v>
      </c>
      <c r="BR184" s="35" t="str">
        <f ca="1">IF(Upaya_Debitur[[#This Row],[Total Pencairan]]&gt;=Upaya_Debitur[[#This Row],[Kewajiban Total]],"Lunas","Belum Lunas")</f>
        <v>Belum Lunas</v>
      </c>
      <c r="BS184" s="35" t="str">
        <f t="shared" si="7"/>
        <v>Ya</v>
      </c>
      <c r="BT184" s="35" t="str">
        <f t="shared" si="8"/>
        <v>Ya</v>
      </c>
      <c r="BU18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8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8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84" s="35" t="str">
        <f>IF(Upaya_Debitur[[#This Row],[Kondisi Debitur]]="Tidak ditemukan","Ya","Tidak")</f>
        <v>Ya</v>
      </c>
      <c r="BY18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8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8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84" s="18">
        <v>43781</v>
      </c>
      <c r="CC184" s="18">
        <v>43999</v>
      </c>
      <c r="CD184" s="18">
        <v>43826</v>
      </c>
      <c r="CE184" s="18">
        <v>43871</v>
      </c>
      <c r="CF184" s="18">
        <v>43887</v>
      </c>
      <c r="CG184" s="18">
        <v>43888</v>
      </c>
      <c r="CH184" s="18">
        <v>44057</v>
      </c>
      <c r="CI184" s="18">
        <v>44077</v>
      </c>
      <c r="CJ184" s="18"/>
      <c r="CK184" s="35">
        <f ca="1">COUNTIF(Upaya_Debitur[[#This Row],[Surat Pemberitahuan?]:[Gugatan Sederhana?]],"Ya")</f>
        <v>8</v>
      </c>
      <c r="CL184" s="35">
        <f ca="1">Upaya_Debitur[[#This Row],[Target Upaya]]-COUNTIFS(Upaya_Debitur[[#This Row],[Surat Pemberitahuan?]:[Gugatan Sederhana?]],"Ya",Upaya_Debitur[[#This Row],[Surat Pemberitahuan]:[Gugatan Sederhana]],"")</f>
        <v>8</v>
      </c>
      <c r="CM184" s="36">
        <f ca="1">IF(ISNUMBER(Upaya_Debitur[[#This Row],[Realisasi]]/Upaya_Debitur[[#This Row],[Target Upaya]]),Upaya_Debitur[[#This Row],[Realisasi]]/Upaya_Debitur[[#This Row],[Target Upaya]],1)</f>
        <v>1</v>
      </c>
    </row>
    <row r="185" spans="1:91" x14ac:dyDescent="0.3">
      <c r="A185" s="16">
        <v>167</v>
      </c>
      <c r="B185" s="17"/>
      <c r="C185" s="17" t="s">
        <v>507</v>
      </c>
      <c r="D185" s="16" t="s">
        <v>508</v>
      </c>
      <c r="E185" s="37">
        <v>184000</v>
      </c>
      <c r="F185" s="37">
        <v>0</v>
      </c>
      <c r="G185" s="37">
        <v>0</v>
      </c>
      <c r="H185" s="40">
        <f>SUM(Upaya_Debitur[[#This Row],[Kewajiban Pokok]:[Kewajiban Denda]])</f>
        <v>184000</v>
      </c>
      <c r="I185" s="37"/>
      <c r="J185" s="40">
        <f>IF(ISNUMBER(Upaya_Debitur[[#This Row],[Angsuran Sesuai PK]]),Upaya_Debitur[[#This Row],[Angsuran Sesuai PK]],1)</f>
        <v>1</v>
      </c>
      <c r="K185" s="76"/>
      <c r="L185" s="16" t="s">
        <v>37</v>
      </c>
      <c r="N185" s="18"/>
      <c r="O185" s="76"/>
      <c r="P185" s="37"/>
      <c r="Q185" s="41"/>
      <c r="R185" s="37"/>
      <c r="S185" s="40">
        <f>IF(Upaya_Debitur[[#This Row],[Periode Haircut]]="",0,IF(Upaya_Debitur[[#This Row],[Periode Haircut]]&lt;=$B$6,Upaya_Debitur[[#This Row],[Haircut]],0))</f>
        <v>0</v>
      </c>
      <c r="T185" s="40">
        <f>IF($B$10="",0,IF($B$10&lt;=$B$6,Upaya_Debitur[[#This Row],[Set Off]],0))</f>
        <v>0</v>
      </c>
      <c r="U185" s="37">
        <v>0</v>
      </c>
      <c r="V185" s="37">
        <v>0</v>
      </c>
      <c r="W185" s="37">
        <v>0</v>
      </c>
      <c r="X185" s="37">
        <v>0</v>
      </c>
      <c r="Y185" s="37">
        <v>0</v>
      </c>
      <c r="Z185" s="37">
        <v>0</v>
      </c>
      <c r="AA185" s="37">
        <v>0</v>
      </c>
      <c r="AB185" s="37">
        <v>0</v>
      </c>
      <c r="AC185" s="37">
        <v>0</v>
      </c>
      <c r="AD185" s="37">
        <v>0</v>
      </c>
      <c r="AE185" s="37">
        <v>0</v>
      </c>
      <c r="AF185" s="37">
        <v>0</v>
      </c>
      <c r="AG185" s="37">
        <v>0</v>
      </c>
      <c r="AH185" s="37">
        <v>0</v>
      </c>
      <c r="AI185" s="37">
        <v>0</v>
      </c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40">
        <f ca="1">SUM(OFFSET(Upaya_Debitur[[#This Row],[Haircut Diperhitungkan]],0,0,1,$B$7+2))</f>
        <v>0</v>
      </c>
      <c r="BR185" s="35" t="str">
        <f ca="1">IF(Upaya_Debitur[[#This Row],[Total Pencairan]]&gt;=Upaya_Debitur[[#This Row],[Kewajiban Total]],"Lunas","Belum Lunas")</f>
        <v>Belum Lunas</v>
      </c>
      <c r="BS185" s="35" t="str">
        <f t="shared" si="7"/>
        <v>Ya</v>
      </c>
      <c r="BT185" s="35" t="str">
        <f t="shared" si="8"/>
        <v>Ya</v>
      </c>
      <c r="BU18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8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8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85" s="35" t="str">
        <f>IF(Upaya_Debitur[[#This Row],[Kondisi Debitur]]="Tidak ditemukan","Ya","Tidak")</f>
        <v>Ya</v>
      </c>
      <c r="BY18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8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8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85" s="18">
        <v>43781</v>
      </c>
      <c r="CC185" s="18">
        <v>43999</v>
      </c>
      <c r="CD185" s="18">
        <v>43826</v>
      </c>
      <c r="CE185" s="18">
        <v>43871</v>
      </c>
      <c r="CF185" s="18">
        <v>43887</v>
      </c>
      <c r="CG185" s="18">
        <v>44035</v>
      </c>
      <c r="CH185" s="18">
        <v>44057</v>
      </c>
      <c r="CI185" s="18">
        <v>44077</v>
      </c>
      <c r="CJ185" s="18"/>
      <c r="CK185" s="35">
        <f ca="1">COUNTIF(Upaya_Debitur[[#This Row],[Surat Pemberitahuan?]:[Gugatan Sederhana?]],"Ya")</f>
        <v>8</v>
      </c>
      <c r="CL185" s="35">
        <f ca="1">Upaya_Debitur[[#This Row],[Target Upaya]]-COUNTIFS(Upaya_Debitur[[#This Row],[Surat Pemberitahuan?]:[Gugatan Sederhana?]],"Ya",Upaya_Debitur[[#This Row],[Surat Pemberitahuan]:[Gugatan Sederhana]],"")</f>
        <v>8</v>
      </c>
      <c r="CM185" s="36">
        <f ca="1">IF(ISNUMBER(Upaya_Debitur[[#This Row],[Realisasi]]/Upaya_Debitur[[#This Row],[Target Upaya]]),Upaya_Debitur[[#This Row],[Realisasi]]/Upaya_Debitur[[#This Row],[Target Upaya]],1)</f>
        <v>1</v>
      </c>
    </row>
    <row r="186" spans="1:91" x14ac:dyDescent="0.3">
      <c r="A186" s="16">
        <v>168</v>
      </c>
      <c r="B186" s="17"/>
      <c r="C186" s="17" t="s">
        <v>509</v>
      </c>
      <c r="D186" s="16" t="s">
        <v>508</v>
      </c>
      <c r="E186" s="37">
        <v>788441</v>
      </c>
      <c r="F186" s="37">
        <v>0</v>
      </c>
      <c r="G186" s="37">
        <v>0</v>
      </c>
      <c r="H186" s="40">
        <f>SUM(Upaya_Debitur[[#This Row],[Kewajiban Pokok]:[Kewajiban Denda]])</f>
        <v>788441</v>
      </c>
      <c r="I186" s="37"/>
      <c r="J186" s="40">
        <f>IF(ISNUMBER(Upaya_Debitur[[#This Row],[Angsuran Sesuai PK]]),Upaya_Debitur[[#This Row],[Angsuran Sesuai PK]],1)</f>
        <v>1</v>
      </c>
      <c r="K186" s="76"/>
      <c r="L186" s="16" t="s">
        <v>83</v>
      </c>
      <c r="N186" s="18"/>
      <c r="O186" s="76"/>
      <c r="P186" s="37"/>
      <c r="Q186" s="41"/>
      <c r="R186" s="37"/>
      <c r="S186" s="40">
        <f>IF(Upaya_Debitur[[#This Row],[Periode Haircut]]="",0,IF(Upaya_Debitur[[#This Row],[Periode Haircut]]&lt;=$B$6,Upaya_Debitur[[#This Row],[Haircut]],0))</f>
        <v>0</v>
      </c>
      <c r="T186" s="40">
        <f>IF($B$10="",0,IF($B$10&lt;=$B$6,Upaya_Debitur[[#This Row],[Set Off]],0))</f>
        <v>0</v>
      </c>
      <c r="U186" s="37">
        <v>0</v>
      </c>
      <c r="V186" s="37">
        <v>0</v>
      </c>
      <c r="W186" s="37">
        <v>0</v>
      </c>
      <c r="X186" s="37">
        <v>0</v>
      </c>
      <c r="Y186" s="37">
        <v>0</v>
      </c>
      <c r="Z186" s="37">
        <v>0</v>
      </c>
      <c r="AA186" s="37">
        <v>0</v>
      </c>
      <c r="AB186" s="37">
        <v>0</v>
      </c>
      <c r="AC186" s="37">
        <v>0</v>
      </c>
      <c r="AD186" s="37">
        <v>0</v>
      </c>
      <c r="AE186" s="37">
        <v>0</v>
      </c>
      <c r="AF186" s="37">
        <v>0</v>
      </c>
      <c r="AG186" s="37">
        <v>0</v>
      </c>
      <c r="AH186" s="37">
        <v>0</v>
      </c>
      <c r="AI186" s="37">
        <v>0</v>
      </c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40">
        <f ca="1">SUM(OFFSET(Upaya_Debitur[[#This Row],[Haircut Diperhitungkan]],0,0,1,$B$7+2))</f>
        <v>0</v>
      </c>
      <c r="BR186" s="35" t="str">
        <f ca="1">IF(Upaya_Debitur[[#This Row],[Total Pencairan]]&gt;=Upaya_Debitur[[#This Row],[Kewajiban Total]],"Lunas","Belum Lunas")</f>
        <v>Belum Lunas</v>
      </c>
      <c r="BS186" s="35" t="str">
        <f t="shared" si="7"/>
        <v>Ya</v>
      </c>
      <c r="BT186" s="35" t="str">
        <f t="shared" si="8"/>
        <v>Ya</v>
      </c>
      <c r="BU18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8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8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86" s="35" t="str">
        <f>IF(Upaya_Debitur[[#This Row],[Kondisi Debitur]]="Tidak ditemukan","Ya","Tidak")</f>
        <v>Tidak</v>
      </c>
      <c r="BY18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8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8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86" s="18">
        <v>43781</v>
      </c>
      <c r="CC186" s="18">
        <v>43999</v>
      </c>
      <c r="CD186" s="18">
        <v>43826</v>
      </c>
      <c r="CE186" s="18">
        <v>43871</v>
      </c>
      <c r="CF186" s="18">
        <v>43887</v>
      </c>
      <c r="CG186" s="18">
        <v>43888</v>
      </c>
      <c r="CH186" s="18">
        <v>44057</v>
      </c>
      <c r="CI186" s="18">
        <v>44077</v>
      </c>
      <c r="CJ186" s="18"/>
      <c r="CK186" s="35">
        <f ca="1">COUNTIF(Upaya_Debitur[[#This Row],[Surat Pemberitahuan?]:[Gugatan Sederhana?]],"Ya")</f>
        <v>7</v>
      </c>
      <c r="CL186" s="35">
        <f ca="1">Upaya_Debitur[[#This Row],[Target Upaya]]-COUNTIFS(Upaya_Debitur[[#This Row],[Surat Pemberitahuan?]:[Gugatan Sederhana?]],"Ya",Upaya_Debitur[[#This Row],[Surat Pemberitahuan]:[Gugatan Sederhana]],"")</f>
        <v>7</v>
      </c>
      <c r="CM186" s="36">
        <f ca="1">IF(ISNUMBER(Upaya_Debitur[[#This Row],[Realisasi]]/Upaya_Debitur[[#This Row],[Target Upaya]]),Upaya_Debitur[[#This Row],[Realisasi]]/Upaya_Debitur[[#This Row],[Target Upaya]],1)</f>
        <v>1</v>
      </c>
    </row>
    <row r="187" spans="1:91" x14ac:dyDescent="0.3">
      <c r="A187" s="16">
        <v>169</v>
      </c>
      <c r="B187" s="17"/>
      <c r="C187" s="17" t="s">
        <v>510</v>
      </c>
      <c r="D187" s="16" t="s">
        <v>511</v>
      </c>
      <c r="E187" s="37">
        <v>960716</v>
      </c>
      <c r="F187" s="37">
        <v>0</v>
      </c>
      <c r="G187" s="37">
        <v>0</v>
      </c>
      <c r="H187" s="40">
        <f>SUM(Upaya_Debitur[[#This Row],[Kewajiban Pokok]:[Kewajiban Denda]])</f>
        <v>960716</v>
      </c>
      <c r="I187" s="37"/>
      <c r="J187" s="40">
        <f>IF(ISNUMBER(Upaya_Debitur[[#This Row],[Angsuran Sesuai PK]]),Upaya_Debitur[[#This Row],[Angsuran Sesuai PK]],1)</f>
        <v>1</v>
      </c>
      <c r="K187" s="76"/>
      <c r="L187" s="16" t="s">
        <v>37</v>
      </c>
      <c r="N187" s="18"/>
      <c r="O187" s="76"/>
      <c r="P187" s="37"/>
      <c r="Q187" s="41"/>
      <c r="R187" s="37"/>
      <c r="S187" s="40">
        <f>IF(Upaya_Debitur[[#This Row],[Periode Haircut]]="",0,IF(Upaya_Debitur[[#This Row],[Periode Haircut]]&lt;=$B$6,Upaya_Debitur[[#This Row],[Haircut]],0))</f>
        <v>0</v>
      </c>
      <c r="T187" s="40">
        <f>IF($B$10="",0,IF($B$10&lt;=$B$6,Upaya_Debitur[[#This Row],[Set Off]],0))</f>
        <v>0</v>
      </c>
      <c r="U187" s="37">
        <v>0</v>
      </c>
      <c r="V187" s="37">
        <v>0</v>
      </c>
      <c r="W187" s="37">
        <v>0</v>
      </c>
      <c r="X187" s="37">
        <v>0</v>
      </c>
      <c r="Y187" s="37">
        <v>0</v>
      </c>
      <c r="Z187" s="37">
        <v>0</v>
      </c>
      <c r="AA187" s="37">
        <v>0</v>
      </c>
      <c r="AB187" s="37">
        <v>0</v>
      </c>
      <c r="AC187" s="37">
        <v>0</v>
      </c>
      <c r="AD187" s="37">
        <v>0</v>
      </c>
      <c r="AE187" s="37">
        <v>0</v>
      </c>
      <c r="AF187" s="37">
        <v>0</v>
      </c>
      <c r="AG187" s="37">
        <v>0</v>
      </c>
      <c r="AH187" s="37">
        <v>0</v>
      </c>
      <c r="AI187" s="37">
        <v>0</v>
      </c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40">
        <f ca="1">SUM(OFFSET(Upaya_Debitur[[#This Row],[Haircut Diperhitungkan]],0,0,1,$B$7+2))</f>
        <v>0</v>
      </c>
      <c r="BR187" s="35" t="str">
        <f ca="1">IF(Upaya_Debitur[[#This Row],[Total Pencairan]]&gt;=Upaya_Debitur[[#This Row],[Kewajiban Total]],"Lunas","Belum Lunas")</f>
        <v>Belum Lunas</v>
      </c>
      <c r="BS187" s="35" t="str">
        <f t="shared" si="7"/>
        <v>Ya</v>
      </c>
      <c r="BT187" s="35" t="str">
        <f t="shared" si="8"/>
        <v>Ya</v>
      </c>
      <c r="BU18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8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8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87" s="35" t="str">
        <f>IF(Upaya_Debitur[[#This Row],[Kondisi Debitur]]="Tidak ditemukan","Ya","Tidak")</f>
        <v>Ya</v>
      </c>
      <c r="BY18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8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8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87" s="18">
        <v>43781</v>
      </c>
      <c r="CC187" s="18">
        <v>43999</v>
      </c>
      <c r="CD187" s="18">
        <v>43826</v>
      </c>
      <c r="CE187" s="18">
        <v>43871</v>
      </c>
      <c r="CF187" s="18">
        <v>43887</v>
      </c>
      <c r="CG187" s="18">
        <v>43888</v>
      </c>
      <c r="CH187" s="18">
        <v>44057</v>
      </c>
      <c r="CI187" s="18">
        <v>44077</v>
      </c>
      <c r="CJ187" s="18"/>
      <c r="CK187" s="35">
        <f ca="1">COUNTIF(Upaya_Debitur[[#This Row],[Surat Pemberitahuan?]:[Gugatan Sederhana?]],"Ya")</f>
        <v>8</v>
      </c>
      <c r="CL187" s="35">
        <f ca="1">Upaya_Debitur[[#This Row],[Target Upaya]]-COUNTIFS(Upaya_Debitur[[#This Row],[Surat Pemberitahuan?]:[Gugatan Sederhana?]],"Ya",Upaya_Debitur[[#This Row],[Surat Pemberitahuan]:[Gugatan Sederhana]],"")</f>
        <v>8</v>
      </c>
      <c r="CM187" s="36">
        <f ca="1">IF(ISNUMBER(Upaya_Debitur[[#This Row],[Realisasi]]/Upaya_Debitur[[#This Row],[Target Upaya]]),Upaya_Debitur[[#This Row],[Realisasi]]/Upaya_Debitur[[#This Row],[Target Upaya]],1)</f>
        <v>1</v>
      </c>
    </row>
    <row r="188" spans="1:91" x14ac:dyDescent="0.3">
      <c r="A188" s="16">
        <v>170</v>
      </c>
      <c r="B188" s="17"/>
      <c r="C188" s="17" t="s">
        <v>512</v>
      </c>
      <c r="D188" s="16" t="s">
        <v>513</v>
      </c>
      <c r="E188" s="37">
        <v>5200000</v>
      </c>
      <c r="F188" s="37">
        <v>0</v>
      </c>
      <c r="G188" s="37">
        <v>0</v>
      </c>
      <c r="H188" s="40">
        <f>SUM(Upaya_Debitur[[#This Row],[Kewajiban Pokok]:[Kewajiban Denda]])</f>
        <v>5200000</v>
      </c>
      <c r="I188" s="37"/>
      <c r="J188" s="40">
        <f>IF(ISNUMBER(Upaya_Debitur[[#This Row],[Angsuran Sesuai PK]]),Upaya_Debitur[[#This Row],[Angsuran Sesuai PK]],1)</f>
        <v>1</v>
      </c>
      <c r="K188" s="76"/>
      <c r="L188" s="16" t="s">
        <v>83</v>
      </c>
      <c r="N188" s="18"/>
      <c r="O188" s="76"/>
      <c r="P188" s="37"/>
      <c r="Q188" s="41"/>
      <c r="R188" s="37"/>
      <c r="S188" s="40">
        <f>IF(Upaya_Debitur[[#This Row],[Periode Haircut]]="",0,IF(Upaya_Debitur[[#This Row],[Periode Haircut]]&lt;=$B$6,Upaya_Debitur[[#This Row],[Haircut]],0))</f>
        <v>0</v>
      </c>
      <c r="T188" s="40">
        <f>IF($B$10="",0,IF($B$10&lt;=$B$6,Upaya_Debitur[[#This Row],[Set Off]],0))</f>
        <v>0</v>
      </c>
      <c r="U188" s="37">
        <v>0</v>
      </c>
      <c r="V188" s="37">
        <v>0</v>
      </c>
      <c r="W188" s="37">
        <v>0</v>
      </c>
      <c r="X188" s="37">
        <v>0</v>
      </c>
      <c r="Y188" s="37">
        <v>0</v>
      </c>
      <c r="Z188" s="37">
        <v>0</v>
      </c>
      <c r="AA188" s="37">
        <v>0</v>
      </c>
      <c r="AB188" s="37">
        <v>0</v>
      </c>
      <c r="AC188" s="37">
        <v>0</v>
      </c>
      <c r="AD188" s="37">
        <v>0</v>
      </c>
      <c r="AE188" s="37">
        <v>0</v>
      </c>
      <c r="AF188" s="37">
        <v>0</v>
      </c>
      <c r="AG188" s="37">
        <v>0</v>
      </c>
      <c r="AH188" s="37">
        <v>0</v>
      </c>
      <c r="AI188" s="37">
        <v>0</v>
      </c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40">
        <f ca="1">SUM(OFFSET(Upaya_Debitur[[#This Row],[Haircut Diperhitungkan]],0,0,1,$B$7+2))</f>
        <v>0</v>
      </c>
      <c r="BR188" s="35" t="str">
        <f ca="1">IF(Upaya_Debitur[[#This Row],[Total Pencairan]]&gt;=Upaya_Debitur[[#This Row],[Kewajiban Total]],"Lunas","Belum Lunas")</f>
        <v>Belum Lunas</v>
      </c>
      <c r="BS188" s="35" t="str">
        <f t="shared" si="7"/>
        <v>Ya</v>
      </c>
      <c r="BT188" s="35" t="str">
        <f t="shared" si="8"/>
        <v>Ya</v>
      </c>
      <c r="BU18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8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8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88" s="35" t="str">
        <f>IF(Upaya_Debitur[[#This Row],[Kondisi Debitur]]="Tidak ditemukan","Ya","Tidak")</f>
        <v>Tidak</v>
      </c>
      <c r="BY18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8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8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88" s="18">
        <v>43781</v>
      </c>
      <c r="CC188" s="18">
        <v>43999</v>
      </c>
      <c r="CD188" s="18">
        <v>43826</v>
      </c>
      <c r="CE188" s="18">
        <v>43871</v>
      </c>
      <c r="CF188" s="18">
        <v>43887</v>
      </c>
      <c r="CG188" s="18">
        <v>43888</v>
      </c>
      <c r="CH188" s="18">
        <v>44057</v>
      </c>
      <c r="CI188" s="18">
        <v>44077</v>
      </c>
      <c r="CJ188" s="18"/>
      <c r="CK188" s="35">
        <f ca="1">COUNTIF(Upaya_Debitur[[#This Row],[Surat Pemberitahuan?]:[Gugatan Sederhana?]],"Ya")</f>
        <v>7</v>
      </c>
      <c r="CL188" s="35">
        <f ca="1">Upaya_Debitur[[#This Row],[Target Upaya]]-COUNTIFS(Upaya_Debitur[[#This Row],[Surat Pemberitahuan?]:[Gugatan Sederhana?]],"Ya",Upaya_Debitur[[#This Row],[Surat Pemberitahuan]:[Gugatan Sederhana]],"")</f>
        <v>7</v>
      </c>
      <c r="CM188" s="36">
        <f ca="1">IF(ISNUMBER(Upaya_Debitur[[#This Row],[Realisasi]]/Upaya_Debitur[[#This Row],[Target Upaya]]),Upaya_Debitur[[#This Row],[Realisasi]]/Upaya_Debitur[[#This Row],[Target Upaya]],1)</f>
        <v>1</v>
      </c>
    </row>
    <row r="189" spans="1:91" x14ac:dyDescent="0.3">
      <c r="A189" s="16">
        <v>171</v>
      </c>
      <c r="B189" s="17"/>
      <c r="C189" s="17" t="s">
        <v>514</v>
      </c>
      <c r="D189" s="16" t="s">
        <v>515</v>
      </c>
      <c r="E189" s="37">
        <v>7320000</v>
      </c>
      <c r="F189" s="37">
        <v>0</v>
      </c>
      <c r="G189" s="37">
        <v>0</v>
      </c>
      <c r="H189" s="40">
        <f>SUM(Upaya_Debitur[[#This Row],[Kewajiban Pokok]:[Kewajiban Denda]])</f>
        <v>7320000</v>
      </c>
      <c r="I189" s="37"/>
      <c r="J189" s="40">
        <f>IF(ISNUMBER(Upaya_Debitur[[#This Row],[Angsuran Sesuai PK]]),Upaya_Debitur[[#This Row],[Angsuran Sesuai PK]],1)</f>
        <v>1</v>
      </c>
      <c r="K189" s="76"/>
      <c r="L189" s="16" t="s">
        <v>83</v>
      </c>
      <c r="N189" s="18"/>
      <c r="O189" s="76"/>
      <c r="P189" s="37"/>
      <c r="Q189" s="41"/>
      <c r="R189" s="37"/>
      <c r="S189" s="40">
        <f>IF(Upaya_Debitur[[#This Row],[Periode Haircut]]="",0,IF(Upaya_Debitur[[#This Row],[Periode Haircut]]&lt;=$B$6,Upaya_Debitur[[#This Row],[Haircut]],0))</f>
        <v>0</v>
      </c>
      <c r="T189" s="40">
        <f>IF($B$10="",0,IF($B$10&lt;=$B$6,Upaya_Debitur[[#This Row],[Set Off]],0))</f>
        <v>0</v>
      </c>
      <c r="U189" s="37">
        <v>250000</v>
      </c>
      <c r="V189" s="37">
        <v>0</v>
      </c>
      <c r="W189" s="37">
        <v>0</v>
      </c>
      <c r="X189" s="37">
        <v>0</v>
      </c>
      <c r="Y189" s="37">
        <v>500000</v>
      </c>
      <c r="Z189" s="37">
        <v>0</v>
      </c>
      <c r="AA189" s="37">
        <v>0</v>
      </c>
      <c r="AB189" s="37">
        <v>0</v>
      </c>
      <c r="AC189" s="37">
        <v>0</v>
      </c>
      <c r="AD189" s="37">
        <v>0</v>
      </c>
      <c r="AE189" s="37">
        <v>0</v>
      </c>
      <c r="AF189" s="37">
        <v>0</v>
      </c>
      <c r="AG189" s="37">
        <v>0</v>
      </c>
      <c r="AH189" s="37">
        <v>0</v>
      </c>
      <c r="AI189" s="37">
        <v>0</v>
      </c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40">
        <f ca="1">SUM(OFFSET(Upaya_Debitur[[#This Row],[Haircut Diperhitungkan]],0,0,1,$B$7+2))</f>
        <v>750000</v>
      </c>
      <c r="BR189" s="35" t="str">
        <f ca="1">IF(Upaya_Debitur[[#This Row],[Total Pencairan]]&gt;=Upaya_Debitur[[#This Row],[Kewajiban Total]],"Lunas","Belum Lunas")</f>
        <v>Belum Lunas</v>
      </c>
      <c r="BS189" s="35" t="str">
        <f t="shared" si="7"/>
        <v>Ya</v>
      </c>
      <c r="BT189" s="35" t="str">
        <f t="shared" si="8"/>
        <v>Ya</v>
      </c>
      <c r="BU18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8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8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89" s="35" t="str">
        <f>IF(Upaya_Debitur[[#This Row],[Kondisi Debitur]]="Tidak ditemukan","Ya","Tidak")</f>
        <v>Tidak</v>
      </c>
      <c r="BY18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8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8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89" s="18">
        <v>43781</v>
      </c>
      <c r="CC189" s="18">
        <v>43999</v>
      </c>
      <c r="CD189" s="18">
        <v>43826</v>
      </c>
      <c r="CE189" s="18">
        <v>43871</v>
      </c>
      <c r="CF189" s="18">
        <v>43887</v>
      </c>
      <c r="CG189" s="18"/>
      <c r="CH189" s="18">
        <v>44057</v>
      </c>
      <c r="CI189" s="18">
        <v>44077</v>
      </c>
      <c r="CJ189" s="18"/>
      <c r="CK189" s="35">
        <f ca="1">COUNTIF(Upaya_Debitur[[#This Row],[Surat Pemberitahuan?]:[Gugatan Sederhana?]],"Ya")</f>
        <v>7</v>
      </c>
      <c r="CL189" s="35">
        <f ca="1">Upaya_Debitur[[#This Row],[Target Upaya]]-COUNTIFS(Upaya_Debitur[[#This Row],[Surat Pemberitahuan?]:[Gugatan Sederhana?]],"Ya",Upaya_Debitur[[#This Row],[Surat Pemberitahuan]:[Gugatan Sederhana]],"")</f>
        <v>7</v>
      </c>
      <c r="CM189" s="36">
        <f ca="1">IF(ISNUMBER(Upaya_Debitur[[#This Row],[Realisasi]]/Upaya_Debitur[[#This Row],[Target Upaya]]),Upaya_Debitur[[#This Row],[Realisasi]]/Upaya_Debitur[[#This Row],[Target Upaya]],1)</f>
        <v>1</v>
      </c>
    </row>
    <row r="190" spans="1:91" x14ac:dyDescent="0.3">
      <c r="A190" s="16">
        <v>172</v>
      </c>
      <c r="B190" s="17"/>
      <c r="C190" s="17" t="s">
        <v>516</v>
      </c>
      <c r="D190" s="16" t="s">
        <v>517</v>
      </c>
      <c r="E190" s="37">
        <v>1497725</v>
      </c>
      <c r="F190" s="37">
        <v>0</v>
      </c>
      <c r="G190" s="37">
        <v>0</v>
      </c>
      <c r="H190" s="40">
        <f>SUM(Upaya_Debitur[[#This Row],[Kewajiban Pokok]:[Kewajiban Denda]])</f>
        <v>1497725</v>
      </c>
      <c r="I190" s="37"/>
      <c r="J190" s="40">
        <f>IF(ISNUMBER(Upaya_Debitur[[#This Row],[Angsuran Sesuai PK]]),Upaya_Debitur[[#This Row],[Angsuran Sesuai PK]],1)</f>
        <v>1</v>
      </c>
      <c r="K190" s="76"/>
      <c r="L190" s="16" t="s">
        <v>37</v>
      </c>
      <c r="N190" s="18"/>
      <c r="O190" s="76"/>
      <c r="P190" s="37"/>
      <c r="Q190" s="41"/>
      <c r="R190" s="37"/>
      <c r="S190" s="40">
        <f>IF(Upaya_Debitur[[#This Row],[Periode Haircut]]="",0,IF(Upaya_Debitur[[#This Row],[Periode Haircut]]&lt;=$B$6,Upaya_Debitur[[#This Row],[Haircut]],0))</f>
        <v>0</v>
      </c>
      <c r="T190" s="40">
        <f>IF($B$10="",0,IF($B$10&lt;=$B$6,Upaya_Debitur[[#This Row],[Set Off]],0))</f>
        <v>0</v>
      </c>
      <c r="U190" s="37">
        <v>0</v>
      </c>
      <c r="V190" s="37">
        <v>0</v>
      </c>
      <c r="W190" s="37">
        <v>0</v>
      </c>
      <c r="X190" s="37">
        <v>0</v>
      </c>
      <c r="Y190" s="37">
        <v>0</v>
      </c>
      <c r="Z190" s="37">
        <v>0</v>
      </c>
      <c r="AA190" s="37">
        <v>0</v>
      </c>
      <c r="AB190" s="37">
        <v>0</v>
      </c>
      <c r="AC190" s="37">
        <v>0</v>
      </c>
      <c r="AD190" s="37">
        <v>0</v>
      </c>
      <c r="AE190" s="37">
        <v>0</v>
      </c>
      <c r="AF190" s="37">
        <v>0</v>
      </c>
      <c r="AG190" s="37">
        <v>0</v>
      </c>
      <c r="AH190" s="37">
        <v>0</v>
      </c>
      <c r="AI190" s="37">
        <v>0</v>
      </c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40">
        <f ca="1">SUM(OFFSET(Upaya_Debitur[[#This Row],[Haircut Diperhitungkan]],0,0,1,$B$7+2))</f>
        <v>0</v>
      </c>
      <c r="BR190" s="35" t="str">
        <f ca="1">IF(Upaya_Debitur[[#This Row],[Total Pencairan]]&gt;=Upaya_Debitur[[#This Row],[Kewajiban Total]],"Lunas","Belum Lunas")</f>
        <v>Belum Lunas</v>
      </c>
      <c r="BS190" s="35" t="str">
        <f t="shared" si="7"/>
        <v>Ya</v>
      </c>
      <c r="BT190" s="35" t="str">
        <f t="shared" si="8"/>
        <v>Ya</v>
      </c>
      <c r="BU19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9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9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90" s="35" t="str">
        <f>IF(Upaya_Debitur[[#This Row],[Kondisi Debitur]]="Tidak ditemukan","Ya","Tidak")</f>
        <v>Ya</v>
      </c>
      <c r="BY19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9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9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90" s="18">
        <v>43781</v>
      </c>
      <c r="CC190" s="18">
        <v>43999</v>
      </c>
      <c r="CD190" s="18">
        <v>43826</v>
      </c>
      <c r="CE190" s="18">
        <v>43871</v>
      </c>
      <c r="CF190" s="18">
        <v>43887</v>
      </c>
      <c r="CG190" s="18">
        <v>43888</v>
      </c>
      <c r="CH190" s="18">
        <v>44057</v>
      </c>
      <c r="CI190" s="18">
        <v>44077</v>
      </c>
      <c r="CJ190" s="18"/>
      <c r="CK190" s="35">
        <f ca="1">COUNTIF(Upaya_Debitur[[#This Row],[Surat Pemberitahuan?]:[Gugatan Sederhana?]],"Ya")</f>
        <v>8</v>
      </c>
      <c r="CL190" s="35">
        <f ca="1">Upaya_Debitur[[#This Row],[Target Upaya]]-COUNTIFS(Upaya_Debitur[[#This Row],[Surat Pemberitahuan?]:[Gugatan Sederhana?]],"Ya",Upaya_Debitur[[#This Row],[Surat Pemberitahuan]:[Gugatan Sederhana]],"")</f>
        <v>8</v>
      </c>
      <c r="CM190" s="36">
        <f ca="1">IF(ISNUMBER(Upaya_Debitur[[#This Row],[Realisasi]]/Upaya_Debitur[[#This Row],[Target Upaya]]),Upaya_Debitur[[#This Row],[Realisasi]]/Upaya_Debitur[[#This Row],[Target Upaya]],1)</f>
        <v>1</v>
      </c>
    </row>
    <row r="191" spans="1:91" x14ac:dyDescent="0.3">
      <c r="A191" s="16">
        <v>173</v>
      </c>
      <c r="B191" s="17"/>
      <c r="C191" s="17" t="s">
        <v>518</v>
      </c>
      <c r="D191" s="16" t="s">
        <v>519</v>
      </c>
      <c r="E191" s="37">
        <v>5780000</v>
      </c>
      <c r="F191" s="37">
        <v>0</v>
      </c>
      <c r="G191" s="37">
        <v>0</v>
      </c>
      <c r="H191" s="40">
        <f>SUM(Upaya_Debitur[[#This Row],[Kewajiban Pokok]:[Kewajiban Denda]])</f>
        <v>5780000</v>
      </c>
      <c r="I191" s="37"/>
      <c r="J191" s="40">
        <f>IF(ISNUMBER(Upaya_Debitur[[#This Row],[Angsuran Sesuai PK]]),Upaya_Debitur[[#This Row],[Angsuran Sesuai PK]],1)</f>
        <v>1</v>
      </c>
      <c r="K191" s="76"/>
      <c r="L191" s="16" t="s">
        <v>83</v>
      </c>
      <c r="N191" s="18"/>
      <c r="O191" s="76"/>
      <c r="P191" s="37"/>
      <c r="Q191" s="41"/>
      <c r="R191" s="37"/>
      <c r="S191" s="40">
        <f>IF(Upaya_Debitur[[#This Row],[Periode Haircut]]="",0,IF(Upaya_Debitur[[#This Row],[Periode Haircut]]&lt;=$B$6,Upaya_Debitur[[#This Row],[Haircut]],0))</f>
        <v>0</v>
      </c>
      <c r="T191" s="40">
        <f>IF($B$10="",0,IF($B$10&lt;=$B$6,Upaya_Debitur[[#This Row],[Set Off]],0))</f>
        <v>0</v>
      </c>
      <c r="U191" s="37">
        <v>0</v>
      </c>
      <c r="V191" s="37">
        <v>0</v>
      </c>
      <c r="W191" s="37">
        <v>0</v>
      </c>
      <c r="X191" s="37">
        <v>0</v>
      </c>
      <c r="Y191" s="37">
        <v>0</v>
      </c>
      <c r="Z191" s="37">
        <v>0</v>
      </c>
      <c r="AA191" s="37">
        <v>0</v>
      </c>
      <c r="AB191" s="37">
        <v>0</v>
      </c>
      <c r="AC191" s="37">
        <v>0</v>
      </c>
      <c r="AD191" s="37">
        <v>0</v>
      </c>
      <c r="AE191" s="37">
        <v>0</v>
      </c>
      <c r="AF191" s="37">
        <v>0</v>
      </c>
      <c r="AG191" s="37">
        <v>0</v>
      </c>
      <c r="AH191" s="37">
        <v>0</v>
      </c>
      <c r="AI191" s="37">
        <v>0</v>
      </c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40">
        <f ca="1">SUM(OFFSET(Upaya_Debitur[[#This Row],[Haircut Diperhitungkan]],0,0,1,$B$7+2))</f>
        <v>0</v>
      </c>
      <c r="BR191" s="35" t="str">
        <f ca="1">IF(Upaya_Debitur[[#This Row],[Total Pencairan]]&gt;=Upaya_Debitur[[#This Row],[Kewajiban Total]],"Lunas","Belum Lunas")</f>
        <v>Belum Lunas</v>
      </c>
      <c r="BS191" s="35" t="str">
        <f t="shared" si="7"/>
        <v>Ya</v>
      </c>
      <c r="BT191" s="35" t="str">
        <f t="shared" si="8"/>
        <v>Ya</v>
      </c>
      <c r="BU19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9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9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91" s="35" t="str">
        <f>IF(Upaya_Debitur[[#This Row],[Kondisi Debitur]]="Tidak ditemukan","Ya","Tidak")</f>
        <v>Tidak</v>
      </c>
      <c r="BY19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9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9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91" s="18">
        <v>43781</v>
      </c>
      <c r="CC191" s="18">
        <v>43999</v>
      </c>
      <c r="CD191" s="18">
        <v>43826</v>
      </c>
      <c r="CE191" s="18">
        <v>43871</v>
      </c>
      <c r="CF191" s="18">
        <v>43887</v>
      </c>
      <c r="CG191" s="18">
        <v>43888</v>
      </c>
      <c r="CH191" s="18">
        <v>44057</v>
      </c>
      <c r="CI191" s="18">
        <v>44077</v>
      </c>
      <c r="CJ191" s="18"/>
      <c r="CK191" s="35">
        <f ca="1">COUNTIF(Upaya_Debitur[[#This Row],[Surat Pemberitahuan?]:[Gugatan Sederhana?]],"Ya")</f>
        <v>7</v>
      </c>
      <c r="CL191" s="35">
        <f ca="1">Upaya_Debitur[[#This Row],[Target Upaya]]-COUNTIFS(Upaya_Debitur[[#This Row],[Surat Pemberitahuan?]:[Gugatan Sederhana?]],"Ya",Upaya_Debitur[[#This Row],[Surat Pemberitahuan]:[Gugatan Sederhana]],"")</f>
        <v>7</v>
      </c>
      <c r="CM191" s="36">
        <f ca="1">IF(ISNUMBER(Upaya_Debitur[[#This Row],[Realisasi]]/Upaya_Debitur[[#This Row],[Target Upaya]]),Upaya_Debitur[[#This Row],[Realisasi]]/Upaya_Debitur[[#This Row],[Target Upaya]],1)</f>
        <v>1</v>
      </c>
    </row>
    <row r="192" spans="1:91" x14ac:dyDescent="0.3">
      <c r="A192" s="16">
        <v>174</v>
      </c>
      <c r="B192" s="17"/>
      <c r="C192" s="17" t="s">
        <v>520</v>
      </c>
      <c r="D192" s="16" t="s">
        <v>521</v>
      </c>
      <c r="E192" s="37">
        <v>3500002</v>
      </c>
      <c r="F192" s="37">
        <v>0</v>
      </c>
      <c r="G192" s="37">
        <v>0</v>
      </c>
      <c r="H192" s="40">
        <f>SUM(Upaya_Debitur[[#This Row],[Kewajiban Pokok]:[Kewajiban Denda]])</f>
        <v>3500002</v>
      </c>
      <c r="I192" s="37"/>
      <c r="J192" s="40">
        <f>IF(ISNUMBER(Upaya_Debitur[[#This Row],[Angsuran Sesuai PK]]),Upaya_Debitur[[#This Row],[Angsuran Sesuai PK]],1)</f>
        <v>1</v>
      </c>
      <c r="K192" s="76"/>
      <c r="L192" s="16" t="s">
        <v>37</v>
      </c>
      <c r="N192" s="18"/>
      <c r="O192" s="76"/>
      <c r="P192" s="37"/>
      <c r="Q192" s="41"/>
      <c r="R192" s="37"/>
      <c r="S192" s="40">
        <f>IF(Upaya_Debitur[[#This Row],[Periode Haircut]]="",0,IF(Upaya_Debitur[[#This Row],[Periode Haircut]]&lt;=$B$6,Upaya_Debitur[[#This Row],[Haircut]],0))</f>
        <v>0</v>
      </c>
      <c r="T192" s="40">
        <f>IF($B$10="",0,IF($B$10&lt;=$B$6,Upaya_Debitur[[#This Row],[Set Off]],0))</f>
        <v>0</v>
      </c>
      <c r="U192" s="37">
        <v>0</v>
      </c>
      <c r="V192" s="37">
        <v>0</v>
      </c>
      <c r="W192" s="37">
        <v>0</v>
      </c>
      <c r="X192" s="37">
        <v>0</v>
      </c>
      <c r="Y192" s="37">
        <v>0</v>
      </c>
      <c r="Z192" s="37">
        <v>0</v>
      </c>
      <c r="AA192" s="37">
        <v>0</v>
      </c>
      <c r="AB192" s="37">
        <v>0</v>
      </c>
      <c r="AC192" s="37">
        <v>0</v>
      </c>
      <c r="AD192" s="37">
        <v>0</v>
      </c>
      <c r="AE192" s="37">
        <v>0</v>
      </c>
      <c r="AF192" s="37">
        <v>0</v>
      </c>
      <c r="AG192" s="37">
        <v>0</v>
      </c>
      <c r="AH192" s="37">
        <v>0</v>
      </c>
      <c r="AI192" s="37">
        <v>0</v>
      </c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40">
        <f ca="1">SUM(OFFSET(Upaya_Debitur[[#This Row],[Haircut Diperhitungkan]],0,0,1,$B$7+2))</f>
        <v>0</v>
      </c>
      <c r="BR192" s="35" t="str">
        <f ca="1">IF(Upaya_Debitur[[#This Row],[Total Pencairan]]&gt;=Upaya_Debitur[[#This Row],[Kewajiban Total]],"Lunas","Belum Lunas")</f>
        <v>Belum Lunas</v>
      </c>
      <c r="BS192" s="35" t="str">
        <f t="shared" si="7"/>
        <v>Ya</v>
      </c>
      <c r="BT192" s="35" t="str">
        <f t="shared" si="8"/>
        <v>Ya</v>
      </c>
      <c r="BU19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9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9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92" s="35" t="str">
        <f>IF(Upaya_Debitur[[#This Row],[Kondisi Debitur]]="Tidak ditemukan","Ya","Tidak")</f>
        <v>Ya</v>
      </c>
      <c r="BY19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9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9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92" s="18">
        <v>43781</v>
      </c>
      <c r="CC192" s="18">
        <v>43999</v>
      </c>
      <c r="CD192" s="18">
        <v>43826</v>
      </c>
      <c r="CE192" s="18">
        <v>43871</v>
      </c>
      <c r="CF192" s="18">
        <v>43887</v>
      </c>
      <c r="CG192" s="18">
        <v>43888</v>
      </c>
      <c r="CH192" s="18">
        <v>44057</v>
      </c>
      <c r="CI192" s="18">
        <v>44077</v>
      </c>
      <c r="CJ192" s="18"/>
      <c r="CK192" s="35">
        <f ca="1">COUNTIF(Upaya_Debitur[[#This Row],[Surat Pemberitahuan?]:[Gugatan Sederhana?]],"Ya")</f>
        <v>8</v>
      </c>
      <c r="CL192" s="35">
        <f ca="1">Upaya_Debitur[[#This Row],[Target Upaya]]-COUNTIFS(Upaya_Debitur[[#This Row],[Surat Pemberitahuan?]:[Gugatan Sederhana?]],"Ya",Upaya_Debitur[[#This Row],[Surat Pemberitahuan]:[Gugatan Sederhana]],"")</f>
        <v>8</v>
      </c>
      <c r="CM192" s="36">
        <f ca="1">IF(ISNUMBER(Upaya_Debitur[[#This Row],[Realisasi]]/Upaya_Debitur[[#This Row],[Target Upaya]]),Upaya_Debitur[[#This Row],[Realisasi]]/Upaya_Debitur[[#This Row],[Target Upaya]],1)</f>
        <v>1</v>
      </c>
    </row>
    <row r="193" spans="1:91" x14ac:dyDescent="0.3">
      <c r="A193" s="16">
        <v>175</v>
      </c>
      <c r="B193" s="17"/>
      <c r="C193" s="17" t="s">
        <v>522</v>
      </c>
      <c r="D193" s="16" t="s">
        <v>523</v>
      </c>
      <c r="E193" s="37">
        <v>500000</v>
      </c>
      <c r="F193" s="37">
        <v>0</v>
      </c>
      <c r="G193" s="37">
        <v>0</v>
      </c>
      <c r="H193" s="40">
        <f>SUM(Upaya_Debitur[[#This Row],[Kewajiban Pokok]:[Kewajiban Denda]])</f>
        <v>500000</v>
      </c>
      <c r="I193" s="37"/>
      <c r="J193" s="40">
        <f>IF(ISNUMBER(Upaya_Debitur[[#This Row],[Angsuran Sesuai PK]]),Upaya_Debitur[[#This Row],[Angsuran Sesuai PK]],1)</f>
        <v>1</v>
      </c>
      <c r="K193" s="76"/>
      <c r="L193" s="16" t="s">
        <v>37</v>
      </c>
      <c r="N193" s="18"/>
      <c r="O193" s="76"/>
      <c r="P193" s="37"/>
      <c r="Q193" s="41"/>
      <c r="R193" s="37"/>
      <c r="S193" s="40">
        <f>IF(Upaya_Debitur[[#This Row],[Periode Haircut]]="",0,IF(Upaya_Debitur[[#This Row],[Periode Haircut]]&lt;=$B$6,Upaya_Debitur[[#This Row],[Haircut]],0))</f>
        <v>0</v>
      </c>
      <c r="T193" s="40">
        <f>IF($B$10="",0,IF($B$10&lt;=$B$6,Upaya_Debitur[[#This Row],[Set Off]],0))</f>
        <v>0</v>
      </c>
      <c r="U193" s="37">
        <v>0</v>
      </c>
      <c r="V193" s="37">
        <v>0</v>
      </c>
      <c r="W193" s="37">
        <v>0</v>
      </c>
      <c r="X193" s="37">
        <v>0</v>
      </c>
      <c r="Y193" s="37">
        <v>0</v>
      </c>
      <c r="Z193" s="37">
        <v>0</v>
      </c>
      <c r="AA193" s="37">
        <v>0</v>
      </c>
      <c r="AB193" s="37">
        <v>0</v>
      </c>
      <c r="AC193" s="37">
        <v>0</v>
      </c>
      <c r="AD193" s="37">
        <v>0</v>
      </c>
      <c r="AE193" s="37">
        <v>0</v>
      </c>
      <c r="AF193" s="37">
        <v>0</v>
      </c>
      <c r="AG193" s="37">
        <v>0</v>
      </c>
      <c r="AH193" s="37">
        <v>0</v>
      </c>
      <c r="AI193" s="37">
        <v>0</v>
      </c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40">
        <f ca="1">SUM(OFFSET(Upaya_Debitur[[#This Row],[Haircut Diperhitungkan]],0,0,1,$B$7+2))</f>
        <v>0</v>
      </c>
      <c r="BR193" s="35" t="str">
        <f ca="1">IF(Upaya_Debitur[[#This Row],[Total Pencairan]]&gt;=Upaya_Debitur[[#This Row],[Kewajiban Total]],"Lunas","Belum Lunas")</f>
        <v>Belum Lunas</v>
      </c>
      <c r="BS193" s="35" t="str">
        <f t="shared" si="7"/>
        <v>Ya</v>
      </c>
      <c r="BT193" s="35" t="str">
        <f t="shared" si="8"/>
        <v>Ya</v>
      </c>
      <c r="BU19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9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9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93" s="35" t="str">
        <f>IF(Upaya_Debitur[[#This Row],[Kondisi Debitur]]="Tidak ditemukan","Ya","Tidak")</f>
        <v>Ya</v>
      </c>
      <c r="BY19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9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9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93" s="18">
        <v>43781</v>
      </c>
      <c r="CC193" s="18">
        <v>43999</v>
      </c>
      <c r="CD193" s="18">
        <v>43826</v>
      </c>
      <c r="CE193" s="18">
        <v>43871</v>
      </c>
      <c r="CF193" s="18">
        <v>43887</v>
      </c>
      <c r="CG193" s="18">
        <v>43888</v>
      </c>
      <c r="CH193" s="18">
        <v>44057</v>
      </c>
      <c r="CI193" s="18">
        <v>44077</v>
      </c>
      <c r="CJ193" s="18"/>
      <c r="CK193" s="35">
        <f ca="1">COUNTIF(Upaya_Debitur[[#This Row],[Surat Pemberitahuan?]:[Gugatan Sederhana?]],"Ya")</f>
        <v>8</v>
      </c>
      <c r="CL193" s="35">
        <f ca="1">Upaya_Debitur[[#This Row],[Target Upaya]]-COUNTIFS(Upaya_Debitur[[#This Row],[Surat Pemberitahuan?]:[Gugatan Sederhana?]],"Ya",Upaya_Debitur[[#This Row],[Surat Pemberitahuan]:[Gugatan Sederhana]],"")</f>
        <v>8</v>
      </c>
      <c r="CM193" s="36">
        <f ca="1">IF(ISNUMBER(Upaya_Debitur[[#This Row],[Realisasi]]/Upaya_Debitur[[#This Row],[Target Upaya]]),Upaya_Debitur[[#This Row],[Realisasi]]/Upaya_Debitur[[#This Row],[Target Upaya]],1)</f>
        <v>1</v>
      </c>
    </row>
    <row r="194" spans="1:91" x14ac:dyDescent="0.3">
      <c r="A194" s="16">
        <v>176</v>
      </c>
      <c r="B194" s="17"/>
      <c r="C194" s="17" t="s">
        <v>524</v>
      </c>
      <c r="D194" s="16" t="s">
        <v>525</v>
      </c>
      <c r="E194" s="37">
        <v>1387500</v>
      </c>
      <c r="F194" s="37">
        <v>0</v>
      </c>
      <c r="G194" s="37">
        <v>0</v>
      </c>
      <c r="H194" s="40">
        <f>SUM(Upaya_Debitur[[#This Row],[Kewajiban Pokok]:[Kewajiban Denda]])</f>
        <v>1387500</v>
      </c>
      <c r="I194" s="37"/>
      <c r="J194" s="40">
        <f>IF(ISNUMBER(Upaya_Debitur[[#This Row],[Angsuran Sesuai PK]]),Upaya_Debitur[[#This Row],[Angsuran Sesuai PK]],1)</f>
        <v>1</v>
      </c>
      <c r="K194" s="76"/>
      <c r="L194" s="16" t="s">
        <v>37</v>
      </c>
      <c r="N194" s="18"/>
      <c r="O194" s="76"/>
      <c r="P194" s="37"/>
      <c r="Q194" s="41"/>
      <c r="R194" s="37"/>
      <c r="S194" s="40">
        <f>IF(Upaya_Debitur[[#This Row],[Periode Haircut]]="",0,IF(Upaya_Debitur[[#This Row],[Periode Haircut]]&lt;=$B$6,Upaya_Debitur[[#This Row],[Haircut]],0))</f>
        <v>0</v>
      </c>
      <c r="T194" s="40">
        <f>IF($B$10="",0,IF($B$10&lt;=$B$6,Upaya_Debitur[[#This Row],[Set Off]],0))</f>
        <v>0</v>
      </c>
      <c r="U194" s="37">
        <v>0</v>
      </c>
      <c r="V194" s="37">
        <v>0</v>
      </c>
      <c r="W194" s="37">
        <v>0</v>
      </c>
      <c r="X194" s="37">
        <v>0</v>
      </c>
      <c r="Y194" s="37">
        <v>0</v>
      </c>
      <c r="Z194" s="37">
        <v>0</v>
      </c>
      <c r="AA194" s="37">
        <v>0</v>
      </c>
      <c r="AB194" s="37">
        <v>0</v>
      </c>
      <c r="AC194" s="37">
        <v>0</v>
      </c>
      <c r="AD194" s="37">
        <v>0</v>
      </c>
      <c r="AE194" s="37">
        <v>0</v>
      </c>
      <c r="AF194" s="37">
        <v>0</v>
      </c>
      <c r="AG194" s="37">
        <v>0</v>
      </c>
      <c r="AH194" s="37">
        <v>0</v>
      </c>
      <c r="AI194" s="37">
        <v>0</v>
      </c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40">
        <f ca="1">SUM(OFFSET(Upaya_Debitur[[#This Row],[Haircut Diperhitungkan]],0,0,1,$B$7+2))</f>
        <v>0</v>
      </c>
      <c r="BR194" s="35" t="str">
        <f ca="1">IF(Upaya_Debitur[[#This Row],[Total Pencairan]]&gt;=Upaya_Debitur[[#This Row],[Kewajiban Total]],"Lunas","Belum Lunas")</f>
        <v>Belum Lunas</v>
      </c>
      <c r="BS194" s="35" t="str">
        <f t="shared" si="7"/>
        <v>Ya</v>
      </c>
      <c r="BT194" s="35" t="str">
        <f t="shared" si="8"/>
        <v>Ya</v>
      </c>
      <c r="BU19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9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9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94" s="35" t="str">
        <f>IF(Upaya_Debitur[[#This Row],[Kondisi Debitur]]="Tidak ditemukan","Ya","Tidak")</f>
        <v>Ya</v>
      </c>
      <c r="BY19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9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9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94" s="18">
        <v>43781</v>
      </c>
      <c r="CC194" s="18">
        <v>43999</v>
      </c>
      <c r="CD194" s="18">
        <v>43826</v>
      </c>
      <c r="CE194" s="18">
        <v>43871</v>
      </c>
      <c r="CF194" s="18">
        <v>43887</v>
      </c>
      <c r="CG194" s="18">
        <v>43888</v>
      </c>
      <c r="CH194" s="18">
        <v>44057</v>
      </c>
      <c r="CI194" s="18">
        <v>44077</v>
      </c>
      <c r="CJ194" s="18"/>
      <c r="CK194" s="35">
        <f ca="1">COUNTIF(Upaya_Debitur[[#This Row],[Surat Pemberitahuan?]:[Gugatan Sederhana?]],"Ya")</f>
        <v>8</v>
      </c>
      <c r="CL194" s="35">
        <f ca="1">Upaya_Debitur[[#This Row],[Target Upaya]]-COUNTIFS(Upaya_Debitur[[#This Row],[Surat Pemberitahuan?]:[Gugatan Sederhana?]],"Ya",Upaya_Debitur[[#This Row],[Surat Pemberitahuan]:[Gugatan Sederhana]],"")</f>
        <v>8</v>
      </c>
      <c r="CM194" s="36">
        <f ca="1">IF(ISNUMBER(Upaya_Debitur[[#This Row],[Realisasi]]/Upaya_Debitur[[#This Row],[Target Upaya]]),Upaya_Debitur[[#This Row],[Realisasi]]/Upaya_Debitur[[#This Row],[Target Upaya]],1)</f>
        <v>1</v>
      </c>
    </row>
    <row r="195" spans="1:91" x14ac:dyDescent="0.3">
      <c r="A195" s="16">
        <v>177</v>
      </c>
      <c r="B195" s="17"/>
      <c r="C195" s="17" t="s">
        <v>526</v>
      </c>
      <c r="D195" s="16" t="s">
        <v>527</v>
      </c>
      <c r="E195" s="37">
        <v>1681300</v>
      </c>
      <c r="F195" s="37">
        <v>0</v>
      </c>
      <c r="G195" s="37">
        <v>0</v>
      </c>
      <c r="H195" s="40">
        <f>SUM(Upaya_Debitur[[#This Row],[Kewajiban Pokok]:[Kewajiban Denda]])</f>
        <v>1681300</v>
      </c>
      <c r="I195" s="37"/>
      <c r="J195" s="40">
        <f>IF(ISNUMBER(Upaya_Debitur[[#This Row],[Angsuran Sesuai PK]]),Upaya_Debitur[[#This Row],[Angsuran Sesuai PK]],1)</f>
        <v>1</v>
      </c>
      <c r="K195" s="76"/>
      <c r="L195" s="16" t="s">
        <v>37</v>
      </c>
      <c r="N195" s="18"/>
      <c r="O195" s="76"/>
      <c r="P195" s="37"/>
      <c r="Q195" s="41"/>
      <c r="R195" s="37"/>
      <c r="S195" s="40">
        <f>IF(Upaya_Debitur[[#This Row],[Periode Haircut]]="",0,IF(Upaya_Debitur[[#This Row],[Periode Haircut]]&lt;=$B$6,Upaya_Debitur[[#This Row],[Haircut]],0))</f>
        <v>0</v>
      </c>
      <c r="T195" s="40">
        <f>IF($B$10="",0,IF($B$10&lt;=$B$6,Upaya_Debitur[[#This Row],[Set Off]],0))</f>
        <v>0</v>
      </c>
      <c r="U195" s="37">
        <v>0</v>
      </c>
      <c r="V195" s="37">
        <v>0</v>
      </c>
      <c r="W195" s="37">
        <v>0</v>
      </c>
      <c r="X195" s="37">
        <v>0</v>
      </c>
      <c r="Y195" s="37">
        <v>0</v>
      </c>
      <c r="Z195" s="37">
        <v>0</v>
      </c>
      <c r="AA195" s="37">
        <v>0</v>
      </c>
      <c r="AB195" s="37">
        <v>0</v>
      </c>
      <c r="AC195" s="37">
        <v>0</v>
      </c>
      <c r="AD195" s="37">
        <v>0</v>
      </c>
      <c r="AE195" s="37">
        <v>0</v>
      </c>
      <c r="AF195" s="37">
        <v>0</v>
      </c>
      <c r="AG195" s="37">
        <v>0</v>
      </c>
      <c r="AH195" s="37">
        <v>0</v>
      </c>
      <c r="AI195" s="37">
        <v>0</v>
      </c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40">
        <f ca="1">SUM(OFFSET(Upaya_Debitur[[#This Row],[Haircut Diperhitungkan]],0,0,1,$B$7+2))</f>
        <v>0</v>
      </c>
      <c r="BR195" s="35" t="str">
        <f ca="1">IF(Upaya_Debitur[[#This Row],[Total Pencairan]]&gt;=Upaya_Debitur[[#This Row],[Kewajiban Total]],"Lunas","Belum Lunas")</f>
        <v>Belum Lunas</v>
      </c>
      <c r="BS195" s="35" t="str">
        <f t="shared" si="7"/>
        <v>Ya</v>
      </c>
      <c r="BT195" s="35" t="str">
        <f t="shared" si="8"/>
        <v>Ya</v>
      </c>
      <c r="BU19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9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9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95" s="35" t="str">
        <f>IF(Upaya_Debitur[[#This Row],[Kondisi Debitur]]="Tidak ditemukan","Ya","Tidak")</f>
        <v>Ya</v>
      </c>
      <c r="BY19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9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9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95" s="18">
        <v>43781</v>
      </c>
      <c r="CC195" s="18">
        <v>43999</v>
      </c>
      <c r="CD195" s="18">
        <v>43826</v>
      </c>
      <c r="CE195" s="18">
        <v>43871</v>
      </c>
      <c r="CF195" s="18">
        <v>43887</v>
      </c>
      <c r="CG195" s="18">
        <v>43888</v>
      </c>
      <c r="CH195" s="18">
        <v>44057</v>
      </c>
      <c r="CI195" s="18">
        <v>44077</v>
      </c>
      <c r="CJ195" s="18"/>
      <c r="CK195" s="35">
        <f ca="1">COUNTIF(Upaya_Debitur[[#This Row],[Surat Pemberitahuan?]:[Gugatan Sederhana?]],"Ya")</f>
        <v>8</v>
      </c>
      <c r="CL195" s="35">
        <f ca="1">Upaya_Debitur[[#This Row],[Target Upaya]]-COUNTIFS(Upaya_Debitur[[#This Row],[Surat Pemberitahuan?]:[Gugatan Sederhana?]],"Ya",Upaya_Debitur[[#This Row],[Surat Pemberitahuan]:[Gugatan Sederhana]],"")</f>
        <v>8</v>
      </c>
      <c r="CM195" s="36">
        <f ca="1">IF(ISNUMBER(Upaya_Debitur[[#This Row],[Realisasi]]/Upaya_Debitur[[#This Row],[Target Upaya]]),Upaya_Debitur[[#This Row],[Realisasi]]/Upaya_Debitur[[#This Row],[Target Upaya]],1)</f>
        <v>1</v>
      </c>
    </row>
    <row r="196" spans="1:91" x14ac:dyDescent="0.3">
      <c r="A196" s="16">
        <v>178</v>
      </c>
      <c r="B196" s="17"/>
      <c r="C196" s="17" t="s">
        <v>528</v>
      </c>
      <c r="D196" s="16" t="s">
        <v>529</v>
      </c>
      <c r="E196" s="37">
        <v>10992892</v>
      </c>
      <c r="F196" s="37">
        <v>0</v>
      </c>
      <c r="G196" s="37">
        <v>0</v>
      </c>
      <c r="H196" s="40">
        <f>SUM(Upaya_Debitur[[#This Row],[Kewajiban Pokok]:[Kewajiban Denda]])</f>
        <v>10992892</v>
      </c>
      <c r="I196" s="37"/>
      <c r="J196" s="40">
        <f>IF(ISNUMBER(Upaya_Debitur[[#This Row],[Angsuran Sesuai PK]]),Upaya_Debitur[[#This Row],[Angsuran Sesuai PK]],1)</f>
        <v>1</v>
      </c>
      <c r="K196" s="76"/>
      <c r="L196" s="16" t="s">
        <v>37</v>
      </c>
      <c r="N196" s="18"/>
      <c r="O196" s="76"/>
      <c r="P196" s="37"/>
      <c r="Q196" s="41"/>
      <c r="R196" s="37"/>
      <c r="S196" s="40">
        <f>IF(Upaya_Debitur[[#This Row],[Periode Haircut]]="",0,IF(Upaya_Debitur[[#This Row],[Periode Haircut]]&lt;=$B$6,Upaya_Debitur[[#This Row],[Haircut]],0))</f>
        <v>0</v>
      </c>
      <c r="T196" s="40">
        <f>IF($B$10="",0,IF($B$10&lt;=$B$6,Upaya_Debitur[[#This Row],[Set Off]],0))</f>
        <v>0</v>
      </c>
      <c r="U196" s="37">
        <v>0</v>
      </c>
      <c r="V196" s="37">
        <v>0</v>
      </c>
      <c r="W196" s="37">
        <v>0</v>
      </c>
      <c r="X196" s="37">
        <v>0</v>
      </c>
      <c r="Y196" s="37">
        <v>0</v>
      </c>
      <c r="Z196" s="37">
        <v>0</v>
      </c>
      <c r="AA196" s="37">
        <v>0</v>
      </c>
      <c r="AB196" s="37">
        <v>0</v>
      </c>
      <c r="AC196" s="37">
        <v>0</v>
      </c>
      <c r="AD196" s="37">
        <v>0</v>
      </c>
      <c r="AE196" s="37">
        <v>0</v>
      </c>
      <c r="AF196" s="37">
        <v>0</v>
      </c>
      <c r="AG196" s="37">
        <v>0</v>
      </c>
      <c r="AH196" s="37">
        <v>0</v>
      </c>
      <c r="AI196" s="37">
        <v>0</v>
      </c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40">
        <f ca="1">SUM(OFFSET(Upaya_Debitur[[#This Row],[Haircut Diperhitungkan]],0,0,1,$B$7+2))</f>
        <v>0</v>
      </c>
      <c r="BR196" s="35" t="str">
        <f ca="1">IF(Upaya_Debitur[[#This Row],[Total Pencairan]]&gt;=Upaya_Debitur[[#This Row],[Kewajiban Total]],"Lunas","Belum Lunas")</f>
        <v>Belum Lunas</v>
      </c>
      <c r="BS196" s="35" t="str">
        <f t="shared" si="7"/>
        <v>Ya</v>
      </c>
      <c r="BT196" s="35" t="str">
        <f t="shared" si="8"/>
        <v>Ya</v>
      </c>
      <c r="BU19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9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9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96" s="35" t="str">
        <f>IF(Upaya_Debitur[[#This Row],[Kondisi Debitur]]="Tidak ditemukan","Ya","Tidak")</f>
        <v>Ya</v>
      </c>
      <c r="BY19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9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9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96" s="18">
        <v>43781</v>
      </c>
      <c r="CC196" s="18">
        <v>43999</v>
      </c>
      <c r="CD196" s="18">
        <v>43826</v>
      </c>
      <c r="CE196" s="18">
        <v>43871</v>
      </c>
      <c r="CF196" s="18">
        <v>43887</v>
      </c>
      <c r="CG196" s="18">
        <v>43888</v>
      </c>
      <c r="CH196" s="18">
        <v>44057</v>
      </c>
      <c r="CI196" s="18">
        <v>44077</v>
      </c>
      <c r="CJ196" s="18"/>
      <c r="CK196" s="35">
        <f ca="1">COUNTIF(Upaya_Debitur[[#This Row],[Surat Pemberitahuan?]:[Gugatan Sederhana?]],"Ya")</f>
        <v>8</v>
      </c>
      <c r="CL196" s="35">
        <f ca="1">Upaya_Debitur[[#This Row],[Target Upaya]]-COUNTIFS(Upaya_Debitur[[#This Row],[Surat Pemberitahuan?]:[Gugatan Sederhana?]],"Ya",Upaya_Debitur[[#This Row],[Surat Pemberitahuan]:[Gugatan Sederhana]],"")</f>
        <v>8</v>
      </c>
      <c r="CM196" s="36">
        <f ca="1">IF(ISNUMBER(Upaya_Debitur[[#This Row],[Realisasi]]/Upaya_Debitur[[#This Row],[Target Upaya]]),Upaya_Debitur[[#This Row],[Realisasi]]/Upaya_Debitur[[#This Row],[Target Upaya]],1)</f>
        <v>1</v>
      </c>
    </row>
    <row r="197" spans="1:91" x14ac:dyDescent="0.3">
      <c r="A197" s="16">
        <v>179</v>
      </c>
      <c r="B197" s="17"/>
      <c r="C197" s="17" t="s">
        <v>530</v>
      </c>
      <c r="D197" s="16" t="s">
        <v>531</v>
      </c>
      <c r="E197" s="37">
        <v>263270</v>
      </c>
      <c r="F197" s="37">
        <v>0</v>
      </c>
      <c r="G197" s="37">
        <v>0</v>
      </c>
      <c r="H197" s="40">
        <f>SUM(Upaya_Debitur[[#This Row],[Kewajiban Pokok]:[Kewajiban Denda]])</f>
        <v>263270</v>
      </c>
      <c r="I197" s="37"/>
      <c r="J197" s="40">
        <f>IF(ISNUMBER(Upaya_Debitur[[#This Row],[Angsuran Sesuai PK]]),Upaya_Debitur[[#This Row],[Angsuran Sesuai PK]],1)</f>
        <v>1</v>
      </c>
      <c r="K197" s="76"/>
      <c r="L197" s="16" t="s">
        <v>37</v>
      </c>
      <c r="N197" s="18"/>
      <c r="O197" s="76"/>
      <c r="P197" s="37"/>
      <c r="Q197" s="41"/>
      <c r="R197" s="37"/>
      <c r="S197" s="40">
        <f>IF(Upaya_Debitur[[#This Row],[Periode Haircut]]="",0,IF(Upaya_Debitur[[#This Row],[Periode Haircut]]&lt;=$B$6,Upaya_Debitur[[#This Row],[Haircut]],0))</f>
        <v>0</v>
      </c>
      <c r="T197" s="40">
        <f>IF($B$10="",0,IF($B$10&lt;=$B$6,Upaya_Debitur[[#This Row],[Set Off]],0))</f>
        <v>0</v>
      </c>
      <c r="U197" s="37">
        <v>0</v>
      </c>
      <c r="V197" s="37">
        <v>0</v>
      </c>
      <c r="W197" s="37">
        <v>0</v>
      </c>
      <c r="X197" s="37">
        <v>0</v>
      </c>
      <c r="Y197" s="37">
        <v>0</v>
      </c>
      <c r="Z197" s="37">
        <v>0</v>
      </c>
      <c r="AA197" s="37">
        <v>0</v>
      </c>
      <c r="AB197" s="37">
        <v>0</v>
      </c>
      <c r="AC197" s="37">
        <v>0</v>
      </c>
      <c r="AD197" s="37">
        <v>0</v>
      </c>
      <c r="AE197" s="37">
        <v>0</v>
      </c>
      <c r="AF197" s="37">
        <v>0</v>
      </c>
      <c r="AG197" s="37">
        <v>0</v>
      </c>
      <c r="AH197" s="37">
        <v>0</v>
      </c>
      <c r="AI197" s="37">
        <v>0</v>
      </c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40">
        <f ca="1">SUM(OFFSET(Upaya_Debitur[[#This Row],[Haircut Diperhitungkan]],0,0,1,$B$7+2))</f>
        <v>0</v>
      </c>
      <c r="BR197" s="35" t="str">
        <f ca="1">IF(Upaya_Debitur[[#This Row],[Total Pencairan]]&gt;=Upaya_Debitur[[#This Row],[Kewajiban Total]],"Lunas","Belum Lunas")</f>
        <v>Belum Lunas</v>
      </c>
      <c r="BS197" s="35" t="str">
        <f t="shared" si="7"/>
        <v>Ya</v>
      </c>
      <c r="BT197" s="35" t="str">
        <f t="shared" si="8"/>
        <v>Ya</v>
      </c>
      <c r="BU19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9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9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97" s="35" t="str">
        <f>IF(Upaya_Debitur[[#This Row],[Kondisi Debitur]]="Tidak ditemukan","Ya","Tidak")</f>
        <v>Ya</v>
      </c>
      <c r="BY19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9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9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97" s="18">
        <v>43781</v>
      </c>
      <c r="CC197" s="18">
        <v>43999</v>
      </c>
      <c r="CD197" s="18">
        <v>43826</v>
      </c>
      <c r="CE197" s="18">
        <v>43871</v>
      </c>
      <c r="CF197" s="18">
        <v>43887</v>
      </c>
      <c r="CG197" s="18">
        <v>44035</v>
      </c>
      <c r="CH197" s="18">
        <v>44057</v>
      </c>
      <c r="CI197" s="18">
        <v>44077</v>
      </c>
      <c r="CJ197" s="18"/>
      <c r="CK197" s="35">
        <f ca="1">COUNTIF(Upaya_Debitur[[#This Row],[Surat Pemberitahuan?]:[Gugatan Sederhana?]],"Ya")</f>
        <v>8</v>
      </c>
      <c r="CL197" s="35">
        <f ca="1">Upaya_Debitur[[#This Row],[Target Upaya]]-COUNTIFS(Upaya_Debitur[[#This Row],[Surat Pemberitahuan?]:[Gugatan Sederhana?]],"Ya",Upaya_Debitur[[#This Row],[Surat Pemberitahuan]:[Gugatan Sederhana]],"")</f>
        <v>8</v>
      </c>
      <c r="CM197" s="36">
        <f ca="1">IF(ISNUMBER(Upaya_Debitur[[#This Row],[Realisasi]]/Upaya_Debitur[[#This Row],[Target Upaya]]),Upaya_Debitur[[#This Row],[Realisasi]]/Upaya_Debitur[[#This Row],[Target Upaya]],1)</f>
        <v>1</v>
      </c>
    </row>
    <row r="198" spans="1:91" x14ac:dyDescent="0.3">
      <c r="A198" s="16">
        <v>180</v>
      </c>
      <c r="B198" s="17"/>
      <c r="C198" s="17" t="s">
        <v>532</v>
      </c>
      <c r="D198" s="16" t="s">
        <v>533</v>
      </c>
      <c r="E198" s="37">
        <v>204000</v>
      </c>
      <c r="F198" s="37">
        <v>0</v>
      </c>
      <c r="G198" s="37">
        <v>0</v>
      </c>
      <c r="H198" s="40">
        <f>SUM(Upaya_Debitur[[#This Row],[Kewajiban Pokok]:[Kewajiban Denda]])</f>
        <v>204000</v>
      </c>
      <c r="I198" s="37"/>
      <c r="J198" s="40">
        <f>IF(ISNUMBER(Upaya_Debitur[[#This Row],[Angsuran Sesuai PK]]),Upaya_Debitur[[#This Row],[Angsuran Sesuai PK]],1)</f>
        <v>1</v>
      </c>
      <c r="K198" s="76"/>
      <c r="L198" s="16" t="s">
        <v>37</v>
      </c>
      <c r="N198" s="18"/>
      <c r="O198" s="76"/>
      <c r="P198" s="37"/>
      <c r="Q198" s="41"/>
      <c r="R198" s="37"/>
      <c r="S198" s="40">
        <f>IF(Upaya_Debitur[[#This Row],[Periode Haircut]]="",0,IF(Upaya_Debitur[[#This Row],[Periode Haircut]]&lt;=$B$6,Upaya_Debitur[[#This Row],[Haircut]],0))</f>
        <v>0</v>
      </c>
      <c r="T198" s="40">
        <f>IF($B$10="",0,IF($B$10&lt;=$B$6,Upaya_Debitur[[#This Row],[Set Off]],0))</f>
        <v>0</v>
      </c>
      <c r="U198" s="37">
        <v>0</v>
      </c>
      <c r="V198" s="37">
        <v>0</v>
      </c>
      <c r="W198" s="37">
        <v>0</v>
      </c>
      <c r="X198" s="37">
        <v>0</v>
      </c>
      <c r="Y198" s="37">
        <v>0</v>
      </c>
      <c r="Z198" s="37">
        <v>0</v>
      </c>
      <c r="AA198" s="37">
        <v>0</v>
      </c>
      <c r="AB198" s="37">
        <v>0</v>
      </c>
      <c r="AC198" s="37">
        <v>0</v>
      </c>
      <c r="AD198" s="37">
        <v>0</v>
      </c>
      <c r="AE198" s="37">
        <v>0</v>
      </c>
      <c r="AF198" s="37">
        <v>0</v>
      </c>
      <c r="AG198" s="37">
        <v>0</v>
      </c>
      <c r="AH198" s="37">
        <v>0</v>
      </c>
      <c r="AI198" s="37">
        <v>0</v>
      </c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40">
        <f ca="1">SUM(OFFSET(Upaya_Debitur[[#This Row],[Haircut Diperhitungkan]],0,0,1,$B$7+2))</f>
        <v>0</v>
      </c>
      <c r="BR198" s="35" t="str">
        <f ca="1">IF(Upaya_Debitur[[#This Row],[Total Pencairan]]&gt;=Upaya_Debitur[[#This Row],[Kewajiban Total]],"Lunas","Belum Lunas")</f>
        <v>Belum Lunas</v>
      </c>
      <c r="BS198" s="35" t="str">
        <f t="shared" si="7"/>
        <v>Ya</v>
      </c>
      <c r="BT198" s="35" t="str">
        <f t="shared" si="8"/>
        <v>Ya</v>
      </c>
      <c r="BU19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9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9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98" s="35" t="str">
        <f>IF(Upaya_Debitur[[#This Row],[Kondisi Debitur]]="Tidak ditemukan","Ya","Tidak")</f>
        <v>Ya</v>
      </c>
      <c r="BY19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9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9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98" s="18">
        <v>43781</v>
      </c>
      <c r="CC198" s="18">
        <v>43999</v>
      </c>
      <c r="CD198" s="18">
        <v>43826</v>
      </c>
      <c r="CE198" s="18">
        <v>43871</v>
      </c>
      <c r="CF198" s="18">
        <v>43887</v>
      </c>
      <c r="CG198" s="18">
        <v>44035</v>
      </c>
      <c r="CH198" s="18">
        <v>44057</v>
      </c>
      <c r="CI198" s="18">
        <v>44077</v>
      </c>
      <c r="CJ198" s="18"/>
      <c r="CK198" s="35">
        <f ca="1">COUNTIF(Upaya_Debitur[[#This Row],[Surat Pemberitahuan?]:[Gugatan Sederhana?]],"Ya")</f>
        <v>8</v>
      </c>
      <c r="CL198" s="35">
        <f ca="1">Upaya_Debitur[[#This Row],[Target Upaya]]-COUNTIFS(Upaya_Debitur[[#This Row],[Surat Pemberitahuan?]:[Gugatan Sederhana?]],"Ya",Upaya_Debitur[[#This Row],[Surat Pemberitahuan]:[Gugatan Sederhana]],"")</f>
        <v>8</v>
      </c>
      <c r="CM198" s="36">
        <f ca="1">IF(ISNUMBER(Upaya_Debitur[[#This Row],[Realisasi]]/Upaya_Debitur[[#This Row],[Target Upaya]]),Upaya_Debitur[[#This Row],[Realisasi]]/Upaya_Debitur[[#This Row],[Target Upaya]],1)</f>
        <v>1</v>
      </c>
    </row>
    <row r="199" spans="1:91" x14ac:dyDescent="0.3">
      <c r="A199" s="16">
        <v>181</v>
      </c>
      <c r="B199" s="17"/>
      <c r="C199" s="17" t="s">
        <v>534</v>
      </c>
      <c r="D199" s="16" t="s">
        <v>535</v>
      </c>
      <c r="E199" s="37">
        <v>8405000</v>
      </c>
      <c r="F199" s="37">
        <v>0</v>
      </c>
      <c r="G199" s="37">
        <v>0</v>
      </c>
      <c r="H199" s="40">
        <f>SUM(Upaya_Debitur[[#This Row],[Kewajiban Pokok]:[Kewajiban Denda]])</f>
        <v>8405000</v>
      </c>
      <c r="I199" s="37"/>
      <c r="J199" s="40">
        <f>IF(ISNUMBER(Upaya_Debitur[[#This Row],[Angsuran Sesuai PK]]),Upaya_Debitur[[#This Row],[Angsuran Sesuai PK]],1)</f>
        <v>1</v>
      </c>
      <c r="K199" s="76"/>
      <c r="L199" s="16" t="s">
        <v>37</v>
      </c>
      <c r="N199" s="18"/>
      <c r="O199" s="76"/>
      <c r="P199" s="37"/>
      <c r="Q199" s="41"/>
      <c r="R199" s="37"/>
      <c r="S199" s="40">
        <f>IF(Upaya_Debitur[[#This Row],[Periode Haircut]]="",0,IF(Upaya_Debitur[[#This Row],[Periode Haircut]]&lt;=$B$6,Upaya_Debitur[[#This Row],[Haircut]],0))</f>
        <v>0</v>
      </c>
      <c r="T199" s="40">
        <f>IF($B$10="",0,IF($B$10&lt;=$B$6,Upaya_Debitur[[#This Row],[Set Off]],0))</f>
        <v>0</v>
      </c>
      <c r="U199" s="37">
        <v>0</v>
      </c>
      <c r="V199" s="37">
        <v>0</v>
      </c>
      <c r="W199" s="37">
        <v>0</v>
      </c>
      <c r="X199" s="37">
        <v>0</v>
      </c>
      <c r="Y199" s="37">
        <v>0</v>
      </c>
      <c r="Z199" s="37">
        <v>0</v>
      </c>
      <c r="AA199" s="37">
        <v>0</v>
      </c>
      <c r="AB199" s="37">
        <v>0</v>
      </c>
      <c r="AC199" s="37">
        <v>0</v>
      </c>
      <c r="AD199" s="37">
        <v>0</v>
      </c>
      <c r="AE199" s="37">
        <v>0</v>
      </c>
      <c r="AF199" s="37">
        <v>0</v>
      </c>
      <c r="AG199" s="37">
        <v>0</v>
      </c>
      <c r="AH199" s="37">
        <v>0</v>
      </c>
      <c r="AI199" s="37">
        <v>0</v>
      </c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40">
        <f ca="1">SUM(OFFSET(Upaya_Debitur[[#This Row],[Haircut Diperhitungkan]],0,0,1,$B$7+2))</f>
        <v>0</v>
      </c>
      <c r="BR199" s="35" t="str">
        <f ca="1">IF(Upaya_Debitur[[#This Row],[Total Pencairan]]&gt;=Upaya_Debitur[[#This Row],[Kewajiban Total]],"Lunas","Belum Lunas")</f>
        <v>Belum Lunas</v>
      </c>
      <c r="BS199" s="35" t="str">
        <f t="shared" si="7"/>
        <v>Ya</v>
      </c>
      <c r="BT199" s="35" t="str">
        <f t="shared" si="8"/>
        <v>Ya</v>
      </c>
      <c r="BU19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19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19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199" s="35" t="str">
        <f>IF(Upaya_Debitur[[#This Row],[Kondisi Debitur]]="Tidak ditemukan","Ya","Tidak")</f>
        <v>Ya</v>
      </c>
      <c r="BY19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19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19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199" s="18">
        <v>43781</v>
      </c>
      <c r="CC199" s="18">
        <v>43999</v>
      </c>
      <c r="CD199" s="18">
        <v>43826</v>
      </c>
      <c r="CE199" s="18">
        <v>43871</v>
      </c>
      <c r="CF199" s="18">
        <v>43887</v>
      </c>
      <c r="CG199" s="18">
        <v>43888</v>
      </c>
      <c r="CH199" s="18">
        <v>44057</v>
      </c>
      <c r="CI199" s="18">
        <v>44077</v>
      </c>
      <c r="CJ199" s="18"/>
      <c r="CK199" s="35">
        <f ca="1">COUNTIF(Upaya_Debitur[[#This Row],[Surat Pemberitahuan?]:[Gugatan Sederhana?]],"Ya")</f>
        <v>8</v>
      </c>
      <c r="CL199" s="35">
        <f ca="1">Upaya_Debitur[[#This Row],[Target Upaya]]-COUNTIFS(Upaya_Debitur[[#This Row],[Surat Pemberitahuan?]:[Gugatan Sederhana?]],"Ya",Upaya_Debitur[[#This Row],[Surat Pemberitahuan]:[Gugatan Sederhana]],"")</f>
        <v>8</v>
      </c>
      <c r="CM199" s="36">
        <f ca="1">IF(ISNUMBER(Upaya_Debitur[[#This Row],[Realisasi]]/Upaya_Debitur[[#This Row],[Target Upaya]]),Upaya_Debitur[[#This Row],[Realisasi]]/Upaya_Debitur[[#This Row],[Target Upaya]],1)</f>
        <v>1</v>
      </c>
    </row>
    <row r="200" spans="1:91" x14ac:dyDescent="0.3">
      <c r="A200" s="16">
        <v>182</v>
      </c>
      <c r="B200" s="17"/>
      <c r="C200" s="17" t="s">
        <v>536</v>
      </c>
      <c r="D200" s="16" t="s">
        <v>537</v>
      </c>
      <c r="E200" s="37">
        <v>614000</v>
      </c>
      <c r="F200" s="37">
        <v>0</v>
      </c>
      <c r="G200" s="37">
        <v>0</v>
      </c>
      <c r="H200" s="40">
        <f>SUM(Upaya_Debitur[[#This Row],[Kewajiban Pokok]:[Kewajiban Denda]])</f>
        <v>614000</v>
      </c>
      <c r="I200" s="37"/>
      <c r="J200" s="40">
        <f>IF(ISNUMBER(Upaya_Debitur[[#This Row],[Angsuran Sesuai PK]]),Upaya_Debitur[[#This Row],[Angsuran Sesuai PK]],1)</f>
        <v>1</v>
      </c>
      <c r="K200" s="76"/>
      <c r="L200" s="16" t="s">
        <v>83</v>
      </c>
      <c r="N200" s="18"/>
      <c r="O200" s="76"/>
      <c r="P200" s="37"/>
      <c r="Q200" s="41"/>
      <c r="R200" s="37"/>
      <c r="S200" s="40">
        <f>IF(Upaya_Debitur[[#This Row],[Periode Haircut]]="",0,IF(Upaya_Debitur[[#This Row],[Periode Haircut]]&lt;=$B$6,Upaya_Debitur[[#This Row],[Haircut]],0))</f>
        <v>0</v>
      </c>
      <c r="T200" s="40">
        <f>IF($B$10="",0,IF($B$10&lt;=$B$6,Upaya_Debitur[[#This Row],[Set Off]],0))</f>
        <v>0</v>
      </c>
      <c r="U200" s="37">
        <v>0</v>
      </c>
      <c r="V200" s="37">
        <v>0</v>
      </c>
      <c r="W200" s="37">
        <v>0</v>
      </c>
      <c r="X200" s="37">
        <v>614000</v>
      </c>
      <c r="Y200" s="37">
        <v>0</v>
      </c>
      <c r="Z200" s="37">
        <v>0</v>
      </c>
      <c r="AA200" s="37">
        <v>0</v>
      </c>
      <c r="AB200" s="37">
        <v>0</v>
      </c>
      <c r="AC200" s="37">
        <v>0</v>
      </c>
      <c r="AD200" s="37">
        <v>0</v>
      </c>
      <c r="AE200" s="37">
        <v>0</v>
      </c>
      <c r="AF200" s="37">
        <v>0</v>
      </c>
      <c r="AG200" s="37">
        <v>0</v>
      </c>
      <c r="AH200" s="37">
        <v>0</v>
      </c>
      <c r="AI200" s="37">
        <v>0</v>
      </c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40">
        <f ca="1">SUM(OFFSET(Upaya_Debitur[[#This Row],[Haircut Diperhitungkan]],0,0,1,$B$7+2))</f>
        <v>614000</v>
      </c>
      <c r="BR200" s="35" t="str">
        <f ca="1">IF(Upaya_Debitur[[#This Row],[Total Pencairan]]&gt;=Upaya_Debitur[[#This Row],[Kewajiban Total]],"Lunas","Belum Lunas")</f>
        <v>Lunas</v>
      </c>
      <c r="BS200" s="35" t="str">
        <f t="shared" si="7"/>
        <v>Ya</v>
      </c>
      <c r="BT200" s="35" t="str">
        <f t="shared" si="8"/>
        <v>Ya</v>
      </c>
      <c r="BU20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20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20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200" s="35" t="str">
        <f>IF(Upaya_Debitur[[#This Row],[Kondisi Debitur]]="Tidak ditemukan","Ya","Tidak")</f>
        <v>Tidak</v>
      </c>
      <c r="BY20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20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20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00" s="18">
        <v>43781</v>
      </c>
      <c r="CC200" s="18">
        <v>43871</v>
      </c>
      <c r="CD200" s="18">
        <v>43826</v>
      </c>
      <c r="CE200" s="18"/>
      <c r="CF200" s="18"/>
      <c r="CG200" s="18"/>
      <c r="CH200" s="18">
        <v>44057</v>
      </c>
      <c r="CI200" s="18">
        <v>44077</v>
      </c>
      <c r="CJ200" s="18"/>
      <c r="CK200" s="35">
        <f ca="1">COUNTIF(Upaya_Debitur[[#This Row],[Surat Pemberitahuan?]:[Gugatan Sederhana?]],"Ya")</f>
        <v>2</v>
      </c>
      <c r="CL200" s="35">
        <f ca="1">Upaya_Debitur[[#This Row],[Target Upaya]]-COUNTIFS(Upaya_Debitur[[#This Row],[Surat Pemberitahuan?]:[Gugatan Sederhana?]],"Ya",Upaya_Debitur[[#This Row],[Surat Pemberitahuan]:[Gugatan Sederhana]],"")</f>
        <v>2</v>
      </c>
      <c r="CM200" s="36">
        <f ca="1">IF(ISNUMBER(Upaya_Debitur[[#This Row],[Realisasi]]/Upaya_Debitur[[#This Row],[Target Upaya]]),Upaya_Debitur[[#This Row],[Realisasi]]/Upaya_Debitur[[#This Row],[Target Upaya]],1)</f>
        <v>1</v>
      </c>
    </row>
    <row r="201" spans="1:91" x14ac:dyDescent="0.3">
      <c r="A201" s="16">
        <v>183</v>
      </c>
      <c r="B201" s="17"/>
      <c r="C201" s="17" t="s">
        <v>538</v>
      </c>
      <c r="D201" s="16" t="s">
        <v>539</v>
      </c>
      <c r="E201" s="37">
        <v>1540000</v>
      </c>
      <c r="F201" s="37">
        <v>0</v>
      </c>
      <c r="G201" s="37">
        <v>0</v>
      </c>
      <c r="H201" s="40">
        <f>SUM(Upaya_Debitur[[#This Row],[Kewajiban Pokok]:[Kewajiban Denda]])</f>
        <v>1540000</v>
      </c>
      <c r="I201" s="37"/>
      <c r="J201" s="40">
        <f>IF(ISNUMBER(Upaya_Debitur[[#This Row],[Angsuran Sesuai PK]]),Upaya_Debitur[[#This Row],[Angsuran Sesuai PK]],1)</f>
        <v>1</v>
      </c>
      <c r="K201" s="76"/>
      <c r="L201" s="16" t="s">
        <v>37</v>
      </c>
      <c r="N201" s="18"/>
      <c r="O201" s="76"/>
      <c r="P201" s="37"/>
      <c r="Q201" s="41"/>
      <c r="R201" s="37"/>
      <c r="S201" s="40">
        <f>IF(Upaya_Debitur[[#This Row],[Periode Haircut]]="",0,IF(Upaya_Debitur[[#This Row],[Periode Haircut]]&lt;=$B$6,Upaya_Debitur[[#This Row],[Haircut]],0))</f>
        <v>0</v>
      </c>
      <c r="T201" s="40">
        <f>IF($B$10="",0,IF($B$10&lt;=$B$6,Upaya_Debitur[[#This Row],[Set Off]],0))</f>
        <v>0</v>
      </c>
      <c r="U201" s="37">
        <v>0</v>
      </c>
      <c r="V201" s="37">
        <v>0</v>
      </c>
      <c r="W201" s="37">
        <v>0</v>
      </c>
      <c r="X201" s="37">
        <v>0</v>
      </c>
      <c r="Y201" s="37">
        <v>0</v>
      </c>
      <c r="Z201" s="37">
        <v>0</v>
      </c>
      <c r="AA201" s="37">
        <v>0</v>
      </c>
      <c r="AB201" s="37">
        <v>0</v>
      </c>
      <c r="AC201" s="37">
        <v>0</v>
      </c>
      <c r="AD201" s="37">
        <v>0</v>
      </c>
      <c r="AE201" s="37">
        <v>0</v>
      </c>
      <c r="AF201" s="37">
        <v>0</v>
      </c>
      <c r="AG201" s="37">
        <v>0</v>
      </c>
      <c r="AH201" s="37">
        <v>0</v>
      </c>
      <c r="AI201" s="37">
        <v>0</v>
      </c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40">
        <f ca="1">SUM(OFFSET(Upaya_Debitur[[#This Row],[Haircut Diperhitungkan]],0,0,1,$B$7+2))</f>
        <v>0</v>
      </c>
      <c r="BR201" s="35" t="str">
        <f ca="1">IF(Upaya_Debitur[[#This Row],[Total Pencairan]]&gt;=Upaya_Debitur[[#This Row],[Kewajiban Total]],"Lunas","Belum Lunas")</f>
        <v>Belum Lunas</v>
      </c>
      <c r="BS201" s="35" t="str">
        <f t="shared" si="7"/>
        <v>Ya</v>
      </c>
      <c r="BT201" s="35" t="str">
        <f t="shared" si="8"/>
        <v>Ya</v>
      </c>
      <c r="BU20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0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0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01" s="35" t="str">
        <f>IF(Upaya_Debitur[[#This Row],[Kondisi Debitur]]="Tidak ditemukan","Ya","Tidak")</f>
        <v>Ya</v>
      </c>
      <c r="BY20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0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0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01" s="18">
        <v>43781</v>
      </c>
      <c r="CC201" s="18">
        <v>43999</v>
      </c>
      <c r="CD201" s="18">
        <v>43826</v>
      </c>
      <c r="CE201" s="18">
        <v>43871</v>
      </c>
      <c r="CF201" s="18">
        <v>43887</v>
      </c>
      <c r="CG201" s="18">
        <v>43888</v>
      </c>
      <c r="CH201" s="18">
        <v>44057</v>
      </c>
      <c r="CI201" s="18">
        <v>44077</v>
      </c>
      <c r="CJ201" s="18"/>
      <c r="CK201" s="35">
        <f ca="1">COUNTIF(Upaya_Debitur[[#This Row],[Surat Pemberitahuan?]:[Gugatan Sederhana?]],"Ya")</f>
        <v>8</v>
      </c>
      <c r="CL201" s="35">
        <f ca="1">Upaya_Debitur[[#This Row],[Target Upaya]]-COUNTIFS(Upaya_Debitur[[#This Row],[Surat Pemberitahuan?]:[Gugatan Sederhana?]],"Ya",Upaya_Debitur[[#This Row],[Surat Pemberitahuan]:[Gugatan Sederhana]],"")</f>
        <v>8</v>
      </c>
      <c r="CM201" s="36">
        <f ca="1">IF(ISNUMBER(Upaya_Debitur[[#This Row],[Realisasi]]/Upaya_Debitur[[#This Row],[Target Upaya]]),Upaya_Debitur[[#This Row],[Realisasi]]/Upaya_Debitur[[#This Row],[Target Upaya]],1)</f>
        <v>1</v>
      </c>
    </row>
    <row r="202" spans="1:91" x14ac:dyDescent="0.3">
      <c r="A202" s="16">
        <v>184</v>
      </c>
      <c r="B202" s="17"/>
      <c r="C202" s="17" t="s">
        <v>540</v>
      </c>
      <c r="D202" s="16" t="s">
        <v>541</v>
      </c>
      <c r="E202" s="37">
        <v>1500000</v>
      </c>
      <c r="F202" s="37">
        <v>0</v>
      </c>
      <c r="G202" s="37">
        <v>0</v>
      </c>
      <c r="H202" s="40">
        <f>SUM(Upaya_Debitur[[#This Row],[Kewajiban Pokok]:[Kewajiban Denda]])</f>
        <v>1500000</v>
      </c>
      <c r="I202" s="37"/>
      <c r="J202" s="40">
        <f>IF(ISNUMBER(Upaya_Debitur[[#This Row],[Angsuran Sesuai PK]]),Upaya_Debitur[[#This Row],[Angsuran Sesuai PK]],1)</f>
        <v>1</v>
      </c>
      <c r="K202" s="76"/>
      <c r="L202" s="16" t="s">
        <v>37</v>
      </c>
      <c r="N202" s="18"/>
      <c r="O202" s="76"/>
      <c r="P202" s="37"/>
      <c r="Q202" s="41"/>
      <c r="R202" s="37"/>
      <c r="S202" s="40">
        <f>IF(Upaya_Debitur[[#This Row],[Periode Haircut]]="",0,IF(Upaya_Debitur[[#This Row],[Periode Haircut]]&lt;=$B$6,Upaya_Debitur[[#This Row],[Haircut]],0))</f>
        <v>0</v>
      </c>
      <c r="T202" s="40">
        <f>IF($B$10="",0,IF($B$10&lt;=$B$6,Upaya_Debitur[[#This Row],[Set Off]],0))</f>
        <v>0</v>
      </c>
      <c r="U202" s="37">
        <v>0</v>
      </c>
      <c r="V202" s="37">
        <v>0</v>
      </c>
      <c r="W202" s="37">
        <v>0</v>
      </c>
      <c r="X202" s="37">
        <v>0</v>
      </c>
      <c r="Y202" s="37">
        <v>0</v>
      </c>
      <c r="Z202" s="37">
        <v>0</v>
      </c>
      <c r="AA202" s="37">
        <v>0</v>
      </c>
      <c r="AB202" s="37">
        <v>0</v>
      </c>
      <c r="AC202" s="37">
        <v>0</v>
      </c>
      <c r="AD202" s="37">
        <v>0</v>
      </c>
      <c r="AE202" s="37">
        <v>0</v>
      </c>
      <c r="AF202" s="37">
        <v>0</v>
      </c>
      <c r="AG202" s="37">
        <v>0</v>
      </c>
      <c r="AH202" s="37">
        <v>0</v>
      </c>
      <c r="AI202" s="37">
        <v>0</v>
      </c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40">
        <f ca="1">SUM(OFFSET(Upaya_Debitur[[#This Row],[Haircut Diperhitungkan]],0,0,1,$B$7+2))</f>
        <v>0</v>
      </c>
      <c r="BR202" s="35" t="str">
        <f ca="1">IF(Upaya_Debitur[[#This Row],[Total Pencairan]]&gt;=Upaya_Debitur[[#This Row],[Kewajiban Total]],"Lunas","Belum Lunas")</f>
        <v>Belum Lunas</v>
      </c>
      <c r="BS202" s="35" t="str">
        <f t="shared" si="7"/>
        <v>Ya</v>
      </c>
      <c r="BT202" s="35" t="str">
        <f t="shared" si="8"/>
        <v>Ya</v>
      </c>
      <c r="BU20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0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0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02" s="35" t="str">
        <f>IF(Upaya_Debitur[[#This Row],[Kondisi Debitur]]="Tidak ditemukan","Ya","Tidak")</f>
        <v>Ya</v>
      </c>
      <c r="BY20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0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0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02" s="18">
        <v>43781</v>
      </c>
      <c r="CC202" s="18">
        <v>43999</v>
      </c>
      <c r="CD202" s="18">
        <v>43826</v>
      </c>
      <c r="CE202" s="18">
        <v>43871</v>
      </c>
      <c r="CF202" s="18">
        <v>43887</v>
      </c>
      <c r="CG202" s="18">
        <v>43888</v>
      </c>
      <c r="CH202" s="18">
        <v>44057</v>
      </c>
      <c r="CI202" s="18">
        <v>44077</v>
      </c>
      <c r="CJ202" s="18"/>
      <c r="CK202" s="35">
        <f ca="1">COUNTIF(Upaya_Debitur[[#This Row],[Surat Pemberitahuan?]:[Gugatan Sederhana?]],"Ya")</f>
        <v>8</v>
      </c>
      <c r="CL202" s="35">
        <f ca="1">Upaya_Debitur[[#This Row],[Target Upaya]]-COUNTIFS(Upaya_Debitur[[#This Row],[Surat Pemberitahuan?]:[Gugatan Sederhana?]],"Ya",Upaya_Debitur[[#This Row],[Surat Pemberitahuan]:[Gugatan Sederhana]],"")</f>
        <v>8</v>
      </c>
      <c r="CM202" s="36">
        <f ca="1">IF(ISNUMBER(Upaya_Debitur[[#This Row],[Realisasi]]/Upaya_Debitur[[#This Row],[Target Upaya]]),Upaya_Debitur[[#This Row],[Realisasi]]/Upaya_Debitur[[#This Row],[Target Upaya]],1)</f>
        <v>1</v>
      </c>
    </row>
    <row r="203" spans="1:91" x14ac:dyDescent="0.3">
      <c r="A203" s="16">
        <v>185</v>
      </c>
      <c r="B203" s="17"/>
      <c r="C203" s="17" t="s">
        <v>542</v>
      </c>
      <c r="D203" s="16" t="s">
        <v>543</v>
      </c>
      <c r="E203" s="37">
        <v>1067289</v>
      </c>
      <c r="F203" s="37">
        <v>0</v>
      </c>
      <c r="G203" s="37">
        <v>0</v>
      </c>
      <c r="H203" s="40">
        <f>SUM(Upaya_Debitur[[#This Row],[Kewajiban Pokok]:[Kewajiban Denda]])</f>
        <v>1067289</v>
      </c>
      <c r="I203" s="37"/>
      <c r="J203" s="40">
        <f>IF(ISNUMBER(Upaya_Debitur[[#This Row],[Angsuran Sesuai PK]]),Upaya_Debitur[[#This Row],[Angsuran Sesuai PK]],1)</f>
        <v>1</v>
      </c>
      <c r="K203" s="76"/>
      <c r="L203" s="16" t="s">
        <v>38</v>
      </c>
      <c r="N203" s="18"/>
      <c r="O203" s="76"/>
      <c r="P203" s="37"/>
      <c r="Q203" s="41"/>
      <c r="R203" s="37"/>
      <c r="S203" s="40">
        <f>IF(Upaya_Debitur[[#This Row],[Periode Haircut]]="",0,IF(Upaya_Debitur[[#This Row],[Periode Haircut]]&lt;=$B$6,Upaya_Debitur[[#This Row],[Haircut]],0))</f>
        <v>0</v>
      </c>
      <c r="T203" s="40">
        <f>IF($B$10="",0,IF($B$10&lt;=$B$6,Upaya_Debitur[[#This Row],[Set Off]],0))</f>
        <v>0</v>
      </c>
      <c r="U203" s="37">
        <v>0</v>
      </c>
      <c r="V203" s="37">
        <v>0</v>
      </c>
      <c r="W203" s="37">
        <v>0</v>
      </c>
      <c r="X203" s="37">
        <v>0</v>
      </c>
      <c r="Y203" s="37">
        <v>0</v>
      </c>
      <c r="Z203" s="37">
        <v>0</v>
      </c>
      <c r="AA203" s="37">
        <v>0</v>
      </c>
      <c r="AB203" s="37">
        <v>0</v>
      </c>
      <c r="AC203" s="37">
        <v>0</v>
      </c>
      <c r="AD203" s="37">
        <v>0</v>
      </c>
      <c r="AE203" s="37">
        <v>0</v>
      </c>
      <c r="AF203" s="37">
        <v>0</v>
      </c>
      <c r="AG203" s="37">
        <v>0</v>
      </c>
      <c r="AH203" s="37">
        <v>0</v>
      </c>
      <c r="AI203" s="37">
        <v>0</v>
      </c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40">
        <f ca="1">SUM(OFFSET(Upaya_Debitur[[#This Row],[Haircut Diperhitungkan]],0,0,1,$B$7+2))</f>
        <v>0</v>
      </c>
      <c r="BR203" s="35" t="str">
        <f ca="1">IF(Upaya_Debitur[[#This Row],[Total Pencairan]]&gt;=Upaya_Debitur[[#This Row],[Kewajiban Total]],"Lunas","Belum Lunas")</f>
        <v>Belum Lunas</v>
      </c>
      <c r="BS203" s="35" t="str">
        <f t="shared" si="7"/>
        <v>Ya</v>
      </c>
      <c r="BT203" s="35" t="str">
        <f t="shared" si="8"/>
        <v>Ya</v>
      </c>
      <c r="BU20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0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0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03" s="35" t="str">
        <f>IF(Upaya_Debitur[[#This Row],[Kondisi Debitur]]="Tidak ditemukan","Ya","Tidak")</f>
        <v>Tidak</v>
      </c>
      <c r="BY20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0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0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03" s="18">
        <v>43781</v>
      </c>
      <c r="CC203" s="18">
        <v>43999</v>
      </c>
      <c r="CD203" s="18">
        <v>43826</v>
      </c>
      <c r="CE203" s="18">
        <v>43871</v>
      </c>
      <c r="CF203" s="18">
        <v>43887</v>
      </c>
      <c r="CG203" s="18"/>
      <c r="CH203" s="18">
        <v>44057</v>
      </c>
      <c r="CI203" s="18">
        <v>44077</v>
      </c>
      <c r="CJ203" s="18"/>
      <c r="CK203" s="35">
        <f ca="1">COUNTIF(Upaya_Debitur[[#This Row],[Surat Pemberitahuan?]:[Gugatan Sederhana?]],"Ya")</f>
        <v>7</v>
      </c>
      <c r="CL203" s="35">
        <f ca="1">Upaya_Debitur[[#This Row],[Target Upaya]]-COUNTIFS(Upaya_Debitur[[#This Row],[Surat Pemberitahuan?]:[Gugatan Sederhana?]],"Ya",Upaya_Debitur[[#This Row],[Surat Pemberitahuan]:[Gugatan Sederhana]],"")</f>
        <v>7</v>
      </c>
      <c r="CM203" s="36">
        <f ca="1">IF(ISNUMBER(Upaya_Debitur[[#This Row],[Realisasi]]/Upaya_Debitur[[#This Row],[Target Upaya]]),Upaya_Debitur[[#This Row],[Realisasi]]/Upaya_Debitur[[#This Row],[Target Upaya]],1)</f>
        <v>1</v>
      </c>
    </row>
    <row r="204" spans="1:91" x14ac:dyDescent="0.3">
      <c r="A204" s="16">
        <v>186</v>
      </c>
      <c r="B204" s="17"/>
      <c r="C204" s="17" t="s">
        <v>544</v>
      </c>
      <c r="D204" s="16" t="s">
        <v>545</v>
      </c>
      <c r="E204" s="37">
        <v>868577</v>
      </c>
      <c r="F204" s="37">
        <v>0</v>
      </c>
      <c r="G204" s="37">
        <v>0</v>
      </c>
      <c r="H204" s="40">
        <f>SUM(Upaya_Debitur[[#This Row],[Kewajiban Pokok]:[Kewajiban Denda]])</f>
        <v>868577</v>
      </c>
      <c r="I204" s="37"/>
      <c r="J204" s="40">
        <f>IF(ISNUMBER(Upaya_Debitur[[#This Row],[Angsuran Sesuai PK]]),Upaya_Debitur[[#This Row],[Angsuran Sesuai PK]],1)</f>
        <v>1</v>
      </c>
      <c r="K204" s="76"/>
      <c r="L204" s="16" t="s">
        <v>37</v>
      </c>
      <c r="N204" s="18"/>
      <c r="O204" s="76"/>
      <c r="P204" s="37"/>
      <c r="Q204" s="41"/>
      <c r="R204" s="37"/>
      <c r="S204" s="40">
        <f>IF(Upaya_Debitur[[#This Row],[Periode Haircut]]="",0,IF(Upaya_Debitur[[#This Row],[Periode Haircut]]&lt;=$B$6,Upaya_Debitur[[#This Row],[Haircut]],0))</f>
        <v>0</v>
      </c>
      <c r="T204" s="40">
        <f>IF($B$10="",0,IF($B$10&lt;=$B$6,Upaya_Debitur[[#This Row],[Set Off]],0))</f>
        <v>0</v>
      </c>
      <c r="U204" s="37">
        <v>0</v>
      </c>
      <c r="V204" s="37">
        <v>0</v>
      </c>
      <c r="W204" s="37">
        <v>0</v>
      </c>
      <c r="X204" s="37">
        <v>0</v>
      </c>
      <c r="Y204" s="37">
        <v>0</v>
      </c>
      <c r="Z204" s="37">
        <v>0</v>
      </c>
      <c r="AA204" s="37">
        <v>0</v>
      </c>
      <c r="AB204" s="37">
        <v>0</v>
      </c>
      <c r="AC204" s="37">
        <v>0</v>
      </c>
      <c r="AD204" s="37">
        <v>0</v>
      </c>
      <c r="AE204" s="37">
        <v>0</v>
      </c>
      <c r="AF204" s="37">
        <v>0</v>
      </c>
      <c r="AG204" s="37">
        <v>0</v>
      </c>
      <c r="AH204" s="37">
        <v>0</v>
      </c>
      <c r="AI204" s="37">
        <v>0</v>
      </c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40">
        <f ca="1">SUM(OFFSET(Upaya_Debitur[[#This Row],[Haircut Diperhitungkan]],0,0,1,$B$7+2))</f>
        <v>0</v>
      </c>
      <c r="BR204" s="35" t="str">
        <f ca="1">IF(Upaya_Debitur[[#This Row],[Total Pencairan]]&gt;=Upaya_Debitur[[#This Row],[Kewajiban Total]],"Lunas","Belum Lunas")</f>
        <v>Belum Lunas</v>
      </c>
      <c r="BS204" s="35" t="str">
        <f t="shared" si="7"/>
        <v>Ya</v>
      </c>
      <c r="BT204" s="35" t="str">
        <f t="shared" si="8"/>
        <v>Ya</v>
      </c>
      <c r="BU20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0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0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04" s="35" t="str">
        <f>IF(Upaya_Debitur[[#This Row],[Kondisi Debitur]]="Tidak ditemukan","Ya","Tidak")</f>
        <v>Ya</v>
      </c>
      <c r="BY20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0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0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04" s="18">
        <v>43781</v>
      </c>
      <c r="CC204" s="18">
        <v>43999</v>
      </c>
      <c r="CD204" s="18">
        <v>43826</v>
      </c>
      <c r="CE204" s="18">
        <v>43871</v>
      </c>
      <c r="CF204" s="18">
        <v>43887</v>
      </c>
      <c r="CG204" s="18">
        <v>43888</v>
      </c>
      <c r="CH204" s="18">
        <v>44057</v>
      </c>
      <c r="CI204" s="18">
        <v>44077</v>
      </c>
      <c r="CJ204" s="18"/>
      <c r="CK204" s="35">
        <f ca="1">COUNTIF(Upaya_Debitur[[#This Row],[Surat Pemberitahuan?]:[Gugatan Sederhana?]],"Ya")</f>
        <v>8</v>
      </c>
      <c r="CL204" s="35">
        <f ca="1">Upaya_Debitur[[#This Row],[Target Upaya]]-COUNTIFS(Upaya_Debitur[[#This Row],[Surat Pemberitahuan?]:[Gugatan Sederhana?]],"Ya",Upaya_Debitur[[#This Row],[Surat Pemberitahuan]:[Gugatan Sederhana]],"")</f>
        <v>8</v>
      </c>
      <c r="CM204" s="36">
        <f ca="1">IF(ISNUMBER(Upaya_Debitur[[#This Row],[Realisasi]]/Upaya_Debitur[[#This Row],[Target Upaya]]),Upaya_Debitur[[#This Row],[Realisasi]]/Upaya_Debitur[[#This Row],[Target Upaya]],1)</f>
        <v>1</v>
      </c>
    </row>
    <row r="205" spans="1:91" x14ac:dyDescent="0.3">
      <c r="A205" s="16">
        <v>187</v>
      </c>
      <c r="B205" s="17"/>
      <c r="C205" s="17" t="s">
        <v>546</v>
      </c>
      <c r="D205" s="16" t="s">
        <v>547</v>
      </c>
      <c r="E205" s="37">
        <v>1082450</v>
      </c>
      <c r="F205" s="37">
        <v>0</v>
      </c>
      <c r="G205" s="37">
        <v>0</v>
      </c>
      <c r="H205" s="40">
        <f>SUM(Upaya_Debitur[[#This Row],[Kewajiban Pokok]:[Kewajiban Denda]])</f>
        <v>1082450</v>
      </c>
      <c r="I205" s="37"/>
      <c r="J205" s="40">
        <f>IF(ISNUMBER(Upaya_Debitur[[#This Row],[Angsuran Sesuai PK]]),Upaya_Debitur[[#This Row],[Angsuran Sesuai PK]],1)</f>
        <v>1</v>
      </c>
      <c r="K205" s="76"/>
      <c r="L205" s="16" t="s">
        <v>37</v>
      </c>
      <c r="N205" s="18"/>
      <c r="O205" s="76"/>
      <c r="P205" s="37"/>
      <c r="Q205" s="41"/>
      <c r="R205" s="37"/>
      <c r="S205" s="40">
        <f>IF(Upaya_Debitur[[#This Row],[Periode Haircut]]="",0,IF(Upaya_Debitur[[#This Row],[Periode Haircut]]&lt;=$B$6,Upaya_Debitur[[#This Row],[Haircut]],0))</f>
        <v>0</v>
      </c>
      <c r="T205" s="40">
        <f>IF($B$10="",0,IF($B$10&lt;=$B$6,Upaya_Debitur[[#This Row],[Set Off]],0))</f>
        <v>0</v>
      </c>
      <c r="U205" s="37">
        <v>0</v>
      </c>
      <c r="V205" s="37">
        <v>0</v>
      </c>
      <c r="W205" s="37">
        <v>0</v>
      </c>
      <c r="X205" s="37">
        <v>0</v>
      </c>
      <c r="Y205" s="37">
        <v>0</v>
      </c>
      <c r="Z205" s="37">
        <v>0</v>
      </c>
      <c r="AA205" s="37">
        <v>0</v>
      </c>
      <c r="AB205" s="37">
        <v>0</v>
      </c>
      <c r="AC205" s="37">
        <v>0</v>
      </c>
      <c r="AD205" s="37">
        <v>0</v>
      </c>
      <c r="AE205" s="37">
        <v>0</v>
      </c>
      <c r="AF205" s="37">
        <v>0</v>
      </c>
      <c r="AG205" s="37">
        <v>0</v>
      </c>
      <c r="AH205" s="37">
        <v>0</v>
      </c>
      <c r="AI205" s="37">
        <v>0</v>
      </c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40">
        <f ca="1">SUM(OFFSET(Upaya_Debitur[[#This Row],[Haircut Diperhitungkan]],0,0,1,$B$7+2))</f>
        <v>0</v>
      </c>
      <c r="BR205" s="35" t="str">
        <f ca="1">IF(Upaya_Debitur[[#This Row],[Total Pencairan]]&gt;=Upaya_Debitur[[#This Row],[Kewajiban Total]],"Lunas","Belum Lunas")</f>
        <v>Belum Lunas</v>
      </c>
      <c r="BS205" s="35" t="str">
        <f t="shared" si="7"/>
        <v>Ya</v>
      </c>
      <c r="BT205" s="35" t="str">
        <f t="shared" si="8"/>
        <v>Ya</v>
      </c>
      <c r="BU20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0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0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05" s="35" t="str">
        <f>IF(Upaya_Debitur[[#This Row],[Kondisi Debitur]]="Tidak ditemukan","Ya","Tidak")</f>
        <v>Ya</v>
      </c>
      <c r="BY20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0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0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05" s="18">
        <v>43781</v>
      </c>
      <c r="CC205" s="18">
        <v>43999</v>
      </c>
      <c r="CD205" s="18">
        <v>43826</v>
      </c>
      <c r="CE205" s="18">
        <v>43871</v>
      </c>
      <c r="CF205" s="18">
        <v>43887</v>
      </c>
      <c r="CG205" s="18">
        <v>43888</v>
      </c>
      <c r="CH205" s="18">
        <v>44057</v>
      </c>
      <c r="CI205" s="18">
        <v>44077</v>
      </c>
      <c r="CJ205" s="18"/>
      <c r="CK205" s="35">
        <f ca="1">COUNTIF(Upaya_Debitur[[#This Row],[Surat Pemberitahuan?]:[Gugatan Sederhana?]],"Ya")</f>
        <v>8</v>
      </c>
      <c r="CL205" s="35">
        <f ca="1">Upaya_Debitur[[#This Row],[Target Upaya]]-COUNTIFS(Upaya_Debitur[[#This Row],[Surat Pemberitahuan?]:[Gugatan Sederhana?]],"Ya",Upaya_Debitur[[#This Row],[Surat Pemberitahuan]:[Gugatan Sederhana]],"")</f>
        <v>8</v>
      </c>
      <c r="CM205" s="36">
        <f ca="1">IF(ISNUMBER(Upaya_Debitur[[#This Row],[Realisasi]]/Upaya_Debitur[[#This Row],[Target Upaya]]),Upaya_Debitur[[#This Row],[Realisasi]]/Upaya_Debitur[[#This Row],[Target Upaya]],1)</f>
        <v>1</v>
      </c>
    </row>
    <row r="206" spans="1:91" x14ac:dyDescent="0.3">
      <c r="A206" s="16">
        <v>188</v>
      </c>
      <c r="B206" s="17"/>
      <c r="C206" s="17" t="s">
        <v>548</v>
      </c>
      <c r="D206" s="16" t="s">
        <v>549</v>
      </c>
      <c r="E206" s="37">
        <v>380000</v>
      </c>
      <c r="F206" s="37">
        <v>0</v>
      </c>
      <c r="G206" s="37">
        <v>0</v>
      </c>
      <c r="H206" s="40">
        <f>SUM(Upaya_Debitur[[#This Row],[Kewajiban Pokok]:[Kewajiban Denda]])</f>
        <v>380000</v>
      </c>
      <c r="I206" s="37"/>
      <c r="J206" s="40">
        <f>IF(ISNUMBER(Upaya_Debitur[[#This Row],[Angsuran Sesuai PK]]),Upaya_Debitur[[#This Row],[Angsuran Sesuai PK]],1)</f>
        <v>1</v>
      </c>
      <c r="K206" s="76"/>
      <c r="L206" s="16" t="s">
        <v>37</v>
      </c>
      <c r="N206" s="18"/>
      <c r="O206" s="76"/>
      <c r="P206" s="37"/>
      <c r="Q206" s="41"/>
      <c r="R206" s="37"/>
      <c r="S206" s="40">
        <f>IF(Upaya_Debitur[[#This Row],[Periode Haircut]]="",0,IF(Upaya_Debitur[[#This Row],[Periode Haircut]]&lt;=$B$6,Upaya_Debitur[[#This Row],[Haircut]],0))</f>
        <v>0</v>
      </c>
      <c r="T206" s="40">
        <f>IF($B$10="",0,IF($B$10&lt;=$B$6,Upaya_Debitur[[#This Row],[Set Off]],0))</f>
        <v>0</v>
      </c>
      <c r="U206" s="37">
        <v>0</v>
      </c>
      <c r="V206" s="37">
        <v>0</v>
      </c>
      <c r="W206" s="37">
        <v>0</v>
      </c>
      <c r="X206" s="37">
        <v>0</v>
      </c>
      <c r="Y206" s="37">
        <v>0</v>
      </c>
      <c r="Z206" s="37">
        <v>0</v>
      </c>
      <c r="AA206" s="37">
        <v>0</v>
      </c>
      <c r="AB206" s="37">
        <v>0</v>
      </c>
      <c r="AC206" s="37">
        <v>0</v>
      </c>
      <c r="AD206" s="37">
        <v>0</v>
      </c>
      <c r="AE206" s="37">
        <v>0</v>
      </c>
      <c r="AF206" s="37">
        <v>0</v>
      </c>
      <c r="AG206" s="37">
        <v>0</v>
      </c>
      <c r="AH206" s="37">
        <v>0</v>
      </c>
      <c r="AI206" s="37">
        <v>0</v>
      </c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40">
        <f ca="1">SUM(OFFSET(Upaya_Debitur[[#This Row],[Haircut Diperhitungkan]],0,0,1,$B$7+2))</f>
        <v>0</v>
      </c>
      <c r="BR206" s="35" t="str">
        <f ca="1">IF(Upaya_Debitur[[#This Row],[Total Pencairan]]&gt;=Upaya_Debitur[[#This Row],[Kewajiban Total]],"Lunas","Belum Lunas")</f>
        <v>Belum Lunas</v>
      </c>
      <c r="BS206" s="35" t="str">
        <f t="shared" si="7"/>
        <v>Ya</v>
      </c>
      <c r="BT206" s="35" t="str">
        <f t="shared" si="8"/>
        <v>Ya</v>
      </c>
      <c r="BU20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0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0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06" s="35" t="str">
        <f>IF(Upaya_Debitur[[#This Row],[Kondisi Debitur]]="Tidak ditemukan","Ya","Tidak")</f>
        <v>Ya</v>
      </c>
      <c r="BY20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0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0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06" s="18">
        <v>43781</v>
      </c>
      <c r="CC206" s="18">
        <v>43999</v>
      </c>
      <c r="CD206" s="18">
        <v>43826</v>
      </c>
      <c r="CE206" s="18">
        <v>43871</v>
      </c>
      <c r="CF206" s="18">
        <v>43887</v>
      </c>
      <c r="CG206" s="18">
        <v>44035</v>
      </c>
      <c r="CH206" s="18">
        <v>44057</v>
      </c>
      <c r="CI206" s="18">
        <v>44077</v>
      </c>
      <c r="CJ206" s="18"/>
      <c r="CK206" s="35">
        <f ca="1">COUNTIF(Upaya_Debitur[[#This Row],[Surat Pemberitahuan?]:[Gugatan Sederhana?]],"Ya")</f>
        <v>8</v>
      </c>
      <c r="CL206" s="35">
        <f ca="1">Upaya_Debitur[[#This Row],[Target Upaya]]-COUNTIFS(Upaya_Debitur[[#This Row],[Surat Pemberitahuan?]:[Gugatan Sederhana?]],"Ya",Upaya_Debitur[[#This Row],[Surat Pemberitahuan]:[Gugatan Sederhana]],"")</f>
        <v>8</v>
      </c>
      <c r="CM206" s="36">
        <f ca="1">IF(ISNUMBER(Upaya_Debitur[[#This Row],[Realisasi]]/Upaya_Debitur[[#This Row],[Target Upaya]]),Upaya_Debitur[[#This Row],[Realisasi]]/Upaya_Debitur[[#This Row],[Target Upaya]],1)</f>
        <v>1</v>
      </c>
    </row>
    <row r="207" spans="1:91" x14ac:dyDescent="0.3">
      <c r="A207" s="16">
        <v>189</v>
      </c>
      <c r="B207" s="17"/>
      <c r="C207" s="17" t="s">
        <v>550</v>
      </c>
      <c r="D207" s="16" t="s">
        <v>549</v>
      </c>
      <c r="E207" s="37">
        <v>3566081</v>
      </c>
      <c r="F207" s="37">
        <v>0</v>
      </c>
      <c r="G207" s="37">
        <v>0</v>
      </c>
      <c r="H207" s="40">
        <f>SUM(Upaya_Debitur[[#This Row],[Kewajiban Pokok]:[Kewajiban Denda]])</f>
        <v>3566081</v>
      </c>
      <c r="I207" s="37"/>
      <c r="J207" s="40">
        <f>IF(ISNUMBER(Upaya_Debitur[[#This Row],[Angsuran Sesuai PK]]),Upaya_Debitur[[#This Row],[Angsuran Sesuai PK]],1)</f>
        <v>1</v>
      </c>
      <c r="K207" s="76"/>
      <c r="L207" s="16" t="s">
        <v>38</v>
      </c>
      <c r="N207" s="18"/>
      <c r="O207" s="76"/>
      <c r="P207" s="37"/>
      <c r="Q207" s="41"/>
      <c r="R207" s="37"/>
      <c r="S207" s="40">
        <f>IF(Upaya_Debitur[[#This Row],[Periode Haircut]]="",0,IF(Upaya_Debitur[[#This Row],[Periode Haircut]]&lt;=$B$6,Upaya_Debitur[[#This Row],[Haircut]],0))</f>
        <v>0</v>
      </c>
      <c r="T207" s="40">
        <f>IF($B$10="",0,IF($B$10&lt;=$B$6,Upaya_Debitur[[#This Row],[Set Off]],0))</f>
        <v>0</v>
      </c>
      <c r="U207" s="37">
        <v>0</v>
      </c>
      <c r="V207" s="37">
        <v>500000</v>
      </c>
      <c r="W207" s="37">
        <v>0</v>
      </c>
      <c r="X207" s="37">
        <v>500000</v>
      </c>
      <c r="Y207" s="37">
        <v>500000</v>
      </c>
      <c r="Z207" s="37">
        <v>500000</v>
      </c>
      <c r="AA207" s="37">
        <v>500000</v>
      </c>
      <c r="AB207" s="37">
        <v>0</v>
      </c>
      <c r="AC207" s="37">
        <v>500000</v>
      </c>
      <c r="AD207" s="37">
        <v>0</v>
      </c>
      <c r="AE207" s="37">
        <v>0</v>
      </c>
      <c r="AF207" s="37">
        <v>0</v>
      </c>
      <c r="AG207" s="37">
        <v>0</v>
      </c>
      <c r="AH207" s="37">
        <v>0</v>
      </c>
      <c r="AI207" s="37">
        <v>0</v>
      </c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40">
        <f ca="1">SUM(OFFSET(Upaya_Debitur[[#This Row],[Haircut Diperhitungkan]],0,0,1,$B$7+2))</f>
        <v>3000000</v>
      </c>
      <c r="BR207" s="35" t="str">
        <f ca="1">IF(Upaya_Debitur[[#This Row],[Total Pencairan]]&gt;=Upaya_Debitur[[#This Row],[Kewajiban Total]],"Lunas","Belum Lunas")</f>
        <v>Belum Lunas</v>
      </c>
      <c r="BS207" s="35" t="str">
        <f t="shared" si="7"/>
        <v>Ya</v>
      </c>
      <c r="BT207" s="35" t="str">
        <f t="shared" si="8"/>
        <v>Ya</v>
      </c>
      <c r="BU20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0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0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07" s="35" t="str">
        <f>IF(Upaya_Debitur[[#This Row],[Kondisi Debitur]]="Tidak ditemukan","Ya","Tidak")</f>
        <v>Tidak</v>
      </c>
      <c r="BY20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0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0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07" s="18">
        <v>43781</v>
      </c>
      <c r="CC207" s="18">
        <v>43999</v>
      </c>
      <c r="CD207" s="18">
        <v>43826</v>
      </c>
      <c r="CE207" s="18">
        <v>43871</v>
      </c>
      <c r="CF207" s="18">
        <v>43887</v>
      </c>
      <c r="CG207" s="18"/>
      <c r="CH207" s="18">
        <v>44057</v>
      </c>
      <c r="CI207" s="18">
        <v>44077</v>
      </c>
      <c r="CJ207" s="18"/>
      <c r="CK207" s="35">
        <f ca="1">COUNTIF(Upaya_Debitur[[#This Row],[Surat Pemberitahuan?]:[Gugatan Sederhana?]],"Ya")</f>
        <v>7</v>
      </c>
      <c r="CL207" s="35">
        <f ca="1">Upaya_Debitur[[#This Row],[Target Upaya]]-COUNTIFS(Upaya_Debitur[[#This Row],[Surat Pemberitahuan?]:[Gugatan Sederhana?]],"Ya",Upaya_Debitur[[#This Row],[Surat Pemberitahuan]:[Gugatan Sederhana]],"")</f>
        <v>7</v>
      </c>
      <c r="CM207" s="36">
        <f ca="1">IF(ISNUMBER(Upaya_Debitur[[#This Row],[Realisasi]]/Upaya_Debitur[[#This Row],[Target Upaya]]),Upaya_Debitur[[#This Row],[Realisasi]]/Upaya_Debitur[[#This Row],[Target Upaya]],1)</f>
        <v>1</v>
      </c>
    </row>
    <row r="208" spans="1:91" x14ac:dyDescent="0.3">
      <c r="A208" s="16">
        <v>190</v>
      </c>
      <c r="B208" s="17"/>
      <c r="C208" s="17" t="s">
        <v>551</v>
      </c>
      <c r="D208" s="16" t="s">
        <v>552</v>
      </c>
      <c r="E208" s="37">
        <v>211358</v>
      </c>
      <c r="F208" s="37">
        <v>0</v>
      </c>
      <c r="G208" s="37">
        <v>0</v>
      </c>
      <c r="H208" s="40">
        <f>SUM(Upaya_Debitur[[#This Row],[Kewajiban Pokok]:[Kewajiban Denda]])</f>
        <v>211358</v>
      </c>
      <c r="I208" s="37"/>
      <c r="J208" s="40">
        <f>IF(ISNUMBER(Upaya_Debitur[[#This Row],[Angsuran Sesuai PK]]),Upaya_Debitur[[#This Row],[Angsuran Sesuai PK]],1)</f>
        <v>1</v>
      </c>
      <c r="K208" s="76"/>
      <c r="L208" s="16" t="s">
        <v>37</v>
      </c>
      <c r="N208" s="18"/>
      <c r="O208" s="76"/>
      <c r="P208" s="37"/>
      <c r="Q208" s="41"/>
      <c r="R208" s="37"/>
      <c r="S208" s="40">
        <f>IF(Upaya_Debitur[[#This Row],[Periode Haircut]]="",0,IF(Upaya_Debitur[[#This Row],[Periode Haircut]]&lt;=$B$6,Upaya_Debitur[[#This Row],[Haircut]],0))</f>
        <v>0</v>
      </c>
      <c r="T208" s="40">
        <f>IF($B$10="",0,IF($B$10&lt;=$B$6,Upaya_Debitur[[#This Row],[Set Off]],0))</f>
        <v>0</v>
      </c>
      <c r="U208" s="37">
        <v>0</v>
      </c>
      <c r="V208" s="37">
        <v>0</v>
      </c>
      <c r="W208" s="37">
        <v>0</v>
      </c>
      <c r="X208" s="37">
        <v>0</v>
      </c>
      <c r="Y208" s="37">
        <v>0</v>
      </c>
      <c r="Z208" s="37">
        <v>0</v>
      </c>
      <c r="AA208" s="37">
        <v>0</v>
      </c>
      <c r="AB208" s="37">
        <v>0</v>
      </c>
      <c r="AC208" s="37">
        <v>0</v>
      </c>
      <c r="AD208" s="37">
        <v>0</v>
      </c>
      <c r="AE208" s="37">
        <v>0</v>
      </c>
      <c r="AF208" s="37">
        <v>0</v>
      </c>
      <c r="AG208" s="37">
        <v>0</v>
      </c>
      <c r="AH208" s="37">
        <v>0</v>
      </c>
      <c r="AI208" s="37">
        <v>0</v>
      </c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40">
        <f ca="1">SUM(OFFSET(Upaya_Debitur[[#This Row],[Haircut Diperhitungkan]],0,0,1,$B$7+2))</f>
        <v>0</v>
      </c>
      <c r="BR208" s="35" t="str">
        <f ca="1">IF(Upaya_Debitur[[#This Row],[Total Pencairan]]&gt;=Upaya_Debitur[[#This Row],[Kewajiban Total]],"Lunas","Belum Lunas")</f>
        <v>Belum Lunas</v>
      </c>
      <c r="BS208" s="35" t="str">
        <f t="shared" si="7"/>
        <v>Ya</v>
      </c>
      <c r="BT208" s="35" t="str">
        <f t="shared" si="8"/>
        <v>Ya</v>
      </c>
      <c r="BU20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0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0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08" s="35" t="str">
        <f>IF(Upaya_Debitur[[#This Row],[Kondisi Debitur]]="Tidak ditemukan","Ya","Tidak")</f>
        <v>Ya</v>
      </c>
      <c r="BY20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0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0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08" s="18">
        <v>43781</v>
      </c>
      <c r="CC208" s="18">
        <v>43999</v>
      </c>
      <c r="CD208" s="18">
        <v>43826</v>
      </c>
      <c r="CE208" s="18">
        <v>43871</v>
      </c>
      <c r="CF208" s="18">
        <v>43887</v>
      </c>
      <c r="CG208" s="18">
        <v>44035</v>
      </c>
      <c r="CH208" s="18">
        <v>44057</v>
      </c>
      <c r="CI208" s="18">
        <v>44077</v>
      </c>
      <c r="CJ208" s="18"/>
      <c r="CK208" s="35">
        <f ca="1">COUNTIF(Upaya_Debitur[[#This Row],[Surat Pemberitahuan?]:[Gugatan Sederhana?]],"Ya")</f>
        <v>8</v>
      </c>
      <c r="CL208" s="35">
        <f ca="1">Upaya_Debitur[[#This Row],[Target Upaya]]-COUNTIFS(Upaya_Debitur[[#This Row],[Surat Pemberitahuan?]:[Gugatan Sederhana?]],"Ya",Upaya_Debitur[[#This Row],[Surat Pemberitahuan]:[Gugatan Sederhana]],"")</f>
        <v>8</v>
      </c>
      <c r="CM208" s="36">
        <f ca="1">IF(ISNUMBER(Upaya_Debitur[[#This Row],[Realisasi]]/Upaya_Debitur[[#This Row],[Target Upaya]]),Upaya_Debitur[[#This Row],[Realisasi]]/Upaya_Debitur[[#This Row],[Target Upaya]],1)</f>
        <v>1</v>
      </c>
    </row>
    <row r="209" spans="1:91" x14ac:dyDescent="0.3">
      <c r="A209" s="16">
        <v>191</v>
      </c>
      <c r="B209" s="17"/>
      <c r="C209" s="17" t="s">
        <v>553</v>
      </c>
      <c r="D209" s="16" t="s">
        <v>554</v>
      </c>
      <c r="E209" s="37">
        <v>826687</v>
      </c>
      <c r="F209" s="37">
        <v>0</v>
      </c>
      <c r="G209" s="37">
        <v>0</v>
      </c>
      <c r="H209" s="40">
        <f>SUM(Upaya_Debitur[[#This Row],[Kewajiban Pokok]:[Kewajiban Denda]])</f>
        <v>826687</v>
      </c>
      <c r="I209" s="37"/>
      <c r="J209" s="40">
        <f>IF(ISNUMBER(Upaya_Debitur[[#This Row],[Angsuran Sesuai PK]]),Upaya_Debitur[[#This Row],[Angsuran Sesuai PK]],1)</f>
        <v>1</v>
      </c>
      <c r="K209" s="76"/>
      <c r="L209" s="16" t="s">
        <v>37</v>
      </c>
      <c r="N209" s="18"/>
      <c r="O209" s="76"/>
      <c r="P209" s="37"/>
      <c r="Q209" s="41"/>
      <c r="R209" s="37"/>
      <c r="S209" s="40">
        <f>IF(Upaya_Debitur[[#This Row],[Periode Haircut]]="",0,IF(Upaya_Debitur[[#This Row],[Periode Haircut]]&lt;=$B$6,Upaya_Debitur[[#This Row],[Haircut]],0))</f>
        <v>0</v>
      </c>
      <c r="T209" s="40">
        <f>IF($B$10="",0,IF($B$10&lt;=$B$6,Upaya_Debitur[[#This Row],[Set Off]],0))</f>
        <v>0</v>
      </c>
      <c r="U209" s="37">
        <v>0</v>
      </c>
      <c r="V209" s="37">
        <v>0</v>
      </c>
      <c r="W209" s="37">
        <v>0</v>
      </c>
      <c r="X209" s="37">
        <v>0</v>
      </c>
      <c r="Y209" s="37">
        <v>0</v>
      </c>
      <c r="Z209" s="37">
        <v>0</v>
      </c>
      <c r="AA209" s="37">
        <v>0</v>
      </c>
      <c r="AB209" s="37">
        <v>0</v>
      </c>
      <c r="AC209" s="37">
        <v>0</v>
      </c>
      <c r="AD209" s="37">
        <v>0</v>
      </c>
      <c r="AE209" s="37">
        <v>0</v>
      </c>
      <c r="AF209" s="37">
        <v>0</v>
      </c>
      <c r="AG209" s="37">
        <v>0</v>
      </c>
      <c r="AH209" s="37">
        <v>0</v>
      </c>
      <c r="AI209" s="37">
        <v>0</v>
      </c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40">
        <f ca="1">SUM(OFFSET(Upaya_Debitur[[#This Row],[Haircut Diperhitungkan]],0,0,1,$B$7+2))</f>
        <v>0</v>
      </c>
      <c r="BR209" s="35" t="str">
        <f ca="1">IF(Upaya_Debitur[[#This Row],[Total Pencairan]]&gt;=Upaya_Debitur[[#This Row],[Kewajiban Total]],"Lunas","Belum Lunas")</f>
        <v>Belum Lunas</v>
      </c>
      <c r="BS209" s="35" t="str">
        <f t="shared" si="7"/>
        <v>Ya</v>
      </c>
      <c r="BT209" s="35" t="str">
        <f t="shared" si="8"/>
        <v>Ya</v>
      </c>
      <c r="BU20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0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0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09" s="35" t="str">
        <f>IF(Upaya_Debitur[[#This Row],[Kondisi Debitur]]="Tidak ditemukan","Ya","Tidak")</f>
        <v>Ya</v>
      </c>
      <c r="BY20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0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0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09" s="18">
        <v>43781</v>
      </c>
      <c r="CC209" s="18">
        <v>43999</v>
      </c>
      <c r="CD209" s="18">
        <v>43826</v>
      </c>
      <c r="CE209" s="18">
        <v>43871</v>
      </c>
      <c r="CF209" s="18">
        <v>43887</v>
      </c>
      <c r="CG209" s="18">
        <v>43888</v>
      </c>
      <c r="CH209" s="18">
        <v>44057</v>
      </c>
      <c r="CI209" s="18">
        <v>44077</v>
      </c>
      <c r="CJ209" s="18"/>
      <c r="CK209" s="35">
        <f ca="1">COUNTIF(Upaya_Debitur[[#This Row],[Surat Pemberitahuan?]:[Gugatan Sederhana?]],"Ya")</f>
        <v>8</v>
      </c>
      <c r="CL209" s="35">
        <f ca="1">Upaya_Debitur[[#This Row],[Target Upaya]]-COUNTIFS(Upaya_Debitur[[#This Row],[Surat Pemberitahuan?]:[Gugatan Sederhana?]],"Ya",Upaya_Debitur[[#This Row],[Surat Pemberitahuan]:[Gugatan Sederhana]],"")</f>
        <v>8</v>
      </c>
      <c r="CM209" s="36">
        <f ca="1">IF(ISNUMBER(Upaya_Debitur[[#This Row],[Realisasi]]/Upaya_Debitur[[#This Row],[Target Upaya]]),Upaya_Debitur[[#This Row],[Realisasi]]/Upaya_Debitur[[#This Row],[Target Upaya]],1)</f>
        <v>1</v>
      </c>
    </row>
    <row r="210" spans="1:91" x14ac:dyDescent="0.3">
      <c r="A210" s="16">
        <v>192</v>
      </c>
      <c r="B210" s="17"/>
      <c r="C210" s="17" t="s">
        <v>555</v>
      </c>
      <c r="D210" s="16" t="s">
        <v>556</v>
      </c>
      <c r="E210" s="37">
        <v>1000000</v>
      </c>
      <c r="F210" s="37">
        <v>0</v>
      </c>
      <c r="G210" s="37">
        <v>0</v>
      </c>
      <c r="H210" s="40">
        <f>SUM(Upaya_Debitur[[#This Row],[Kewajiban Pokok]:[Kewajiban Denda]])</f>
        <v>1000000</v>
      </c>
      <c r="I210" s="37"/>
      <c r="J210" s="40">
        <f>IF(ISNUMBER(Upaya_Debitur[[#This Row],[Angsuran Sesuai PK]]),Upaya_Debitur[[#This Row],[Angsuran Sesuai PK]],1)</f>
        <v>1</v>
      </c>
      <c r="K210" s="76"/>
      <c r="L210" s="16" t="s">
        <v>37</v>
      </c>
      <c r="N210" s="18"/>
      <c r="O210" s="76"/>
      <c r="P210" s="37"/>
      <c r="Q210" s="41"/>
      <c r="R210" s="37"/>
      <c r="S210" s="40">
        <f>IF(Upaya_Debitur[[#This Row],[Periode Haircut]]="",0,IF(Upaya_Debitur[[#This Row],[Periode Haircut]]&lt;=$B$6,Upaya_Debitur[[#This Row],[Haircut]],0))</f>
        <v>0</v>
      </c>
      <c r="T210" s="40">
        <f>IF($B$10="",0,IF($B$10&lt;=$B$6,Upaya_Debitur[[#This Row],[Set Off]],0))</f>
        <v>0</v>
      </c>
      <c r="U210" s="37">
        <v>0</v>
      </c>
      <c r="V210" s="37">
        <v>0</v>
      </c>
      <c r="W210" s="37">
        <v>0</v>
      </c>
      <c r="X210" s="37">
        <v>0</v>
      </c>
      <c r="Y210" s="37">
        <v>0</v>
      </c>
      <c r="Z210" s="37">
        <v>0</v>
      </c>
      <c r="AA210" s="37">
        <v>0</v>
      </c>
      <c r="AB210" s="37">
        <v>0</v>
      </c>
      <c r="AC210" s="37">
        <v>0</v>
      </c>
      <c r="AD210" s="37">
        <v>0</v>
      </c>
      <c r="AE210" s="37">
        <v>0</v>
      </c>
      <c r="AF210" s="37">
        <v>0</v>
      </c>
      <c r="AG210" s="37">
        <v>0</v>
      </c>
      <c r="AH210" s="37">
        <v>0</v>
      </c>
      <c r="AI210" s="37">
        <v>0</v>
      </c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40">
        <f ca="1">SUM(OFFSET(Upaya_Debitur[[#This Row],[Haircut Diperhitungkan]],0,0,1,$B$7+2))</f>
        <v>0</v>
      </c>
      <c r="BR210" s="35" t="str">
        <f ca="1">IF(Upaya_Debitur[[#This Row],[Total Pencairan]]&gt;=Upaya_Debitur[[#This Row],[Kewajiban Total]],"Lunas","Belum Lunas")</f>
        <v>Belum Lunas</v>
      </c>
      <c r="BS210" s="35" t="str">
        <f t="shared" si="7"/>
        <v>Ya</v>
      </c>
      <c r="BT210" s="35" t="str">
        <f t="shared" si="8"/>
        <v>Ya</v>
      </c>
      <c r="BU21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1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1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10" s="35" t="str">
        <f>IF(Upaya_Debitur[[#This Row],[Kondisi Debitur]]="Tidak ditemukan","Ya","Tidak")</f>
        <v>Ya</v>
      </c>
      <c r="BY21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1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1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10" s="18">
        <v>43781</v>
      </c>
      <c r="CC210" s="18">
        <v>43999</v>
      </c>
      <c r="CD210" s="18">
        <v>43826</v>
      </c>
      <c r="CE210" s="18">
        <v>43871</v>
      </c>
      <c r="CF210" s="18">
        <v>43887</v>
      </c>
      <c r="CG210" s="18">
        <v>43888</v>
      </c>
      <c r="CH210" s="18">
        <v>44057</v>
      </c>
      <c r="CI210" s="18">
        <v>44077</v>
      </c>
      <c r="CJ210" s="18"/>
      <c r="CK210" s="35">
        <f ca="1">COUNTIF(Upaya_Debitur[[#This Row],[Surat Pemberitahuan?]:[Gugatan Sederhana?]],"Ya")</f>
        <v>8</v>
      </c>
      <c r="CL210" s="35">
        <f ca="1">Upaya_Debitur[[#This Row],[Target Upaya]]-COUNTIFS(Upaya_Debitur[[#This Row],[Surat Pemberitahuan?]:[Gugatan Sederhana?]],"Ya",Upaya_Debitur[[#This Row],[Surat Pemberitahuan]:[Gugatan Sederhana]],"")</f>
        <v>8</v>
      </c>
      <c r="CM210" s="36">
        <f ca="1">IF(ISNUMBER(Upaya_Debitur[[#This Row],[Realisasi]]/Upaya_Debitur[[#This Row],[Target Upaya]]),Upaya_Debitur[[#This Row],[Realisasi]]/Upaya_Debitur[[#This Row],[Target Upaya]],1)</f>
        <v>1</v>
      </c>
    </row>
    <row r="211" spans="1:91" x14ac:dyDescent="0.3">
      <c r="A211" s="16">
        <v>193</v>
      </c>
      <c r="B211" s="17"/>
      <c r="C211" s="17" t="s">
        <v>557</v>
      </c>
      <c r="D211" s="16" t="s">
        <v>558</v>
      </c>
      <c r="E211" s="37">
        <v>1500000</v>
      </c>
      <c r="F211" s="37">
        <v>0</v>
      </c>
      <c r="G211" s="37">
        <v>0</v>
      </c>
      <c r="H211" s="40">
        <f>SUM(Upaya_Debitur[[#This Row],[Kewajiban Pokok]:[Kewajiban Denda]])</f>
        <v>1500000</v>
      </c>
      <c r="I211" s="37"/>
      <c r="J211" s="40">
        <f>IF(ISNUMBER(Upaya_Debitur[[#This Row],[Angsuran Sesuai PK]]),Upaya_Debitur[[#This Row],[Angsuran Sesuai PK]],1)</f>
        <v>1</v>
      </c>
      <c r="K211" s="76"/>
      <c r="L211" s="16" t="s">
        <v>37</v>
      </c>
      <c r="N211" s="18"/>
      <c r="O211" s="76"/>
      <c r="P211" s="37"/>
      <c r="Q211" s="41"/>
      <c r="R211" s="37"/>
      <c r="S211" s="40">
        <f>IF(Upaya_Debitur[[#This Row],[Periode Haircut]]="",0,IF(Upaya_Debitur[[#This Row],[Periode Haircut]]&lt;=$B$6,Upaya_Debitur[[#This Row],[Haircut]],0))</f>
        <v>0</v>
      </c>
      <c r="T211" s="40">
        <f>IF($B$10="",0,IF($B$10&lt;=$B$6,Upaya_Debitur[[#This Row],[Set Off]],0))</f>
        <v>0</v>
      </c>
      <c r="U211" s="37">
        <v>0</v>
      </c>
      <c r="V211" s="37">
        <v>0</v>
      </c>
      <c r="W211" s="37">
        <v>0</v>
      </c>
      <c r="X211" s="37">
        <v>0</v>
      </c>
      <c r="Y211" s="37">
        <v>0</v>
      </c>
      <c r="Z211" s="37">
        <v>0</v>
      </c>
      <c r="AA211" s="37">
        <v>0</v>
      </c>
      <c r="AB211" s="37">
        <v>0</v>
      </c>
      <c r="AC211" s="37">
        <v>0</v>
      </c>
      <c r="AD211" s="37">
        <v>0</v>
      </c>
      <c r="AE211" s="37">
        <v>0</v>
      </c>
      <c r="AF211" s="37">
        <v>0</v>
      </c>
      <c r="AG211" s="37">
        <v>0</v>
      </c>
      <c r="AH211" s="37">
        <v>0</v>
      </c>
      <c r="AI211" s="37">
        <v>0</v>
      </c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40">
        <f ca="1">SUM(OFFSET(Upaya_Debitur[[#This Row],[Haircut Diperhitungkan]],0,0,1,$B$7+2))</f>
        <v>0</v>
      </c>
      <c r="BR211" s="35" t="str">
        <f ca="1">IF(Upaya_Debitur[[#This Row],[Total Pencairan]]&gt;=Upaya_Debitur[[#This Row],[Kewajiban Total]],"Lunas","Belum Lunas")</f>
        <v>Belum Lunas</v>
      </c>
      <c r="BS211" s="35" t="str">
        <f t="shared" si="7"/>
        <v>Ya</v>
      </c>
      <c r="BT211" s="35" t="str">
        <f t="shared" si="8"/>
        <v>Ya</v>
      </c>
      <c r="BU21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1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1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11" s="35" t="str">
        <f>IF(Upaya_Debitur[[#This Row],[Kondisi Debitur]]="Tidak ditemukan","Ya","Tidak")</f>
        <v>Ya</v>
      </c>
      <c r="BY21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1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1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11" s="18">
        <v>43781</v>
      </c>
      <c r="CC211" s="18">
        <v>43999</v>
      </c>
      <c r="CD211" s="18">
        <v>43826</v>
      </c>
      <c r="CE211" s="18">
        <v>43871</v>
      </c>
      <c r="CF211" s="18">
        <v>43887</v>
      </c>
      <c r="CG211" s="18">
        <v>43888</v>
      </c>
      <c r="CH211" s="18">
        <v>44057</v>
      </c>
      <c r="CI211" s="18">
        <v>44077</v>
      </c>
      <c r="CJ211" s="18"/>
      <c r="CK211" s="35">
        <f ca="1">COUNTIF(Upaya_Debitur[[#This Row],[Surat Pemberitahuan?]:[Gugatan Sederhana?]],"Ya")</f>
        <v>8</v>
      </c>
      <c r="CL211" s="35">
        <f ca="1">Upaya_Debitur[[#This Row],[Target Upaya]]-COUNTIFS(Upaya_Debitur[[#This Row],[Surat Pemberitahuan?]:[Gugatan Sederhana?]],"Ya",Upaya_Debitur[[#This Row],[Surat Pemberitahuan]:[Gugatan Sederhana]],"")</f>
        <v>8</v>
      </c>
      <c r="CM211" s="36">
        <f ca="1">IF(ISNUMBER(Upaya_Debitur[[#This Row],[Realisasi]]/Upaya_Debitur[[#This Row],[Target Upaya]]),Upaya_Debitur[[#This Row],[Realisasi]]/Upaya_Debitur[[#This Row],[Target Upaya]],1)</f>
        <v>1</v>
      </c>
    </row>
    <row r="212" spans="1:91" x14ac:dyDescent="0.3">
      <c r="A212" s="16">
        <v>194</v>
      </c>
      <c r="B212" s="17"/>
      <c r="C212" s="17" t="s">
        <v>559</v>
      </c>
      <c r="D212" s="16" t="s">
        <v>560</v>
      </c>
      <c r="E212" s="37">
        <v>3000000</v>
      </c>
      <c r="F212" s="37">
        <v>0</v>
      </c>
      <c r="G212" s="37">
        <v>0</v>
      </c>
      <c r="H212" s="40">
        <f>SUM(Upaya_Debitur[[#This Row],[Kewajiban Pokok]:[Kewajiban Denda]])</f>
        <v>3000000</v>
      </c>
      <c r="I212" s="37"/>
      <c r="J212" s="40">
        <f>IF(ISNUMBER(Upaya_Debitur[[#This Row],[Angsuran Sesuai PK]]),Upaya_Debitur[[#This Row],[Angsuran Sesuai PK]],1)</f>
        <v>1</v>
      </c>
      <c r="K212" s="76"/>
      <c r="L212" s="16" t="s">
        <v>83</v>
      </c>
      <c r="N212" s="18"/>
      <c r="O212" s="76"/>
      <c r="P212" s="37"/>
      <c r="Q212" s="41"/>
      <c r="R212" s="37"/>
      <c r="S212" s="40">
        <f>IF(Upaya_Debitur[[#This Row],[Periode Haircut]]="",0,IF(Upaya_Debitur[[#This Row],[Periode Haircut]]&lt;=$B$6,Upaya_Debitur[[#This Row],[Haircut]],0))</f>
        <v>0</v>
      </c>
      <c r="T212" s="40">
        <f>IF($B$10="",0,IF($B$10&lt;=$B$6,Upaya_Debitur[[#This Row],[Set Off]],0))</f>
        <v>0</v>
      </c>
      <c r="U212" s="37">
        <v>0</v>
      </c>
      <c r="V212" s="37">
        <v>0</v>
      </c>
      <c r="W212" s="37">
        <v>0</v>
      </c>
      <c r="X212" s="37">
        <v>0</v>
      </c>
      <c r="Y212" s="37">
        <v>0</v>
      </c>
      <c r="Z212" s="37">
        <v>0</v>
      </c>
      <c r="AA212" s="37">
        <v>0</v>
      </c>
      <c r="AB212" s="37">
        <v>0</v>
      </c>
      <c r="AC212" s="37">
        <v>0</v>
      </c>
      <c r="AD212" s="37">
        <v>0</v>
      </c>
      <c r="AE212" s="37">
        <v>0</v>
      </c>
      <c r="AF212" s="37">
        <v>0</v>
      </c>
      <c r="AG212" s="37">
        <v>0</v>
      </c>
      <c r="AH212" s="37">
        <v>0</v>
      </c>
      <c r="AI212" s="37">
        <v>0</v>
      </c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40">
        <f ca="1">SUM(OFFSET(Upaya_Debitur[[#This Row],[Haircut Diperhitungkan]],0,0,1,$B$7+2))</f>
        <v>0</v>
      </c>
      <c r="BR212" s="35" t="str">
        <f ca="1">IF(Upaya_Debitur[[#This Row],[Total Pencairan]]&gt;=Upaya_Debitur[[#This Row],[Kewajiban Total]],"Lunas","Belum Lunas")</f>
        <v>Belum Lunas</v>
      </c>
      <c r="BS212" s="35" t="str">
        <f t="shared" si="7"/>
        <v>Ya</v>
      </c>
      <c r="BT212" s="35" t="str">
        <f t="shared" si="8"/>
        <v>Ya</v>
      </c>
      <c r="BU21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1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1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12" s="35" t="str">
        <f>IF(Upaya_Debitur[[#This Row],[Kondisi Debitur]]="Tidak ditemukan","Ya","Tidak")</f>
        <v>Tidak</v>
      </c>
      <c r="BY21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1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1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12" s="18">
        <v>43781</v>
      </c>
      <c r="CC212" s="18">
        <v>43999</v>
      </c>
      <c r="CD212" s="18">
        <v>43826</v>
      </c>
      <c r="CE212" s="18">
        <v>43871</v>
      </c>
      <c r="CF212" s="18">
        <v>43887</v>
      </c>
      <c r="CG212" s="18">
        <v>43888</v>
      </c>
      <c r="CH212" s="18">
        <v>44057</v>
      </c>
      <c r="CI212" s="18">
        <v>44077</v>
      </c>
      <c r="CJ212" s="18"/>
      <c r="CK212" s="35">
        <f ca="1">COUNTIF(Upaya_Debitur[[#This Row],[Surat Pemberitahuan?]:[Gugatan Sederhana?]],"Ya")</f>
        <v>7</v>
      </c>
      <c r="CL212" s="35">
        <f ca="1">Upaya_Debitur[[#This Row],[Target Upaya]]-COUNTIFS(Upaya_Debitur[[#This Row],[Surat Pemberitahuan?]:[Gugatan Sederhana?]],"Ya",Upaya_Debitur[[#This Row],[Surat Pemberitahuan]:[Gugatan Sederhana]],"")</f>
        <v>7</v>
      </c>
      <c r="CM212" s="36">
        <f ca="1">IF(ISNUMBER(Upaya_Debitur[[#This Row],[Realisasi]]/Upaya_Debitur[[#This Row],[Target Upaya]]),Upaya_Debitur[[#This Row],[Realisasi]]/Upaya_Debitur[[#This Row],[Target Upaya]],1)</f>
        <v>1</v>
      </c>
    </row>
    <row r="213" spans="1:91" x14ac:dyDescent="0.3">
      <c r="A213" s="16">
        <v>195</v>
      </c>
      <c r="B213" s="17"/>
      <c r="C213" s="17" t="s">
        <v>561</v>
      </c>
      <c r="D213" s="16" t="s">
        <v>562</v>
      </c>
      <c r="E213" s="37">
        <v>855000</v>
      </c>
      <c r="F213" s="37">
        <v>0</v>
      </c>
      <c r="G213" s="37">
        <v>0</v>
      </c>
      <c r="H213" s="40">
        <f>SUM(Upaya_Debitur[[#This Row],[Kewajiban Pokok]:[Kewajiban Denda]])</f>
        <v>855000</v>
      </c>
      <c r="I213" s="37"/>
      <c r="J213" s="40">
        <f>IF(ISNUMBER(Upaya_Debitur[[#This Row],[Angsuran Sesuai PK]]),Upaya_Debitur[[#This Row],[Angsuran Sesuai PK]],1)</f>
        <v>1</v>
      </c>
      <c r="K213" s="76"/>
      <c r="L213" s="16" t="s">
        <v>37</v>
      </c>
      <c r="N213" s="18"/>
      <c r="O213" s="76"/>
      <c r="P213" s="37"/>
      <c r="Q213" s="41"/>
      <c r="R213" s="37"/>
      <c r="S213" s="40">
        <f>IF(Upaya_Debitur[[#This Row],[Periode Haircut]]="",0,IF(Upaya_Debitur[[#This Row],[Periode Haircut]]&lt;=$B$6,Upaya_Debitur[[#This Row],[Haircut]],0))</f>
        <v>0</v>
      </c>
      <c r="T213" s="40">
        <f>IF($B$10="",0,IF($B$10&lt;=$B$6,Upaya_Debitur[[#This Row],[Set Off]],0))</f>
        <v>0</v>
      </c>
      <c r="U213" s="37">
        <v>0</v>
      </c>
      <c r="V213" s="37">
        <v>0</v>
      </c>
      <c r="W213" s="37">
        <v>0</v>
      </c>
      <c r="X213" s="37">
        <v>0</v>
      </c>
      <c r="Y213" s="37">
        <v>0</v>
      </c>
      <c r="Z213" s="37">
        <v>0</v>
      </c>
      <c r="AA213" s="37">
        <v>0</v>
      </c>
      <c r="AB213" s="37">
        <v>0</v>
      </c>
      <c r="AC213" s="37">
        <v>0</v>
      </c>
      <c r="AD213" s="37">
        <v>0</v>
      </c>
      <c r="AE213" s="37">
        <v>0</v>
      </c>
      <c r="AF213" s="37">
        <v>0</v>
      </c>
      <c r="AG213" s="37">
        <v>0</v>
      </c>
      <c r="AH213" s="37">
        <v>0</v>
      </c>
      <c r="AI213" s="37">
        <v>0</v>
      </c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40">
        <f ca="1">SUM(OFFSET(Upaya_Debitur[[#This Row],[Haircut Diperhitungkan]],0,0,1,$B$7+2))</f>
        <v>0</v>
      </c>
      <c r="BR213" s="35" t="str">
        <f ca="1">IF(Upaya_Debitur[[#This Row],[Total Pencairan]]&gt;=Upaya_Debitur[[#This Row],[Kewajiban Total]],"Lunas","Belum Lunas")</f>
        <v>Belum Lunas</v>
      </c>
      <c r="BS213" s="35" t="str">
        <f t="shared" si="7"/>
        <v>Ya</v>
      </c>
      <c r="BT213" s="35" t="str">
        <f t="shared" si="8"/>
        <v>Ya</v>
      </c>
      <c r="BU21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1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1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13" s="35" t="str">
        <f>IF(Upaya_Debitur[[#This Row],[Kondisi Debitur]]="Tidak ditemukan","Ya","Tidak")</f>
        <v>Ya</v>
      </c>
      <c r="BY21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1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1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13" s="18">
        <v>43781</v>
      </c>
      <c r="CC213" s="18">
        <v>43999</v>
      </c>
      <c r="CD213" s="18">
        <v>43826</v>
      </c>
      <c r="CE213" s="18">
        <v>43871</v>
      </c>
      <c r="CF213" s="18">
        <v>43887</v>
      </c>
      <c r="CG213" s="18">
        <v>43888</v>
      </c>
      <c r="CH213" s="18">
        <v>44057</v>
      </c>
      <c r="CI213" s="18">
        <v>44077</v>
      </c>
      <c r="CJ213" s="18"/>
      <c r="CK213" s="35">
        <f ca="1">COUNTIF(Upaya_Debitur[[#This Row],[Surat Pemberitahuan?]:[Gugatan Sederhana?]],"Ya")</f>
        <v>8</v>
      </c>
      <c r="CL213" s="35">
        <f ca="1">Upaya_Debitur[[#This Row],[Target Upaya]]-COUNTIFS(Upaya_Debitur[[#This Row],[Surat Pemberitahuan?]:[Gugatan Sederhana?]],"Ya",Upaya_Debitur[[#This Row],[Surat Pemberitahuan]:[Gugatan Sederhana]],"")</f>
        <v>8</v>
      </c>
      <c r="CM213" s="36">
        <f ca="1">IF(ISNUMBER(Upaya_Debitur[[#This Row],[Realisasi]]/Upaya_Debitur[[#This Row],[Target Upaya]]),Upaya_Debitur[[#This Row],[Realisasi]]/Upaya_Debitur[[#This Row],[Target Upaya]],1)</f>
        <v>1</v>
      </c>
    </row>
    <row r="214" spans="1:91" x14ac:dyDescent="0.3">
      <c r="A214" s="16">
        <v>196</v>
      </c>
      <c r="B214" s="17"/>
      <c r="C214" s="17" t="s">
        <v>563</v>
      </c>
      <c r="D214" s="16" t="s">
        <v>564</v>
      </c>
      <c r="E214" s="37">
        <v>710000</v>
      </c>
      <c r="F214" s="37">
        <v>0</v>
      </c>
      <c r="G214" s="37">
        <v>0</v>
      </c>
      <c r="H214" s="40">
        <f>SUM(Upaya_Debitur[[#This Row],[Kewajiban Pokok]:[Kewajiban Denda]])</f>
        <v>710000</v>
      </c>
      <c r="I214" s="37"/>
      <c r="J214" s="40">
        <f>IF(ISNUMBER(Upaya_Debitur[[#This Row],[Angsuran Sesuai PK]]),Upaya_Debitur[[#This Row],[Angsuran Sesuai PK]],1)</f>
        <v>1</v>
      </c>
      <c r="K214" s="76"/>
      <c r="L214" s="16" t="s">
        <v>83</v>
      </c>
      <c r="N214" s="18"/>
      <c r="O214" s="76"/>
      <c r="P214" s="37"/>
      <c r="Q214" s="41"/>
      <c r="R214" s="37"/>
      <c r="S214" s="40">
        <f>IF(Upaya_Debitur[[#This Row],[Periode Haircut]]="",0,IF(Upaya_Debitur[[#This Row],[Periode Haircut]]&lt;=$B$6,Upaya_Debitur[[#This Row],[Haircut]],0))</f>
        <v>0</v>
      </c>
      <c r="T214" s="40">
        <f>IF($B$10="",0,IF($B$10&lt;=$B$6,Upaya_Debitur[[#This Row],[Set Off]],0))</f>
        <v>0</v>
      </c>
      <c r="U214" s="37">
        <v>0</v>
      </c>
      <c r="V214" s="37">
        <v>0</v>
      </c>
      <c r="W214" s="37">
        <v>0</v>
      </c>
      <c r="X214" s="37">
        <v>0</v>
      </c>
      <c r="Y214" s="37">
        <v>0</v>
      </c>
      <c r="Z214" s="37">
        <v>0</v>
      </c>
      <c r="AA214" s="37">
        <v>0</v>
      </c>
      <c r="AB214" s="37">
        <v>0</v>
      </c>
      <c r="AC214" s="37">
        <v>0</v>
      </c>
      <c r="AD214" s="37">
        <v>0</v>
      </c>
      <c r="AE214" s="37">
        <v>0</v>
      </c>
      <c r="AF214" s="37">
        <v>0</v>
      </c>
      <c r="AG214" s="37">
        <v>0</v>
      </c>
      <c r="AH214" s="37">
        <v>0</v>
      </c>
      <c r="AI214" s="37">
        <v>0</v>
      </c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40">
        <f ca="1">SUM(OFFSET(Upaya_Debitur[[#This Row],[Haircut Diperhitungkan]],0,0,1,$B$7+2))</f>
        <v>0</v>
      </c>
      <c r="BR214" s="35" t="str">
        <f ca="1">IF(Upaya_Debitur[[#This Row],[Total Pencairan]]&gt;=Upaya_Debitur[[#This Row],[Kewajiban Total]],"Lunas","Belum Lunas")</f>
        <v>Belum Lunas</v>
      </c>
      <c r="BS214" s="35" t="str">
        <f t="shared" ref="BS214:BS251" si="9">"Ya"</f>
        <v>Ya</v>
      </c>
      <c r="BT214" s="35" t="str">
        <f t="shared" ref="BT214:BT251" si="10">"Ya"</f>
        <v>Ya</v>
      </c>
      <c r="BU21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1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1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14" s="35" t="str">
        <f>IF(Upaya_Debitur[[#This Row],[Kondisi Debitur]]="Tidak ditemukan","Ya","Tidak")</f>
        <v>Tidak</v>
      </c>
      <c r="BY21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1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1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14" s="18">
        <v>43781</v>
      </c>
      <c r="CC214" s="18">
        <v>43999</v>
      </c>
      <c r="CD214" s="18">
        <v>43826</v>
      </c>
      <c r="CE214" s="18">
        <v>43871</v>
      </c>
      <c r="CF214" s="18">
        <v>43887</v>
      </c>
      <c r="CG214" s="18">
        <v>43888</v>
      </c>
      <c r="CH214" s="18">
        <v>44057</v>
      </c>
      <c r="CI214" s="18">
        <v>44077</v>
      </c>
      <c r="CJ214" s="18"/>
      <c r="CK214" s="35">
        <f ca="1">COUNTIF(Upaya_Debitur[[#This Row],[Surat Pemberitahuan?]:[Gugatan Sederhana?]],"Ya")</f>
        <v>7</v>
      </c>
      <c r="CL214" s="35">
        <f ca="1">Upaya_Debitur[[#This Row],[Target Upaya]]-COUNTIFS(Upaya_Debitur[[#This Row],[Surat Pemberitahuan?]:[Gugatan Sederhana?]],"Ya",Upaya_Debitur[[#This Row],[Surat Pemberitahuan]:[Gugatan Sederhana]],"")</f>
        <v>7</v>
      </c>
      <c r="CM214" s="36">
        <f ca="1">IF(ISNUMBER(Upaya_Debitur[[#This Row],[Realisasi]]/Upaya_Debitur[[#This Row],[Target Upaya]]),Upaya_Debitur[[#This Row],[Realisasi]]/Upaya_Debitur[[#This Row],[Target Upaya]],1)</f>
        <v>1</v>
      </c>
    </row>
    <row r="215" spans="1:91" x14ac:dyDescent="0.3">
      <c r="A215" s="16">
        <v>197</v>
      </c>
      <c r="B215" s="17"/>
      <c r="C215" s="17" t="s">
        <v>565</v>
      </c>
      <c r="D215" s="16" t="s">
        <v>566</v>
      </c>
      <c r="E215" s="37">
        <v>4667500</v>
      </c>
      <c r="F215" s="37">
        <v>0</v>
      </c>
      <c r="G215" s="37">
        <v>0</v>
      </c>
      <c r="H215" s="40">
        <f>SUM(Upaya_Debitur[[#This Row],[Kewajiban Pokok]:[Kewajiban Denda]])</f>
        <v>4667500</v>
      </c>
      <c r="I215" s="37"/>
      <c r="J215" s="40">
        <f>IF(ISNUMBER(Upaya_Debitur[[#This Row],[Angsuran Sesuai PK]]),Upaya_Debitur[[#This Row],[Angsuran Sesuai PK]],1)</f>
        <v>1</v>
      </c>
      <c r="K215" s="76"/>
      <c r="L215" s="16" t="s">
        <v>83</v>
      </c>
      <c r="N215" s="18"/>
      <c r="O215" s="76"/>
      <c r="P215" s="37"/>
      <c r="Q215" s="41"/>
      <c r="R215" s="37"/>
      <c r="S215" s="40">
        <f>IF(Upaya_Debitur[[#This Row],[Periode Haircut]]="",0,IF(Upaya_Debitur[[#This Row],[Periode Haircut]]&lt;=$B$6,Upaya_Debitur[[#This Row],[Haircut]],0))</f>
        <v>0</v>
      </c>
      <c r="T215" s="40">
        <f>IF($B$10="",0,IF($B$10&lt;=$B$6,Upaya_Debitur[[#This Row],[Set Off]],0))</f>
        <v>0</v>
      </c>
      <c r="U215" s="37">
        <v>0</v>
      </c>
      <c r="V215" s="37">
        <v>0</v>
      </c>
      <c r="W215" s="37">
        <v>0</v>
      </c>
      <c r="X215" s="37">
        <v>0</v>
      </c>
      <c r="Y215" s="37">
        <v>0</v>
      </c>
      <c r="Z215" s="37">
        <v>300000</v>
      </c>
      <c r="AA215" s="37">
        <v>0</v>
      </c>
      <c r="AB215" s="37">
        <v>0</v>
      </c>
      <c r="AC215" s="37">
        <v>0</v>
      </c>
      <c r="AD215" s="37">
        <v>0</v>
      </c>
      <c r="AE215" s="37">
        <v>0</v>
      </c>
      <c r="AF215" s="37">
        <v>0</v>
      </c>
      <c r="AG215" s="37">
        <v>0</v>
      </c>
      <c r="AH215" s="37">
        <v>0</v>
      </c>
      <c r="AI215" s="37">
        <v>0</v>
      </c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40">
        <f ca="1">SUM(OFFSET(Upaya_Debitur[[#This Row],[Haircut Diperhitungkan]],0,0,1,$B$7+2))</f>
        <v>300000</v>
      </c>
      <c r="BR215" s="35" t="str">
        <f ca="1">IF(Upaya_Debitur[[#This Row],[Total Pencairan]]&gt;=Upaya_Debitur[[#This Row],[Kewajiban Total]],"Lunas","Belum Lunas")</f>
        <v>Belum Lunas</v>
      </c>
      <c r="BS215" s="35" t="str">
        <f t="shared" si="9"/>
        <v>Ya</v>
      </c>
      <c r="BT215" s="35" t="str">
        <f t="shared" si="10"/>
        <v>Ya</v>
      </c>
      <c r="BU21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1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1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15" s="35" t="str">
        <f>IF(Upaya_Debitur[[#This Row],[Kondisi Debitur]]="Tidak ditemukan","Ya","Tidak")</f>
        <v>Tidak</v>
      </c>
      <c r="BY21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1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1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15" s="18">
        <v>43781</v>
      </c>
      <c r="CC215" s="18">
        <v>43999</v>
      </c>
      <c r="CD215" s="18">
        <v>43826</v>
      </c>
      <c r="CE215" s="18">
        <v>43871</v>
      </c>
      <c r="CF215" s="18">
        <v>43887</v>
      </c>
      <c r="CG215" s="18"/>
      <c r="CH215" s="18">
        <v>44057</v>
      </c>
      <c r="CI215" s="18">
        <v>44077</v>
      </c>
      <c r="CJ215" s="18"/>
      <c r="CK215" s="35">
        <f ca="1">COUNTIF(Upaya_Debitur[[#This Row],[Surat Pemberitahuan?]:[Gugatan Sederhana?]],"Ya")</f>
        <v>7</v>
      </c>
      <c r="CL215" s="35">
        <f ca="1">Upaya_Debitur[[#This Row],[Target Upaya]]-COUNTIFS(Upaya_Debitur[[#This Row],[Surat Pemberitahuan?]:[Gugatan Sederhana?]],"Ya",Upaya_Debitur[[#This Row],[Surat Pemberitahuan]:[Gugatan Sederhana]],"")</f>
        <v>7</v>
      </c>
      <c r="CM215" s="36">
        <f ca="1">IF(ISNUMBER(Upaya_Debitur[[#This Row],[Realisasi]]/Upaya_Debitur[[#This Row],[Target Upaya]]),Upaya_Debitur[[#This Row],[Realisasi]]/Upaya_Debitur[[#This Row],[Target Upaya]],1)</f>
        <v>1</v>
      </c>
    </row>
    <row r="216" spans="1:91" x14ac:dyDescent="0.3">
      <c r="A216" s="16">
        <v>198</v>
      </c>
      <c r="B216" s="17"/>
      <c r="C216" s="17" t="s">
        <v>567</v>
      </c>
      <c r="D216" s="16" t="s">
        <v>568</v>
      </c>
      <c r="E216" s="37">
        <v>114068</v>
      </c>
      <c r="F216" s="37">
        <v>0</v>
      </c>
      <c r="G216" s="37">
        <v>0</v>
      </c>
      <c r="H216" s="40">
        <f>SUM(Upaya_Debitur[[#This Row],[Kewajiban Pokok]:[Kewajiban Denda]])</f>
        <v>114068</v>
      </c>
      <c r="I216" s="37"/>
      <c r="J216" s="40">
        <f>IF(ISNUMBER(Upaya_Debitur[[#This Row],[Angsuran Sesuai PK]]),Upaya_Debitur[[#This Row],[Angsuran Sesuai PK]],1)</f>
        <v>1</v>
      </c>
      <c r="K216" s="76"/>
      <c r="L216" s="16" t="s">
        <v>37</v>
      </c>
      <c r="N216" s="18"/>
      <c r="O216" s="76"/>
      <c r="P216" s="37"/>
      <c r="Q216" s="41"/>
      <c r="R216" s="37"/>
      <c r="S216" s="40">
        <f>IF(Upaya_Debitur[[#This Row],[Periode Haircut]]="",0,IF(Upaya_Debitur[[#This Row],[Periode Haircut]]&lt;=$B$6,Upaya_Debitur[[#This Row],[Haircut]],0))</f>
        <v>0</v>
      </c>
      <c r="T216" s="40">
        <f>IF($B$10="",0,IF($B$10&lt;=$B$6,Upaya_Debitur[[#This Row],[Set Off]],0))</f>
        <v>0</v>
      </c>
      <c r="U216" s="37">
        <v>0</v>
      </c>
      <c r="V216" s="37">
        <v>0</v>
      </c>
      <c r="W216" s="37">
        <v>0</v>
      </c>
      <c r="X216" s="37">
        <v>0</v>
      </c>
      <c r="Y216" s="37">
        <v>0</v>
      </c>
      <c r="Z216" s="37">
        <v>0</v>
      </c>
      <c r="AA216" s="37">
        <v>0</v>
      </c>
      <c r="AB216" s="37">
        <v>0</v>
      </c>
      <c r="AC216" s="37">
        <v>0</v>
      </c>
      <c r="AD216" s="37">
        <v>0</v>
      </c>
      <c r="AE216" s="37">
        <v>0</v>
      </c>
      <c r="AF216" s="37">
        <v>0</v>
      </c>
      <c r="AG216" s="37">
        <v>0</v>
      </c>
      <c r="AH216" s="37">
        <v>0</v>
      </c>
      <c r="AI216" s="37">
        <v>0</v>
      </c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40">
        <f ca="1">SUM(OFFSET(Upaya_Debitur[[#This Row],[Haircut Diperhitungkan]],0,0,1,$B$7+2))</f>
        <v>0</v>
      </c>
      <c r="BR216" s="35" t="str">
        <f ca="1">IF(Upaya_Debitur[[#This Row],[Total Pencairan]]&gt;=Upaya_Debitur[[#This Row],[Kewajiban Total]],"Lunas","Belum Lunas")</f>
        <v>Belum Lunas</v>
      </c>
      <c r="BS216" s="35" t="str">
        <f t="shared" si="9"/>
        <v>Ya</v>
      </c>
      <c r="BT216" s="35" t="str">
        <f t="shared" si="10"/>
        <v>Ya</v>
      </c>
      <c r="BU21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1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1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16" s="35" t="str">
        <f>IF(Upaya_Debitur[[#This Row],[Kondisi Debitur]]="Tidak ditemukan","Ya","Tidak")</f>
        <v>Ya</v>
      </c>
      <c r="BY21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1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1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16" s="18">
        <v>43781</v>
      </c>
      <c r="CC216" s="18">
        <v>43999</v>
      </c>
      <c r="CD216" s="18">
        <v>43826</v>
      </c>
      <c r="CE216" s="18">
        <v>43871</v>
      </c>
      <c r="CF216" s="18">
        <v>43887</v>
      </c>
      <c r="CG216" s="18">
        <v>44035</v>
      </c>
      <c r="CH216" s="18">
        <v>44057</v>
      </c>
      <c r="CI216" s="18">
        <v>44077</v>
      </c>
      <c r="CJ216" s="18"/>
      <c r="CK216" s="35">
        <f ca="1">COUNTIF(Upaya_Debitur[[#This Row],[Surat Pemberitahuan?]:[Gugatan Sederhana?]],"Ya")</f>
        <v>8</v>
      </c>
      <c r="CL216" s="35">
        <f ca="1">Upaya_Debitur[[#This Row],[Target Upaya]]-COUNTIFS(Upaya_Debitur[[#This Row],[Surat Pemberitahuan?]:[Gugatan Sederhana?]],"Ya",Upaya_Debitur[[#This Row],[Surat Pemberitahuan]:[Gugatan Sederhana]],"")</f>
        <v>8</v>
      </c>
      <c r="CM216" s="36">
        <f ca="1">IF(ISNUMBER(Upaya_Debitur[[#This Row],[Realisasi]]/Upaya_Debitur[[#This Row],[Target Upaya]]),Upaya_Debitur[[#This Row],[Realisasi]]/Upaya_Debitur[[#This Row],[Target Upaya]],1)</f>
        <v>1</v>
      </c>
    </row>
    <row r="217" spans="1:91" x14ac:dyDescent="0.3">
      <c r="A217" s="16">
        <v>199</v>
      </c>
      <c r="B217" s="17"/>
      <c r="C217" s="17" t="s">
        <v>569</v>
      </c>
      <c r="D217" s="16" t="s">
        <v>570</v>
      </c>
      <c r="E217" s="37">
        <v>4930000</v>
      </c>
      <c r="F217" s="37">
        <v>0</v>
      </c>
      <c r="G217" s="37">
        <v>0</v>
      </c>
      <c r="H217" s="40">
        <f>SUM(Upaya_Debitur[[#This Row],[Kewajiban Pokok]:[Kewajiban Denda]])</f>
        <v>4930000</v>
      </c>
      <c r="I217" s="37"/>
      <c r="J217" s="40">
        <f>IF(ISNUMBER(Upaya_Debitur[[#This Row],[Angsuran Sesuai PK]]),Upaya_Debitur[[#This Row],[Angsuran Sesuai PK]],1)</f>
        <v>1</v>
      </c>
      <c r="K217" s="76"/>
      <c r="L217" s="16" t="s">
        <v>83</v>
      </c>
      <c r="N217" s="18"/>
      <c r="O217" s="76"/>
      <c r="P217" s="37"/>
      <c r="Q217" s="41"/>
      <c r="R217" s="37"/>
      <c r="S217" s="40">
        <f>IF(Upaya_Debitur[[#This Row],[Periode Haircut]]="",0,IF(Upaya_Debitur[[#This Row],[Periode Haircut]]&lt;=$B$6,Upaya_Debitur[[#This Row],[Haircut]],0))</f>
        <v>0</v>
      </c>
      <c r="T217" s="40">
        <f>IF($B$10="",0,IF($B$10&lt;=$B$6,Upaya_Debitur[[#This Row],[Set Off]],0))</f>
        <v>0</v>
      </c>
      <c r="U217" s="37">
        <v>0</v>
      </c>
      <c r="V217" s="37">
        <v>0</v>
      </c>
      <c r="W217" s="37">
        <v>0</v>
      </c>
      <c r="X217" s="37">
        <v>0</v>
      </c>
      <c r="Y217" s="37">
        <v>0</v>
      </c>
      <c r="Z217" s="37">
        <v>0</v>
      </c>
      <c r="AA217" s="37">
        <v>0</v>
      </c>
      <c r="AB217" s="37">
        <v>0</v>
      </c>
      <c r="AC217" s="37">
        <v>0</v>
      </c>
      <c r="AD217" s="37">
        <v>0</v>
      </c>
      <c r="AE217" s="37">
        <v>0</v>
      </c>
      <c r="AF217" s="37">
        <v>0</v>
      </c>
      <c r="AG217" s="37">
        <v>0</v>
      </c>
      <c r="AH217" s="37">
        <v>0</v>
      </c>
      <c r="AI217" s="37">
        <v>0</v>
      </c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40">
        <f ca="1">SUM(OFFSET(Upaya_Debitur[[#This Row],[Haircut Diperhitungkan]],0,0,1,$B$7+2))</f>
        <v>0</v>
      </c>
      <c r="BR217" s="35" t="str">
        <f ca="1">IF(Upaya_Debitur[[#This Row],[Total Pencairan]]&gt;=Upaya_Debitur[[#This Row],[Kewajiban Total]],"Lunas","Belum Lunas")</f>
        <v>Belum Lunas</v>
      </c>
      <c r="BS217" s="35" t="str">
        <f t="shared" si="9"/>
        <v>Ya</v>
      </c>
      <c r="BT217" s="35" t="str">
        <f t="shared" si="10"/>
        <v>Ya</v>
      </c>
      <c r="BU21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1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1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17" s="35" t="str">
        <f>IF(Upaya_Debitur[[#This Row],[Kondisi Debitur]]="Tidak ditemukan","Ya","Tidak")</f>
        <v>Tidak</v>
      </c>
      <c r="BY21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1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1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17" s="18">
        <v>43781</v>
      </c>
      <c r="CC217" s="18">
        <v>43999</v>
      </c>
      <c r="CD217" s="18">
        <v>43826</v>
      </c>
      <c r="CE217" s="18">
        <v>43871</v>
      </c>
      <c r="CF217" s="18">
        <v>43887</v>
      </c>
      <c r="CG217" s="18">
        <v>43888</v>
      </c>
      <c r="CH217" s="18">
        <v>44057</v>
      </c>
      <c r="CI217" s="18">
        <v>44077</v>
      </c>
      <c r="CJ217" s="18"/>
      <c r="CK217" s="35">
        <f ca="1">COUNTIF(Upaya_Debitur[[#This Row],[Surat Pemberitahuan?]:[Gugatan Sederhana?]],"Ya")</f>
        <v>7</v>
      </c>
      <c r="CL217" s="35">
        <f ca="1">Upaya_Debitur[[#This Row],[Target Upaya]]-COUNTIFS(Upaya_Debitur[[#This Row],[Surat Pemberitahuan?]:[Gugatan Sederhana?]],"Ya",Upaya_Debitur[[#This Row],[Surat Pemberitahuan]:[Gugatan Sederhana]],"")</f>
        <v>7</v>
      </c>
      <c r="CM217" s="36">
        <f ca="1">IF(ISNUMBER(Upaya_Debitur[[#This Row],[Realisasi]]/Upaya_Debitur[[#This Row],[Target Upaya]]),Upaya_Debitur[[#This Row],[Realisasi]]/Upaya_Debitur[[#This Row],[Target Upaya]],1)</f>
        <v>1</v>
      </c>
    </row>
    <row r="218" spans="1:91" x14ac:dyDescent="0.3">
      <c r="A218" s="16">
        <v>200</v>
      </c>
      <c r="B218" s="17"/>
      <c r="C218" s="17" t="s">
        <v>571</v>
      </c>
      <c r="D218" s="16" t="s">
        <v>572</v>
      </c>
      <c r="E218" s="37">
        <v>1330000</v>
      </c>
      <c r="F218" s="37">
        <v>0</v>
      </c>
      <c r="G218" s="37">
        <v>0</v>
      </c>
      <c r="H218" s="40">
        <f>SUM(Upaya_Debitur[[#This Row],[Kewajiban Pokok]:[Kewajiban Denda]])</f>
        <v>1330000</v>
      </c>
      <c r="I218" s="37"/>
      <c r="J218" s="40">
        <f>IF(ISNUMBER(Upaya_Debitur[[#This Row],[Angsuran Sesuai PK]]),Upaya_Debitur[[#This Row],[Angsuran Sesuai PK]],1)</f>
        <v>1</v>
      </c>
      <c r="K218" s="76"/>
      <c r="L218" s="16" t="s">
        <v>37</v>
      </c>
      <c r="N218" s="18"/>
      <c r="O218" s="76"/>
      <c r="P218" s="37"/>
      <c r="Q218" s="41"/>
      <c r="R218" s="37"/>
      <c r="S218" s="40">
        <f>IF(Upaya_Debitur[[#This Row],[Periode Haircut]]="",0,IF(Upaya_Debitur[[#This Row],[Periode Haircut]]&lt;=$B$6,Upaya_Debitur[[#This Row],[Haircut]],0))</f>
        <v>0</v>
      </c>
      <c r="T218" s="40">
        <f>IF($B$10="",0,IF($B$10&lt;=$B$6,Upaya_Debitur[[#This Row],[Set Off]],0))</f>
        <v>0</v>
      </c>
      <c r="U218" s="37">
        <v>0</v>
      </c>
      <c r="V218" s="37">
        <v>0</v>
      </c>
      <c r="W218" s="37">
        <v>0</v>
      </c>
      <c r="X218" s="37">
        <v>0</v>
      </c>
      <c r="Y218" s="37">
        <v>0</v>
      </c>
      <c r="Z218" s="37">
        <v>0</v>
      </c>
      <c r="AA218" s="37">
        <v>0</v>
      </c>
      <c r="AB218" s="37">
        <v>0</v>
      </c>
      <c r="AC218" s="37">
        <v>0</v>
      </c>
      <c r="AD218" s="37">
        <v>0</v>
      </c>
      <c r="AE218" s="37">
        <v>0</v>
      </c>
      <c r="AF218" s="37">
        <v>0</v>
      </c>
      <c r="AG218" s="37">
        <v>0</v>
      </c>
      <c r="AH218" s="37">
        <v>0</v>
      </c>
      <c r="AI218" s="37">
        <v>0</v>
      </c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40">
        <f ca="1">SUM(OFFSET(Upaya_Debitur[[#This Row],[Haircut Diperhitungkan]],0,0,1,$B$7+2))</f>
        <v>0</v>
      </c>
      <c r="BR218" s="35" t="str">
        <f ca="1">IF(Upaya_Debitur[[#This Row],[Total Pencairan]]&gt;=Upaya_Debitur[[#This Row],[Kewajiban Total]],"Lunas","Belum Lunas")</f>
        <v>Belum Lunas</v>
      </c>
      <c r="BS218" s="35" t="str">
        <f t="shared" si="9"/>
        <v>Ya</v>
      </c>
      <c r="BT218" s="35" t="str">
        <f t="shared" si="10"/>
        <v>Ya</v>
      </c>
      <c r="BU21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1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1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18" s="35" t="str">
        <f>IF(Upaya_Debitur[[#This Row],[Kondisi Debitur]]="Tidak ditemukan","Ya","Tidak")</f>
        <v>Ya</v>
      </c>
      <c r="BY21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1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1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18" s="18">
        <v>43781</v>
      </c>
      <c r="CC218" s="18">
        <v>43999</v>
      </c>
      <c r="CD218" s="18">
        <v>43826</v>
      </c>
      <c r="CE218" s="18">
        <v>43871</v>
      </c>
      <c r="CF218" s="18">
        <v>43887</v>
      </c>
      <c r="CG218" s="18">
        <v>43888</v>
      </c>
      <c r="CH218" s="18">
        <v>44057</v>
      </c>
      <c r="CI218" s="18">
        <v>44077</v>
      </c>
      <c r="CJ218" s="18"/>
      <c r="CK218" s="35">
        <f ca="1">COUNTIF(Upaya_Debitur[[#This Row],[Surat Pemberitahuan?]:[Gugatan Sederhana?]],"Ya")</f>
        <v>8</v>
      </c>
      <c r="CL218" s="35">
        <f ca="1">Upaya_Debitur[[#This Row],[Target Upaya]]-COUNTIFS(Upaya_Debitur[[#This Row],[Surat Pemberitahuan?]:[Gugatan Sederhana?]],"Ya",Upaya_Debitur[[#This Row],[Surat Pemberitahuan]:[Gugatan Sederhana]],"")</f>
        <v>8</v>
      </c>
      <c r="CM218" s="36">
        <f ca="1">IF(ISNUMBER(Upaya_Debitur[[#This Row],[Realisasi]]/Upaya_Debitur[[#This Row],[Target Upaya]]),Upaya_Debitur[[#This Row],[Realisasi]]/Upaya_Debitur[[#This Row],[Target Upaya]],1)</f>
        <v>1</v>
      </c>
    </row>
    <row r="219" spans="1:91" x14ac:dyDescent="0.3">
      <c r="A219" s="16">
        <v>201</v>
      </c>
      <c r="B219" s="17"/>
      <c r="C219" s="17" t="s">
        <v>573</v>
      </c>
      <c r="D219" s="16" t="s">
        <v>574</v>
      </c>
      <c r="E219" s="37">
        <v>146000</v>
      </c>
      <c r="F219" s="37">
        <v>0</v>
      </c>
      <c r="G219" s="37">
        <v>0</v>
      </c>
      <c r="H219" s="40">
        <f>SUM(Upaya_Debitur[[#This Row],[Kewajiban Pokok]:[Kewajiban Denda]])</f>
        <v>146000</v>
      </c>
      <c r="I219" s="37"/>
      <c r="J219" s="40">
        <f>IF(ISNUMBER(Upaya_Debitur[[#This Row],[Angsuran Sesuai PK]]),Upaya_Debitur[[#This Row],[Angsuran Sesuai PK]],1)</f>
        <v>1</v>
      </c>
      <c r="K219" s="76"/>
      <c r="L219" s="16" t="s">
        <v>37</v>
      </c>
      <c r="N219" s="18"/>
      <c r="O219" s="76"/>
      <c r="P219" s="37"/>
      <c r="Q219" s="41"/>
      <c r="R219" s="37"/>
      <c r="S219" s="40">
        <f>IF(Upaya_Debitur[[#This Row],[Periode Haircut]]="",0,IF(Upaya_Debitur[[#This Row],[Periode Haircut]]&lt;=$B$6,Upaya_Debitur[[#This Row],[Haircut]],0))</f>
        <v>0</v>
      </c>
      <c r="T219" s="40">
        <f>IF($B$10="",0,IF($B$10&lt;=$B$6,Upaya_Debitur[[#This Row],[Set Off]],0))</f>
        <v>0</v>
      </c>
      <c r="U219" s="37">
        <v>0</v>
      </c>
      <c r="V219" s="37">
        <v>0</v>
      </c>
      <c r="W219" s="37">
        <v>0</v>
      </c>
      <c r="X219" s="37">
        <v>0</v>
      </c>
      <c r="Y219" s="37">
        <v>0</v>
      </c>
      <c r="Z219" s="37">
        <v>0</v>
      </c>
      <c r="AA219" s="37">
        <v>0</v>
      </c>
      <c r="AB219" s="37">
        <v>0</v>
      </c>
      <c r="AC219" s="37">
        <v>0</v>
      </c>
      <c r="AD219" s="37">
        <v>0</v>
      </c>
      <c r="AE219" s="37">
        <v>0</v>
      </c>
      <c r="AF219" s="37">
        <v>0</v>
      </c>
      <c r="AG219" s="37">
        <v>0</v>
      </c>
      <c r="AH219" s="37">
        <v>0</v>
      </c>
      <c r="AI219" s="37">
        <v>0</v>
      </c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40">
        <f ca="1">SUM(OFFSET(Upaya_Debitur[[#This Row],[Haircut Diperhitungkan]],0,0,1,$B$7+2))</f>
        <v>0</v>
      </c>
      <c r="BR219" s="35" t="str">
        <f ca="1">IF(Upaya_Debitur[[#This Row],[Total Pencairan]]&gt;=Upaya_Debitur[[#This Row],[Kewajiban Total]],"Lunas","Belum Lunas")</f>
        <v>Belum Lunas</v>
      </c>
      <c r="BS219" s="35" t="str">
        <f t="shared" si="9"/>
        <v>Ya</v>
      </c>
      <c r="BT219" s="35" t="str">
        <f t="shared" si="10"/>
        <v>Ya</v>
      </c>
      <c r="BU21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1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1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19" s="35" t="str">
        <f>IF(Upaya_Debitur[[#This Row],[Kondisi Debitur]]="Tidak ditemukan","Ya","Tidak")</f>
        <v>Ya</v>
      </c>
      <c r="BY21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1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1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19" s="18">
        <v>43781</v>
      </c>
      <c r="CC219" s="18">
        <v>43999</v>
      </c>
      <c r="CD219" s="18">
        <v>43826</v>
      </c>
      <c r="CE219" s="18">
        <v>43871</v>
      </c>
      <c r="CF219" s="18">
        <v>43887</v>
      </c>
      <c r="CG219" s="18">
        <v>44035</v>
      </c>
      <c r="CH219" s="18">
        <v>44057</v>
      </c>
      <c r="CI219" s="18">
        <v>44077</v>
      </c>
      <c r="CJ219" s="18"/>
      <c r="CK219" s="35">
        <f ca="1">COUNTIF(Upaya_Debitur[[#This Row],[Surat Pemberitahuan?]:[Gugatan Sederhana?]],"Ya")</f>
        <v>8</v>
      </c>
      <c r="CL219" s="35">
        <f ca="1">Upaya_Debitur[[#This Row],[Target Upaya]]-COUNTIFS(Upaya_Debitur[[#This Row],[Surat Pemberitahuan?]:[Gugatan Sederhana?]],"Ya",Upaya_Debitur[[#This Row],[Surat Pemberitahuan]:[Gugatan Sederhana]],"")</f>
        <v>8</v>
      </c>
      <c r="CM219" s="36">
        <f ca="1">IF(ISNUMBER(Upaya_Debitur[[#This Row],[Realisasi]]/Upaya_Debitur[[#This Row],[Target Upaya]]),Upaya_Debitur[[#This Row],[Realisasi]]/Upaya_Debitur[[#This Row],[Target Upaya]],1)</f>
        <v>1</v>
      </c>
    </row>
    <row r="220" spans="1:91" x14ac:dyDescent="0.3">
      <c r="A220" s="16">
        <v>202</v>
      </c>
      <c r="B220" s="17"/>
      <c r="C220" s="17" t="s">
        <v>575</v>
      </c>
      <c r="D220" s="16" t="s">
        <v>576</v>
      </c>
      <c r="E220" s="37">
        <v>3815358</v>
      </c>
      <c r="F220" s="37">
        <v>0</v>
      </c>
      <c r="G220" s="37">
        <v>0</v>
      </c>
      <c r="H220" s="40">
        <f>SUM(Upaya_Debitur[[#This Row],[Kewajiban Pokok]:[Kewajiban Denda]])</f>
        <v>3815358</v>
      </c>
      <c r="I220" s="37"/>
      <c r="J220" s="40">
        <f>IF(ISNUMBER(Upaya_Debitur[[#This Row],[Angsuran Sesuai PK]]),Upaya_Debitur[[#This Row],[Angsuran Sesuai PK]],1)</f>
        <v>1</v>
      </c>
      <c r="K220" s="76"/>
      <c r="L220" s="16" t="s">
        <v>37</v>
      </c>
      <c r="N220" s="18"/>
      <c r="O220" s="76"/>
      <c r="P220" s="37"/>
      <c r="Q220" s="41"/>
      <c r="R220" s="37"/>
      <c r="S220" s="40">
        <f>IF(Upaya_Debitur[[#This Row],[Periode Haircut]]="",0,IF(Upaya_Debitur[[#This Row],[Periode Haircut]]&lt;=$B$6,Upaya_Debitur[[#This Row],[Haircut]],0))</f>
        <v>0</v>
      </c>
      <c r="T220" s="40">
        <f>IF($B$10="",0,IF($B$10&lt;=$B$6,Upaya_Debitur[[#This Row],[Set Off]],0))</f>
        <v>0</v>
      </c>
      <c r="U220" s="37">
        <v>0</v>
      </c>
      <c r="V220" s="37">
        <v>0</v>
      </c>
      <c r="W220" s="37">
        <v>0</v>
      </c>
      <c r="X220" s="37">
        <v>0</v>
      </c>
      <c r="Y220" s="37">
        <v>0</v>
      </c>
      <c r="Z220" s="37">
        <v>0</v>
      </c>
      <c r="AA220" s="37">
        <v>0</v>
      </c>
      <c r="AB220" s="37">
        <v>0</v>
      </c>
      <c r="AC220" s="37">
        <v>0</v>
      </c>
      <c r="AD220" s="37">
        <v>0</v>
      </c>
      <c r="AE220" s="37">
        <v>0</v>
      </c>
      <c r="AF220" s="37">
        <v>0</v>
      </c>
      <c r="AG220" s="37">
        <v>0</v>
      </c>
      <c r="AH220" s="37">
        <v>0</v>
      </c>
      <c r="AI220" s="37">
        <v>0</v>
      </c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40">
        <f ca="1">SUM(OFFSET(Upaya_Debitur[[#This Row],[Haircut Diperhitungkan]],0,0,1,$B$7+2))</f>
        <v>0</v>
      </c>
      <c r="BR220" s="35" t="str">
        <f ca="1">IF(Upaya_Debitur[[#This Row],[Total Pencairan]]&gt;=Upaya_Debitur[[#This Row],[Kewajiban Total]],"Lunas","Belum Lunas")</f>
        <v>Belum Lunas</v>
      </c>
      <c r="BS220" s="35" t="str">
        <f t="shared" si="9"/>
        <v>Ya</v>
      </c>
      <c r="BT220" s="35" t="str">
        <f t="shared" si="10"/>
        <v>Ya</v>
      </c>
      <c r="BU22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2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2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20" s="35" t="str">
        <f>IF(Upaya_Debitur[[#This Row],[Kondisi Debitur]]="Tidak ditemukan","Ya","Tidak")</f>
        <v>Ya</v>
      </c>
      <c r="BY22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2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2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20" s="18">
        <v>43781</v>
      </c>
      <c r="CC220" s="18">
        <v>43999</v>
      </c>
      <c r="CD220" s="18">
        <v>43826</v>
      </c>
      <c r="CE220" s="18">
        <v>43871</v>
      </c>
      <c r="CF220" s="18">
        <v>43887</v>
      </c>
      <c r="CG220" s="18">
        <v>43888</v>
      </c>
      <c r="CH220" s="18">
        <v>44057</v>
      </c>
      <c r="CI220" s="18">
        <v>44077</v>
      </c>
      <c r="CJ220" s="18"/>
      <c r="CK220" s="35">
        <f ca="1">COUNTIF(Upaya_Debitur[[#This Row],[Surat Pemberitahuan?]:[Gugatan Sederhana?]],"Ya")</f>
        <v>8</v>
      </c>
      <c r="CL220" s="35">
        <f ca="1">Upaya_Debitur[[#This Row],[Target Upaya]]-COUNTIFS(Upaya_Debitur[[#This Row],[Surat Pemberitahuan?]:[Gugatan Sederhana?]],"Ya",Upaya_Debitur[[#This Row],[Surat Pemberitahuan]:[Gugatan Sederhana]],"")</f>
        <v>8</v>
      </c>
      <c r="CM220" s="36">
        <f ca="1">IF(ISNUMBER(Upaya_Debitur[[#This Row],[Realisasi]]/Upaya_Debitur[[#This Row],[Target Upaya]]),Upaya_Debitur[[#This Row],[Realisasi]]/Upaya_Debitur[[#This Row],[Target Upaya]],1)</f>
        <v>1</v>
      </c>
    </row>
    <row r="221" spans="1:91" x14ac:dyDescent="0.3">
      <c r="A221" s="16">
        <v>203</v>
      </c>
      <c r="B221" s="17"/>
      <c r="C221" s="17" t="s">
        <v>577</v>
      </c>
      <c r="D221" s="16" t="s">
        <v>578</v>
      </c>
      <c r="E221" s="37">
        <v>171871</v>
      </c>
      <c r="F221" s="37">
        <v>0</v>
      </c>
      <c r="G221" s="37">
        <v>0</v>
      </c>
      <c r="H221" s="40">
        <f>SUM(Upaya_Debitur[[#This Row],[Kewajiban Pokok]:[Kewajiban Denda]])</f>
        <v>171871</v>
      </c>
      <c r="I221" s="37"/>
      <c r="J221" s="40">
        <f>IF(ISNUMBER(Upaya_Debitur[[#This Row],[Angsuran Sesuai PK]]),Upaya_Debitur[[#This Row],[Angsuran Sesuai PK]],1)</f>
        <v>1</v>
      </c>
      <c r="K221" s="76"/>
      <c r="L221" s="16" t="s">
        <v>37</v>
      </c>
      <c r="N221" s="18"/>
      <c r="O221" s="76"/>
      <c r="P221" s="37"/>
      <c r="Q221" s="41"/>
      <c r="R221" s="37"/>
      <c r="S221" s="40">
        <f>IF(Upaya_Debitur[[#This Row],[Periode Haircut]]="",0,IF(Upaya_Debitur[[#This Row],[Periode Haircut]]&lt;=$B$6,Upaya_Debitur[[#This Row],[Haircut]],0))</f>
        <v>0</v>
      </c>
      <c r="T221" s="40">
        <f>IF($B$10="",0,IF($B$10&lt;=$B$6,Upaya_Debitur[[#This Row],[Set Off]],0))</f>
        <v>0</v>
      </c>
      <c r="U221" s="37">
        <v>0</v>
      </c>
      <c r="V221" s="37">
        <v>0</v>
      </c>
      <c r="W221" s="37">
        <v>0</v>
      </c>
      <c r="X221" s="37">
        <v>0</v>
      </c>
      <c r="Y221" s="37">
        <v>0</v>
      </c>
      <c r="Z221" s="37">
        <v>0</v>
      </c>
      <c r="AA221" s="37">
        <v>0</v>
      </c>
      <c r="AB221" s="37">
        <v>0</v>
      </c>
      <c r="AC221" s="37">
        <v>0</v>
      </c>
      <c r="AD221" s="37">
        <v>0</v>
      </c>
      <c r="AE221" s="37">
        <v>0</v>
      </c>
      <c r="AF221" s="37">
        <v>0</v>
      </c>
      <c r="AG221" s="37">
        <v>0</v>
      </c>
      <c r="AH221" s="37">
        <v>0</v>
      </c>
      <c r="AI221" s="37">
        <v>0</v>
      </c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40">
        <f ca="1">SUM(OFFSET(Upaya_Debitur[[#This Row],[Haircut Diperhitungkan]],0,0,1,$B$7+2))</f>
        <v>0</v>
      </c>
      <c r="BR221" s="35" t="str">
        <f ca="1">IF(Upaya_Debitur[[#This Row],[Total Pencairan]]&gt;=Upaya_Debitur[[#This Row],[Kewajiban Total]],"Lunas","Belum Lunas")</f>
        <v>Belum Lunas</v>
      </c>
      <c r="BS221" s="35" t="str">
        <f t="shared" si="9"/>
        <v>Ya</v>
      </c>
      <c r="BT221" s="35" t="str">
        <f t="shared" si="10"/>
        <v>Ya</v>
      </c>
      <c r="BU22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2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2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21" s="35" t="str">
        <f>IF(Upaya_Debitur[[#This Row],[Kondisi Debitur]]="Tidak ditemukan","Ya","Tidak")</f>
        <v>Ya</v>
      </c>
      <c r="BY22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2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2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21" s="18">
        <v>43781</v>
      </c>
      <c r="CC221" s="18">
        <v>43999</v>
      </c>
      <c r="CD221" s="18">
        <v>43826</v>
      </c>
      <c r="CE221" s="18">
        <v>43871</v>
      </c>
      <c r="CF221" s="18">
        <v>43887</v>
      </c>
      <c r="CG221" s="18">
        <v>44035</v>
      </c>
      <c r="CH221" s="18">
        <v>44057</v>
      </c>
      <c r="CI221" s="18">
        <v>44077</v>
      </c>
      <c r="CJ221" s="18"/>
      <c r="CK221" s="35">
        <f ca="1">COUNTIF(Upaya_Debitur[[#This Row],[Surat Pemberitahuan?]:[Gugatan Sederhana?]],"Ya")</f>
        <v>8</v>
      </c>
      <c r="CL221" s="35">
        <f ca="1">Upaya_Debitur[[#This Row],[Target Upaya]]-COUNTIFS(Upaya_Debitur[[#This Row],[Surat Pemberitahuan?]:[Gugatan Sederhana?]],"Ya",Upaya_Debitur[[#This Row],[Surat Pemberitahuan]:[Gugatan Sederhana]],"")</f>
        <v>8</v>
      </c>
      <c r="CM221" s="36">
        <f ca="1">IF(ISNUMBER(Upaya_Debitur[[#This Row],[Realisasi]]/Upaya_Debitur[[#This Row],[Target Upaya]]),Upaya_Debitur[[#This Row],[Realisasi]]/Upaya_Debitur[[#This Row],[Target Upaya]],1)</f>
        <v>1</v>
      </c>
    </row>
    <row r="222" spans="1:91" x14ac:dyDescent="0.3">
      <c r="A222" s="16">
        <v>204</v>
      </c>
      <c r="B222" s="17"/>
      <c r="C222" s="17" t="s">
        <v>579</v>
      </c>
      <c r="D222" s="16" t="s">
        <v>580</v>
      </c>
      <c r="E222" s="37">
        <v>5452979</v>
      </c>
      <c r="F222" s="37">
        <v>0</v>
      </c>
      <c r="G222" s="37">
        <v>0</v>
      </c>
      <c r="H222" s="40">
        <f>SUM(Upaya_Debitur[[#This Row],[Kewajiban Pokok]:[Kewajiban Denda]])</f>
        <v>5452979</v>
      </c>
      <c r="I222" s="37"/>
      <c r="J222" s="40">
        <f>IF(ISNUMBER(Upaya_Debitur[[#This Row],[Angsuran Sesuai PK]]),Upaya_Debitur[[#This Row],[Angsuran Sesuai PK]],1)</f>
        <v>1</v>
      </c>
      <c r="K222" s="76"/>
      <c r="L222" s="16" t="s">
        <v>37</v>
      </c>
      <c r="N222" s="18"/>
      <c r="O222" s="76"/>
      <c r="P222" s="37"/>
      <c r="Q222" s="41"/>
      <c r="R222" s="37"/>
      <c r="S222" s="40">
        <f>IF(Upaya_Debitur[[#This Row],[Periode Haircut]]="",0,IF(Upaya_Debitur[[#This Row],[Periode Haircut]]&lt;=$B$6,Upaya_Debitur[[#This Row],[Haircut]],0))</f>
        <v>0</v>
      </c>
      <c r="T222" s="40">
        <f>IF($B$10="",0,IF($B$10&lt;=$B$6,Upaya_Debitur[[#This Row],[Set Off]],0))</f>
        <v>0</v>
      </c>
      <c r="U222" s="37">
        <v>0</v>
      </c>
      <c r="V222" s="37">
        <v>0</v>
      </c>
      <c r="W222" s="37">
        <v>0</v>
      </c>
      <c r="X222" s="37">
        <v>0</v>
      </c>
      <c r="Y222" s="37">
        <v>0</v>
      </c>
      <c r="Z222" s="37">
        <v>0</v>
      </c>
      <c r="AA222" s="37">
        <v>0</v>
      </c>
      <c r="AB222" s="37">
        <v>0</v>
      </c>
      <c r="AC222" s="37">
        <v>0</v>
      </c>
      <c r="AD222" s="37">
        <v>0</v>
      </c>
      <c r="AE222" s="37">
        <v>0</v>
      </c>
      <c r="AF222" s="37">
        <v>0</v>
      </c>
      <c r="AG222" s="37">
        <v>0</v>
      </c>
      <c r="AH222" s="37">
        <v>0</v>
      </c>
      <c r="AI222" s="37">
        <v>0</v>
      </c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40">
        <f ca="1">SUM(OFFSET(Upaya_Debitur[[#This Row],[Haircut Diperhitungkan]],0,0,1,$B$7+2))</f>
        <v>0</v>
      </c>
      <c r="BR222" s="35" t="str">
        <f ca="1">IF(Upaya_Debitur[[#This Row],[Total Pencairan]]&gt;=Upaya_Debitur[[#This Row],[Kewajiban Total]],"Lunas","Belum Lunas")</f>
        <v>Belum Lunas</v>
      </c>
      <c r="BS222" s="35" t="str">
        <f t="shared" si="9"/>
        <v>Ya</v>
      </c>
      <c r="BT222" s="35" t="str">
        <f t="shared" si="10"/>
        <v>Ya</v>
      </c>
      <c r="BU22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2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2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22" s="35" t="str">
        <f>IF(Upaya_Debitur[[#This Row],[Kondisi Debitur]]="Tidak ditemukan","Ya","Tidak")</f>
        <v>Ya</v>
      </c>
      <c r="BY22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2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2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22" s="18">
        <v>43781</v>
      </c>
      <c r="CC222" s="18">
        <v>43999</v>
      </c>
      <c r="CD222" s="18">
        <v>43826</v>
      </c>
      <c r="CE222" s="18">
        <v>43871</v>
      </c>
      <c r="CF222" s="18">
        <v>43887</v>
      </c>
      <c r="CG222" s="18">
        <v>43888</v>
      </c>
      <c r="CH222" s="18">
        <v>44057</v>
      </c>
      <c r="CI222" s="18">
        <v>44077</v>
      </c>
      <c r="CJ222" s="18"/>
      <c r="CK222" s="35">
        <f ca="1">COUNTIF(Upaya_Debitur[[#This Row],[Surat Pemberitahuan?]:[Gugatan Sederhana?]],"Ya")</f>
        <v>8</v>
      </c>
      <c r="CL222" s="35">
        <f ca="1">Upaya_Debitur[[#This Row],[Target Upaya]]-COUNTIFS(Upaya_Debitur[[#This Row],[Surat Pemberitahuan?]:[Gugatan Sederhana?]],"Ya",Upaya_Debitur[[#This Row],[Surat Pemberitahuan]:[Gugatan Sederhana]],"")</f>
        <v>8</v>
      </c>
      <c r="CM222" s="36">
        <f ca="1">IF(ISNUMBER(Upaya_Debitur[[#This Row],[Realisasi]]/Upaya_Debitur[[#This Row],[Target Upaya]]),Upaya_Debitur[[#This Row],[Realisasi]]/Upaya_Debitur[[#This Row],[Target Upaya]],1)</f>
        <v>1</v>
      </c>
    </row>
    <row r="223" spans="1:91" x14ac:dyDescent="0.3">
      <c r="A223" s="16">
        <v>205</v>
      </c>
      <c r="B223" s="17"/>
      <c r="C223" s="17" t="s">
        <v>581</v>
      </c>
      <c r="D223" s="16" t="s">
        <v>582</v>
      </c>
      <c r="E223" s="37">
        <v>679490</v>
      </c>
      <c r="F223" s="37">
        <v>0</v>
      </c>
      <c r="G223" s="37">
        <v>0</v>
      </c>
      <c r="H223" s="40">
        <f>SUM(Upaya_Debitur[[#This Row],[Kewajiban Pokok]:[Kewajiban Denda]])</f>
        <v>679490</v>
      </c>
      <c r="I223" s="37"/>
      <c r="J223" s="40">
        <f>IF(ISNUMBER(Upaya_Debitur[[#This Row],[Angsuran Sesuai PK]]),Upaya_Debitur[[#This Row],[Angsuran Sesuai PK]],1)</f>
        <v>1</v>
      </c>
      <c r="K223" s="76"/>
      <c r="L223" s="16" t="s">
        <v>37</v>
      </c>
      <c r="N223" s="18"/>
      <c r="O223" s="76"/>
      <c r="P223" s="37"/>
      <c r="Q223" s="41"/>
      <c r="R223" s="37"/>
      <c r="S223" s="40">
        <f>IF(Upaya_Debitur[[#This Row],[Periode Haircut]]="",0,IF(Upaya_Debitur[[#This Row],[Periode Haircut]]&lt;=$B$6,Upaya_Debitur[[#This Row],[Haircut]],0))</f>
        <v>0</v>
      </c>
      <c r="T223" s="40">
        <f>IF($B$10="",0,IF($B$10&lt;=$B$6,Upaya_Debitur[[#This Row],[Set Off]],0))</f>
        <v>0</v>
      </c>
      <c r="U223" s="37">
        <v>0</v>
      </c>
      <c r="V223" s="37">
        <v>0</v>
      </c>
      <c r="W223" s="37">
        <v>0</v>
      </c>
      <c r="X223" s="37">
        <v>0</v>
      </c>
      <c r="Y223" s="37">
        <v>0</v>
      </c>
      <c r="Z223" s="37">
        <v>0</v>
      </c>
      <c r="AA223" s="37">
        <v>0</v>
      </c>
      <c r="AB223" s="37">
        <v>0</v>
      </c>
      <c r="AC223" s="37">
        <v>0</v>
      </c>
      <c r="AD223" s="37">
        <v>0</v>
      </c>
      <c r="AE223" s="37">
        <v>0</v>
      </c>
      <c r="AF223" s="37">
        <v>0</v>
      </c>
      <c r="AG223" s="37">
        <v>0</v>
      </c>
      <c r="AH223" s="37">
        <v>0</v>
      </c>
      <c r="AI223" s="37">
        <v>0</v>
      </c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40">
        <f ca="1">SUM(OFFSET(Upaya_Debitur[[#This Row],[Haircut Diperhitungkan]],0,0,1,$B$7+2))</f>
        <v>0</v>
      </c>
      <c r="BR223" s="35" t="str">
        <f ca="1">IF(Upaya_Debitur[[#This Row],[Total Pencairan]]&gt;=Upaya_Debitur[[#This Row],[Kewajiban Total]],"Lunas","Belum Lunas")</f>
        <v>Belum Lunas</v>
      </c>
      <c r="BS223" s="35" t="str">
        <f t="shared" si="9"/>
        <v>Ya</v>
      </c>
      <c r="BT223" s="35" t="str">
        <f t="shared" si="10"/>
        <v>Ya</v>
      </c>
      <c r="BU22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2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2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23" s="35" t="str">
        <f>IF(Upaya_Debitur[[#This Row],[Kondisi Debitur]]="Tidak ditemukan","Ya","Tidak")</f>
        <v>Ya</v>
      </c>
      <c r="BY22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2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2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23" s="18">
        <v>43781</v>
      </c>
      <c r="CC223" s="18">
        <v>43999</v>
      </c>
      <c r="CD223" s="18">
        <v>43826</v>
      </c>
      <c r="CE223" s="18">
        <v>43871</v>
      </c>
      <c r="CF223" s="18">
        <v>43887</v>
      </c>
      <c r="CG223" s="18">
        <v>43888</v>
      </c>
      <c r="CH223" s="18">
        <v>44057</v>
      </c>
      <c r="CI223" s="18">
        <v>44077</v>
      </c>
      <c r="CJ223" s="18"/>
      <c r="CK223" s="35">
        <f ca="1">COUNTIF(Upaya_Debitur[[#This Row],[Surat Pemberitahuan?]:[Gugatan Sederhana?]],"Ya")</f>
        <v>8</v>
      </c>
      <c r="CL223" s="35">
        <f ca="1">Upaya_Debitur[[#This Row],[Target Upaya]]-COUNTIFS(Upaya_Debitur[[#This Row],[Surat Pemberitahuan?]:[Gugatan Sederhana?]],"Ya",Upaya_Debitur[[#This Row],[Surat Pemberitahuan]:[Gugatan Sederhana]],"")</f>
        <v>8</v>
      </c>
      <c r="CM223" s="36">
        <f ca="1">IF(ISNUMBER(Upaya_Debitur[[#This Row],[Realisasi]]/Upaya_Debitur[[#This Row],[Target Upaya]]),Upaya_Debitur[[#This Row],[Realisasi]]/Upaya_Debitur[[#This Row],[Target Upaya]],1)</f>
        <v>1</v>
      </c>
    </row>
    <row r="224" spans="1:91" x14ac:dyDescent="0.3">
      <c r="A224" s="16">
        <v>206</v>
      </c>
      <c r="B224" s="17"/>
      <c r="C224" s="17" t="s">
        <v>583</v>
      </c>
      <c r="D224" s="16" t="s">
        <v>584</v>
      </c>
      <c r="E224" s="37">
        <v>1397500</v>
      </c>
      <c r="F224" s="37">
        <v>0</v>
      </c>
      <c r="G224" s="37">
        <v>0</v>
      </c>
      <c r="H224" s="40">
        <f>SUM(Upaya_Debitur[[#This Row],[Kewajiban Pokok]:[Kewajiban Denda]])</f>
        <v>1397500</v>
      </c>
      <c r="I224" s="37"/>
      <c r="J224" s="40">
        <f>IF(ISNUMBER(Upaya_Debitur[[#This Row],[Angsuran Sesuai PK]]),Upaya_Debitur[[#This Row],[Angsuran Sesuai PK]],1)</f>
        <v>1</v>
      </c>
      <c r="K224" s="76"/>
      <c r="L224" s="16" t="s">
        <v>38</v>
      </c>
      <c r="N224" s="18"/>
      <c r="O224" s="76"/>
      <c r="P224" s="37"/>
      <c r="Q224" s="41"/>
      <c r="R224" s="37"/>
      <c r="S224" s="40">
        <f>IF(Upaya_Debitur[[#This Row],[Periode Haircut]]="",0,IF(Upaya_Debitur[[#This Row],[Periode Haircut]]&lt;=$B$6,Upaya_Debitur[[#This Row],[Haircut]],0))</f>
        <v>0</v>
      </c>
      <c r="T224" s="40">
        <f>IF($B$10="",0,IF($B$10&lt;=$B$6,Upaya_Debitur[[#This Row],[Set Off]],0))</f>
        <v>0</v>
      </c>
      <c r="U224" s="37">
        <v>0</v>
      </c>
      <c r="V224" s="37">
        <v>0</v>
      </c>
      <c r="W224" s="37">
        <v>0</v>
      </c>
      <c r="X224" s="37">
        <v>0</v>
      </c>
      <c r="Y224" s="37">
        <v>0</v>
      </c>
      <c r="Z224" s="37">
        <v>0</v>
      </c>
      <c r="AA224" s="37">
        <v>0</v>
      </c>
      <c r="AB224" s="37">
        <v>0</v>
      </c>
      <c r="AC224" s="37">
        <v>0</v>
      </c>
      <c r="AD224" s="37">
        <v>0</v>
      </c>
      <c r="AE224" s="37">
        <v>0</v>
      </c>
      <c r="AF224" s="37">
        <v>0</v>
      </c>
      <c r="AG224" s="37">
        <v>0</v>
      </c>
      <c r="AH224" s="37">
        <v>1397500</v>
      </c>
      <c r="AI224" s="37">
        <v>0</v>
      </c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40">
        <f ca="1">SUM(OFFSET(Upaya_Debitur[[#This Row],[Haircut Diperhitungkan]],0,0,1,$B$7+2))</f>
        <v>1397500</v>
      </c>
      <c r="BR224" s="35" t="str">
        <f ca="1">IF(Upaya_Debitur[[#This Row],[Total Pencairan]]&gt;=Upaya_Debitur[[#This Row],[Kewajiban Total]],"Lunas","Belum Lunas")</f>
        <v>Lunas</v>
      </c>
      <c r="BS224" s="35" t="str">
        <f t="shared" si="9"/>
        <v>Ya</v>
      </c>
      <c r="BT224" s="35" t="str">
        <f t="shared" si="10"/>
        <v>Ya</v>
      </c>
      <c r="BU22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22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22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224" s="35" t="str">
        <f>IF(Upaya_Debitur[[#This Row],[Kondisi Debitur]]="Tidak ditemukan","Ya","Tidak")</f>
        <v>Tidak</v>
      </c>
      <c r="BY22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22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22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24" s="18">
        <v>43781</v>
      </c>
      <c r="CC224" s="18">
        <v>43999</v>
      </c>
      <c r="CD224" s="18">
        <v>43826</v>
      </c>
      <c r="CE224" s="18">
        <v>43871</v>
      </c>
      <c r="CF224" s="18">
        <v>43887</v>
      </c>
      <c r="CG224" s="18">
        <v>43888</v>
      </c>
      <c r="CH224" s="18">
        <v>44057</v>
      </c>
      <c r="CI224" s="18">
        <v>44077</v>
      </c>
      <c r="CJ224" s="18"/>
      <c r="CK224" s="35">
        <f ca="1">COUNTIF(Upaya_Debitur[[#This Row],[Surat Pemberitahuan?]:[Gugatan Sederhana?]],"Ya")</f>
        <v>2</v>
      </c>
      <c r="CL224" s="35">
        <f ca="1">Upaya_Debitur[[#This Row],[Target Upaya]]-COUNTIFS(Upaya_Debitur[[#This Row],[Surat Pemberitahuan?]:[Gugatan Sederhana?]],"Ya",Upaya_Debitur[[#This Row],[Surat Pemberitahuan]:[Gugatan Sederhana]],"")</f>
        <v>2</v>
      </c>
      <c r="CM224" s="36">
        <f ca="1">IF(ISNUMBER(Upaya_Debitur[[#This Row],[Realisasi]]/Upaya_Debitur[[#This Row],[Target Upaya]]),Upaya_Debitur[[#This Row],[Realisasi]]/Upaya_Debitur[[#This Row],[Target Upaya]],1)</f>
        <v>1</v>
      </c>
    </row>
    <row r="225" spans="1:91" x14ac:dyDescent="0.3">
      <c r="A225" s="16">
        <v>207</v>
      </c>
      <c r="B225" s="17"/>
      <c r="C225" s="17" t="s">
        <v>585</v>
      </c>
      <c r="D225" s="16" t="s">
        <v>586</v>
      </c>
      <c r="E225" s="37">
        <v>332235</v>
      </c>
      <c r="F225" s="37">
        <v>0</v>
      </c>
      <c r="G225" s="37">
        <v>0</v>
      </c>
      <c r="H225" s="40">
        <f>SUM(Upaya_Debitur[[#This Row],[Kewajiban Pokok]:[Kewajiban Denda]])</f>
        <v>332235</v>
      </c>
      <c r="I225" s="37"/>
      <c r="J225" s="40">
        <f>IF(ISNUMBER(Upaya_Debitur[[#This Row],[Angsuran Sesuai PK]]),Upaya_Debitur[[#This Row],[Angsuran Sesuai PK]],1)</f>
        <v>1</v>
      </c>
      <c r="K225" s="76"/>
      <c r="L225" s="16" t="s">
        <v>37</v>
      </c>
      <c r="N225" s="18"/>
      <c r="O225" s="76"/>
      <c r="P225" s="37"/>
      <c r="Q225" s="41"/>
      <c r="R225" s="37"/>
      <c r="S225" s="40">
        <f>IF(Upaya_Debitur[[#This Row],[Periode Haircut]]="",0,IF(Upaya_Debitur[[#This Row],[Periode Haircut]]&lt;=$B$6,Upaya_Debitur[[#This Row],[Haircut]],0))</f>
        <v>0</v>
      </c>
      <c r="T225" s="40">
        <f>IF($B$10="",0,IF($B$10&lt;=$B$6,Upaya_Debitur[[#This Row],[Set Off]],0))</f>
        <v>0</v>
      </c>
      <c r="U225" s="37">
        <v>0</v>
      </c>
      <c r="V225" s="37">
        <v>0</v>
      </c>
      <c r="W225" s="37">
        <v>0</v>
      </c>
      <c r="X225" s="37">
        <v>0</v>
      </c>
      <c r="Y225" s="37">
        <v>0</v>
      </c>
      <c r="Z225" s="37">
        <v>0</v>
      </c>
      <c r="AA225" s="37">
        <v>0</v>
      </c>
      <c r="AB225" s="37">
        <v>0</v>
      </c>
      <c r="AC225" s="37">
        <v>0</v>
      </c>
      <c r="AD225" s="37">
        <v>0</v>
      </c>
      <c r="AE225" s="37">
        <v>0</v>
      </c>
      <c r="AF225" s="37">
        <v>0</v>
      </c>
      <c r="AG225" s="37">
        <v>0</v>
      </c>
      <c r="AH225" s="37">
        <v>0</v>
      </c>
      <c r="AI225" s="37">
        <v>0</v>
      </c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40">
        <f ca="1">SUM(OFFSET(Upaya_Debitur[[#This Row],[Haircut Diperhitungkan]],0,0,1,$B$7+2))</f>
        <v>0</v>
      </c>
      <c r="BR225" s="35" t="str">
        <f ca="1">IF(Upaya_Debitur[[#This Row],[Total Pencairan]]&gt;=Upaya_Debitur[[#This Row],[Kewajiban Total]],"Lunas","Belum Lunas")</f>
        <v>Belum Lunas</v>
      </c>
      <c r="BS225" s="35" t="str">
        <f t="shared" si="9"/>
        <v>Ya</v>
      </c>
      <c r="BT225" s="35" t="str">
        <f t="shared" si="10"/>
        <v>Ya</v>
      </c>
      <c r="BU22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2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2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25" s="35" t="str">
        <f>IF(Upaya_Debitur[[#This Row],[Kondisi Debitur]]="Tidak ditemukan","Ya","Tidak")</f>
        <v>Ya</v>
      </c>
      <c r="BY22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2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2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25" s="18">
        <v>43781</v>
      </c>
      <c r="CC225" s="18">
        <v>43999</v>
      </c>
      <c r="CD225" s="18">
        <v>43826</v>
      </c>
      <c r="CE225" s="18">
        <v>43871</v>
      </c>
      <c r="CF225" s="18">
        <v>43887</v>
      </c>
      <c r="CG225" s="18">
        <v>44035</v>
      </c>
      <c r="CH225" s="18">
        <v>44057</v>
      </c>
      <c r="CI225" s="18">
        <v>44077</v>
      </c>
      <c r="CJ225" s="18"/>
      <c r="CK225" s="35">
        <f ca="1">COUNTIF(Upaya_Debitur[[#This Row],[Surat Pemberitahuan?]:[Gugatan Sederhana?]],"Ya")</f>
        <v>8</v>
      </c>
      <c r="CL225" s="35">
        <f ca="1">Upaya_Debitur[[#This Row],[Target Upaya]]-COUNTIFS(Upaya_Debitur[[#This Row],[Surat Pemberitahuan?]:[Gugatan Sederhana?]],"Ya",Upaya_Debitur[[#This Row],[Surat Pemberitahuan]:[Gugatan Sederhana]],"")</f>
        <v>8</v>
      </c>
      <c r="CM225" s="36">
        <f ca="1">IF(ISNUMBER(Upaya_Debitur[[#This Row],[Realisasi]]/Upaya_Debitur[[#This Row],[Target Upaya]]),Upaya_Debitur[[#This Row],[Realisasi]]/Upaya_Debitur[[#This Row],[Target Upaya]],1)</f>
        <v>1</v>
      </c>
    </row>
    <row r="226" spans="1:91" x14ac:dyDescent="0.3">
      <c r="A226" s="16">
        <v>208</v>
      </c>
      <c r="B226" s="17"/>
      <c r="C226" s="17" t="s">
        <v>587</v>
      </c>
      <c r="D226" s="16" t="s">
        <v>588</v>
      </c>
      <c r="E226" s="37">
        <v>4600000</v>
      </c>
      <c r="F226" s="37">
        <v>0</v>
      </c>
      <c r="G226" s="37">
        <v>0</v>
      </c>
      <c r="H226" s="40">
        <f>SUM(Upaya_Debitur[[#This Row],[Kewajiban Pokok]:[Kewajiban Denda]])</f>
        <v>4600000</v>
      </c>
      <c r="I226" s="37"/>
      <c r="J226" s="40">
        <f>IF(ISNUMBER(Upaya_Debitur[[#This Row],[Angsuran Sesuai PK]]),Upaya_Debitur[[#This Row],[Angsuran Sesuai PK]],1)</f>
        <v>1</v>
      </c>
      <c r="K226" s="76"/>
      <c r="L226" s="16" t="s">
        <v>83</v>
      </c>
      <c r="N226" s="18"/>
      <c r="O226" s="76"/>
      <c r="P226" s="37"/>
      <c r="Q226" s="41"/>
      <c r="R226" s="37"/>
      <c r="S226" s="40">
        <f>IF(Upaya_Debitur[[#This Row],[Periode Haircut]]="",0,IF(Upaya_Debitur[[#This Row],[Periode Haircut]]&lt;=$B$6,Upaya_Debitur[[#This Row],[Haircut]],0))</f>
        <v>0</v>
      </c>
      <c r="T226" s="40">
        <f>IF($B$10="",0,IF($B$10&lt;=$B$6,Upaya_Debitur[[#This Row],[Set Off]],0))</f>
        <v>0</v>
      </c>
      <c r="U226" s="37">
        <v>0</v>
      </c>
      <c r="V226" s="37">
        <v>0</v>
      </c>
      <c r="W226" s="37">
        <v>0</v>
      </c>
      <c r="X226" s="37">
        <v>0</v>
      </c>
      <c r="Y226" s="37">
        <v>0</v>
      </c>
      <c r="Z226" s="37">
        <v>0</v>
      </c>
      <c r="AA226" s="37">
        <v>0</v>
      </c>
      <c r="AB226" s="37">
        <v>0</v>
      </c>
      <c r="AC226" s="37">
        <v>0</v>
      </c>
      <c r="AD226" s="37">
        <v>0</v>
      </c>
      <c r="AE226" s="37">
        <v>0</v>
      </c>
      <c r="AF226" s="37">
        <v>0</v>
      </c>
      <c r="AG226" s="37">
        <v>0</v>
      </c>
      <c r="AH226" s="37">
        <v>0</v>
      </c>
      <c r="AI226" s="37">
        <v>0</v>
      </c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40">
        <f ca="1">SUM(OFFSET(Upaya_Debitur[[#This Row],[Haircut Diperhitungkan]],0,0,1,$B$7+2))</f>
        <v>0</v>
      </c>
      <c r="BR226" s="35" t="str">
        <f ca="1">IF(Upaya_Debitur[[#This Row],[Total Pencairan]]&gt;=Upaya_Debitur[[#This Row],[Kewajiban Total]],"Lunas","Belum Lunas")</f>
        <v>Belum Lunas</v>
      </c>
      <c r="BS226" s="35" t="str">
        <f t="shared" si="9"/>
        <v>Ya</v>
      </c>
      <c r="BT226" s="35" t="str">
        <f t="shared" si="10"/>
        <v>Ya</v>
      </c>
      <c r="BU22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2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2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26" s="35" t="str">
        <f>IF(Upaya_Debitur[[#This Row],[Kondisi Debitur]]="Tidak ditemukan","Ya","Tidak")</f>
        <v>Tidak</v>
      </c>
      <c r="BY22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2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2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26" s="18">
        <v>43781</v>
      </c>
      <c r="CC226" s="18">
        <v>43999</v>
      </c>
      <c r="CD226" s="18">
        <v>43826</v>
      </c>
      <c r="CE226" s="18">
        <v>43871</v>
      </c>
      <c r="CF226" s="18">
        <v>43887</v>
      </c>
      <c r="CG226" s="18">
        <v>43888</v>
      </c>
      <c r="CH226" s="18">
        <v>44057</v>
      </c>
      <c r="CI226" s="18">
        <v>44077</v>
      </c>
      <c r="CJ226" s="18"/>
      <c r="CK226" s="35">
        <f ca="1">COUNTIF(Upaya_Debitur[[#This Row],[Surat Pemberitahuan?]:[Gugatan Sederhana?]],"Ya")</f>
        <v>7</v>
      </c>
      <c r="CL226" s="35">
        <f ca="1">Upaya_Debitur[[#This Row],[Target Upaya]]-COUNTIFS(Upaya_Debitur[[#This Row],[Surat Pemberitahuan?]:[Gugatan Sederhana?]],"Ya",Upaya_Debitur[[#This Row],[Surat Pemberitahuan]:[Gugatan Sederhana]],"")</f>
        <v>7</v>
      </c>
      <c r="CM226" s="36">
        <f ca="1">IF(ISNUMBER(Upaya_Debitur[[#This Row],[Realisasi]]/Upaya_Debitur[[#This Row],[Target Upaya]]),Upaya_Debitur[[#This Row],[Realisasi]]/Upaya_Debitur[[#This Row],[Target Upaya]],1)</f>
        <v>1</v>
      </c>
    </row>
    <row r="227" spans="1:91" x14ac:dyDescent="0.3">
      <c r="A227" s="16">
        <v>209</v>
      </c>
      <c r="B227" s="17"/>
      <c r="C227" s="17" t="s">
        <v>589</v>
      </c>
      <c r="D227" s="16" t="s">
        <v>590</v>
      </c>
      <c r="E227" s="37">
        <v>2926500</v>
      </c>
      <c r="F227" s="37">
        <v>0</v>
      </c>
      <c r="G227" s="37">
        <v>0</v>
      </c>
      <c r="H227" s="40">
        <f>SUM(Upaya_Debitur[[#This Row],[Kewajiban Pokok]:[Kewajiban Denda]])</f>
        <v>2926500</v>
      </c>
      <c r="I227" s="37"/>
      <c r="J227" s="40">
        <f>IF(ISNUMBER(Upaya_Debitur[[#This Row],[Angsuran Sesuai PK]]),Upaya_Debitur[[#This Row],[Angsuran Sesuai PK]],1)</f>
        <v>1</v>
      </c>
      <c r="K227" s="76"/>
      <c r="L227" s="16" t="s">
        <v>83</v>
      </c>
      <c r="N227" s="18"/>
      <c r="O227" s="76"/>
      <c r="P227" s="37"/>
      <c r="Q227" s="41"/>
      <c r="R227" s="37"/>
      <c r="S227" s="40">
        <f>IF(Upaya_Debitur[[#This Row],[Periode Haircut]]="",0,IF(Upaya_Debitur[[#This Row],[Periode Haircut]]&lt;=$B$6,Upaya_Debitur[[#This Row],[Haircut]],0))</f>
        <v>0</v>
      </c>
      <c r="T227" s="40">
        <f>IF($B$10="",0,IF($B$10&lt;=$B$6,Upaya_Debitur[[#This Row],[Set Off]],0))</f>
        <v>0</v>
      </c>
      <c r="U227" s="37">
        <v>0</v>
      </c>
      <c r="V227" s="37">
        <v>0</v>
      </c>
      <c r="W227" s="37">
        <v>0</v>
      </c>
      <c r="X227" s="37">
        <v>0</v>
      </c>
      <c r="Y227" s="37">
        <v>0</v>
      </c>
      <c r="Z227" s="37">
        <v>0</v>
      </c>
      <c r="AA227" s="37">
        <v>0</v>
      </c>
      <c r="AB227" s="37">
        <v>0</v>
      </c>
      <c r="AC227" s="37">
        <v>0</v>
      </c>
      <c r="AD227" s="37">
        <v>0</v>
      </c>
      <c r="AE227" s="37">
        <v>0</v>
      </c>
      <c r="AF227" s="37">
        <v>0</v>
      </c>
      <c r="AG227" s="37">
        <v>0</v>
      </c>
      <c r="AH227" s="37">
        <v>0</v>
      </c>
      <c r="AI227" s="37">
        <v>0</v>
      </c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40">
        <f ca="1">SUM(OFFSET(Upaya_Debitur[[#This Row],[Haircut Diperhitungkan]],0,0,1,$B$7+2))</f>
        <v>0</v>
      </c>
      <c r="BR227" s="35" t="str">
        <f ca="1">IF(Upaya_Debitur[[#This Row],[Total Pencairan]]&gt;=Upaya_Debitur[[#This Row],[Kewajiban Total]],"Lunas","Belum Lunas")</f>
        <v>Belum Lunas</v>
      </c>
      <c r="BS227" s="35" t="str">
        <f t="shared" si="9"/>
        <v>Ya</v>
      </c>
      <c r="BT227" s="35" t="str">
        <f t="shared" si="10"/>
        <v>Ya</v>
      </c>
      <c r="BU22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2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2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27" s="35" t="str">
        <f>IF(Upaya_Debitur[[#This Row],[Kondisi Debitur]]="Tidak ditemukan","Ya","Tidak")</f>
        <v>Tidak</v>
      </c>
      <c r="BY22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2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2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27" s="18">
        <v>43781</v>
      </c>
      <c r="CC227" s="18">
        <v>43999</v>
      </c>
      <c r="CD227" s="18">
        <v>43826</v>
      </c>
      <c r="CE227" s="18">
        <v>43871</v>
      </c>
      <c r="CF227" s="18">
        <v>43887</v>
      </c>
      <c r="CG227" s="18">
        <v>43888</v>
      </c>
      <c r="CH227" s="18">
        <v>44057</v>
      </c>
      <c r="CI227" s="18">
        <v>44077</v>
      </c>
      <c r="CJ227" s="18"/>
      <c r="CK227" s="35">
        <f ca="1">COUNTIF(Upaya_Debitur[[#This Row],[Surat Pemberitahuan?]:[Gugatan Sederhana?]],"Ya")</f>
        <v>7</v>
      </c>
      <c r="CL227" s="35">
        <f ca="1">Upaya_Debitur[[#This Row],[Target Upaya]]-COUNTIFS(Upaya_Debitur[[#This Row],[Surat Pemberitahuan?]:[Gugatan Sederhana?]],"Ya",Upaya_Debitur[[#This Row],[Surat Pemberitahuan]:[Gugatan Sederhana]],"")</f>
        <v>7</v>
      </c>
      <c r="CM227" s="36">
        <f ca="1">IF(ISNUMBER(Upaya_Debitur[[#This Row],[Realisasi]]/Upaya_Debitur[[#This Row],[Target Upaya]]),Upaya_Debitur[[#This Row],[Realisasi]]/Upaya_Debitur[[#This Row],[Target Upaya]],1)</f>
        <v>1</v>
      </c>
    </row>
    <row r="228" spans="1:91" x14ac:dyDescent="0.3">
      <c r="A228" s="16">
        <v>210</v>
      </c>
      <c r="B228" s="17"/>
      <c r="C228" s="17" t="s">
        <v>591</v>
      </c>
      <c r="D228" s="16" t="s">
        <v>592</v>
      </c>
      <c r="E228" s="37">
        <v>7234172</v>
      </c>
      <c r="F228" s="37">
        <v>0</v>
      </c>
      <c r="G228" s="37">
        <v>0</v>
      </c>
      <c r="H228" s="40">
        <f>SUM(Upaya_Debitur[[#This Row],[Kewajiban Pokok]:[Kewajiban Denda]])</f>
        <v>7234172</v>
      </c>
      <c r="I228" s="37"/>
      <c r="J228" s="40">
        <f>IF(ISNUMBER(Upaya_Debitur[[#This Row],[Angsuran Sesuai PK]]),Upaya_Debitur[[#This Row],[Angsuran Sesuai PK]],1)</f>
        <v>1</v>
      </c>
      <c r="K228" s="76"/>
      <c r="L228" s="16" t="s">
        <v>83</v>
      </c>
      <c r="N228" s="18"/>
      <c r="O228" s="76"/>
      <c r="P228" s="37"/>
      <c r="Q228" s="41"/>
      <c r="R228" s="37"/>
      <c r="S228" s="40">
        <f>IF(Upaya_Debitur[[#This Row],[Periode Haircut]]="",0,IF(Upaya_Debitur[[#This Row],[Periode Haircut]]&lt;=$B$6,Upaya_Debitur[[#This Row],[Haircut]],0))</f>
        <v>0</v>
      </c>
      <c r="T228" s="40">
        <f>IF($B$10="",0,IF($B$10&lt;=$B$6,Upaya_Debitur[[#This Row],[Set Off]],0))</f>
        <v>0</v>
      </c>
      <c r="U228" s="37">
        <v>0</v>
      </c>
      <c r="V228" s="37">
        <v>0</v>
      </c>
      <c r="W228" s="37">
        <v>0</v>
      </c>
      <c r="X228" s="37">
        <v>0</v>
      </c>
      <c r="Y228" s="37">
        <v>0</v>
      </c>
      <c r="Z228" s="37">
        <v>0</v>
      </c>
      <c r="AA228" s="37">
        <v>0</v>
      </c>
      <c r="AB228" s="37">
        <v>0</v>
      </c>
      <c r="AC228" s="37">
        <v>0</v>
      </c>
      <c r="AD228" s="37">
        <v>0</v>
      </c>
      <c r="AE228" s="37">
        <v>0</v>
      </c>
      <c r="AF228" s="37">
        <v>0</v>
      </c>
      <c r="AG228" s="37">
        <v>0</v>
      </c>
      <c r="AH228" s="37">
        <v>0</v>
      </c>
      <c r="AI228" s="37">
        <v>0</v>
      </c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40">
        <f ca="1">SUM(OFFSET(Upaya_Debitur[[#This Row],[Haircut Diperhitungkan]],0,0,1,$B$7+2))</f>
        <v>0</v>
      </c>
      <c r="BR228" s="35" t="str">
        <f ca="1">IF(Upaya_Debitur[[#This Row],[Total Pencairan]]&gt;=Upaya_Debitur[[#This Row],[Kewajiban Total]],"Lunas","Belum Lunas")</f>
        <v>Belum Lunas</v>
      </c>
      <c r="BS228" s="35" t="str">
        <f t="shared" si="9"/>
        <v>Ya</v>
      </c>
      <c r="BT228" s="35" t="str">
        <f t="shared" si="10"/>
        <v>Ya</v>
      </c>
      <c r="BU22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2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2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28" s="35" t="str">
        <f>IF(Upaya_Debitur[[#This Row],[Kondisi Debitur]]="Tidak ditemukan","Ya","Tidak")</f>
        <v>Tidak</v>
      </c>
      <c r="BY22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2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2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28" s="18">
        <v>43781</v>
      </c>
      <c r="CC228" s="18">
        <v>43999</v>
      </c>
      <c r="CD228" s="18">
        <v>43826</v>
      </c>
      <c r="CE228" s="18">
        <v>43871</v>
      </c>
      <c r="CF228" s="18">
        <v>43887</v>
      </c>
      <c r="CG228" s="18">
        <v>43888</v>
      </c>
      <c r="CH228" s="18">
        <v>44057</v>
      </c>
      <c r="CI228" s="18">
        <v>44077</v>
      </c>
      <c r="CJ228" s="18"/>
      <c r="CK228" s="35">
        <f ca="1">COUNTIF(Upaya_Debitur[[#This Row],[Surat Pemberitahuan?]:[Gugatan Sederhana?]],"Ya")</f>
        <v>7</v>
      </c>
      <c r="CL228" s="35">
        <f ca="1">Upaya_Debitur[[#This Row],[Target Upaya]]-COUNTIFS(Upaya_Debitur[[#This Row],[Surat Pemberitahuan?]:[Gugatan Sederhana?]],"Ya",Upaya_Debitur[[#This Row],[Surat Pemberitahuan]:[Gugatan Sederhana]],"")</f>
        <v>7</v>
      </c>
      <c r="CM228" s="36">
        <f ca="1">IF(ISNUMBER(Upaya_Debitur[[#This Row],[Realisasi]]/Upaya_Debitur[[#This Row],[Target Upaya]]),Upaya_Debitur[[#This Row],[Realisasi]]/Upaya_Debitur[[#This Row],[Target Upaya]],1)</f>
        <v>1</v>
      </c>
    </row>
    <row r="229" spans="1:91" x14ac:dyDescent="0.3">
      <c r="A229" s="16">
        <v>211</v>
      </c>
      <c r="B229" s="17"/>
      <c r="C229" s="17" t="s">
        <v>593</v>
      </c>
      <c r="D229" s="16" t="s">
        <v>594</v>
      </c>
      <c r="E229" s="37">
        <v>371800</v>
      </c>
      <c r="F229" s="37">
        <v>0</v>
      </c>
      <c r="G229" s="37">
        <v>0</v>
      </c>
      <c r="H229" s="40">
        <f>SUM(Upaya_Debitur[[#This Row],[Kewajiban Pokok]:[Kewajiban Denda]])</f>
        <v>371800</v>
      </c>
      <c r="I229" s="37"/>
      <c r="J229" s="40">
        <f>IF(ISNUMBER(Upaya_Debitur[[#This Row],[Angsuran Sesuai PK]]),Upaya_Debitur[[#This Row],[Angsuran Sesuai PK]],1)</f>
        <v>1</v>
      </c>
      <c r="K229" s="76"/>
      <c r="L229" s="16" t="s">
        <v>37</v>
      </c>
      <c r="N229" s="18"/>
      <c r="O229" s="76"/>
      <c r="P229" s="37"/>
      <c r="Q229" s="41"/>
      <c r="R229" s="37"/>
      <c r="S229" s="40">
        <f>IF(Upaya_Debitur[[#This Row],[Periode Haircut]]="",0,IF(Upaya_Debitur[[#This Row],[Periode Haircut]]&lt;=$B$6,Upaya_Debitur[[#This Row],[Haircut]],0))</f>
        <v>0</v>
      </c>
      <c r="T229" s="40">
        <f>IF($B$10="",0,IF($B$10&lt;=$B$6,Upaya_Debitur[[#This Row],[Set Off]],0))</f>
        <v>0</v>
      </c>
      <c r="U229" s="37">
        <v>0</v>
      </c>
      <c r="V229" s="37">
        <v>0</v>
      </c>
      <c r="W229" s="37">
        <v>0</v>
      </c>
      <c r="X229" s="37">
        <v>0</v>
      </c>
      <c r="Y229" s="37">
        <v>0</v>
      </c>
      <c r="Z229" s="37">
        <v>0</v>
      </c>
      <c r="AA229" s="37">
        <v>0</v>
      </c>
      <c r="AB229" s="37">
        <v>0</v>
      </c>
      <c r="AC229" s="37">
        <v>0</v>
      </c>
      <c r="AD229" s="37">
        <v>0</v>
      </c>
      <c r="AE229" s="37">
        <v>0</v>
      </c>
      <c r="AF229" s="37">
        <v>0</v>
      </c>
      <c r="AG229" s="37">
        <v>0</v>
      </c>
      <c r="AH229" s="37">
        <v>0</v>
      </c>
      <c r="AI229" s="37">
        <v>0</v>
      </c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40">
        <f ca="1">SUM(OFFSET(Upaya_Debitur[[#This Row],[Haircut Diperhitungkan]],0,0,1,$B$7+2))</f>
        <v>0</v>
      </c>
      <c r="BR229" s="35" t="str">
        <f ca="1">IF(Upaya_Debitur[[#This Row],[Total Pencairan]]&gt;=Upaya_Debitur[[#This Row],[Kewajiban Total]],"Lunas","Belum Lunas")</f>
        <v>Belum Lunas</v>
      </c>
      <c r="BS229" s="35" t="str">
        <f t="shared" si="9"/>
        <v>Ya</v>
      </c>
      <c r="BT229" s="35" t="str">
        <f t="shared" si="10"/>
        <v>Ya</v>
      </c>
      <c r="BU22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2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2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29" s="35" t="str">
        <f>IF(Upaya_Debitur[[#This Row],[Kondisi Debitur]]="Tidak ditemukan","Ya","Tidak")</f>
        <v>Ya</v>
      </c>
      <c r="BY22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2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2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29" s="18">
        <v>43781</v>
      </c>
      <c r="CC229" s="18">
        <v>43999</v>
      </c>
      <c r="CD229" s="18">
        <v>43826</v>
      </c>
      <c r="CE229" s="18">
        <v>43871</v>
      </c>
      <c r="CF229" s="18">
        <v>43887</v>
      </c>
      <c r="CG229" s="18">
        <v>44035</v>
      </c>
      <c r="CH229" s="18">
        <v>44057</v>
      </c>
      <c r="CI229" s="18">
        <v>44077</v>
      </c>
      <c r="CJ229" s="18"/>
      <c r="CK229" s="35">
        <f ca="1">COUNTIF(Upaya_Debitur[[#This Row],[Surat Pemberitahuan?]:[Gugatan Sederhana?]],"Ya")</f>
        <v>8</v>
      </c>
      <c r="CL229" s="35">
        <f ca="1">Upaya_Debitur[[#This Row],[Target Upaya]]-COUNTIFS(Upaya_Debitur[[#This Row],[Surat Pemberitahuan?]:[Gugatan Sederhana?]],"Ya",Upaya_Debitur[[#This Row],[Surat Pemberitahuan]:[Gugatan Sederhana]],"")</f>
        <v>8</v>
      </c>
      <c r="CM229" s="36">
        <f ca="1">IF(ISNUMBER(Upaya_Debitur[[#This Row],[Realisasi]]/Upaya_Debitur[[#This Row],[Target Upaya]]),Upaya_Debitur[[#This Row],[Realisasi]]/Upaya_Debitur[[#This Row],[Target Upaya]],1)</f>
        <v>1</v>
      </c>
    </row>
    <row r="230" spans="1:91" x14ac:dyDescent="0.3">
      <c r="A230" s="16">
        <v>212</v>
      </c>
      <c r="B230" s="17"/>
      <c r="C230" s="17" t="s">
        <v>595</v>
      </c>
      <c r="D230" s="16" t="s">
        <v>596</v>
      </c>
      <c r="E230" s="37">
        <v>2393185</v>
      </c>
      <c r="F230" s="37">
        <v>0</v>
      </c>
      <c r="G230" s="37">
        <v>0</v>
      </c>
      <c r="H230" s="40">
        <f>SUM(Upaya_Debitur[[#This Row],[Kewajiban Pokok]:[Kewajiban Denda]])</f>
        <v>2393185</v>
      </c>
      <c r="I230" s="37"/>
      <c r="J230" s="40">
        <f>IF(ISNUMBER(Upaya_Debitur[[#This Row],[Angsuran Sesuai PK]]),Upaya_Debitur[[#This Row],[Angsuran Sesuai PK]],1)</f>
        <v>1</v>
      </c>
      <c r="K230" s="76"/>
      <c r="L230" s="16" t="s">
        <v>83</v>
      </c>
      <c r="N230" s="18"/>
      <c r="O230" s="76"/>
      <c r="P230" s="37"/>
      <c r="Q230" s="41"/>
      <c r="R230" s="37"/>
      <c r="S230" s="40">
        <f>IF(Upaya_Debitur[[#This Row],[Periode Haircut]]="",0,IF(Upaya_Debitur[[#This Row],[Periode Haircut]]&lt;=$B$6,Upaya_Debitur[[#This Row],[Haircut]],0))</f>
        <v>0</v>
      </c>
      <c r="T230" s="40">
        <f>IF($B$10="",0,IF($B$10&lt;=$B$6,Upaya_Debitur[[#This Row],[Set Off]],0))</f>
        <v>0</v>
      </c>
      <c r="U230" s="37">
        <v>0</v>
      </c>
      <c r="V230" s="37">
        <v>0</v>
      </c>
      <c r="W230" s="37">
        <v>0</v>
      </c>
      <c r="X230" s="37">
        <v>0</v>
      </c>
      <c r="Y230" s="37">
        <v>0</v>
      </c>
      <c r="Z230" s="37">
        <v>0</v>
      </c>
      <c r="AA230" s="37">
        <v>0</v>
      </c>
      <c r="AB230" s="37">
        <v>0</v>
      </c>
      <c r="AC230" s="37">
        <v>0</v>
      </c>
      <c r="AD230" s="37">
        <v>0</v>
      </c>
      <c r="AE230" s="37">
        <v>0</v>
      </c>
      <c r="AF230" s="37">
        <v>0</v>
      </c>
      <c r="AG230" s="37">
        <v>0</v>
      </c>
      <c r="AH230" s="37">
        <v>0</v>
      </c>
      <c r="AI230" s="37">
        <v>0</v>
      </c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40">
        <f ca="1">SUM(OFFSET(Upaya_Debitur[[#This Row],[Haircut Diperhitungkan]],0,0,1,$B$7+2))</f>
        <v>0</v>
      </c>
      <c r="BR230" s="35" t="str">
        <f ca="1">IF(Upaya_Debitur[[#This Row],[Total Pencairan]]&gt;=Upaya_Debitur[[#This Row],[Kewajiban Total]],"Lunas","Belum Lunas")</f>
        <v>Belum Lunas</v>
      </c>
      <c r="BS230" s="35" t="str">
        <f t="shared" si="9"/>
        <v>Ya</v>
      </c>
      <c r="BT230" s="35" t="str">
        <f t="shared" si="10"/>
        <v>Ya</v>
      </c>
      <c r="BU23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3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3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30" s="35" t="str">
        <f>IF(Upaya_Debitur[[#This Row],[Kondisi Debitur]]="Tidak ditemukan","Ya","Tidak")</f>
        <v>Tidak</v>
      </c>
      <c r="BY23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3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3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30" s="18">
        <v>43781</v>
      </c>
      <c r="CC230" s="18">
        <v>43999</v>
      </c>
      <c r="CD230" s="18">
        <v>43826</v>
      </c>
      <c r="CE230" s="18">
        <v>43871</v>
      </c>
      <c r="CF230" s="18">
        <v>43887</v>
      </c>
      <c r="CG230" s="18">
        <v>43888</v>
      </c>
      <c r="CH230" s="18">
        <v>44057</v>
      </c>
      <c r="CI230" s="18">
        <v>44077</v>
      </c>
      <c r="CJ230" s="18"/>
      <c r="CK230" s="35">
        <f ca="1">COUNTIF(Upaya_Debitur[[#This Row],[Surat Pemberitahuan?]:[Gugatan Sederhana?]],"Ya")</f>
        <v>7</v>
      </c>
      <c r="CL230" s="35">
        <f ca="1">Upaya_Debitur[[#This Row],[Target Upaya]]-COUNTIFS(Upaya_Debitur[[#This Row],[Surat Pemberitahuan?]:[Gugatan Sederhana?]],"Ya",Upaya_Debitur[[#This Row],[Surat Pemberitahuan]:[Gugatan Sederhana]],"")</f>
        <v>7</v>
      </c>
      <c r="CM230" s="36">
        <f ca="1">IF(ISNUMBER(Upaya_Debitur[[#This Row],[Realisasi]]/Upaya_Debitur[[#This Row],[Target Upaya]]),Upaya_Debitur[[#This Row],[Realisasi]]/Upaya_Debitur[[#This Row],[Target Upaya]],1)</f>
        <v>1</v>
      </c>
    </row>
    <row r="231" spans="1:91" x14ac:dyDescent="0.3">
      <c r="A231" s="16">
        <v>213</v>
      </c>
      <c r="B231" s="17"/>
      <c r="C231" s="17" t="s">
        <v>597</v>
      </c>
      <c r="D231" s="16" t="s">
        <v>598</v>
      </c>
      <c r="E231" s="37">
        <v>1218988</v>
      </c>
      <c r="F231" s="37">
        <v>0</v>
      </c>
      <c r="G231" s="37">
        <v>0</v>
      </c>
      <c r="H231" s="40">
        <f>SUM(Upaya_Debitur[[#This Row],[Kewajiban Pokok]:[Kewajiban Denda]])</f>
        <v>1218988</v>
      </c>
      <c r="I231" s="37"/>
      <c r="J231" s="40">
        <f>IF(ISNUMBER(Upaya_Debitur[[#This Row],[Angsuran Sesuai PK]]),Upaya_Debitur[[#This Row],[Angsuran Sesuai PK]],1)</f>
        <v>1</v>
      </c>
      <c r="K231" s="76"/>
      <c r="L231" s="16" t="s">
        <v>37</v>
      </c>
      <c r="N231" s="18"/>
      <c r="O231" s="76"/>
      <c r="P231" s="37"/>
      <c r="Q231" s="41"/>
      <c r="R231" s="37"/>
      <c r="S231" s="40">
        <f>IF(Upaya_Debitur[[#This Row],[Periode Haircut]]="",0,IF(Upaya_Debitur[[#This Row],[Periode Haircut]]&lt;=$B$6,Upaya_Debitur[[#This Row],[Haircut]],0))</f>
        <v>0</v>
      </c>
      <c r="T231" s="40">
        <f>IF($B$10="",0,IF($B$10&lt;=$B$6,Upaya_Debitur[[#This Row],[Set Off]],0))</f>
        <v>0</v>
      </c>
      <c r="U231" s="37">
        <v>0</v>
      </c>
      <c r="V231" s="37">
        <v>0</v>
      </c>
      <c r="W231" s="37">
        <v>0</v>
      </c>
      <c r="X231" s="37">
        <v>0</v>
      </c>
      <c r="Y231" s="37">
        <v>0</v>
      </c>
      <c r="Z231" s="37">
        <v>0</v>
      </c>
      <c r="AA231" s="37">
        <v>0</v>
      </c>
      <c r="AB231" s="37">
        <v>0</v>
      </c>
      <c r="AC231" s="37">
        <v>0</v>
      </c>
      <c r="AD231" s="37">
        <v>0</v>
      </c>
      <c r="AE231" s="37">
        <v>0</v>
      </c>
      <c r="AF231" s="37">
        <v>0</v>
      </c>
      <c r="AG231" s="37">
        <v>0</v>
      </c>
      <c r="AH231" s="37">
        <v>0</v>
      </c>
      <c r="AI231" s="37">
        <v>0</v>
      </c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40">
        <f ca="1">SUM(OFFSET(Upaya_Debitur[[#This Row],[Haircut Diperhitungkan]],0,0,1,$B$7+2))</f>
        <v>0</v>
      </c>
      <c r="BR231" s="35" t="str">
        <f ca="1">IF(Upaya_Debitur[[#This Row],[Total Pencairan]]&gt;=Upaya_Debitur[[#This Row],[Kewajiban Total]],"Lunas","Belum Lunas")</f>
        <v>Belum Lunas</v>
      </c>
      <c r="BS231" s="35" t="str">
        <f t="shared" si="9"/>
        <v>Ya</v>
      </c>
      <c r="BT231" s="35" t="str">
        <f t="shared" si="10"/>
        <v>Ya</v>
      </c>
      <c r="BU23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3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3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31" s="35" t="str">
        <f>IF(Upaya_Debitur[[#This Row],[Kondisi Debitur]]="Tidak ditemukan","Ya","Tidak")</f>
        <v>Ya</v>
      </c>
      <c r="BY23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3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3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31" s="18">
        <v>43781</v>
      </c>
      <c r="CC231" s="18">
        <v>43999</v>
      </c>
      <c r="CD231" s="18">
        <v>43826</v>
      </c>
      <c r="CE231" s="18">
        <v>43871</v>
      </c>
      <c r="CF231" s="18">
        <v>43887</v>
      </c>
      <c r="CG231" s="18">
        <v>44035</v>
      </c>
      <c r="CH231" s="18">
        <v>44057</v>
      </c>
      <c r="CI231" s="18">
        <v>44077</v>
      </c>
      <c r="CJ231" s="18"/>
      <c r="CK231" s="35">
        <f ca="1">COUNTIF(Upaya_Debitur[[#This Row],[Surat Pemberitahuan?]:[Gugatan Sederhana?]],"Ya")</f>
        <v>8</v>
      </c>
      <c r="CL231" s="35">
        <f ca="1">Upaya_Debitur[[#This Row],[Target Upaya]]-COUNTIFS(Upaya_Debitur[[#This Row],[Surat Pemberitahuan?]:[Gugatan Sederhana?]],"Ya",Upaya_Debitur[[#This Row],[Surat Pemberitahuan]:[Gugatan Sederhana]],"")</f>
        <v>8</v>
      </c>
      <c r="CM231" s="36">
        <f ca="1">IF(ISNUMBER(Upaya_Debitur[[#This Row],[Realisasi]]/Upaya_Debitur[[#This Row],[Target Upaya]]),Upaya_Debitur[[#This Row],[Realisasi]]/Upaya_Debitur[[#This Row],[Target Upaya]],1)</f>
        <v>1</v>
      </c>
    </row>
    <row r="232" spans="1:91" x14ac:dyDescent="0.3">
      <c r="A232" s="16">
        <v>214</v>
      </c>
      <c r="B232" s="17"/>
      <c r="C232" s="17" t="s">
        <v>599</v>
      </c>
      <c r="D232" s="16" t="s">
        <v>600</v>
      </c>
      <c r="E232" s="37">
        <v>500000</v>
      </c>
      <c r="F232" s="37">
        <v>0</v>
      </c>
      <c r="G232" s="37">
        <v>0</v>
      </c>
      <c r="H232" s="40">
        <f>SUM(Upaya_Debitur[[#This Row],[Kewajiban Pokok]:[Kewajiban Denda]])</f>
        <v>500000</v>
      </c>
      <c r="I232" s="37"/>
      <c r="J232" s="40">
        <f>IF(ISNUMBER(Upaya_Debitur[[#This Row],[Angsuran Sesuai PK]]),Upaya_Debitur[[#This Row],[Angsuran Sesuai PK]],1)</f>
        <v>1</v>
      </c>
      <c r="K232" s="76"/>
      <c r="L232" s="16" t="s">
        <v>37</v>
      </c>
      <c r="N232" s="18"/>
      <c r="O232" s="76"/>
      <c r="P232" s="37"/>
      <c r="Q232" s="41"/>
      <c r="R232" s="37"/>
      <c r="S232" s="40">
        <f>IF(Upaya_Debitur[[#This Row],[Periode Haircut]]="",0,IF(Upaya_Debitur[[#This Row],[Periode Haircut]]&lt;=$B$6,Upaya_Debitur[[#This Row],[Haircut]],0))</f>
        <v>0</v>
      </c>
      <c r="T232" s="40">
        <f>IF($B$10="",0,IF($B$10&lt;=$B$6,Upaya_Debitur[[#This Row],[Set Off]],0))</f>
        <v>0</v>
      </c>
      <c r="U232" s="37">
        <v>0</v>
      </c>
      <c r="V232" s="37">
        <v>0</v>
      </c>
      <c r="W232" s="37">
        <v>0</v>
      </c>
      <c r="X232" s="37">
        <v>0</v>
      </c>
      <c r="Y232" s="37">
        <v>0</v>
      </c>
      <c r="Z232" s="37">
        <v>0</v>
      </c>
      <c r="AA232" s="37">
        <v>0</v>
      </c>
      <c r="AB232" s="37">
        <v>0</v>
      </c>
      <c r="AC232" s="37">
        <v>0</v>
      </c>
      <c r="AD232" s="37">
        <v>0</v>
      </c>
      <c r="AE232" s="37">
        <v>0</v>
      </c>
      <c r="AF232" s="37">
        <v>0</v>
      </c>
      <c r="AG232" s="37">
        <v>0</v>
      </c>
      <c r="AH232" s="37">
        <v>0</v>
      </c>
      <c r="AI232" s="37">
        <v>0</v>
      </c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40">
        <f ca="1">SUM(OFFSET(Upaya_Debitur[[#This Row],[Haircut Diperhitungkan]],0,0,1,$B$7+2))</f>
        <v>0</v>
      </c>
      <c r="BR232" s="35" t="str">
        <f ca="1">IF(Upaya_Debitur[[#This Row],[Total Pencairan]]&gt;=Upaya_Debitur[[#This Row],[Kewajiban Total]],"Lunas","Belum Lunas")</f>
        <v>Belum Lunas</v>
      </c>
      <c r="BS232" s="35" t="str">
        <f t="shared" si="9"/>
        <v>Ya</v>
      </c>
      <c r="BT232" s="35" t="str">
        <f t="shared" si="10"/>
        <v>Ya</v>
      </c>
      <c r="BU23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3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3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32" s="35" t="str">
        <f>IF(Upaya_Debitur[[#This Row],[Kondisi Debitur]]="Tidak ditemukan","Ya","Tidak")</f>
        <v>Ya</v>
      </c>
      <c r="BY23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3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3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32" s="18">
        <v>43781</v>
      </c>
      <c r="CC232" s="18">
        <v>43999</v>
      </c>
      <c r="CD232" s="18">
        <v>43826</v>
      </c>
      <c r="CE232" s="18">
        <v>43871</v>
      </c>
      <c r="CF232" s="18">
        <v>43887</v>
      </c>
      <c r="CG232" s="18">
        <v>43888</v>
      </c>
      <c r="CH232" s="18">
        <v>44057</v>
      </c>
      <c r="CI232" s="18">
        <v>44077</v>
      </c>
      <c r="CJ232" s="18"/>
      <c r="CK232" s="35">
        <f ca="1">COUNTIF(Upaya_Debitur[[#This Row],[Surat Pemberitahuan?]:[Gugatan Sederhana?]],"Ya")</f>
        <v>8</v>
      </c>
      <c r="CL232" s="35">
        <f ca="1">Upaya_Debitur[[#This Row],[Target Upaya]]-COUNTIFS(Upaya_Debitur[[#This Row],[Surat Pemberitahuan?]:[Gugatan Sederhana?]],"Ya",Upaya_Debitur[[#This Row],[Surat Pemberitahuan]:[Gugatan Sederhana]],"")</f>
        <v>8</v>
      </c>
      <c r="CM232" s="36">
        <f ca="1">IF(ISNUMBER(Upaya_Debitur[[#This Row],[Realisasi]]/Upaya_Debitur[[#This Row],[Target Upaya]]),Upaya_Debitur[[#This Row],[Realisasi]]/Upaya_Debitur[[#This Row],[Target Upaya]],1)</f>
        <v>1</v>
      </c>
    </row>
    <row r="233" spans="1:91" x14ac:dyDescent="0.3">
      <c r="A233" s="16">
        <v>215</v>
      </c>
      <c r="B233" s="17"/>
      <c r="C233" s="17" t="s">
        <v>601</v>
      </c>
      <c r="D233" s="16" t="s">
        <v>602</v>
      </c>
      <c r="E233" s="37">
        <v>71800</v>
      </c>
      <c r="F233" s="37">
        <v>0</v>
      </c>
      <c r="G233" s="37">
        <v>0</v>
      </c>
      <c r="H233" s="40">
        <f>SUM(Upaya_Debitur[[#This Row],[Kewajiban Pokok]:[Kewajiban Denda]])</f>
        <v>71800</v>
      </c>
      <c r="I233" s="37"/>
      <c r="J233" s="40">
        <f>IF(ISNUMBER(Upaya_Debitur[[#This Row],[Angsuran Sesuai PK]]),Upaya_Debitur[[#This Row],[Angsuran Sesuai PK]],1)</f>
        <v>1</v>
      </c>
      <c r="K233" s="76"/>
      <c r="L233" s="16" t="s">
        <v>37</v>
      </c>
      <c r="N233" s="18"/>
      <c r="O233" s="76"/>
      <c r="P233" s="37"/>
      <c r="Q233" s="41"/>
      <c r="R233" s="37"/>
      <c r="S233" s="40">
        <f>IF(Upaya_Debitur[[#This Row],[Periode Haircut]]="",0,IF(Upaya_Debitur[[#This Row],[Periode Haircut]]&lt;=$B$6,Upaya_Debitur[[#This Row],[Haircut]],0))</f>
        <v>0</v>
      </c>
      <c r="T233" s="40">
        <f>IF($B$10="",0,IF($B$10&lt;=$B$6,Upaya_Debitur[[#This Row],[Set Off]],0))</f>
        <v>0</v>
      </c>
      <c r="U233" s="37">
        <v>0</v>
      </c>
      <c r="V233" s="37">
        <v>0</v>
      </c>
      <c r="W233" s="37">
        <v>0</v>
      </c>
      <c r="X233" s="37">
        <v>0</v>
      </c>
      <c r="Y233" s="37">
        <v>0</v>
      </c>
      <c r="Z233" s="37">
        <v>0</v>
      </c>
      <c r="AA233" s="37">
        <v>0</v>
      </c>
      <c r="AB233" s="37">
        <v>0</v>
      </c>
      <c r="AC233" s="37">
        <v>0</v>
      </c>
      <c r="AD233" s="37">
        <v>0</v>
      </c>
      <c r="AE233" s="37">
        <v>0</v>
      </c>
      <c r="AF233" s="37">
        <v>0</v>
      </c>
      <c r="AG233" s="37">
        <v>0</v>
      </c>
      <c r="AH233" s="37">
        <v>0</v>
      </c>
      <c r="AI233" s="37">
        <v>0</v>
      </c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40">
        <f ca="1">SUM(OFFSET(Upaya_Debitur[[#This Row],[Haircut Diperhitungkan]],0,0,1,$B$7+2))</f>
        <v>0</v>
      </c>
      <c r="BR233" s="35" t="str">
        <f ca="1">IF(Upaya_Debitur[[#This Row],[Total Pencairan]]&gt;=Upaya_Debitur[[#This Row],[Kewajiban Total]],"Lunas","Belum Lunas")</f>
        <v>Belum Lunas</v>
      </c>
      <c r="BS233" s="35" t="str">
        <f t="shared" si="9"/>
        <v>Ya</v>
      </c>
      <c r="BT233" s="35" t="str">
        <f t="shared" si="10"/>
        <v>Ya</v>
      </c>
      <c r="BU23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3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3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33" s="35" t="str">
        <f>IF(Upaya_Debitur[[#This Row],[Kondisi Debitur]]="Tidak ditemukan","Ya","Tidak")</f>
        <v>Ya</v>
      </c>
      <c r="BY23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3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3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33" s="18">
        <v>43781</v>
      </c>
      <c r="CC233" s="18">
        <v>43999</v>
      </c>
      <c r="CD233" s="18">
        <v>43826</v>
      </c>
      <c r="CE233" s="18">
        <v>43871</v>
      </c>
      <c r="CF233" s="18">
        <v>43887</v>
      </c>
      <c r="CG233" s="18">
        <v>44035</v>
      </c>
      <c r="CH233" s="18">
        <v>44057</v>
      </c>
      <c r="CI233" s="18">
        <v>44077</v>
      </c>
      <c r="CJ233" s="18"/>
      <c r="CK233" s="35">
        <f ca="1">COUNTIF(Upaya_Debitur[[#This Row],[Surat Pemberitahuan?]:[Gugatan Sederhana?]],"Ya")</f>
        <v>8</v>
      </c>
      <c r="CL233" s="35">
        <f ca="1">Upaya_Debitur[[#This Row],[Target Upaya]]-COUNTIFS(Upaya_Debitur[[#This Row],[Surat Pemberitahuan?]:[Gugatan Sederhana?]],"Ya",Upaya_Debitur[[#This Row],[Surat Pemberitahuan]:[Gugatan Sederhana]],"")</f>
        <v>8</v>
      </c>
      <c r="CM233" s="36">
        <f ca="1">IF(ISNUMBER(Upaya_Debitur[[#This Row],[Realisasi]]/Upaya_Debitur[[#This Row],[Target Upaya]]),Upaya_Debitur[[#This Row],[Realisasi]]/Upaya_Debitur[[#This Row],[Target Upaya]],1)</f>
        <v>1</v>
      </c>
    </row>
    <row r="234" spans="1:91" x14ac:dyDescent="0.3">
      <c r="A234" s="16">
        <v>216</v>
      </c>
      <c r="B234" s="17"/>
      <c r="C234" s="17" t="s">
        <v>603</v>
      </c>
      <c r="D234" s="16" t="s">
        <v>604</v>
      </c>
      <c r="E234" s="37">
        <v>2475000</v>
      </c>
      <c r="F234" s="37">
        <v>0</v>
      </c>
      <c r="G234" s="37">
        <v>0</v>
      </c>
      <c r="H234" s="40">
        <f>SUM(Upaya_Debitur[[#This Row],[Kewajiban Pokok]:[Kewajiban Denda]])</f>
        <v>2475000</v>
      </c>
      <c r="I234" s="37"/>
      <c r="J234" s="40">
        <f>IF(ISNUMBER(Upaya_Debitur[[#This Row],[Angsuran Sesuai PK]]),Upaya_Debitur[[#This Row],[Angsuran Sesuai PK]],1)</f>
        <v>1</v>
      </c>
      <c r="K234" s="76"/>
      <c r="L234" s="16" t="s">
        <v>83</v>
      </c>
      <c r="N234" s="18"/>
      <c r="O234" s="76"/>
      <c r="P234" s="37"/>
      <c r="Q234" s="41"/>
      <c r="R234" s="37"/>
      <c r="S234" s="40">
        <f>IF(Upaya_Debitur[[#This Row],[Periode Haircut]]="",0,IF(Upaya_Debitur[[#This Row],[Periode Haircut]]&lt;=$B$6,Upaya_Debitur[[#This Row],[Haircut]],0))</f>
        <v>0</v>
      </c>
      <c r="T234" s="40">
        <f>IF($B$10="",0,IF($B$10&lt;=$B$6,Upaya_Debitur[[#This Row],[Set Off]],0))</f>
        <v>0</v>
      </c>
      <c r="U234" s="37">
        <v>0</v>
      </c>
      <c r="V234" s="37">
        <v>0</v>
      </c>
      <c r="W234" s="37">
        <v>0</v>
      </c>
      <c r="X234" s="37">
        <v>0</v>
      </c>
      <c r="Y234" s="37">
        <v>0</v>
      </c>
      <c r="Z234" s="37">
        <v>0</v>
      </c>
      <c r="AA234" s="37">
        <v>0</v>
      </c>
      <c r="AB234" s="37">
        <v>0</v>
      </c>
      <c r="AC234" s="37">
        <v>0</v>
      </c>
      <c r="AD234" s="37">
        <v>0</v>
      </c>
      <c r="AE234" s="37">
        <v>0</v>
      </c>
      <c r="AF234" s="37">
        <v>0</v>
      </c>
      <c r="AG234" s="37">
        <v>0</v>
      </c>
      <c r="AH234" s="37">
        <v>0</v>
      </c>
      <c r="AI234" s="37">
        <v>0</v>
      </c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40">
        <f ca="1">SUM(OFFSET(Upaya_Debitur[[#This Row],[Haircut Diperhitungkan]],0,0,1,$B$7+2))</f>
        <v>0</v>
      </c>
      <c r="BR234" s="35" t="str">
        <f ca="1">IF(Upaya_Debitur[[#This Row],[Total Pencairan]]&gt;=Upaya_Debitur[[#This Row],[Kewajiban Total]],"Lunas","Belum Lunas")</f>
        <v>Belum Lunas</v>
      </c>
      <c r="BS234" s="35" t="str">
        <f t="shared" si="9"/>
        <v>Ya</v>
      </c>
      <c r="BT234" s="35" t="str">
        <f t="shared" si="10"/>
        <v>Ya</v>
      </c>
      <c r="BU23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3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3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34" s="35" t="str">
        <f>IF(Upaya_Debitur[[#This Row],[Kondisi Debitur]]="Tidak ditemukan","Ya","Tidak")</f>
        <v>Tidak</v>
      </c>
      <c r="BY23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3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3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34" s="18">
        <v>43781</v>
      </c>
      <c r="CC234" s="18">
        <v>43999</v>
      </c>
      <c r="CD234" s="18">
        <v>43826</v>
      </c>
      <c r="CE234" s="18">
        <v>43871</v>
      </c>
      <c r="CF234" s="18">
        <v>43887</v>
      </c>
      <c r="CG234" s="18">
        <v>43888</v>
      </c>
      <c r="CH234" s="18">
        <v>44057</v>
      </c>
      <c r="CI234" s="18">
        <v>44077</v>
      </c>
      <c r="CJ234" s="18"/>
      <c r="CK234" s="35">
        <f ca="1">COUNTIF(Upaya_Debitur[[#This Row],[Surat Pemberitahuan?]:[Gugatan Sederhana?]],"Ya")</f>
        <v>7</v>
      </c>
      <c r="CL234" s="35">
        <f ca="1">Upaya_Debitur[[#This Row],[Target Upaya]]-COUNTIFS(Upaya_Debitur[[#This Row],[Surat Pemberitahuan?]:[Gugatan Sederhana?]],"Ya",Upaya_Debitur[[#This Row],[Surat Pemberitahuan]:[Gugatan Sederhana]],"")</f>
        <v>7</v>
      </c>
      <c r="CM234" s="36">
        <f ca="1">IF(ISNUMBER(Upaya_Debitur[[#This Row],[Realisasi]]/Upaya_Debitur[[#This Row],[Target Upaya]]),Upaya_Debitur[[#This Row],[Realisasi]]/Upaya_Debitur[[#This Row],[Target Upaya]],1)</f>
        <v>1</v>
      </c>
    </row>
    <row r="235" spans="1:91" x14ac:dyDescent="0.3">
      <c r="A235" s="16">
        <v>217</v>
      </c>
      <c r="B235" s="17"/>
      <c r="C235" s="17" t="s">
        <v>605</v>
      </c>
      <c r="D235" s="16" t="s">
        <v>606</v>
      </c>
      <c r="E235" s="37">
        <v>4705636</v>
      </c>
      <c r="F235" s="37">
        <v>0</v>
      </c>
      <c r="G235" s="37">
        <v>0</v>
      </c>
      <c r="H235" s="40">
        <f>SUM(Upaya_Debitur[[#This Row],[Kewajiban Pokok]:[Kewajiban Denda]])</f>
        <v>4705636</v>
      </c>
      <c r="I235" s="37"/>
      <c r="J235" s="40">
        <f>IF(ISNUMBER(Upaya_Debitur[[#This Row],[Angsuran Sesuai PK]]),Upaya_Debitur[[#This Row],[Angsuran Sesuai PK]],1)</f>
        <v>1</v>
      </c>
      <c r="K235" s="76"/>
      <c r="L235" s="16" t="s">
        <v>37</v>
      </c>
      <c r="N235" s="18"/>
      <c r="O235" s="76"/>
      <c r="P235" s="37"/>
      <c r="Q235" s="41"/>
      <c r="R235" s="37"/>
      <c r="S235" s="40">
        <f>IF(Upaya_Debitur[[#This Row],[Periode Haircut]]="",0,IF(Upaya_Debitur[[#This Row],[Periode Haircut]]&lt;=$B$6,Upaya_Debitur[[#This Row],[Haircut]],0))</f>
        <v>0</v>
      </c>
      <c r="T235" s="40">
        <f>IF($B$10="",0,IF($B$10&lt;=$B$6,Upaya_Debitur[[#This Row],[Set Off]],0))</f>
        <v>0</v>
      </c>
      <c r="U235" s="37">
        <v>0</v>
      </c>
      <c r="V235" s="37">
        <v>0</v>
      </c>
      <c r="W235" s="37">
        <v>0</v>
      </c>
      <c r="X235" s="37">
        <v>0</v>
      </c>
      <c r="Y235" s="37">
        <v>0</v>
      </c>
      <c r="Z235" s="37">
        <v>0</v>
      </c>
      <c r="AA235" s="37">
        <v>0</v>
      </c>
      <c r="AB235" s="37">
        <v>0</v>
      </c>
      <c r="AC235" s="37">
        <v>0</v>
      </c>
      <c r="AD235" s="37">
        <v>0</v>
      </c>
      <c r="AE235" s="37">
        <v>0</v>
      </c>
      <c r="AF235" s="37">
        <v>0</v>
      </c>
      <c r="AG235" s="37">
        <v>0</v>
      </c>
      <c r="AH235" s="37">
        <v>0</v>
      </c>
      <c r="AI235" s="37">
        <v>0</v>
      </c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40">
        <f ca="1">SUM(OFFSET(Upaya_Debitur[[#This Row],[Haircut Diperhitungkan]],0,0,1,$B$7+2))</f>
        <v>0</v>
      </c>
      <c r="BR235" s="35" t="str">
        <f ca="1">IF(Upaya_Debitur[[#This Row],[Total Pencairan]]&gt;=Upaya_Debitur[[#This Row],[Kewajiban Total]],"Lunas","Belum Lunas")</f>
        <v>Belum Lunas</v>
      </c>
      <c r="BS235" s="35" t="str">
        <f t="shared" si="9"/>
        <v>Ya</v>
      </c>
      <c r="BT235" s="35" t="str">
        <f t="shared" si="10"/>
        <v>Ya</v>
      </c>
      <c r="BU23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3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3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35" s="35" t="str">
        <f>IF(Upaya_Debitur[[#This Row],[Kondisi Debitur]]="Tidak ditemukan","Ya","Tidak")</f>
        <v>Ya</v>
      </c>
      <c r="BY23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3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3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35" s="18">
        <v>43781</v>
      </c>
      <c r="CC235" s="18">
        <v>43999</v>
      </c>
      <c r="CD235" s="18">
        <v>43826</v>
      </c>
      <c r="CE235" s="18">
        <v>43871</v>
      </c>
      <c r="CF235" s="18">
        <v>43887</v>
      </c>
      <c r="CG235" s="18">
        <v>44035</v>
      </c>
      <c r="CH235" s="18">
        <v>44057</v>
      </c>
      <c r="CI235" s="18">
        <v>44077</v>
      </c>
      <c r="CJ235" s="18"/>
      <c r="CK235" s="35">
        <f ca="1">COUNTIF(Upaya_Debitur[[#This Row],[Surat Pemberitahuan?]:[Gugatan Sederhana?]],"Ya")</f>
        <v>8</v>
      </c>
      <c r="CL235" s="35">
        <f ca="1">Upaya_Debitur[[#This Row],[Target Upaya]]-COUNTIFS(Upaya_Debitur[[#This Row],[Surat Pemberitahuan?]:[Gugatan Sederhana?]],"Ya",Upaya_Debitur[[#This Row],[Surat Pemberitahuan]:[Gugatan Sederhana]],"")</f>
        <v>8</v>
      </c>
      <c r="CM235" s="36">
        <f ca="1">IF(ISNUMBER(Upaya_Debitur[[#This Row],[Realisasi]]/Upaya_Debitur[[#This Row],[Target Upaya]]),Upaya_Debitur[[#This Row],[Realisasi]]/Upaya_Debitur[[#This Row],[Target Upaya]],1)</f>
        <v>1</v>
      </c>
    </row>
    <row r="236" spans="1:91" x14ac:dyDescent="0.3">
      <c r="A236" s="16">
        <v>218</v>
      </c>
      <c r="B236" s="17"/>
      <c r="C236" s="17" t="s">
        <v>607</v>
      </c>
      <c r="D236" s="16" t="s">
        <v>608</v>
      </c>
      <c r="E236" s="37">
        <v>1775977</v>
      </c>
      <c r="F236" s="37">
        <v>0</v>
      </c>
      <c r="G236" s="37">
        <v>0</v>
      </c>
      <c r="H236" s="40">
        <f>SUM(Upaya_Debitur[[#This Row],[Kewajiban Pokok]:[Kewajiban Denda]])</f>
        <v>1775977</v>
      </c>
      <c r="I236" s="37"/>
      <c r="J236" s="40">
        <f>IF(ISNUMBER(Upaya_Debitur[[#This Row],[Angsuran Sesuai PK]]),Upaya_Debitur[[#This Row],[Angsuran Sesuai PK]],1)</f>
        <v>1</v>
      </c>
      <c r="K236" s="76"/>
      <c r="L236" s="16" t="s">
        <v>37</v>
      </c>
      <c r="N236" s="18"/>
      <c r="O236" s="76"/>
      <c r="P236" s="37"/>
      <c r="Q236" s="41"/>
      <c r="R236" s="37"/>
      <c r="S236" s="40">
        <f>IF(Upaya_Debitur[[#This Row],[Periode Haircut]]="",0,IF(Upaya_Debitur[[#This Row],[Periode Haircut]]&lt;=$B$6,Upaya_Debitur[[#This Row],[Haircut]],0))</f>
        <v>0</v>
      </c>
      <c r="T236" s="40">
        <f>IF($B$10="",0,IF($B$10&lt;=$B$6,Upaya_Debitur[[#This Row],[Set Off]],0))</f>
        <v>0</v>
      </c>
      <c r="U236" s="37">
        <v>0</v>
      </c>
      <c r="V236" s="37">
        <v>0</v>
      </c>
      <c r="W236" s="37">
        <v>0</v>
      </c>
      <c r="X236" s="37">
        <v>0</v>
      </c>
      <c r="Y236" s="37">
        <v>0</v>
      </c>
      <c r="Z236" s="37">
        <v>0</v>
      </c>
      <c r="AA236" s="37">
        <v>0</v>
      </c>
      <c r="AB236" s="37">
        <v>0</v>
      </c>
      <c r="AC236" s="37">
        <v>0</v>
      </c>
      <c r="AD236" s="37">
        <v>0</v>
      </c>
      <c r="AE236" s="37">
        <v>0</v>
      </c>
      <c r="AF236" s="37">
        <v>0</v>
      </c>
      <c r="AG236" s="37">
        <v>0</v>
      </c>
      <c r="AH236" s="37">
        <v>0</v>
      </c>
      <c r="AI236" s="37">
        <v>0</v>
      </c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40">
        <f ca="1">SUM(OFFSET(Upaya_Debitur[[#This Row],[Haircut Diperhitungkan]],0,0,1,$B$7+2))</f>
        <v>0</v>
      </c>
      <c r="BR236" s="35" t="str">
        <f ca="1">IF(Upaya_Debitur[[#This Row],[Total Pencairan]]&gt;=Upaya_Debitur[[#This Row],[Kewajiban Total]],"Lunas","Belum Lunas")</f>
        <v>Belum Lunas</v>
      </c>
      <c r="BS236" s="35" t="str">
        <f t="shared" si="9"/>
        <v>Ya</v>
      </c>
      <c r="BT236" s="35" t="str">
        <f t="shared" si="10"/>
        <v>Ya</v>
      </c>
      <c r="BU23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3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3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36" s="35" t="str">
        <f>IF(Upaya_Debitur[[#This Row],[Kondisi Debitur]]="Tidak ditemukan","Ya","Tidak")</f>
        <v>Ya</v>
      </c>
      <c r="BY23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3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3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36" s="18">
        <v>43781</v>
      </c>
      <c r="CC236" s="18">
        <v>43999</v>
      </c>
      <c r="CD236" s="18">
        <v>43826</v>
      </c>
      <c r="CE236" s="18">
        <v>43871</v>
      </c>
      <c r="CF236" s="18">
        <v>43887</v>
      </c>
      <c r="CG236" s="18">
        <v>43888</v>
      </c>
      <c r="CH236" s="18">
        <v>44057</v>
      </c>
      <c r="CI236" s="18">
        <v>44077</v>
      </c>
      <c r="CJ236" s="18"/>
      <c r="CK236" s="35">
        <f ca="1">COUNTIF(Upaya_Debitur[[#This Row],[Surat Pemberitahuan?]:[Gugatan Sederhana?]],"Ya")</f>
        <v>8</v>
      </c>
      <c r="CL236" s="35">
        <f ca="1">Upaya_Debitur[[#This Row],[Target Upaya]]-COUNTIFS(Upaya_Debitur[[#This Row],[Surat Pemberitahuan?]:[Gugatan Sederhana?]],"Ya",Upaya_Debitur[[#This Row],[Surat Pemberitahuan]:[Gugatan Sederhana]],"")</f>
        <v>8</v>
      </c>
      <c r="CM236" s="36">
        <f ca="1">IF(ISNUMBER(Upaya_Debitur[[#This Row],[Realisasi]]/Upaya_Debitur[[#This Row],[Target Upaya]]),Upaya_Debitur[[#This Row],[Realisasi]]/Upaya_Debitur[[#This Row],[Target Upaya]],1)</f>
        <v>1</v>
      </c>
    </row>
    <row r="237" spans="1:91" x14ac:dyDescent="0.3">
      <c r="A237" s="16">
        <v>219</v>
      </c>
      <c r="B237" s="17"/>
      <c r="C237" s="17" t="s">
        <v>609</v>
      </c>
      <c r="D237" s="16" t="s">
        <v>610</v>
      </c>
      <c r="E237" s="37">
        <v>206505</v>
      </c>
      <c r="F237" s="37">
        <v>0</v>
      </c>
      <c r="G237" s="37">
        <v>0</v>
      </c>
      <c r="H237" s="40">
        <f>SUM(Upaya_Debitur[[#This Row],[Kewajiban Pokok]:[Kewajiban Denda]])</f>
        <v>206505</v>
      </c>
      <c r="I237" s="37"/>
      <c r="J237" s="40">
        <f>IF(ISNUMBER(Upaya_Debitur[[#This Row],[Angsuran Sesuai PK]]),Upaya_Debitur[[#This Row],[Angsuran Sesuai PK]],1)</f>
        <v>1</v>
      </c>
      <c r="K237" s="76"/>
      <c r="L237" s="16" t="s">
        <v>37</v>
      </c>
      <c r="N237" s="18"/>
      <c r="O237" s="76"/>
      <c r="P237" s="37"/>
      <c r="Q237" s="41"/>
      <c r="R237" s="37"/>
      <c r="S237" s="40">
        <f>IF(Upaya_Debitur[[#This Row],[Periode Haircut]]="",0,IF(Upaya_Debitur[[#This Row],[Periode Haircut]]&lt;=$B$6,Upaya_Debitur[[#This Row],[Haircut]],0))</f>
        <v>0</v>
      </c>
      <c r="T237" s="40">
        <f>IF($B$10="",0,IF($B$10&lt;=$B$6,Upaya_Debitur[[#This Row],[Set Off]],0))</f>
        <v>0</v>
      </c>
      <c r="U237" s="37">
        <v>0</v>
      </c>
      <c r="V237" s="37">
        <v>0</v>
      </c>
      <c r="W237" s="37">
        <v>0</v>
      </c>
      <c r="X237" s="37">
        <v>0</v>
      </c>
      <c r="Y237" s="37">
        <v>0</v>
      </c>
      <c r="Z237" s="37">
        <v>0</v>
      </c>
      <c r="AA237" s="37">
        <v>0</v>
      </c>
      <c r="AB237" s="37">
        <v>0</v>
      </c>
      <c r="AC237" s="37">
        <v>0</v>
      </c>
      <c r="AD237" s="37">
        <v>0</v>
      </c>
      <c r="AE237" s="37">
        <v>0</v>
      </c>
      <c r="AF237" s="37">
        <v>0</v>
      </c>
      <c r="AG237" s="37">
        <v>0</v>
      </c>
      <c r="AH237" s="37">
        <v>0</v>
      </c>
      <c r="AI237" s="37">
        <v>0</v>
      </c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40">
        <f ca="1">SUM(OFFSET(Upaya_Debitur[[#This Row],[Haircut Diperhitungkan]],0,0,1,$B$7+2))</f>
        <v>0</v>
      </c>
      <c r="BR237" s="35" t="str">
        <f ca="1">IF(Upaya_Debitur[[#This Row],[Total Pencairan]]&gt;=Upaya_Debitur[[#This Row],[Kewajiban Total]],"Lunas","Belum Lunas")</f>
        <v>Belum Lunas</v>
      </c>
      <c r="BS237" s="35" t="str">
        <f t="shared" si="9"/>
        <v>Ya</v>
      </c>
      <c r="BT237" s="35" t="str">
        <f t="shared" si="10"/>
        <v>Ya</v>
      </c>
      <c r="BU23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3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3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37" s="35" t="str">
        <f>IF(Upaya_Debitur[[#This Row],[Kondisi Debitur]]="Tidak ditemukan","Ya","Tidak")</f>
        <v>Ya</v>
      </c>
      <c r="BY23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3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3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37" s="18">
        <v>43781</v>
      </c>
      <c r="CC237" s="18">
        <v>43999</v>
      </c>
      <c r="CD237" s="18">
        <v>43826</v>
      </c>
      <c r="CE237" s="18">
        <v>43871</v>
      </c>
      <c r="CF237" s="18">
        <v>43887</v>
      </c>
      <c r="CG237" s="18">
        <v>44035</v>
      </c>
      <c r="CH237" s="18">
        <v>44057</v>
      </c>
      <c r="CI237" s="18">
        <v>44077</v>
      </c>
      <c r="CJ237" s="18"/>
      <c r="CK237" s="35">
        <f ca="1">COUNTIF(Upaya_Debitur[[#This Row],[Surat Pemberitahuan?]:[Gugatan Sederhana?]],"Ya")</f>
        <v>8</v>
      </c>
      <c r="CL237" s="35">
        <f ca="1">Upaya_Debitur[[#This Row],[Target Upaya]]-COUNTIFS(Upaya_Debitur[[#This Row],[Surat Pemberitahuan?]:[Gugatan Sederhana?]],"Ya",Upaya_Debitur[[#This Row],[Surat Pemberitahuan]:[Gugatan Sederhana]],"")</f>
        <v>8</v>
      </c>
      <c r="CM237" s="36">
        <f ca="1">IF(ISNUMBER(Upaya_Debitur[[#This Row],[Realisasi]]/Upaya_Debitur[[#This Row],[Target Upaya]]),Upaya_Debitur[[#This Row],[Realisasi]]/Upaya_Debitur[[#This Row],[Target Upaya]],1)</f>
        <v>1</v>
      </c>
    </row>
    <row r="238" spans="1:91" x14ac:dyDescent="0.3">
      <c r="A238" s="16">
        <v>220</v>
      </c>
      <c r="B238" s="17"/>
      <c r="C238" s="17" t="s">
        <v>611</v>
      </c>
      <c r="D238" s="16" t="s">
        <v>612</v>
      </c>
      <c r="E238" s="37">
        <v>46000</v>
      </c>
      <c r="F238" s="37">
        <v>0</v>
      </c>
      <c r="G238" s="37">
        <v>0</v>
      </c>
      <c r="H238" s="40">
        <f>SUM(Upaya_Debitur[[#This Row],[Kewajiban Pokok]:[Kewajiban Denda]])</f>
        <v>46000</v>
      </c>
      <c r="I238" s="37"/>
      <c r="J238" s="40">
        <f>IF(ISNUMBER(Upaya_Debitur[[#This Row],[Angsuran Sesuai PK]]),Upaya_Debitur[[#This Row],[Angsuran Sesuai PK]],1)</f>
        <v>1</v>
      </c>
      <c r="K238" s="76"/>
      <c r="L238" s="16" t="s">
        <v>37</v>
      </c>
      <c r="N238" s="18"/>
      <c r="O238" s="76"/>
      <c r="P238" s="37"/>
      <c r="Q238" s="41"/>
      <c r="R238" s="37"/>
      <c r="S238" s="40">
        <f>IF(Upaya_Debitur[[#This Row],[Periode Haircut]]="",0,IF(Upaya_Debitur[[#This Row],[Periode Haircut]]&lt;=$B$6,Upaya_Debitur[[#This Row],[Haircut]],0))</f>
        <v>0</v>
      </c>
      <c r="T238" s="40">
        <f>IF($B$10="",0,IF($B$10&lt;=$B$6,Upaya_Debitur[[#This Row],[Set Off]],0))</f>
        <v>0</v>
      </c>
      <c r="U238" s="37">
        <v>0</v>
      </c>
      <c r="V238" s="37">
        <v>0</v>
      </c>
      <c r="W238" s="37">
        <v>0</v>
      </c>
      <c r="X238" s="37">
        <v>0</v>
      </c>
      <c r="Y238" s="37">
        <v>0</v>
      </c>
      <c r="Z238" s="37">
        <v>0</v>
      </c>
      <c r="AA238" s="37">
        <v>0</v>
      </c>
      <c r="AB238" s="37">
        <v>0</v>
      </c>
      <c r="AC238" s="37">
        <v>0</v>
      </c>
      <c r="AD238" s="37">
        <v>0</v>
      </c>
      <c r="AE238" s="37">
        <v>0</v>
      </c>
      <c r="AF238" s="37">
        <v>0</v>
      </c>
      <c r="AG238" s="37">
        <v>0</v>
      </c>
      <c r="AH238" s="37">
        <v>0</v>
      </c>
      <c r="AI238" s="37">
        <v>0</v>
      </c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40">
        <f ca="1">SUM(OFFSET(Upaya_Debitur[[#This Row],[Haircut Diperhitungkan]],0,0,1,$B$7+2))</f>
        <v>0</v>
      </c>
      <c r="BR238" s="35" t="str">
        <f ca="1">IF(Upaya_Debitur[[#This Row],[Total Pencairan]]&gt;=Upaya_Debitur[[#This Row],[Kewajiban Total]],"Lunas","Belum Lunas")</f>
        <v>Belum Lunas</v>
      </c>
      <c r="BS238" s="35" t="str">
        <f t="shared" si="9"/>
        <v>Ya</v>
      </c>
      <c r="BT238" s="35" t="str">
        <f t="shared" si="10"/>
        <v>Ya</v>
      </c>
      <c r="BU23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3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3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38" s="35" t="str">
        <f>IF(Upaya_Debitur[[#This Row],[Kondisi Debitur]]="Tidak ditemukan","Ya","Tidak")</f>
        <v>Ya</v>
      </c>
      <c r="BY23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3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3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38" s="18">
        <v>43781</v>
      </c>
      <c r="CC238" s="18">
        <v>43999</v>
      </c>
      <c r="CD238" s="18">
        <v>43826</v>
      </c>
      <c r="CE238" s="18">
        <v>43871</v>
      </c>
      <c r="CF238" s="18">
        <v>43887</v>
      </c>
      <c r="CG238" s="18">
        <v>44035</v>
      </c>
      <c r="CH238" s="18">
        <v>44057</v>
      </c>
      <c r="CI238" s="18">
        <v>44077</v>
      </c>
      <c r="CJ238" s="18"/>
      <c r="CK238" s="35">
        <f ca="1">COUNTIF(Upaya_Debitur[[#This Row],[Surat Pemberitahuan?]:[Gugatan Sederhana?]],"Ya")</f>
        <v>8</v>
      </c>
      <c r="CL238" s="35">
        <f ca="1">Upaya_Debitur[[#This Row],[Target Upaya]]-COUNTIFS(Upaya_Debitur[[#This Row],[Surat Pemberitahuan?]:[Gugatan Sederhana?]],"Ya",Upaya_Debitur[[#This Row],[Surat Pemberitahuan]:[Gugatan Sederhana]],"")</f>
        <v>8</v>
      </c>
      <c r="CM238" s="36">
        <f ca="1">IF(ISNUMBER(Upaya_Debitur[[#This Row],[Realisasi]]/Upaya_Debitur[[#This Row],[Target Upaya]]),Upaya_Debitur[[#This Row],[Realisasi]]/Upaya_Debitur[[#This Row],[Target Upaya]],1)</f>
        <v>1</v>
      </c>
    </row>
    <row r="239" spans="1:91" x14ac:dyDescent="0.3">
      <c r="A239" s="16">
        <v>221</v>
      </c>
      <c r="B239" s="17"/>
      <c r="C239" s="17" t="s">
        <v>613</v>
      </c>
      <c r="D239" s="16" t="s">
        <v>614</v>
      </c>
      <c r="E239" s="37">
        <v>541155</v>
      </c>
      <c r="F239" s="37">
        <v>0</v>
      </c>
      <c r="G239" s="37">
        <v>0</v>
      </c>
      <c r="H239" s="40">
        <f>SUM(Upaya_Debitur[[#This Row],[Kewajiban Pokok]:[Kewajiban Denda]])</f>
        <v>541155</v>
      </c>
      <c r="I239" s="37"/>
      <c r="J239" s="40">
        <f>IF(ISNUMBER(Upaya_Debitur[[#This Row],[Angsuran Sesuai PK]]),Upaya_Debitur[[#This Row],[Angsuran Sesuai PK]],1)</f>
        <v>1</v>
      </c>
      <c r="K239" s="76"/>
      <c r="L239" s="16" t="s">
        <v>83</v>
      </c>
      <c r="N239" s="18"/>
      <c r="O239" s="76"/>
      <c r="P239" s="37"/>
      <c r="Q239" s="41"/>
      <c r="R239" s="37"/>
      <c r="S239" s="40">
        <f>IF(Upaya_Debitur[[#This Row],[Periode Haircut]]="",0,IF(Upaya_Debitur[[#This Row],[Periode Haircut]]&lt;=$B$6,Upaya_Debitur[[#This Row],[Haircut]],0))</f>
        <v>0</v>
      </c>
      <c r="T239" s="40">
        <f>IF($B$10="",0,IF($B$10&lt;=$B$6,Upaya_Debitur[[#This Row],[Set Off]],0))</f>
        <v>0</v>
      </c>
      <c r="U239" s="37">
        <v>0</v>
      </c>
      <c r="V239" s="37">
        <v>541155</v>
      </c>
      <c r="W239" s="37">
        <v>0</v>
      </c>
      <c r="X239" s="37">
        <v>0</v>
      </c>
      <c r="Y239" s="37">
        <v>0</v>
      </c>
      <c r="Z239" s="37">
        <v>0</v>
      </c>
      <c r="AA239" s="37">
        <v>0</v>
      </c>
      <c r="AB239" s="37">
        <v>0</v>
      </c>
      <c r="AC239" s="37">
        <v>0</v>
      </c>
      <c r="AD239" s="37">
        <v>0</v>
      </c>
      <c r="AE239" s="37">
        <v>0</v>
      </c>
      <c r="AF239" s="37">
        <v>0</v>
      </c>
      <c r="AG239" s="37">
        <v>0</v>
      </c>
      <c r="AH239" s="37">
        <v>0</v>
      </c>
      <c r="AI239" s="37">
        <v>0</v>
      </c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40">
        <f ca="1">SUM(OFFSET(Upaya_Debitur[[#This Row],[Haircut Diperhitungkan]],0,0,1,$B$7+2))</f>
        <v>541155</v>
      </c>
      <c r="BR239" s="35" t="str">
        <f ca="1">IF(Upaya_Debitur[[#This Row],[Total Pencairan]]&gt;=Upaya_Debitur[[#This Row],[Kewajiban Total]],"Lunas","Belum Lunas")</f>
        <v>Lunas</v>
      </c>
      <c r="BS239" s="35" t="str">
        <f t="shared" si="9"/>
        <v>Ya</v>
      </c>
      <c r="BT239" s="35" t="str">
        <f t="shared" si="10"/>
        <v>Ya</v>
      </c>
      <c r="BU23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Tidak</v>
      </c>
      <c r="BV23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Tidak</v>
      </c>
      <c r="BW23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Tidak</v>
      </c>
      <c r="BX239" s="35" t="str">
        <f>IF(Upaya_Debitur[[#This Row],[Kondisi Debitur]]="Tidak ditemukan","Ya","Tidak")</f>
        <v>Tidak</v>
      </c>
      <c r="BY23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Tidak</v>
      </c>
      <c r="BZ23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Tidak</v>
      </c>
      <c r="CA23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39" s="18">
        <v>43781</v>
      </c>
      <c r="CC239" s="18">
        <v>43871</v>
      </c>
      <c r="CD239" s="18"/>
      <c r="CE239" s="18"/>
      <c r="CF239" s="18"/>
      <c r="CG239" s="18"/>
      <c r="CH239" s="18">
        <v>44057</v>
      </c>
      <c r="CI239" s="18">
        <v>44077</v>
      </c>
      <c r="CJ239" s="18"/>
      <c r="CK239" s="35">
        <f ca="1">COUNTIF(Upaya_Debitur[[#This Row],[Surat Pemberitahuan?]:[Gugatan Sederhana?]],"Ya")</f>
        <v>2</v>
      </c>
      <c r="CL239" s="35">
        <f ca="1">Upaya_Debitur[[#This Row],[Target Upaya]]-COUNTIFS(Upaya_Debitur[[#This Row],[Surat Pemberitahuan?]:[Gugatan Sederhana?]],"Ya",Upaya_Debitur[[#This Row],[Surat Pemberitahuan]:[Gugatan Sederhana]],"")</f>
        <v>2</v>
      </c>
      <c r="CM239" s="36">
        <f ca="1">IF(ISNUMBER(Upaya_Debitur[[#This Row],[Realisasi]]/Upaya_Debitur[[#This Row],[Target Upaya]]),Upaya_Debitur[[#This Row],[Realisasi]]/Upaya_Debitur[[#This Row],[Target Upaya]],1)</f>
        <v>1</v>
      </c>
    </row>
    <row r="240" spans="1:91" x14ac:dyDescent="0.3">
      <c r="A240" s="16">
        <v>222</v>
      </c>
      <c r="B240" s="17"/>
      <c r="C240" s="17" t="s">
        <v>615</v>
      </c>
      <c r="D240" s="16" t="s">
        <v>616</v>
      </c>
      <c r="E240" s="37">
        <v>235000</v>
      </c>
      <c r="F240" s="37">
        <v>0</v>
      </c>
      <c r="G240" s="37">
        <v>0</v>
      </c>
      <c r="H240" s="40">
        <f>SUM(Upaya_Debitur[[#This Row],[Kewajiban Pokok]:[Kewajiban Denda]])</f>
        <v>235000</v>
      </c>
      <c r="I240" s="37"/>
      <c r="J240" s="40">
        <f>IF(ISNUMBER(Upaya_Debitur[[#This Row],[Angsuran Sesuai PK]]),Upaya_Debitur[[#This Row],[Angsuran Sesuai PK]],1)</f>
        <v>1</v>
      </c>
      <c r="K240" s="76"/>
      <c r="L240" s="16" t="s">
        <v>37</v>
      </c>
      <c r="N240" s="18"/>
      <c r="O240" s="76"/>
      <c r="P240" s="37"/>
      <c r="Q240" s="41"/>
      <c r="R240" s="37"/>
      <c r="S240" s="40">
        <f>IF(Upaya_Debitur[[#This Row],[Periode Haircut]]="",0,IF(Upaya_Debitur[[#This Row],[Periode Haircut]]&lt;=$B$6,Upaya_Debitur[[#This Row],[Haircut]],0))</f>
        <v>0</v>
      </c>
      <c r="T240" s="40">
        <f>IF($B$10="",0,IF($B$10&lt;=$B$6,Upaya_Debitur[[#This Row],[Set Off]],0))</f>
        <v>0</v>
      </c>
      <c r="U240" s="37">
        <v>0</v>
      </c>
      <c r="V240" s="37">
        <v>0</v>
      </c>
      <c r="W240" s="37">
        <v>0</v>
      </c>
      <c r="X240" s="37">
        <v>0</v>
      </c>
      <c r="Y240" s="37">
        <v>0</v>
      </c>
      <c r="Z240" s="37">
        <v>0</v>
      </c>
      <c r="AA240" s="37">
        <v>0</v>
      </c>
      <c r="AB240" s="37">
        <v>0</v>
      </c>
      <c r="AC240" s="37">
        <v>0</v>
      </c>
      <c r="AD240" s="37">
        <v>0</v>
      </c>
      <c r="AE240" s="37">
        <v>0</v>
      </c>
      <c r="AF240" s="37">
        <v>0</v>
      </c>
      <c r="AG240" s="37">
        <v>0</v>
      </c>
      <c r="AH240" s="37">
        <v>0</v>
      </c>
      <c r="AI240" s="37">
        <v>0</v>
      </c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40">
        <f ca="1">SUM(OFFSET(Upaya_Debitur[[#This Row],[Haircut Diperhitungkan]],0,0,1,$B$7+2))</f>
        <v>0</v>
      </c>
      <c r="BR240" s="35" t="str">
        <f ca="1">IF(Upaya_Debitur[[#This Row],[Total Pencairan]]&gt;=Upaya_Debitur[[#This Row],[Kewajiban Total]],"Lunas","Belum Lunas")</f>
        <v>Belum Lunas</v>
      </c>
      <c r="BS240" s="35" t="str">
        <f t="shared" si="9"/>
        <v>Ya</v>
      </c>
      <c r="BT240" s="35" t="str">
        <f t="shared" si="10"/>
        <v>Ya</v>
      </c>
      <c r="BU24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4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4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40" s="35" t="str">
        <f>IF(Upaya_Debitur[[#This Row],[Kondisi Debitur]]="Tidak ditemukan","Ya","Tidak")</f>
        <v>Ya</v>
      </c>
      <c r="BY24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4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4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40" s="18">
        <v>43781</v>
      </c>
      <c r="CC240" s="18">
        <v>43999</v>
      </c>
      <c r="CD240" s="18">
        <v>43826</v>
      </c>
      <c r="CE240" s="18">
        <v>43871</v>
      </c>
      <c r="CF240" s="18">
        <v>43887</v>
      </c>
      <c r="CG240" s="18">
        <v>44035</v>
      </c>
      <c r="CH240" s="18">
        <v>44057</v>
      </c>
      <c r="CI240" s="18">
        <v>44077</v>
      </c>
      <c r="CJ240" s="18"/>
      <c r="CK240" s="35">
        <f ca="1">COUNTIF(Upaya_Debitur[[#This Row],[Surat Pemberitahuan?]:[Gugatan Sederhana?]],"Ya")</f>
        <v>8</v>
      </c>
      <c r="CL240" s="35">
        <f ca="1">Upaya_Debitur[[#This Row],[Target Upaya]]-COUNTIFS(Upaya_Debitur[[#This Row],[Surat Pemberitahuan?]:[Gugatan Sederhana?]],"Ya",Upaya_Debitur[[#This Row],[Surat Pemberitahuan]:[Gugatan Sederhana]],"")</f>
        <v>8</v>
      </c>
      <c r="CM240" s="36">
        <f ca="1">IF(ISNUMBER(Upaya_Debitur[[#This Row],[Realisasi]]/Upaya_Debitur[[#This Row],[Target Upaya]]),Upaya_Debitur[[#This Row],[Realisasi]]/Upaya_Debitur[[#This Row],[Target Upaya]],1)</f>
        <v>1</v>
      </c>
    </row>
    <row r="241" spans="1:91" x14ac:dyDescent="0.3">
      <c r="A241" s="16">
        <v>223</v>
      </c>
      <c r="B241" s="17"/>
      <c r="C241" s="17" t="s">
        <v>617</v>
      </c>
      <c r="D241" s="16" t="s">
        <v>618</v>
      </c>
      <c r="E241" s="37">
        <v>2750000</v>
      </c>
      <c r="F241" s="37">
        <v>0</v>
      </c>
      <c r="G241" s="37">
        <v>0</v>
      </c>
      <c r="H241" s="40">
        <f>SUM(Upaya_Debitur[[#This Row],[Kewajiban Pokok]:[Kewajiban Denda]])</f>
        <v>2750000</v>
      </c>
      <c r="I241" s="37"/>
      <c r="J241" s="40">
        <f>IF(ISNUMBER(Upaya_Debitur[[#This Row],[Angsuran Sesuai PK]]),Upaya_Debitur[[#This Row],[Angsuran Sesuai PK]],1)</f>
        <v>1</v>
      </c>
      <c r="K241" s="76"/>
      <c r="L241" s="16" t="s">
        <v>37</v>
      </c>
      <c r="N241" s="18"/>
      <c r="O241" s="76"/>
      <c r="P241" s="37"/>
      <c r="Q241" s="41"/>
      <c r="R241" s="37"/>
      <c r="S241" s="40">
        <f>IF(Upaya_Debitur[[#This Row],[Periode Haircut]]="",0,IF(Upaya_Debitur[[#This Row],[Periode Haircut]]&lt;=$B$6,Upaya_Debitur[[#This Row],[Haircut]],0))</f>
        <v>0</v>
      </c>
      <c r="T241" s="40">
        <f>IF($B$10="",0,IF($B$10&lt;=$B$6,Upaya_Debitur[[#This Row],[Set Off]],0))</f>
        <v>0</v>
      </c>
      <c r="U241" s="37">
        <v>0</v>
      </c>
      <c r="V241" s="37">
        <v>0</v>
      </c>
      <c r="W241" s="37">
        <v>0</v>
      </c>
      <c r="X241" s="37">
        <v>0</v>
      </c>
      <c r="Y241" s="37">
        <v>0</v>
      </c>
      <c r="Z241" s="37">
        <v>0</v>
      </c>
      <c r="AA241" s="37">
        <v>0</v>
      </c>
      <c r="AB241" s="37">
        <v>0</v>
      </c>
      <c r="AC241" s="37">
        <v>0</v>
      </c>
      <c r="AD241" s="37">
        <v>0</v>
      </c>
      <c r="AE241" s="37">
        <v>0</v>
      </c>
      <c r="AF241" s="37">
        <v>0</v>
      </c>
      <c r="AG241" s="37">
        <v>0</v>
      </c>
      <c r="AH241" s="37">
        <v>0</v>
      </c>
      <c r="AI241" s="37">
        <v>0</v>
      </c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40">
        <f ca="1">SUM(OFFSET(Upaya_Debitur[[#This Row],[Haircut Diperhitungkan]],0,0,1,$B$7+2))</f>
        <v>0</v>
      </c>
      <c r="BR241" s="35" t="str">
        <f ca="1">IF(Upaya_Debitur[[#This Row],[Total Pencairan]]&gt;=Upaya_Debitur[[#This Row],[Kewajiban Total]],"Lunas","Belum Lunas")</f>
        <v>Belum Lunas</v>
      </c>
      <c r="BS241" s="35" t="str">
        <f t="shared" si="9"/>
        <v>Ya</v>
      </c>
      <c r="BT241" s="35" t="str">
        <f t="shared" si="10"/>
        <v>Ya</v>
      </c>
      <c r="BU24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4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4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41" s="35" t="str">
        <f>IF(Upaya_Debitur[[#This Row],[Kondisi Debitur]]="Tidak ditemukan","Ya","Tidak")</f>
        <v>Ya</v>
      </c>
      <c r="BY24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4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4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41" s="18">
        <v>43781</v>
      </c>
      <c r="CC241" s="18">
        <v>43999</v>
      </c>
      <c r="CD241" s="18">
        <v>43826</v>
      </c>
      <c r="CE241" s="18">
        <v>43871</v>
      </c>
      <c r="CF241" s="18">
        <v>43887</v>
      </c>
      <c r="CG241" s="18">
        <v>43888</v>
      </c>
      <c r="CH241" s="18">
        <v>44057</v>
      </c>
      <c r="CI241" s="18">
        <v>44077</v>
      </c>
      <c r="CJ241" s="18"/>
      <c r="CK241" s="35">
        <f ca="1">COUNTIF(Upaya_Debitur[[#This Row],[Surat Pemberitahuan?]:[Gugatan Sederhana?]],"Ya")</f>
        <v>8</v>
      </c>
      <c r="CL241" s="35">
        <f ca="1">Upaya_Debitur[[#This Row],[Target Upaya]]-COUNTIFS(Upaya_Debitur[[#This Row],[Surat Pemberitahuan?]:[Gugatan Sederhana?]],"Ya",Upaya_Debitur[[#This Row],[Surat Pemberitahuan]:[Gugatan Sederhana]],"")</f>
        <v>8</v>
      </c>
      <c r="CM241" s="36">
        <f ca="1">IF(ISNUMBER(Upaya_Debitur[[#This Row],[Realisasi]]/Upaya_Debitur[[#This Row],[Target Upaya]]),Upaya_Debitur[[#This Row],[Realisasi]]/Upaya_Debitur[[#This Row],[Target Upaya]],1)</f>
        <v>1</v>
      </c>
    </row>
    <row r="242" spans="1:91" x14ac:dyDescent="0.3">
      <c r="A242" s="16">
        <v>224</v>
      </c>
      <c r="B242" s="17"/>
      <c r="C242" s="17" t="s">
        <v>619</v>
      </c>
      <c r="D242" s="16" t="s">
        <v>620</v>
      </c>
      <c r="E242" s="37">
        <v>508000</v>
      </c>
      <c r="F242" s="37">
        <v>0</v>
      </c>
      <c r="G242" s="37">
        <v>0</v>
      </c>
      <c r="H242" s="40">
        <f>SUM(Upaya_Debitur[[#This Row],[Kewajiban Pokok]:[Kewajiban Denda]])</f>
        <v>508000</v>
      </c>
      <c r="I242" s="37"/>
      <c r="J242" s="40">
        <f>IF(ISNUMBER(Upaya_Debitur[[#This Row],[Angsuran Sesuai PK]]),Upaya_Debitur[[#This Row],[Angsuran Sesuai PK]],1)</f>
        <v>1</v>
      </c>
      <c r="K242" s="76"/>
      <c r="L242" s="16" t="s">
        <v>37</v>
      </c>
      <c r="N242" s="18"/>
      <c r="O242" s="76"/>
      <c r="P242" s="37"/>
      <c r="Q242" s="41"/>
      <c r="R242" s="37"/>
      <c r="S242" s="40">
        <f>IF(Upaya_Debitur[[#This Row],[Periode Haircut]]="",0,IF(Upaya_Debitur[[#This Row],[Periode Haircut]]&lt;=$B$6,Upaya_Debitur[[#This Row],[Haircut]],0))</f>
        <v>0</v>
      </c>
      <c r="T242" s="40">
        <f>IF($B$10="",0,IF($B$10&lt;=$B$6,Upaya_Debitur[[#This Row],[Set Off]],0))</f>
        <v>0</v>
      </c>
      <c r="U242" s="37">
        <v>0</v>
      </c>
      <c r="V242" s="37">
        <v>0</v>
      </c>
      <c r="W242" s="37">
        <v>0</v>
      </c>
      <c r="X242" s="37">
        <v>0</v>
      </c>
      <c r="Y242" s="37">
        <v>0</v>
      </c>
      <c r="Z242" s="37">
        <v>0</v>
      </c>
      <c r="AA242" s="37">
        <v>0</v>
      </c>
      <c r="AB242" s="37">
        <v>0</v>
      </c>
      <c r="AC242" s="37">
        <v>0</v>
      </c>
      <c r="AD242" s="37">
        <v>0</v>
      </c>
      <c r="AE242" s="37">
        <v>0</v>
      </c>
      <c r="AF242" s="37">
        <v>0</v>
      </c>
      <c r="AG242" s="37">
        <v>0</v>
      </c>
      <c r="AH242" s="37">
        <v>0</v>
      </c>
      <c r="AI242" s="37">
        <v>0</v>
      </c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40">
        <f ca="1">SUM(OFFSET(Upaya_Debitur[[#This Row],[Haircut Diperhitungkan]],0,0,1,$B$7+2))</f>
        <v>0</v>
      </c>
      <c r="BR242" s="35" t="str">
        <f ca="1">IF(Upaya_Debitur[[#This Row],[Total Pencairan]]&gt;=Upaya_Debitur[[#This Row],[Kewajiban Total]],"Lunas","Belum Lunas")</f>
        <v>Belum Lunas</v>
      </c>
      <c r="BS242" s="35" t="str">
        <f t="shared" si="9"/>
        <v>Ya</v>
      </c>
      <c r="BT242" s="35" t="str">
        <f t="shared" si="10"/>
        <v>Ya</v>
      </c>
      <c r="BU242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42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42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42" s="35" t="str">
        <f>IF(Upaya_Debitur[[#This Row],[Kondisi Debitur]]="Tidak ditemukan","Ya","Tidak")</f>
        <v>Ya</v>
      </c>
      <c r="BY242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42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42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42" s="18">
        <v>43781</v>
      </c>
      <c r="CC242" s="18">
        <v>43999</v>
      </c>
      <c r="CD242" s="18">
        <v>43826</v>
      </c>
      <c r="CE242" s="18">
        <v>43871</v>
      </c>
      <c r="CF242" s="18">
        <v>43887</v>
      </c>
      <c r="CG242" s="18">
        <v>43888</v>
      </c>
      <c r="CH242" s="18">
        <v>44057</v>
      </c>
      <c r="CI242" s="18">
        <v>44077</v>
      </c>
      <c r="CJ242" s="18"/>
      <c r="CK242" s="35">
        <f ca="1">COUNTIF(Upaya_Debitur[[#This Row],[Surat Pemberitahuan?]:[Gugatan Sederhana?]],"Ya")</f>
        <v>8</v>
      </c>
      <c r="CL242" s="35">
        <f ca="1">Upaya_Debitur[[#This Row],[Target Upaya]]-COUNTIFS(Upaya_Debitur[[#This Row],[Surat Pemberitahuan?]:[Gugatan Sederhana?]],"Ya",Upaya_Debitur[[#This Row],[Surat Pemberitahuan]:[Gugatan Sederhana]],"")</f>
        <v>8</v>
      </c>
      <c r="CM242" s="36">
        <f ca="1">IF(ISNUMBER(Upaya_Debitur[[#This Row],[Realisasi]]/Upaya_Debitur[[#This Row],[Target Upaya]]),Upaya_Debitur[[#This Row],[Realisasi]]/Upaya_Debitur[[#This Row],[Target Upaya]],1)</f>
        <v>1</v>
      </c>
    </row>
    <row r="243" spans="1:91" x14ac:dyDescent="0.3">
      <c r="A243" s="16">
        <v>225</v>
      </c>
      <c r="B243" s="17"/>
      <c r="C243" s="17" t="s">
        <v>621</v>
      </c>
      <c r="D243" s="16" t="s">
        <v>620</v>
      </c>
      <c r="E243" s="37">
        <v>1129033</v>
      </c>
      <c r="F243" s="37">
        <v>0</v>
      </c>
      <c r="G243" s="37">
        <v>0</v>
      </c>
      <c r="H243" s="40">
        <f>SUM(Upaya_Debitur[[#This Row],[Kewajiban Pokok]:[Kewajiban Denda]])</f>
        <v>1129033</v>
      </c>
      <c r="I243" s="37"/>
      <c r="J243" s="40">
        <f>IF(ISNUMBER(Upaya_Debitur[[#This Row],[Angsuran Sesuai PK]]),Upaya_Debitur[[#This Row],[Angsuran Sesuai PK]],1)</f>
        <v>1</v>
      </c>
      <c r="K243" s="76"/>
      <c r="L243" s="16" t="s">
        <v>37</v>
      </c>
      <c r="N243" s="18"/>
      <c r="O243" s="76"/>
      <c r="P243" s="37"/>
      <c r="Q243" s="41"/>
      <c r="R243" s="37"/>
      <c r="S243" s="40">
        <f>IF(Upaya_Debitur[[#This Row],[Periode Haircut]]="",0,IF(Upaya_Debitur[[#This Row],[Periode Haircut]]&lt;=$B$6,Upaya_Debitur[[#This Row],[Haircut]],0))</f>
        <v>0</v>
      </c>
      <c r="T243" s="40">
        <f>IF($B$10="",0,IF($B$10&lt;=$B$6,Upaya_Debitur[[#This Row],[Set Off]],0))</f>
        <v>0</v>
      </c>
      <c r="U243" s="37">
        <v>0</v>
      </c>
      <c r="V243" s="37">
        <v>0</v>
      </c>
      <c r="W243" s="37">
        <v>0</v>
      </c>
      <c r="X243" s="37">
        <v>0</v>
      </c>
      <c r="Y243" s="37">
        <v>0</v>
      </c>
      <c r="Z243" s="37">
        <v>0</v>
      </c>
      <c r="AA243" s="37">
        <v>0</v>
      </c>
      <c r="AB243" s="37">
        <v>0</v>
      </c>
      <c r="AC243" s="37">
        <v>0</v>
      </c>
      <c r="AD243" s="37">
        <v>0</v>
      </c>
      <c r="AE243" s="37">
        <v>0</v>
      </c>
      <c r="AF243" s="37">
        <v>0</v>
      </c>
      <c r="AG243" s="37">
        <v>0</v>
      </c>
      <c r="AH243" s="37">
        <v>0</v>
      </c>
      <c r="AI243" s="37">
        <v>0</v>
      </c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40">
        <f ca="1">SUM(OFFSET(Upaya_Debitur[[#This Row],[Haircut Diperhitungkan]],0,0,1,$B$7+2))</f>
        <v>0</v>
      </c>
      <c r="BR243" s="35" t="str">
        <f ca="1">IF(Upaya_Debitur[[#This Row],[Total Pencairan]]&gt;=Upaya_Debitur[[#This Row],[Kewajiban Total]],"Lunas","Belum Lunas")</f>
        <v>Belum Lunas</v>
      </c>
      <c r="BS243" s="35" t="str">
        <f t="shared" si="9"/>
        <v>Ya</v>
      </c>
      <c r="BT243" s="35" t="str">
        <f t="shared" si="10"/>
        <v>Ya</v>
      </c>
      <c r="BU243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43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43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43" s="35" t="str">
        <f>IF(Upaya_Debitur[[#This Row],[Kondisi Debitur]]="Tidak ditemukan","Ya","Tidak")</f>
        <v>Ya</v>
      </c>
      <c r="BY243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43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43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43" s="18">
        <v>43781</v>
      </c>
      <c r="CC243" s="18">
        <v>43999</v>
      </c>
      <c r="CD243" s="18">
        <v>43826</v>
      </c>
      <c r="CE243" s="18">
        <v>43871</v>
      </c>
      <c r="CF243" s="18">
        <v>43887</v>
      </c>
      <c r="CG243" s="18">
        <v>43888</v>
      </c>
      <c r="CH243" s="18">
        <v>44057</v>
      </c>
      <c r="CI243" s="18">
        <v>44077</v>
      </c>
      <c r="CJ243" s="18"/>
      <c r="CK243" s="35">
        <f ca="1">COUNTIF(Upaya_Debitur[[#This Row],[Surat Pemberitahuan?]:[Gugatan Sederhana?]],"Ya")</f>
        <v>8</v>
      </c>
      <c r="CL243" s="35">
        <f ca="1">Upaya_Debitur[[#This Row],[Target Upaya]]-COUNTIFS(Upaya_Debitur[[#This Row],[Surat Pemberitahuan?]:[Gugatan Sederhana?]],"Ya",Upaya_Debitur[[#This Row],[Surat Pemberitahuan]:[Gugatan Sederhana]],"")</f>
        <v>8</v>
      </c>
      <c r="CM243" s="36">
        <f ca="1">IF(ISNUMBER(Upaya_Debitur[[#This Row],[Realisasi]]/Upaya_Debitur[[#This Row],[Target Upaya]]),Upaya_Debitur[[#This Row],[Realisasi]]/Upaya_Debitur[[#This Row],[Target Upaya]],1)</f>
        <v>1</v>
      </c>
    </row>
    <row r="244" spans="1:91" x14ac:dyDescent="0.3">
      <c r="A244" s="16">
        <v>226</v>
      </c>
      <c r="B244" s="17"/>
      <c r="C244" s="17" t="s">
        <v>622</v>
      </c>
      <c r="D244" s="16" t="s">
        <v>623</v>
      </c>
      <c r="E244" s="37">
        <v>593600</v>
      </c>
      <c r="F244" s="37">
        <v>0</v>
      </c>
      <c r="G244" s="37">
        <v>0</v>
      </c>
      <c r="H244" s="40">
        <f>SUM(Upaya_Debitur[[#This Row],[Kewajiban Pokok]:[Kewajiban Denda]])</f>
        <v>593600</v>
      </c>
      <c r="I244" s="37"/>
      <c r="J244" s="40">
        <f>IF(ISNUMBER(Upaya_Debitur[[#This Row],[Angsuran Sesuai PK]]),Upaya_Debitur[[#This Row],[Angsuran Sesuai PK]],1)</f>
        <v>1</v>
      </c>
      <c r="K244" s="76"/>
      <c r="L244" s="16" t="s">
        <v>37</v>
      </c>
      <c r="N244" s="18"/>
      <c r="O244" s="76"/>
      <c r="P244" s="37"/>
      <c r="Q244" s="41"/>
      <c r="R244" s="37"/>
      <c r="S244" s="40">
        <f>IF(Upaya_Debitur[[#This Row],[Periode Haircut]]="",0,IF(Upaya_Debitur[[#This Row],[Periode Haircut]]&lt;=$B$6,Upaya_Debitur[[#This Row],[Haircut]],0))</f>
        <v>0</v>
      </c>
      <c r="T244" s="40">
        <f>IF($B$10="",0,IF($B$10&lt;=$B$6,Upaya_Debitur[[#This Row],[Set Off]],0))</f>
        <v>0</v>
      </c>
      <c r="U244" s="37">
        <v>0</v>
      </c>
      <c r="V244" s="37">
        <v>0</v>
      </c>
      <c r="W244" s="37">
        <v>0</v>
      </c>
      <c r="X244" s="37">
        <v>0</v>
      </c>
      <c r="Y244" s="37">
        <v>0</v>
      </c>
      <c r="Z244" s="37">
        <v>0</v>
      </c>
      <c r="AA244" s="37">
        <v>0</v>
      </c>
      <c r="AB244" s="37">
        <v>0</v>
      </c>
      <c r="AC244" s="37">
        <v>0</v>
      </c>
      <c r="AD244" s="37">
        <v>0</v>
      </c>
      <c r="AE244" s="37">
        <v>0</v>
      </c>
      <c r="AF244" s="37">
        <v>0</v>
      </c>
      <c r="AG244" s="37">
        <v>0</v>
      </c>
      <c r="AH244" s="37">
        <v>0</v>
      </c>
      <c r="AI244" s="37">
        <v>0</v>
      </c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40">
        <f ca="1">SUM(OFFSET(Upaya_Debitur[[#This Row],[Haircut Diperhitungkan]],0,0,1,$B$7+2))</f>
        <v>0</v>
      </c>
      <c r="BR244" s="35" t="str">
        <f ca="1">IF(Upaya_Debitur[[#This Row],[Total Pencairan]]&gt;=Upaya_Debitur[[#This Row],[Kewajiban Total]],"Lunas","Belum Lunas")</f>
        <v>Belum Lunas</v>
      </c>
      <c r="BS244" s="35" t="str">
        <f t="shared" si="9"/>
        <v>Ya</v>
      </c>
      <c r="BT244" s="35" t="str">
        <f t="shared" si="10"/>
        <v>Ya</v>
      </c>
      <c r="BU244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44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44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44" s="35" t="str">
        <f>IF(Upaya_Debitur[[#This Row],[Kondisi Debitur]]="Tidak ditemukan","Ya","Tidak")</f>
        <v>Ya</v>
      </c>
      <c r="BY244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44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44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44" s="18">
        <v>43781</v>
      </c>
      <c r="CC244" s="18">
        <v>43999</v>
      </c>
      <c r="CD244" s="18">
        <v>43826</v>
      </c>
      <c r="CE244" s="18">
        <v>43871</v>
      </c>
      <c r="CF244" s="18">
        <v>43887</v>
      </c>
      <c r="CG244" s="18">
        <v>43888</v>
      </c>
      <c r="CH244" s="18">
        <v>44057</v>
      </c>
      <c r="CI244" s="18">
        <v>44077</v>
      </c>
      <c r="CJ244" s="18"/>
      <c r="CK244" s="35">
        <f ca="1">COUNTIF(Upaya_Debitur[[#This Row],[Surat Pemberitahuan?]:[Gugatan Sederhana?]],"Ya")</f>
        <v>8</v>
      </c>
      <c r="CL244" s="35">
        <f ca="1">Upaya_Debitur[[#This Row],[Target Upaya]]-COUNTIFS(Upaya_Debitur[[#This Row],[Surat Pemberitahuan?]:[Gugatan Sederhana?]],"Ya",Upaya_Debitur[[#This Row],[Surat Pemberitahuan]:[Gugatan Sederhana]],"")</f>
        <v>8</v>
      </c>
      <c r="CM244" s="36">
        <f ca="1">IF(ISNUMBER(Upaya_Debitur[[#This Row],[Realisasi]]/Upaya_Debitur[[#This Row],[Target Upaya]]),Upaya_Debitur[[#This Row],[Realisasi]]/Upaya_Debitur[[#This Row],[Target Upaya]],1)</f>
        <v>1</v>
      </c>
    </row>
    <row r="245" spans="1:91" x14ac:dyDescent="0.3">
      <c r="A245" s="16">
        <v>227</v>
      </c>
      <c r="B245" s="17"/>
      <c r="C245" s="17" t="s">
        <v>624</v>
      </c>
      <c r="D245" s="16" t="s">
        <v>623</v>
      </c>
      <c r="E245" s="37">
        <v>198222</v>
      </c>
      <c r="F245" s="37">
        <v>0</v>
      </c>
      <c r="G245" s="37">
        <v>0</v>
      </c>
      <c r="H245" s="40">
        <f>SUM(Upaya_Debitur[[#This Row],[Kewajiban Pokok]:[Kewajiban Denda]])</f>
        <v>198222</v>
      </c>
      <c r="I245" s="37"/>
      <c r="J245" s="40">
        <f>IF(ISNUMBER(Upaya_Debitur[[#This Row],[Angsuran Sesuai PK]]),Upaya_Debitur[[#This Row],[Angsuran Sesuai PK]],1)</f>
        <v>1</v>
      </c>
      <c r="K245" s="76"/>
      <c r="L245" s="16" t="s">
        <v>37</v>
      </c>
      <c r="N245" s="18"/>
      <c r="O245" s="76"/>
      <c r="P245" s="37"/>
      <c r="Q245" s="41"/>
      <c r="R245" s="37"/>
      <c r="S245" s="40">
        <f>IF(Upaya_Debitur[[#This Row],[Periode Haircut]]="",0,IF(Upaya_Debitur[[#This Row],[Periode Haircut]]&lt;=$B$6,Upaya_Debitur[[#This Row],[Haircut]],0))</f>
        <v>0</v>
      </c>
      <c r="T245" s="40">
        <f>IF($B$10="",0,IF($B$10&lt;=$B$6,Upaya_Debitur[[#This Row],[Set Off]],0))</f>
        <v>0</v>
      </c>
      <c r="U245" s="37">
        <v>0</v>
      </c>
      <c r="V245" s="37">
        <v>0</v>
      </c>
      <c r="W245" s="37">
        <v>0</v>
      </c>
      <c r="X245" s="37">
        <v>0</v>
      </c>
      <c r="Y245" s="37">
        <v>0</v>
      </c>
      <c r="Z245" s="37">
        <v>0</v>
      </c>
      <c r="AA245" s="37">
        <v>0</v>
      </c>
      <c r="AB245" s="37">
        <v>0</v>
      </c>
      <c r="AC245" s="37">
        <v>0</v>
      </c>
      <c r="AD245" s="37">
        <v>0</v>
      </c>
      <c r="AE245" s="37">
        <v>0</v>
      </c>
      <c r="AF245" s="37">
        <v>0</v>
      </c>
      <c r="AG245" s="37">
        <v>0</v>
      </c>
      <c r="AH245" s="37">
        <v>0</v>
      </c>
      <c r="AI245" s="37">
        <v>0</v>
      </c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40">
        <f ca="1">SUM(OFFSET(Upaya_Debitur[[#This Row],[Haircut Diperhitungkan]],0,0,1,$B$7+2))</f>
        <v>0</v>
      </c>
      <c r="BR245" s="35" t="str">
        <f ca="1">IF(Upaya_Debitur[[#This Row],[Total Pencairan]]&gt;=Upaya_Debitur[[#This Row],[Kewajiban Total]],"Lunas","Belum Lunas")</f>
        <v>Belum Lunas</v>
      </c>
      <c r="BS245" s="35" t="str">
        <f t="shared" si="9"/>
        <v>Ya</v>
      </c>
      <c r="BT245" s="35" t="str">
        <f t="shared" si="10"/>
        <v>Ya</v>
      </c>
      <c r="BU245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45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45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45" s="35" t="str">
        <f>IF(Upaya_Debitur[[#This Row],[Kondisi Debitur]]="Tidak ditemukan","Ya","Tidak")</f>
        <v>Ya</v>
      </c>
      <c r="BY245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45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45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45" s="18">
        <v>43781</v>
      </c>
      <c r="CC245" s="18">
        <v>43999</v>
      </c>
      <c r="CD245" s="18">
        <v>43826</v>
      </c>
      <c r="CE245" s="18">
        <v>43871</v>
      </c>
      <c r="CF245" s="18">
        <v>43887</v>
      </c>
      <c r="CG245" s="18">
        <v>44035</v>
      </c>
      <c r="CH245" s="18">
        <v>44057</v>
      </c>
      <c r="CI245" s="18">
        <v>44077</v>
      </c>
      <c r="CJ245" s="18"/>
      <c r="CK245" s="35">
        <f ca="1">COUNTIF(Upaya_Debitur[[#This Row],[Surat Pemberitahuan?]:[Gugatan Sederhana?]],"Ya")</f>
        <v>8</v>
      </c>
      <c r="CL245" s="35">
        <f ca="1">Upaya_Debitur[[#This Row],[Target Upaya]]-COUNTIFS(Upaya_Debitur[[#This Row],[Surat Pemberitahuan?]:[Gugatan Sederhana?]],"Ya",Upaya_Debitur[[#This Row],[Surat Pemberitahuan]:[Gugatan Sederhana]],"")</f>
        <v>8</v>
      </c>
      <c r="CM245" s="36">
        <f ca="1">IF(ISNUMBER(Upaya_Debitur[[#This Row],[Realisasi]]/Upaya_Debitur[[#This Row],[Target Upaya]]),Upaya_Debitur[[#This Row],[Realisasi]]/Upaya_Debitur[[#This Row],[Target Upaya]],1)</f>
        <v>1</v>
      </c>
    </row>
    <row r="246" spans="1:91" x14ac:dyDescent="0.3">
      <c r="A246" s="16">
        <v>228</v>
      </c>
      <c r="B246" s="17"/>
      <c r="C246" s="17" t="s">
        <v>625</v>
      </c>
      <c r="D246" s="16" t="s">
        <v>626</v>
      </c>
      <c r="E246" s="37">
        <v>306000</v>
      </c>
      <c r="F246" s="37">
        <v>0</v>
      </c>
      <c r="G246" s="37">
        <v>0</v>
      </c>
      <c r="H246" s="40">
        <f>SUM(Upaya_Debitur[[#This Row],[Kewajiban Pokok]:[Kewajiban Denda]])</f>
        <v>306000</v>
      </c>
      <c r="I246" s="37"/>
      <c r="J246" s="40">
        <f>IF(ISNUMBER(Upaya_Debitur[[#This Row],[Angsuran Sesuai PK]]),Upaya_Debitur[[#This Row],[Angsuran Sesuai PK]],1)</f>
        <v>1</v>
      </c>
      <c r="K246" s="76"/>
      <c r="L246" s="16" t="s">
        <v>37</v>
      </c>
      <c r="N246" s="18"/>
      <c r="O246" s="76"/>
      <c r="P246" s="37"/>
      <c r="Q246" s="41"/>
      <c r="R246" s="37"/>
      <c r="S246" s="40">
        <f>IF(Upaya_Debitur[[#This Row],[Periode Haircut]]="",0,IF(Upaya_Debitur[[#This Row],[Periode Haircut]]&lt;=$B$6,Upaya_Debitur[[#This Row],[Haircut]],0))</f>
        <v>0</v>
      </c>
      <c r="T246" s="40">
        <f>IF($B$10="",0,IF($B$10&lt;=$B$6,Upaya_Debitur[[#This Row],[Set Off]],0))</f>
        <v>0</v>
      </c>
      <c r="U246" s="37">
        <v>0</v>
      </c>
      <c r="V246" s="37">
        <v>0</v>
      </c>
      <c r="W246" s="37">
        <v>0</v>
      </c>
      <c r="X246" s="37">
        <v>0</v>
      </c>
      <c r="Y246" s="37">
        <v>0</v>
      </c>
      <c r="Z246" s="37">
        <v>0</v>
      </c>
      <c r="AA246" s="37">
        <v>0</v>
      </c>
      <c r="AB246" s="37">
        <v>0</v>
      </c>
      <c r="AC246" s="37">
        <v>0</v>
      </c>
      <c r="AD246" s="37">
        <v>0</v>
      </c>
      <c r="AE246" s="37">
        <v>0</v>
      </c>
      <c r="AF246" s="37">
        <v>0</v>
      </c>
      <c r="AG246" s="37">
        <v>0</v>
      </c>
      <c r="AH246" s="37">
        <v>0</v>
      </c>
      <c r="AI246" s="37">
        <v>0</v>
      </c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40">
        <f ca="1">SUM(OFFSET(Upaya_Debitur[[#This Row],[Haircut Diperhitungkan]],0,0,1,$B$7+2))</f>
        <v>0</v>
      </c>
      <c r="BR246" s="35" t="str">
        <f ca="1">IF(Upaya_Debitur[[#This Row],[Total Pencairan]]&gt;=Upaya_Debitur[[#This Row],[Kewajiban Total]],"Lunas","Belum Lunas")</f>
        <v>Belum Lunas</v>
      </c>
      <c r="BS246" s="35" t="str">
        <f t="shared" si="9"/>
        <v>Ya</v>
      </c>
      <c r="BT246" s="35" t="str">
        <f t="shared" si="10"/>
        <v>Ya</v>
      </c>
      <c r="BU246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46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46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46" s="35" t="str">
        <f>IF(Upaya_Debitur[[#This Row],[Kondisi Debitur]]="Tidak ditemukan","Ya","Tidak")</f>
        <v>Ya</v>
      </c>
      <c r="BY246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46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46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46" s="18">
        <v>43781</v>
      </c>
      <c r="CC246" s="18">
        <v>43999</v>
      </c>
      <c r="CD246" s="18">
        <v>43826</v>
      </c>
      <c r="CE246" s="18">
        <v>43871</v>
      </c>
      <c r="CF246" s="18">
        <v>43887</v>
      </c>
      <c r="CG246" s="18">
        <v>44035</v>
      </c>
      <c r="CH246" s="18">
        <v>44057</v>
      </c>
      <c r="CI246" s="18">
        <v>44077</v>
      </c>
      <c r="CJ246" s="18"/>
      <c r="CK246" s="35">
        <f ca="1">COUNTIF(Upaya_Debitur[[#This Row],[Surat Pemberitahuan?]:[Gugatan Sederhana?]],"Ya")</f>
        <v>8</v>
      </c>
      <c r="CL246" s="35">
        <f ca="1">Upaya_Debitur[[#This Row],[Target Upaya]]-COUNTIFS(Upaya_Debitur[[#This Row],[Surat Pemberitahuan?]:[Gugatan Sederhana?]],"Ya",Upaya_Debitur[[#This Row],[Surat Pemberitahuan]:[Gugatan Sederhana]],"")</f>
        <v>8</v>
      </c>
      <c r="CM246" s="36">
        <f ca="1">IF(ISNUMBER(Upaya_Debitur[[#This Row],[Realisasi]]/Upaya_Debitur[[#This Row],[Target Upaya]]),Upaya_Debitur[[#This Row],[Realisasi]]/Upaya_Debitur[[#This Row],[Target Upaya]],1)</f>
        <v>1</v>
      </c>
    </row>
    <row r="247" spans="1:91" x14ac:dyDescent="0.3">
      <c r="A247" s="16">
        <v>229</v>
      </c>
      <c r="B247" s="17"/>
      <c r="C247" s="17" t="s">
        <v>627</v>
      </c>
      <c r="D247" s="16" t="s">
        <v>628</v>
      </c>
      <c r="E247" s="37">
        <v>1525000</v>
      </c>
      <c r="F247" s="37">
        <v>0</v>
      </c>
      <c r="G247" s="37">
        <v>0</v>
      </c>
      <c r="H247" s="40">
        <f>SUM(Upaya_Debitur[[#This Row],[Kewajiban Pokok]:[Kewajiban Denda]])</f>
        <v>1525000</v>
      </c>
      <c r="I247" s="37"/>
      <c r="J247" s="40">
        <f>IF(ISNUMBER(Upaya_Debitur[[#This Row],[Angsuran Sesuai PK]]),Upaya_Debitur[[#This Row],[Angsuran Sesuai PK]],1)</f>
        <v>1</v>
      </c>
      <c r="K247" s="76"/>
      <c r="L247" s="16" t="s">
        <v>37</v>
      </c>
      <c r="N247" s="18"/>
      <c r="O247" s="76"/>
      <c r="P247" s="37"/>
      <c r="Q247" s="41"/>
      <c r="R247" s="37"/>
      <c r="S247" s="40">
        <f>IF(Upaya_Debitur[[#This Row],[Periode Haircut]]="",0,IF(Upaya_Debitur[[#This Row],[Periode Haircut]]&lt;=$B$6,Upaya_Debitur[[#This Row],[Haircut]],0))</f>
        <v>0</v>
      </c>
      <c r="T247" s="40">
        <f>IF($B$10="",0,IF($B$10&lt;=$B$6,Upaya_Debitur[[#This Row],[Set Off]],0))</f>
        <v>0</v>
      </c>
      <c r="U247" s="37">
        <v>0</v>
      </c>
      <c r="V247" s="37">
        <v>0</v>
      </c>
      <c r="W247" s="37">
        <v>0</v>
      </c>
      <c r="X247" s="37">
        <v>0</v>
      </c>
      <c r="Y247" s="37">
        <v>0</v>
      </c>
      <c r="Z247" s="37">
        <v>0</v>
      </c>
      <c r="AA247" s="37">
        <v>0</v>
      </c>
      <c r="AB247" s="37">
        <v>0</v>
      </c>
      <c r="AC247" s="37">
        <v>0</v>
      </c>
      <c r="AD247" s="37">
        <v>0</v>
      </c>
      <c r="AE247" s="37">
        <v>0</v>
      </c>
      <c r="AF247" s="37">
        <v>0</v>
      </c>
      <c r="AG247" s="37">
        <v>0</v>
      </c>
      <c r="AH247" s="37">
        <v>0</v>
      </c>
      <c r="AI247" s="37">
        <v>0</v>
      </c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40">
        <f ca="1">SUM(OFFSET(Upaya_Debitur[[#This Row],[Haircut Diperhitungkan]],0,0,1,$B$7+2))</f>
        <v>0</v>
      </c>
      <c r="BR247" s="35" t="str">
        <f ca="1">IF(Upaya_Debitur[[#This Row],[Total Pencairan]]&gt;=Upaya_Debitur[[#This Row],[Kewajiban Total]],"Lunas","Belum Lunas")</f>
        <v>Belum Lunas</v>
      </c>
      <c r="BS247" s="35" t="str">
        <f t="shared" si="9"/>
        <v>Ya</v>
      </c>
      <c r="BT247" s="35" t="str">
        <f t="shared" si="10"/>
        <v>Ya</v>
      </c>
      <c r="BU247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47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47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47" s="35" t="str">
        <f>IF(Upaya_Debitur[[#This Row],[Kondisi Debitur]]="Tidak ditemukan","Ya","Tidak")</f>
        <v>Ya</v>
      </c>
      <c r="BY247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47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47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47" s="18">
        <v>43781</v>
      </c>
      <c r="CC247" s="18">
        <v>43999</v>
      </c>
      <c r="CD247" s="18">
        <v>43826</v>
      </c>
      <c r="CE247" s="18">
        <v>43871</v>
      </c>
      <c r="CF247" s="18">
        <v>43887</v>
      </c>
      <c r="CG247" s="18">
        <v>43888</v>
      </c>
      <c r="CH247" s="18">
        <v>44057</v>
      </c>
      <c r="CI247" s="18">
        <v>44077</v>
      </c>
      <c r="CJ247" s="18"/>
      <c r="CK247" s="35">
        <f ca="1">COUNTIF(Upaya_Debitur[[#This Row],[Surat Pemberitahuan?]:[Gugatan Sederhana?]],"Ya")</f>
        <v>8</v>
      </c>
      <c r="CL247" s="35">
        <f ca="1">Upaya_Debitur[[#This Row],[Target Upaya]]-COUNTIFS(Upaya_Debitur[[#This Row],[Surat Pemberitahuan?]:[Gugatan Sederhana?]],"Ya",Upaya_Debitur[[#This Row],[Surat Pemberitahuan]:[Gugatan Sederhana]],"")</f>
        <v>8</v>
      </c>
      <c r="CM247" s="36">
        <f ca="1">IF(ISNUMBER(Upaya_Debitur[[#This Row],[Realisasi]]/Upaya_Debitur[[#This Row],[Target Upaya]]),Upaya_Debitur[[#This Row],[Realisasi]]/Upaya_Debitur[[#This Row],[Target Upaya]],1)</f>
        <v>1</v>
      </c>
    </row>
    <row r="248" spans="1:91" x14ac:dyDescent="0.3">
      <c r="A248" s="16">
        <v>230</v>
      </c>
      <c r="B248" s="17"/>
      <c r="C248" s="17" t="s">
        <v>629</v>
      </c>
      <c r="D248" s="16" t="s">
        <v>630</v>
      </c>
      <c r="E248" s="37">
        <v>1297214</v>
      </c>
      <c r="F248" s="37">
        <v>0</v>
      </c>
      <c r="G248" s="37">
        <v>0</v>
      </c>
      <c r="H248" s="40">
        <f>SUM(Upaya_Debitur[[#This Row],[Kewajiban Pokok]:[Kewajiban Denda]])</f>
        <v>1297214</v>
      </c>
      <c r="I248" s="37"/>
      <c r="J248" s="40">
        <f>IF(ISNUMBER(Upaya_Debitur[[#This Row],[Angsuran Sesuai PK]]),Upaya_Debitur[[#This Row],[Angsuran Sesuai PK]],1)</f>
        <v>1</v>
      </c>
      <c r="K248" s="76"/>
      <c r="L248" s="16" t="s">
        <v>37</v>
      </c>
      <c r="N248" s="18"/>
      <c r="O248" s="76"/>
      <c r="P248" s="37"/>
      <c r="Q248" s="41"/>
      <c r="R248" s="37"/>
      <c r="S248" s="40">
        <f>IF(Upaya_Debitur[[#This Row],[Periode Haircut]]="",0,IF(Upaya_Debitur[[#This Row],[Periode Haircut]]&lt;=$B$6,Upaya_Debitur[[#This Row],[Haircut]],0))</f>
        <v>0</v>
      </c>
      <c r="T248" s="40">
        <f>IF($B$10="",0,IF($B$10&lt;=$B$6,Upaya_Debitur[[#This Row],[Set Off]],0))</f>
        <v>0</v>
      </c>
      <c r="U248" s="37">
        <v>0</v>
      </c>
      <c r="V248" s="37">
        <v>0</v>
      </c>
      <c r="W248" s="37">
        <v>0</v>
      </c>
      <c r="X248" s="37">
        <v>0</v>
      </c>
      <c r="Y248" s="37">
        <v>0</v>
      </c>
      <c r="Z248" s="37">
        <v>0</v>
      </c>
      <c r="AA248" s="37">
        <v>0</v>
      </c>
      <c r="AB248" s="37">
        <v>0</v>
      </c>
      <c r="AC248" s="37">
        <v>0</v>
      </c>
      <c r="AD248" s="37">
        <v>0</v>
      </c>
      <c r="AE248" s="37">
        <v>0</v>
      </c>
      <c r="AF248" s="37">
        <v>0</v>
      </c>
      <c r="AG248" s="37">
        <v>0</v>
      </c>
      <c r="AH248" s="37">
        <v>0</v>
      </c>
      <c r="AI248" s="37">
        <v>0</v>
      </c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40">
        <f ca="1">SUM(OFFSET(Upaya_Debitur[[#This Row],[Haircut Diperhitungkan]],0,0,1,$B$7+2))</f>
        <v>0</v>
      </c>
      <c r="BR248" s="35" t="str">
        <f ca="1">IF(Upaya_Debitur[[#This Row],[Total Pencairan]]&gt;=Upaya_Debitur[[#This Row],[Kewajiban Total]],"Lunas","Belum Lunas")</f>
        <v>Belum Lunas</v>
      </c>
      <c r="BS248" s="35" t="str">
        <f t="shared" si="9"/>
        <v>Ya</v>
      </c>
      <c r="BT248" s="35" t="str">
        <f t="shared" si="10"/>
        <v>Ya</v>
      </c>
      <c r="BU248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48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48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48" s="35" t="str">
        <f>IF(Upaya_Debitur[[#This Row],[Kondisi Debitur]]="Tidak ditemukan","Ya","Tidak")</f>
        <v>Ya</v>
      </c>
      <c r="BY248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48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48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48" s="18">
        <v>43781</v>
      </c>
      <c r="CC248" s="18">
        <v>43999</v>
      </c>
      <c r="CD248" s="18">
        <v>43826</v>
      </c>
      <c r="CE248" s="18">
        <v>43871</v>
      </c>
      <c r="CF248" s="18">
        <v>43887</v>
      </c>
      <c r="CG248" s="18">
        <v>43888</v>
      </c>
      <c r="CH248" s="18">
        <v>44057</v>
      </c>
      <c r="CI248" s="18">
        <v>44077</v>
      </c>
      <c r="CJ248" s="18"/>
      <c r="CK248" s="35">
        <f ca="1">COUNTIF(Upaya_Debitur[[#This Row],[Surat Pemberitahuan?]:[Gugatan Sederhana?]],"Ya")</f>
        <v>8</v>
      </c>
      <c r="CL248" s="35">
        <f ca="1">Upaya_Debitur[[#This Row],[Target Upaya]]-COUNTIFS(Upaya_Debitur[[#This Row],[Surat Pemberitahuan?]:[Gugatan Sederhana?]],"Ya",Upaya_Debitur[[#This Row],[Surat Pemberitahuan]:[Gugatan Sederhana]],"")</f>
        <v>8</v>
      </c>
      <c r="CM248" s="36">
        <f ca="1">IF(ISNUMBER(Upaya_Debitur[[#This Row],[Realisasi]]/Upaya_Debitur[[#This Row],[Target Upaya]]),Upaya_Debitur[[#This Row],[Realisasi]]/Upaya_Debitur[[#This Row],[Target Upaya]],1)</f>
        <v>1</v>
      </c>
    </row>
    <row r="249" spans="1:91" x14ac:dyDescent="0.3">
      <c r="A249" s="16">
        <v>231</v>
      </c>
      <c r="B249" s="17"/>
      <c r="C249" s="17" t="s">
        <v>631</v>
      </c>
      <c r="D249" s="16" t="s">
        <v>632</v>
      </c>
      <c r="E249" s="37">
        <v>2525000</v>
      </c>
      <c r="F249" s="37">
        <v>0</v>
      </c>
      <c r="G249" s="37">
        <v>0</v>
      </c>
      <c r="H249" s="40">
        <f>SUM(Upaya_Debitur[[#This Row],[Kewajiban Pokok]:[Kewajiban Denda]])</f>
        <v>2525000</v>
      </c>
      <c r="I249" s="37"/>
      <c r="J249" s="40">
        <f>IF(ISNUMBER(Upaya_Debitur[[#This Row],[Angsuran Sesuai PK]]),Upaya_Debitur[[#This Row],[Angsuran Sesuai PK]],1)</f>
        <v>1</v>
      </c>
      <c r="K249" s="76"/>
      <c r="L249" s="16" t="s">
        <v>37</v>
      </c>
      <c r="N249" s="18"/>
      <c r="O249" s="76"/>
      <c r="P249" s="37"/>
      <c r="Q249" s="41"/>
      <c r="R249" s="37"/>
      <c r="S249" s="40">
        <f>IF(Upaya_Debitur[[#This Row],[Periode Haircut]]="",0,IF(Upaya_Debitur[[#This Row],[Periode Haircut]]&lt;=$B$6,Upaya_Debitur[[#This Row],[Haircut]],0))</f>
        <v>0</v>
      </c>
      <c r="T249" s="40">
        <f>IF($B$10="",0,IF($B$10&lt;=$B$6,Upaya_Debitur[[#This Row],[Set Off]],0))</f>
        <v>0</v>
      </c>
      <c r="U249" s="37">
        <v>0</v>
      </c>
      <c r="V249" s="37">
        <v>0</v>
      </c>
      <c r="W249" s="37">
        <v>0</v>
      </c>
      <c r="X249" s="37">
        <v>0</v>
      </c>
      <c r="Y249" s="37">
        <v>0</v>
      </c>
      <c r="Z249" s="37">
        <v>0</v>
      </c>
      <c r="AA249" s="37">
        <v>0</v>
      </c>
      <c r="AB249" s="37">
        <v>0</v>
      </c>
      <c r="AC249" s="37">
        <v>0</v>
      </c>
      <c r="AD249" s="37">
        <v>0</v>
      </c>
      <c r="AE249" s="37">
        <v>0</v>
      </c>
      <c r="AF249" s="37">
        <v>0</v>
      </c>
      <c r="AG249" s="37">
        <v>0</v>
      </c>
      <c r="AH249" s="37">
        <v>0</v>
      </c>
      <c r="AI249" s="37">
        <v>0</v>
      </c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40">
        <f ca="1">SUM(OFFSET(Upaya_Debitur[[#This Row],[Haircut Diperhitungkan]],0,0,1,$B$7+2))</f>
        <v>0</v>
      </c>
      <c r="BR249" s="35" t="str">
        <f ca="1">IF(Upaya_Debitur[[#This Row],[Total Pencairan]]&gt;=Upaya_Debitur[[#This Row],[Kewajiban Total]],"Lunas","Belum Lunas")</f>
        <v>Belum Lunas</v>
      </c>
      <c r="BS249" s="35" t="str">
        <f t="shared" si="9"/>
        <v>Ya</v>
      </c>
      <c r="BT249" s="35" t="str">
        <f t="shared" si="10"/>
        <v>Ya</v>
      </c>
      <c r="BU249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49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49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49" s="35" t="str">
        <f>IF(Upaya_Debitur[[#This Row],[Kondisi Debitur]]="Tidak ditemukan","Ya","Tidak")</f>
        <v>Ya</v>
      </c>
      <c r="BY249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49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49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49" s="18">
        <v>43781</v>
      </c>
      <c r="CC249" s="18">
        <v>43999</v>
      </c>
      <c r="CD249" s="18">
        <v>43826</v>
      </c>
      <c r="CE249" s="18">
        <v>43871</v>
      </c>
      <c r="CF249" s="18">
        <v>43887</v>
      </c>
      <c r="CG249" s="18">
        <v>43888</v>
      </c>
      <c r="CH249" s="18">
        <v>44057</v>
      </c>
      <c r="CI249" s="18">
        <v>44077</v>
      </c>
      <c r="CJ249" s="18"/>
      <c r="CK249" s="35">
        <f ca="1">COUNTIF(Upaya_Debitur[[#This Row],[Surat Pemberitahuan?]:[Gugatan Sederhana?]],"Ya")</f>
        <v>8</v>
      </c>
      <c r="CL249" s="35">
        <f ca="1">Upaya_Debitur[[#This Row],[Target Upaya]]-COUNTIFS(Upaya_Debitur[[#This Row],[Surat Pemberitahuan?]:[Gugatan Sederhana?]],"Ya",Upaya_Debitur[[#This Row],[Surat Pemberitahuan]:[Gugatan Sederhana]],"")</f>
        <v>8</v>
      </c>
      <c r="CM249" s="36">
        <f ca="1">IF(ISNUMBER(Upaya_Debitur[[#This Row],[Realisasi]]/Upaya_Debitur[[#This Row],[Target Upaya]]),Upaya_Debitur[[#This Row],[Realisasi]]/Upaya_Debitur[[#This Row],[Target Upaya]],1)</f>
        <v>1</v>
      </c>
    </row>
    <row r="250" spans="1:91" x14ac:dyDescent="0.3">
      <c r="A250" s="16">
        <v>232</v>
      </c>
      <c r="B250" s="17"/>
      <c r="C250" s="17" t="s">
        <v>633</v>
      </c>
      <c r="D250" s="16" t="s">
        <v>634</v>
      </c>
      <c r="E250" s="37">
        <v>1500000</v>
      </c>
      <c r="F250" s="37">
        <v>0</v>
      </c>
      <c r="G250" s="37">
        <v>0</v>
      </c>
      <c r="H250" s="40">
        <f>SUM(Upaya_Debitur[[#This Row],[Kewajiban Pokok]:[Kewajiban Denda]])</f>
        <v>1500000</v>
      </c>
      <c r="I250" s="37"/>
      <c r="J250" s="40">
        <f>IF(ISNUMBER(Upaya_Debitur[[#This Row],[Angsuran Sesuai PK]]),Upaya_Debitur[[#This Row],[Angsuran Sesuai PK]],1)</f>
        <v>1</v>
      </c>
      <c r="K250" s="76"/>
      <c r="L250" s="16" t="s">
        <v>37</v>
      </c>
      <c r="N250" s="18"/>
      <c r="O250" s="76"/>
      <c r="P250" s="37"/>
      <c r="Q250" s="41"/>
      <c r="R250" s="37"/>
      <c r="S250" s="40">
        <f>IF(Upaya_Debitur[[#This Row],[Periode Haircut]]="",0,IF(Upaya_Debitur[[#This Row],[Periode Haircut]]&lt;=$B$6,Upaya_Debitur[[#This Row],[Haircut]],0))</f>
        <v>0</v>
      </c>
      <c r="T250" s="40">
        <f>IF($B$10="",0,IF($B$10&lt;=$B$6,Upaya_Debitur[[#This Row],[Set Off]],0))</f>
        <v>0</v>
      </c>
      <c r="U250" s="37">
        <v>0</v>
      </c>
      <c r="V250" s="37">
        <v>0</v>
      </c>
      <c r="W250" s="37">
        <v>0</v>
      </c>
      <c r="X250" s="37">
        <v>0</v>
      </c>
      <c r="Y250" s="37">
        <v>0</v>
      </c>
      <c r="Z250" s="37">
        <v>0</v>
      </c>
      <c r="AA250" s="37">
        <v>0</v>
      </c>
      <c r="AB250" s="37">
        <v>0</v>
      </c>
      <c r="AC250" s="37">
        <v>0</v>
      </c>
      <c r="AD250" s="37">
        <v>0</v>
      </c>
      <c r="AE250" s="37">
        <v>0</v>
      </c>
      <c r="AF250" s="37">
        <v>0</v>
      </c>
      <c r="AG250" s="37">
        <v>0</v>
      </c>
      <c r="AH250" s="37">
        <v>0</v>
      </c>
      <c r="AI250" s="37">
        <v>0</v>
      </c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40">
        <f ca="1">SUM(OFFSET(Upaya_Debitur[[#This Row],[Haircut Diperhitungkan]],0,0,1,$B$7+2))</f>
        <v>0</v>
      </c>
      <c r="BR250" s="35" t="str">
        <f ca="1">IF(Upaya_Debitur[[#This Row],[Total Pencairan]]&gt;=Upaya_Debitur[[#This Row],[Kewajiban Total]],"Lunas","Belum Lunas")</f>
        <v>Belum Lunas</v>
      </c>
      <c r="BS250" s="35" t="str">
        <f t="shared" si="9"/>
        <v>Ya</v>
      </c>
      <c r="BT250" s="35" t="str">
        <f t="shared" si="10"/>
        <v>Ya</v>
      </c>
      <c r="BU250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50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50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50" s="35" t="str">
        <f>IF(Upaya_Debitur[[#This Row],[Kondisi Debitur]]="Tidak ditemukan","Ya","Tidak")</f>
        <v>Ya</v>
      </c>
      <c r="BY250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50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50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50" s="18">
        <v>43781</v>
      </c>
      <c r="CC250" s="18">
        <v>43999</v>
      </c>
      <c r="CD250" s="18">
        <v>43826</v>
      </c>
      <c r="CE250" s="18">
        <v>43871</v>
      </c>
      <c r="CF250" s="18">
        <v>43887</v>
      </c>
      <c r="CG250" s="18">
        <v>43888</v>
      </c>
      <c r="CH250" s="18">
        <v>44057</v>
      </c>
      <c r="CI250" s="18">
        <v>44077</v>
      </c>
      <c r="CJ250" s="18"/>
      <c r="CK250" s="35">
        <f ca="1">COUNTIF(Upaya_Debitur[[#This Row],[Surat Pemberitahuan?]:[Gugatan Sederhana?]],"Ya")</f>
        <v>8</v>
      </c>
      <c r="CL250" s="35">
        <f ca="1">Upaya_Debitur[[#This Row],[Target Upaya]]-COUNTIFS(Upaya_Debitur[[#This Row],[Surat Pemberitahuan?]:[Gugatan Sederhana?]],"Ya",Upaya_Debitur[[#This Row],[Surat Pemberitahuan]:[Gugatan Sederhana]],"")</f>
        <v>8</v>
      </c>
      <c r="CM250" s="36">
        <f ca="1">IF(ISNUMBER(Upaya_Debitur[[#This Row],[Realisasi]]/Upaya_Debitur[[#This Row],[Target Upaya]]),Upaya_Debitur[[#This Row],[Realisasi]]/Upaya_Debitur[[#This Row],[Target Upaya]],1)</f>
        <v>1</v>
      </c>
    </row>
    <row r="251" spans="1:91" x14ac:dyDescent="0.3">
      <c r="A251" s="16">
        <v>233</v>
      </c>
      <c r="B251" s="17"/>
      <c r="C251" s="17" t="s">
        <v>635</v>
      </c>
      <c r="D251" s="16" t="s">
        <v>636</v>
      </c>
      <c r="E251" s="37">
        <v>705000</v>
      </c>
      <c r="F251" s="37">
        <v>0</v>
      </c>
      <c r="G251" s="37">
        <v>0</v>
      </c>
      <c r="H251" s="40">
        <f>SUM(Upaya_Debitur[[#This Row],[Kewajiban Pokok]:[Kewajiban Denda]])</f>
        <v>705000</v>
      </c>
      <c r="I251" s="37"/>
      <c r="J251" s="40">
        <f>IF(ISNUMBER(Upaya_Debitur[[#This Row],[Angsuran Sesuai PK]]),Upaya_Debitur[[#This Row],[Angsuran Sesuai PK]],1)</f>
        <v>1</v>
      </c>
      <c r="K251" s="76"/>
      <c r="L251" s="16" t="s">
        <v>37</v>
      </c>
      <c r="N251" s="18"/>
      <c r="O251" s="76"/>
      <c r="P251" s="37"/>
      <c r="Q251" s="41"/>
      <c r="R251" s="37"/>
      <c r="S251" s="40">
        <f>IF(Upaya_Debitur[[#This Row],[Periode Haircut]]="",0,IF(Upaya_Debitur[[#This Row],[Periode Haircut]]&lt;=$B$6,Upaya_Debitur[[#This Row],[Haircut]],0))</f>
        <v>0</v>
      </c>
      <c r="T251" s="40">
        <f>IF($B$10="",0,IF($B$10&lt;=$B$6,Upaya_Debitur[[#This Row],[Set Off]],0))</f>
        <v>0</v>
      </c>
      <c r="U251" s="37">
        <v>0</v>
      </c>
      <c r="V251" s="37">
        <v>0</v>
      </c>
      <c r="W251" s="37">
        <v>0</v>
      </c>
      <c r="X251" s="37">
        <v>0</v>
      </c>
      <c r="Y251" s="37">
        <v>0</v>
      </c>
      <c r="Z251" s="37">
        <v>0</v>
      </c>
      <c r="AA251" s="37">
        <v>0</v>
      </c>
      <c r="AB251" s="37">
        <v>0</v>
      </c>
      <c r="AC251" s="37">
        <v>0</v>
      </c>
      <c r="AD251" s="37">
        <v>0</v>
      </c>
      <c r="AE251" s="37">
        <v>0</v>
      </c>
      <c r="AF251" s="37">
        <v>0</v>
      </c>
      <c r="AG251" s="37">
        <v>0</v>
      </c>
      <c r="AH251" s="37">
        <v>0</v>
      </c>
      <c r="AI251" s="37">
        <v>0</v>
      </c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40">
        <f ca="1">SUM(OFFSET(Upaya_Debitur[[#This Row],[Haircut Diperhitungkan]],0,0,1,$B$7+2))</f>
        <v>0</v>
      </c>
      <c r="BR251" s="35" t="str">
        <f ca="1">IF(Upaya_Debitur[[#This Row],[Total Pencairan]]&gt;=Upaya_Debitur[[#This Row],[Kewajiban Total]],"Lunas","Belum Lunas")</f>
        <v>Belum Lunas</v>
      </c>
      <c r="BS251" s="35" t="str">
        <f t="shared" si="9"/>
        <v>Ya</v>
      </c>
      <c r="BT251" s="35" t="str">
        <f t="shared" si="10"/>
        <v>Ya</v>
      </c>
      <c r="BU251" s="35" t="str">
        <f ca="1">IF(AND(DATEDIF($B$5,$B$6,"D")&gt;=30,Upaya_Debitur[[#This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Diperhitungkan]])&gt;=1,DATEDIF($B$6,EDATE($B$5,$B$8)-1,"D")&lt;180)),"Ya","Tidak")</f>
        <v>Ya</v>
      </c>
      <c r="BV251" s="35" t="str">
        <f ca="1">IF(AND(Upaya_Debitur[[#This Row],[SP 1?]]="Ya",DATEDIF($B$5,$B$6,"D")&gt;=60,Upaya_Debitur[[#This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Diperhitungkan]])&gt;=2,DATEDIF($B$6,EDATE($B$5,$B$8)-1,"D")&lt;150)),"Ya","Tidak")</f>
        <v>Ya</v>
      </c>
      <c r="BW251" s="35" t="str">
        <f ca="1">IF(AND(Upaya_Debitur[[#This Row],[SP2?]]="Ya",DATEDIF($B$5,$B$6,"D")&gt;=90,Upaya_Debitur[[#This Row],[Haircut Diperhitungkan]]+Upaya_Debitur[[#This Row],[Set Off Diperhitungkan]]+SUM(OFFSET(Upaya_Debitur[[#This Row],[1]],0,0,1,$B$7))&lt;Upaya_Debitur[[#This Row],[Kewajiban Total]],OR($B$7-COUNTIF(OFFSET(Upaya_Debitur[[#This Row],[1]],0,0,1,$B$7),"&gt;="&amp;Upaya_Debitur[[#This Row],[Angsuran Diperhitungkan]])&gt;=3,DATEDIF($B$6,EDATE($B$5,$B$8)-1,"D")&lt;120)),"Ya","Tidak")</f>
        <v>Ya</v>
      </c>
      <c r="BX251" s="35" t="str">
        <f>IF(Upaya_Debitur[[#This Row],[Kondisi Debitur]]="Tidak ditemukan","Ya","Tidak")</f>
        <v>Ya</v>
      </c>
      <c r="BY251" s="35" t="str">
        <f ca="1">IF(AND(Upaya_Debitur[[#This Row],[SP3?]]="Ya",DATEDIF($B$5,$B$6,"D")&gt;=90,Upaya_Debitur[[#This Row],[Haircut Diperhitungkan]]+Upaya_Debitur[[#This Row],[Set Off Diperhitungkan]]+SUM(OFFSET(Upaya_Debitur[[#This Row],[1]],0,0,1,$B$7))&lt;Upaya_Debitur[[#This Row],[Kewajiban Total]]),"Ya","Tidak")</f>
        <v>Ya</v>
      </c>
      <c r="BZ251" s="35" t="str">
        <f ca="1">IF(AND(Upaya_Debitur[[#This Row],[Iklan Cessie 1?]]="Ya",DATEDIF($B$5,$B$6,"D")&gt;=120,Upaya_Debitur[[#This Row],[Haircut Diperhitungkan]]+Upaya_Debitur[[#This Row],[Set Off Diperhitungkan]]+SUM(OFFSET(Upaya_Debitur[[#This Row],[1]],0,0,1,$B$7))&lt;Upaya_Debitur[[#This Row],[Kewajiban Total]]),"Ya","Tidak")</f>
        <v>Ya</v>
      </c>
      <c r="CA251" s="35" t="str">
        <f ca="1">IF(AND(ISNUMBER(MATCH(Upaya_Debitur[[#This Row],[Wilayah Hukum]],$E$5:$E$12,0)),Upaya_Debitur[[#This Row],[SP3?]]="Ya",DATEDIF($B$5,$B$6,"D")&gt;=120,Upaya_Debitur[[#This Row],[Haircut Diperhitungkan]]+Upaya_Debitur[[#This Row],[Set Off Diperhitungkan]]+SUM(OFFSET(Upaya_Debitur[[#This Row],[1]],0,0,1,$B$7))&lt;Upaya_Debitur[[#This Row],[Kewajiban Total]],COUNTIFS(Upaya_Agunan[Nomor PK],Upaya_Debitur[[#This Row],[Nomor PK]],Upaya_Agunan[Agunan],"SHM")+COUNTIFS(Upaya_Agunan[Nomor PK],Upaya_Debitur[[#This Row],[Nomor PK]],Upaya_Agunan[Agunan],"SHGB")&gt;0,AND(Upaya_Debitur[[#This Row],[Kewajiban Pokok]]&lt;=500000000,Upaya_Debitur[[#This Row],[Kewajiban Pokok]]&gt;50000000)),"Ya","Tidak")</f>
        <v>Tidak</v>
      </c>
      <c r="CB251" s="18">
        <v>43781</v>
      </c>
      <c r="CC251" s="18">
        <v>43999</v>
      </c>
      <c r="CD251" s="18">
        <v>43826</v>
      </c>
      <c r="CE251" s="18">
        <v>43871</v>
      </c>
      <c r="CF251" s="18">
        <v>43887</v>
      </c>
      <c r="CG251" s="18">
        <v>43888</v>
      </c>
      <c r="CH251" s="18">
        <v>44057</v>
      </c>
      <c r="CI251" s="18">
        <v>44077</v>
      </c>
      <c r="CJ251" s="18"/>
      <c r="CK251" s="35">
        <f ca="1">COUNTIF(Upaya_Debitur[[#This Row],[Surat Pemberitahuan?]:[Gugatan Sederhana?]],"Ya")</f>
        <v>8</v>
      </c>
      <c r="CL251" s="35">
        <f ca="1">Upaya_Debitur[[#This Row],[Target Upaya]]-COUNTIFS(Upaya_Debitur[[#This Row],[Surat Pemberitahuan?]:[Gugatan Sederhana?]],"Ya",Upaya_Debitur[[#This Row],[Surat Pemberitahuan]:[Gugatan Sederhana]],"")</f>
        <v>8</v>
      </c>
      <c r="CM251" s="36">
        <f ca="1">IF(ISNUMBER(Upaya_Debitur[[#This Row],[Realisasi]]/Upaya_Debitur[[#This Row],[Target Upaya]]),Upaya_Debitur[[#This Row],[Realisasi]]/Upaya_Debitur[[#This Row],[Target Upaya]],1)</f>
        <v>1</v>
      </c>
    </row>
  </sheetData>
  <sheetProtection algorithmName="SHA-512" hashValue="EDJE3TdeZ7AEij2DrGcItnkcecL9VdUCl2qk5ijYQh5NU0QWgm47cp6n3juuNfhHwHqn1QOAQ6ilEqK/NeQPGw==" saltValue="sMOQzKdQeBqKez99ggDQUQ==" spinCount="100000" sheet="1" objects="1" scenarios="1"/>
  <mergeCells count="5">
    <mergeCell ref="BS17:CA17"/>
    <mergeCell ref="CB17:CJ17"/>
    <mergeCell ref="CK17:CM17"/>
    <mergeCell ref="P17:Q17"/>
    <mergeCell ref="U17:BP17"/>
  </mergeCells>
  <conditionalFormatting sqref="BS17">
    <cfRule type="containsText" dxfId="132" priority="15" operator="containsText" text="SP 1">
      <formula>NOT(ISERROR(SEARCH("SP 1",BS17)))</formula>
    </cfRule>
  </conditionalFormatting>
  <conditionalFormatting sqref="U17">
    <cfRule type="containsText" dxfId="131" priority="12" operator="containsText" text="SP 1">
      <formula>NOT(ISERROR(SEARCH("SP 1",U17)))</formula>
    </cfRule>
  </conditionalFormatting>
  <conditionalFormatting sqref="CB19:CJ251">
    <cfRule type="expression" dxfId="130" priority="7">
      <formula>AND(BS19="Ya",CB19="")</formula>
    </cfRule>
    <cfRule type="expression" dxfId="129" priority="8">
      <formula>AND(BS19="Tidak",CB19&lt;&gt;"")</formula>
    </cfRule>
    <cfRule type="expression" dxfId="128" priority="9">
      <formula>AND(BS19="Tidak",CB19="")</formula>
    </cfRule>
  </conditionalFormatting>
  <conditionalFormatting sqref="CB17">
    <cfRule type="containsText" dxfId="127" priority="6" operator="containsText" text="SP 1">
      <formula>NOT(ISERROR(SEARCH("SP 1",CB17)))</formula>
    </cfRule>
  </conditionalFormatting>
  <conditionalFormatting sqref="S17:T17">
    <cfRule type="containsText" dxfId="126" priority="5" operator="containsText" text="SP 1">
      <formula>NOT(ISERROR(SEARCH("SP 1",S17)))</formula>
    </cfRule>
  </conditionalFormatting>
  <conditionalFormatting sqref="BR17">
    <cfRule type="containsText" dxfId="125" priority="4" operator="containsText" text="SP 1">
      <formula>NOT(ISERROR(SEARCH("SP 1",BR17)))</formula>
    </cfRule>
  </conditionalFormatting>
  <conditionalFormatting sqref="BQ17">
    <cfRule type="containsText" dxfId="124" priority="3" operator="containsText" text="SP 1">
      <formula>NOT(ISERROR(SEARCH("SP 1",BQ17)))</formula>
    </cfRule>
  </conditionalFormatting>
  <conditionalFormatting sqref="P17 R17">
    <cfRule type="containsText" dxfId="123" priority="2" operator="containsText" text="SP 1">
      <formula>NOT(ISERROR(SEARCH("SP 1",P17)))</formula>
    </cfRule>
  </conditionalFormatting>
  <conditionalFormatting sqref="CM19:CM251">
    <cfRule type="expression" dxfId="122" priority="1">
      <formula>BR19="Lunas"</formula>
    </cfRule>
  </conditionalFormatting>
  <dataValidations disablePrompts="1" count="6">
    <dataValidation type="list" allowBlank="1" showInputMessage="1" showErrorMessage="1" sqref="Q19:Q251 B10" xr:uid="{00000000-0002-0000-0000-000000000000}">
      <formula1>INDIRECT("Periode[Nama Bulan]")</formula1>
    </dataValidation>
    <dataValidation type="date" allowBlank="1" showInputMessage="1" showErrorMessage="1" sqref="B5" xr:uid="{00000000-0002-0000-0000-000001000000}">
      <formula1>1</formula1>
      <formula2>219512</formula2>
    </dataValidation>
    <dataValidation type="list" showInputMessage="1" showErrorMessage="1" sqref="L19:L251" xr:uid="{00000000-0002-0000-0000-000002000000}">
      <formula1>INDIRECT("Kondisi_Debitur")</formula1>
    </dataValidation>
    <dataValidation type="list" allowBlank="1" showInputMessage="1" showErrorMessage="1" sqref="M19:M251" xr:uid="{00000000-0002-0000-0000-000003000000}">
      <formula1>"Ada,Tidak ada"</formula1>
    </dataValidation>
    <dataValidation type="list" showInputMessage="1" showErrorMessage="1" sqref="B8" xr:uid="{00000000-0002-0000-0000-000004000000}">
      <formula1>INDIRECT("Periode[Durasi]")</formula1>
    </dataValidation>
    <dataValidation type="list" showInputMessage="1" showErrorMessage="1" sqref="B6" xr:uid="{00000000-0002-0000-0000-000005000000}">
      <formula1>INDIRECT("Periode[Nama Bulan]")</formula1>
    </dataValidation>
  </dataValidations>
  <pageMargins left="0.25" right="0.25" top="0.75" bottom="0.75" header="0.3" footer="0.3"/>
  <pageSetup paperSize="9" scale="32" fitToHeight="0" orientation="landscape" r:id="rId1"/>
  <customProperties>
    <customPr name="EpmWorksheetKeyString_GUID" r:id="rId2"/>
  </customProperties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267"/>
  <sheetViews>
    <sheetView zoomScale="70" zoomScaleNormal="70" workbookViewId="0">
      <pane ySplit="11" topLeftCell="A12" activePane="bottomLeft" state="frozen"/>
      <selection pane="bottomLeft"/>
    </sheetView>
  </sheetViews>
  <sheetFormatPr defaultColWidth="0" defaultRowHeight="14.4" x14ac:dyDescent="0.3"/>
  <cols>
    <col min="1" max="1" width="11.109375" style="16" customWidth="1"/>
    <col min="2" max="4" width="22.33203125" style="16" customWidth="1"/>
    <col min="5" max="5" width="22.5546875" style="16" customWidth="1"/>
    <col min="6" max="6" width="13.88671875" style="16" customWidth="1"/>
    <col min="7" max="11" width="11.109375" style="16" hidden="1" customWidth="1"/>
    <col min="12" max="16" width="14.88671875" style="16" customWidth="1"/>
    <col min="17" max="19" width="11.44140625" style="16" customWidth="1"/>
    <col min="20" max="27" width="0" style="16" hidden="1" customWidth="1"/>
    <col min="28" max="16384" width="8.88671875" style="16" hidden="1"/>
  </cols>
  <sheetData>
    <row r="1" spans="1:27" s="19" customFormat="1" ht="18" x14ac:dyDescent="0.35">
      <c r="A1" s="20" t="s">
        <v>20</v>
      </c>
    </row>
    <row r="2" spans="1:27" s="19" customFormat="1" ht="18" x14ac:dyDescent="0.35">
      <c r="A2" s="20" t="s">
        <v>21</v>
      </c>
    </row>
    <row r="3" spans="1:27" s="19" customFormat="1" x14ac:dyDescent="0.3">
      <c r="A3" s="21"/>
    </row>
    <row r="4" spans="1:27" s="19" customFormat="1" x14ac:dyDescent="0.3">
      <c r="A4" s="22" t="s">
        <v>133</v>
      </c>
      <c r="B4" s="23" t="str">
        <f>'Upaya Debitur'!B4</f>
        <v>PT BPRS Hareukat (DL)</v>
      </c>
    </row>
    <row r="5" spans="1:27" s="19" customFormat="1" x14ac:dyDescent="0.3">
      <c r="A5" s="22" t="s">
        <v>43</v>
      </c>
      <c r="B5" s="42">
        <f>'Upaya Debitur'!B5</f>
        <v>43749</v>
      </c>
      <c r="D5" s="24" t="s">
        <v>126</v>
      </c>
      <c r="E5" s="25">
        <f ca="1">SUM(Upaya_Agunan[Target Upaya])</f>
        <v>122</v>
      </c>
      <c r="F5" s="43"/>
      <c r="M5" s="19" t="s">
        <v>13</v>
      </c>
      <c r="N5" s="84" t="s">
        <v>122</v>
      </c>
      <c r="O5" s="84"/>
      <c r="P5" s="84"/>
    </row>
    <row r="6" spans="1:27" s="19" customFormat="1" x14ac:dyDescent="0.3">
      <c r="A6" s="22" t="s">
        <v>42</v>
      </c>
      <c r="B6" s="26">
        <f>'Upaya Debitur'!B6</f>
        <v>44196</v>
      </c>
      <c r="D6" s="27" t="s">
        <v>127</v>
      </c>
      <c r="E6" s="28">
        <f ca="1">SUM(Upaya_Agunan[Realisasi])</f>
        <v>122</v>
      </c>
      <c r="F6" s="43"/>
      <c r="N6" s="86" t="s">
        <v>123</v>
      </c>
      <c r="O6" s="86"/>
      <c r="P6" s="86"/>
    </row>
    <row r="7" spans="1:27" s="19" customFormat="1" x14ac:dyDescent="0.3">
      <c r="A7" s="22" t="s">
        <v>40</v>
      </c>
      <c r="B7" s="51">
        <f>'Upaya Debitur'!B7</f>
        <v>15</v>
      </c>
      <c r="D7" s="29" t="s">
        <v>128</v>
      </c>
      <c r="E7" s="39">
        <f ca="1">IF(ISNUMBER(E6/E5),E6/E5,1)</f>
        <v>1</v>
      </c>
      <c r="F7" s="44"/>
      <c r="N7" s="85" t="s">
        <v>124</v>
      </c>
      <c r="O7" s="85"/>
      <c r="P7" s="85"/>
    </row>
    <row r="8" spans="1:27" s="19" customFormat="1" x14ac:dyDescent="0.3">
      <c r="A8" s="22" t="s">
        <v>176</v>
      </c>
      <c r="B8" s="47">
        <f>'Upaya Debitur'!B8</f>
        <v>15</v>
      </c>
      <c r="D8" s="45"/>
      <c r="E8" s="44"/>
      <c r="F8" s="44"/>
      <c r="G8" s="46"/>
      <c r="H8" s="46"/>
      <c r="I8" s="46"/>
      <c r="J8" s="46"/>
      <c r="K8" s="46"/>
      <c r="L8" s="46"/>
      <c r="M8" s="46"/>
      <c r="N8" s="49"/>
      <c r="O8" s="49"/>
      <c r="P8" s="49"/>
      <c r="Q8" s="46"/>
    </row>
    <row r="9" spans="1:27" s="19" customFormat="1" x14ac:dyDescent="0.3">
      <c r="A9" s="30"/>
      <c r="B9" s="31"/>
      <c r="E9" s="32"/>
      <c r="F9" s="32"/>
      <c r="G9" s="32"/>
    </row>
    <row r="10" spans="1:27" s="19" customFormat="1" x14ac:dyDescent="0.3">
      <c r="A10" s="21"/>
      <c r="F10" s="38"/>
      <c r="G10" s="83" t="s">
        <v>71</v>
      </c>
      <c r="H10" s="83"/>
      <c r="I10" s="83"/>
      <c r="J10" s="83"/>
      <c r="K10" s="83"/>
      <c r="L10" s="80" t="s">
        <v>120</v>
      </c>
      <c r="M10" s="80"/>
      <c r="N10" s="80"/>
      <c r="O10" s="80"/>
      <c r="P10" s="80"/>
      <c r="Q10" s="81" t="s">
        <v>129</v>
      </c>
      <c r="R10" s="81"/>
      <c r="S10" s="81"/>
    </row>
    <row r="11" spans="1:27" s="33" customFormat="1" ht="28.8" x14ac:dyDescent="0.3">
      <c r="A11" s="33" t="s">
        <v>0</v>
      </c>
      <c r="B11" s="33" t="s">
        <v>2</v>
      </c>
      <c r="C11" s="33" t="s">
        <v>68</v>
      </c>
      <c r="D11" s="33" t="s">
        <v>69</v>
      </c>
      <c r="E11" s="33" t="s">
        <v>70</v>
      </c>
      <c r="F11" s="33" t="s">
        <v>146</v>
      </c>
      <c r="G11" s="33" t="s">
        <v>32</v>
      </c>
      <c r="H11" s="33" t="s">
        <v>31</v>
      </c>
      <c r="I11" s="33" t="s">
        <v>34</v>
      </c>
      <c r="J11" s="33" t="s">
        <v>35</v>
      </c>
      <c r="K11" s="33" t="s">
        <v>33</v>
      </c>
      <c r="L11" s="33" t="s">
        <v>72</v>
      </c>
      <c r="M11" s="33" t="s">
        <v>73</v>
      </c>
      <c r="N11" s="33" t="s">
        <v>74</v>
      </c>
      <c r="O11" s="33" t="s">
        <v>75</v>
      </c>
      <c r="P11" s="33" t="s">
        <v>76</v>
      </c>
      <c r="Q11" s="34" t="s">
        <v>126</v>
      </c>
      <c r="R11" s="34" t="s">
        <v>127</v>
      </c>
      <c r="S11" s="34" t="s">
        <v>128</v>
      </c>
      <c r="W11" t="s">
        <v>68</v>
      </c>
      <c r="Y11" t="s">
        <v>69</v>
      </c>
      <c r="AA11" t="s">
        <v>70</v>
      </c>
    </row>
    <row r="12" spans="1:27" x14ac:dyDescent="0.3">
      <c r="A12" s="16">
        <v>1</v>
      </c>
      <c r="B12" s="17" t="s">
        <v>187</v>
      </c>
      <c r="C12" s="16" t="s">
        <v>95</v>
      </c>
      <c r="D12" s="16" t="s">
        <v>638</v>
      </c>
      <c r="E12" s="16" t="s">
        <v>93</v>
      </c>
      <c r="F12" s="19" t="str">
        <f ca="1">INDEX(Upaya_Debitur[Lunas?],MATCH(Upaya_Agunan[[#This Row],[Nomor PK]],Upaya_Debitur[Nomor PK],0))</f>
        <v>Belum Lunas</v>
      </c>
      <c r="G12" s="19" t="str">
        <f>IF(OR(Upaya_Agunan[[#This Row],[Agunan]]="SHM",Upaya_Agunan[[#This Row],[Agunan]]="BPKB"),"Ya","Tidak")</f>
        <v>Tidak</v>
      </c>
      <c r="H12" s="19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2" s="19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2" s="19" t="str">
        <f ca="1">IF(AND(DATEDIF($B$5,$B$6,"D")&gt;=150,Upaya_Agunan[[#This Row],[Lelang 1?]]="Ya"),"Ya","Tidak")</f>
        <v>Tidak</v>
      </c>
      <c r="K12" s="19" t="str">
        <f ca="1">IF(AND(DATEDIF($B$5,$B$6,"D")&gt;=180,Upaya_Agunan[[#This Row],[Lelang 2?]]="Ya"),"Ya","Tidak")</f>
        <v>Tidak</v>
      </c>
      <c r="L12" s="18"/>
      <c r="M12" s="18"/>
      <c r="N12" s="18"/>
      <c r="O12" s="18"/>
      <c r="P12" s="18"/>
      <c r="Q12" s="35">
        <f ca="1">COUNTIF(Upaya_Agunan[[#This Row],[Blokir Agunan?]:[Penjualan Agunan?]],"Ya")</f>
        <v>0</v>
      </c>
      <c r="R12" s="35">
        <f ca="1">Upaya_Agunan[[#This Row],[Target Upaya]]-COUNTIFS(Upaya_Agunan[[#This Row],[Blokir Agunan?]:[Penjualan Agunan?]],"Ya",Upaya_Agunan[[#This Row],[Blokir Agunan]:[Penjualan Agunan]],"")</f>
        <v>0</v>
      </c>
      <c r="S12" s="36">
        <f ca="1">IF(ISNUMBER(Upaya_Agunan[[#This Row],[Realisasi]]/Upaya_Agunan[[#This Row],[Target Upaya]]),Upaya_Agunan[[#This Row],[Realisasi]]/Upaya_Agunan[[#This Row],[Target Upaya]],1)</f>
        <v>1</v>
      </c>
      <c r="W12" t="s">
        <v>84</v>
      </c>
      <c r="Y12" t="s">
        <v>77</v>
      </c>
      <c r="AA12" t="s">
        <v>80</v>
      </c>
    </row>
    <row r="13" spans="1:27" x14ac:dyDescent="0.3">
      <c r="A13" s="16">
        <v>2</v>
      </c>
      <c r="B13" s="17" t="s">
        <v>189</v>
      </c>
      <c r="C13" s="16" t="s">
        <v>85</v>
      </c>
      <c r="D13" s="16" t="s">
        <v>78</v>
      </c>
      <c r="E13" s="16" t="s">
        <v>93</v>
      </c>
      <c r="F13" s="19" t="str">
        <f ca="1">INDEX(Upaya_Debitur[Lunas?],MATCH(Upaya_Agunan[[#This Row],[Nomor PK]],Upaya_Debitur[Nomor PK],0))</f>
        <v>Belum Lunas</v>
      </c>
      <c r="G13" s="19" t="str">
        <f>IF(OR(Upaya_Agunan[[#This Row],[Agunan]]="SHM",Upaya_Agunan[[#This Row],[Agunan]]="BPKB"),"Ya","Tidak")</f>
        <v>Ya</v>
      </c>
      <c r="H13" s="19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3" s="19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3" s="19" t="str">
        <f ca="1">IF(AND(DATEDIF($B$5,$B$6,"D")&gt;=150,Upaya_Agunan[[#This Row],[Lelang 1?]]="Ya"),"Ya","Tidak")</f>
        <v>Tidak</v>
      </c>
      <c r="K13" s="19" t="str">
        <f ca="1">IF(AND(DATEDIF($B$5,$B$6,"D")&gt;=180,Upaya_Agunan[[#This Row],[Lelang 2?]]="Ya"),"Ya","Tidak")</f>
        <v>Tidak</v>
      </c>
      <c r="L13" s="18" t="s">
        <v>640</v>
      </c>
      <c r="M13" s="18"/>
      <c r="N13" s="18"/>
      <c r="O13" s="18"/>
      <c r="P13" s="18"/>
      <c r="Q13" s="35">
        <f ca="1">COUNTIF(Upaya_Agunan[[#This Row],[Blokir Agunan?]:[Penjualan Agunan?]],"Ya")</f>
        <v>1</v>
      </c>
      <c r="R13" s="35">
        <f ca="1">Upaya_Agunan[[#This Row],[Target Upaya]]-COUNTIFS(Upaya_Agunan[[#This Row],[Blokir Agunan?]:[Penjualan Agunan?]],"Ya",Upaya_Agunan[[#This Row],[Blokir Agunan]:[Penjualan Agunan]],"")</f>
        <v>1</v>
      </c>
      <c r="S13" s="36">
        <f ca="1">IF(ISNUMBER(Upaya_Agunan[[#This Row],[Realisasi]]/Upaya_Agunan[[#This Row],[Target Upaya]]),Upaya_Agunan[[#This Row],[Realisasi]]/Upaya_Agunan[[#This Row],[Target Upaya]],1)</f>
        <v>1</v>
      </c>
      <c r="W13" t="s">
        <v>85</v>
      </c>
      <c r="Y13" t="s">
        <v>86</v>
      </c>
      <c r="AA13" t="s">
        <v>87</v>
      </c>
    </row>
    <row r="14" spans="1:27" x14ac:dyDescent="0.3">
      <c r="A14" s="16">
        <v>3</v>
      </c>
      <c r="B14" s="17" t="s">
        <v>191</v>
      </c>
      <c r="C14" s="16" t="s">
        <v>95</v>
      </c>
      <c r="D14" s="16" t="s">
        <v>638</v>
      </c>
      <c r="E14" s="16" t="s">
        <v>93</v>
      </c>
      <c r="F14" s="19" t="str">
        <f ca="1">INDEX(Upaya_Debitur[Lunas?],MATCH(Upaya_Agunan[[#This Row],[Nomor PK]],Upaya_Debitur[Nomor PK],0))</f>
        <v>Belum Lunas</v>
      </c>
      <c r="G14" s="19" t="str">
        <f>IF(OR(Upaya_Agunan[[#This Row],[Agunan]]="SHM",Upaya_Agunan[[#This Row],[Agunan]]="BPKB"),"Ya","Tidak")</f>
        <v>Tidak</v>
      </c>
      <c r="H14" s="19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4" s="19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4" s="19" t="str">
        <f ca="1">IF(AND(DATEDIF($B$5,$B$6,"D")&gt;=150,Upaya_Agunan[[#This Row],[Lelang 1?]]="Ya"),"Ya","Tidak")</f>
        <v>Tidak</v>
      </c>
      <c r="K14" s="19" t="str">
        <f ca="1">IF(AND(DATEDIF($B$5,$B$6,"D")&gt;=180,Upaya_Agunan[[#This Row],[Lelang 2?]]="Ya"),"Ya","Tidak")</f>
        <v>Tidak</v>
      </c>
      <c r="L14" s="18"/>
      <c r="M14" s="18"/>
      <c r="N14" s="18"/>
      <c r="O14" s="18"/>
      <c r="P14" s="18"/>
      <c r="Q14" s="35">
        <f ca="1">COUNTIF(Upaya_Agunan[[#This Row],[Blokir Agunan?]:[Penjualan Agunan?]],"Ya")</f>
        <v>0</v>
      </c>
      <c r="R14" s="35">
        <f ca="1">Upaya_Agunan[[#This Row],[Target Upaya]]-COUNTIFS(Upaya_Agunan[[#This Row],[Blokir Agunan?]:[Penjualan Agunan?]],"Ya",Upaya_Agunan[[#This Row],[Blokir Agunan]:[Penjualan Agunan]],"")</f>
        <v>0</v>
      </c>
      <c r="S14" s="36">
        <f ca="1">IF(ISNUMBER(Upaya_Agunan[[#This Row],[Realisasi]]/Upaya_Agunan[[#This Row],[Target Upaya]]),Upaya_Agunan[[#This Row],[Realisasi]]/Upaya_Agunan[[#This Row],[Target Upaya]],1)</f>
        <v>1</v>
      </c>
      <c r="W14" t="s">
        <v>88</v>
      </c>
      <c r="Y14" t="s">
        <v>89</v>
      </c>
      <c r="AA14" t="s">
        <v>90</v>
      </c>
    </row>
    <row r="15" spans="1:27" x14ac:dyDescent="0.3">
      <c r="A15" s="16">
        <v>4</v>
      </c>
      <c r="B15" s="17" t="s">
        <v>193</v>
      </c>
      <c r="C15" s="16" t="s">
        <v>85</v>
      </c>
      <c r="D15" s="16" t="s">
        <v>78</v>
      </c>
      <c r="E15" s="16" t="s">
        <v>93</v>
      </c>
      <c r="F15" s="35" t="str">
        <f ca="1">INDEX(Upaya_Debitur[Lunas?],MATCH(Upaya_Agunan[[#This Row],[Nomor PK]],Upaya_Debitur[Nomor PK],0))</f>
        <v>Belum Lunas</v>
      </c>
      <c r="G15" s="35" t="str">
        <f>IF(OR(Upaya_Agunan[[#This Row],[Agunan]]="SHM",Upaya_Agunan[[#This Row],[Agunan]]="BPKB"),"Ya","Tidak")</f>
        <v>Ya</v>
      </c>
      <c r="H1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5" s="35" t="str">
        <f ca="1">IF(AND(DATEDIF($B$5,$B$6,"D")&gt;=150,Upaya_Agunan[[#This Row],[Lelang 1?]]="Ya"),"Ya","Tidak")</f>
        <v>Tidak</v>
      </c>
      <c r="K15" s="35" t="str">
        <f ca="1">IF(AND(DATEDIF($B$5,$B$6,"D")&gt;=180,Upaya_Agunan[[#This Row],[Lelang 2?]]="Ya"),"Ya","Tidak")</f>
        <v>Tidak</v>
      </c>
      <c r="L15" s="18" t="s">
        <v>640</v>
      </c>
      <c r="M15" s="18"/>
      <c r="N15" s="18"/>
      <c r="O15" s="18"/>
      <c r="P15" s="18"/>
      <c r="Q15" s="35">
        <f ca="1">COUNTIF(Upaya_Agunan[[#This Row],[Blokir Agunan?]:[Penjualan Agunan?]],"Ya")</f>
        <v>1</v>
      </c>
      <c r="R15" s="35">
        <f ca="1">Upaya_Agunan[[#This Row],[Target Upaya]]-COUNTIFS(Upaya_Agunan[[#This Row],[Blokir Agunan?]:[Penjualan Agunan?]],"Ya",Upaya_Agunan[[#This Row],[Blokir Agunan]:[Penjualan Agunan]],"")</f>
        <v>1</v>
      </c>
      <c r="S15" s="36">
        <f ca="1">IF(ISNUMBER(Upaya_Agunan[[#This Row],[Realisasi]]/Upaya_Agunan[[#This Row],[Target Upaya]]),Upaya_Agunan[[#This Row],[Realisasi]]/Upaya_Agunan[[#This Row],[Target Upaya]],1)</f>
        <v>1</v>
      </c>
      <c r="W15" t="s">
        <v>91</v>
      </c>
      <c r="Y15" t="s">
        <v>92</v>
      </c>
      <c r="AA15" t="s">
        <v>81</v>
      </c>
    </row>
    <row r="16" spans="1:27" x14ac:dyDescent="0.3">
      <c r="A16" s="16">
        <v>5</v>
      </c>
      <c r="B16" s="17" t="s">
        <v>193</v>
      </c>
      <c r="C16" s="16" t="s">
        <v>84</v>
      </c>
      <c r="D16" s="16" t="s">
        <v>79</v>
      </c>
      <c r="E16" s="16" t="s">
        <v>93</v>
      </c>
      <c r="F16" s="35" t="str">
        <f ca="1">INDEX(Upaya_Debitur[Lunas?],MATCH(Upaya_Agunan[[#This Row],[Nomor PK]],Upaya_Debitur[Nomor PK],0))</f>
        <v>Belum Lunas</v>
      </c>
      <c r="G16" s="35" t="str">
        <f>IF(OR(Upaya_Agunan[[#This Row],[Agunan]]="SHM",Upaya_Agunan[[#This Row],[Agunan]]="BPKB"),"Ya","Tidak")</f>
        <v>Tidak</v>
      </c>
      <c r="H1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6" s="35" t="str">
        <f ca="1">IF(AND(DATEDIF($B$5,$B$6,"D")&gt;=150,Upaya_Agunan[[#This Row],[Lelang 1?]]="Ya"),"Ya","Tidak")</f>
        <v>Tidak</v>
      </c>
      <c r="K16" s="35" t="str">
        <f ca="1">IF(AND(DATEDIF($B$5,$B$6,"D")&gt;=180,Upaya_Agunan[[#This Row],[Lelang 2?]]="Ya"),"Ya","Tidak")</f>
        <v>Tidak</v>
      </c>
      <c r="L16" s="18"/>
      <c r="M16" s="18"/>
      <c r="N16" s="18"/>
      <c r="O16" s="18"/>
      <c r="P16" s="18"/>
      <c r="Q16" s="35">
        <f ca="1">COUNTIF(Upaya_Agunan[[#This Row],[Blokir Agunan?]:[Penjualan Agunan?]],"Ya")</f>
        <v>0</v>
      </c>
      <c r="R16" s="35">
        <f ca="1">Upaya_Agunan[[#This Row],[Target Upaya]]-COUNTIFS(Upaya_Agunan[[#This Row],[Blokir Agunan?]:[Penjualan Agunan?]],"Ya",Upaya_Agunan[[#This Row],[Blokir Agunan]:[Penjualan Agunan]],"")</f>
        <v>0</v>
      </c>
      <c r="S16" s="36">
        <f ca="1">IF(ISNUMBER(Upaya_Agunan[[#This Row],[Realisasi]]/Upaya_Agunan[[#This Row],[Target Upaya]]),Upaya_Agunan[[#This Row],[Realisasi]]/Upaya_Agunan[[#This Row],[Target Upaya]],1)</f>
        <v>1</v>
      </c>
      <c r="W16" t="s">
        <v>94</v>
      </c>
      <c r="Y16" t="s">
        <v>79</v>
      </c>
      <c r="AA16" t="s">
        <v>106</v>
      </c>
    </row>
    <row r="17" spans="1:27" x14ac:dyDescent="0.3">
      <c r="A17" s="16">
        <v>6</v>
      </c>
      <c r="B17" s="17" t="s">
        <v>195</v>
      </c>
      <c r="C17" s="16" t="s">
        <v>85</v>
      </c>
      <c r="D17" s="16" t="s">
        <v>78</v>
      </c>
      <c r="E17" s="16" t="s">
        <v>93</v>
      </c>
      <c r="F17" s="35" t="str">
        <f ca="1">INDEX(Upaya_Debitur[Lunas?],MATCH(Upaya_Agunan[[#This Row],[Nomor PK]],Upaya_Debitur[Nomor PK],0))</f>
        <v>Lunas</v>
      </c>
      <c r="G17" s="35" t="str">
        <f>IF(OR(Upaya_Agunan[[#This Row],[Agunan]]="SHM",Upaya_Agunan[[#This Row],[Agunan]]="BPKB"),"Ya","Tidak")</f>
        <v>Ya</v>
      </c>
      <c r="H1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7" s="35" t="str">
        <f ca="1">IF(AND(DATEDIF($B$5,$B$6,"D")&gt;=150,Upaya_Agunan[[#This Row],[Lelang 1?]]="Ya"),"Ya","Tidak")</f>
        <v>Tidak</v>
      </c>
      <c r="K17" s="35" t="str">
        <f ca="1">IF(AND(DATEDIF($B$5,$B$6,"D")&gt;=180,Upaya_Agunan[[#This Row],[Lelang 2?]]="Ya"),"Ya","Tidak")</f>
        <v>Tidak</v>
      </c>
      <c r="L17" s="18" t="s">
        <v>641</v>
      </c>
      <c r="M17" s="18"/>
      <c r="N17" s="18"/>
      <c r="O17" s="18"/>
      <c r="P17" s="18"/>
      <c r="Q17" s="35">
        <f ca="1">COUNTIF(Upaya_Agunan[[#This Row],[Blokir Agunan?]:[Penjualan Agunan?]],"Ya")</f>
        <v>1</v>
      </c>
      <c r="R17" s="35">
        <f ca="1">Upaya_Agunan[[#This Row],[Target Upaya]]-COUNTIFS(Upaya_Agunan[[#This Row],[Blokir Agunan?]:[Penjualan Agunan?]],"Ya",Upaya_Agunan[[#This Row],[Blokir Agunan]:[Penjualan Agunan]],"")</f>
        <v>1</v>
      </c>
      <c r="S17" s="36">
        <f ca="1">IF(ISNUMBER(Upaya_Agunan[[#This Row],[Realisasi]]/Upaya_Agunan[[#This Row],[Target Upaya]]),Upaya_Agunan[[#This Row],[Realisasi]]/Upaya_Agunan[[#This Row],[Target Upaya]],1)</f>
        <v>1</v>
      </c>
      <c r="W17" t="s">
        <v>95</v>
      </c>
      <c r="Y17" t="s">
        <v>96</v>
      </c>
      <c r="AA17" t="s">
        <v>112</v>
      </c>
    </row>
    <row r="18" spans="1:27" x14ac:dyDescent="0.3">
      <c r="A18" s="16">
        <v>7</v>
      </c>
      <c r="B18" s="17" t="s">
        <v>197</v>
      </c>
      <c r="C18" s="16" t="s">
        <v>85</v>
      </c>
      <c r="D18" s="16" t="s">
        <v>78</v>
      </c>
      <c r="E18" s="16" t="s">
        <v>93</v>
      </c>
      <c r="F18" s="35" t="str">
        <f ca="1">INDEX(Upaya_Debitur[Lunas?],MATCH(Upaya_Agunan[[#This Row],[Nomor PK]],Upaya_Debitur[Nomor PK],0))</f>
        <v>Belum Lunas</v>
      </c>
      <c r="G18" s="35" t="str">
        <f>IF(OR(Upaya_Agunan[[#This Row],[Agunan]]="SHM",Upaya_Agunan[[#This Row],[Agunan]]="BPKB"),"Ya","Tidak")</f>
        <v>Ya</v>
      </c>
      <c r="H1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8" s="35" t="str">
        <f ca="1">IF(AND(DATEDIF($B$5,$B$6,"D")&gt;=150,Upaya_Agunan[[#This Row],[Lelang 1?]]="Ya"),"Ya","Tidak")</f>
        <v>Tidak</v>
      </c>
      <c r="K18" s="35" t="str">
        <f ca="1">IF(AND(DATEDIF($B$5,$B$6,"D")&gt;=180,Upaya_Agunan[[#This Row],[Lelang 2?]]="Ya"),"Ya","Tidak")</f>
        <v>Tidak</v>
      </c>
      <c r="L18" s="18" t="s">
        <v>640</v>
      </c>
      <c r="M18" s="18"/>
      <c r="N18" s="18"/>
      <c r="O18" s="18"/>
      <c r="P18" s="18"/>
      <c r="Q18" s="35">
        <f ca="1">COUNTIF(Upaya_Agunan[[#This Row],[Blokir Agunan?]:[Penjualan Agunan?]],"Ya")</f>
        <v>1</v>
      </c>
      <c r="R18" s="35">
        <f ca="1">Upaya_Agunan[[#This Row],[Target Upaya]]-COUNTIFS(Upaya_Agunan[[#This Row],[Blokir Agunan?]:[Penjualan Agunan?]],"Ya",Upaya_Agunan[[#This Row],[Blokir Agunan]:[Penjualan Agunan]],"")</f>
        <v>1</v>
      </c>
      <c r="S18" s="36">
        <f ca="1">IF(ISNUMBER(Upaya_Agunan[[#This Row],[Realisasi]]/Upaya_Agunan[[#This Row],[Target Upaya]]),Upaya_Agunan[[#This Row],[Realisasi]]/Upaya_Agunan[[#This Row],[Target Upaya]],1)</f>
        <v>1</v>
      </c>
      <c r="W18" t="s">
        <v>97</v>
      </c>
      <c r="Y18" t="s">
        <v>98</v>
      </c>
      <c r="AA18" t="s">
        <v>115</v>
      </c>
    </row>
    <row r="19" spans="1:27" x14ac:dyDescent="0.3">
      <c r="A19" s="16">
        <v>8</v>
      </c>
      <c r="B19" s="17" t="s">
        <v>199</v>
      </c>
      <c r="C19" s="16" t="s">
        <v>85</v>
      </c>
      <c r="D19" s="16" t="s">
        <v>78</v>
      </c>
      <c r="E19" s="16" t="s">
        <v>93</v>
      </c>
      <c r="F19" s="35" t="str">
        <f ca="1">INDEX(Upaya_Debitur[Lunas?],MATCH(Upaya_Agunan[[#This Row],[Nomor PK]],Upaya_Debitur[Nomor PK],0))</f>
        <v>Belum Lunas</v>
      </c>
      <c r="G19" s="35" t="str">
        <f>IF(OR(Upaya_Agunan[[#This Row],[Agunan]]="SHM",Upaya_Agunan[[#This Row],[Agunan]]="BPKB"),"Ya","Tidak")</f>
        <v>Ya</v>
      </c>
      <c r="H1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9" s="35" t="str">
        <f ca="1">IF(AND(DATEDIF($B$5,$B$6,"D")&gt;=150,Upaya_Agunan[[#This Row],[Lelang 1?]]="Ya"),"Ya","Tidak")</f>
        <v>Tidak</v>
      </c>
      <c r="K19" s="35" t="str">
        <f ca="1">IF(AND(DATEDIF($B$5,$B$6,"D")&gt;=180,Upaya_Agunan[[#This Row],[Lelang 2?]]="Ya"),"Ya","Tidak")</f>
        <v>Tidak</v>
      </c>
      <c r="L19" s="18" t="s">
        <v>640</v>
      </c>
      <c r="M19" s="18"/>
      <c r="N19" s="18"/>
      <c r="O19" s="18"/>
      <c r="P19" s="18"/>
      <c r="Q19" s="35">
        <f ca="1">COUNTIF(Upaya_Agunan[[#This Row],[Blokir Agunan?]:[Penjualan Agunan?]],"Ya")</f>
        <v>1</v>
      </c>
      <c r="R19" s="35">
        <f ca="1">Upaya_Agunan[[#This Row],[Target Upaya]]-COUNTIFS(Upaya_Agunan[[#This Row],[Blokir Agunan?]:[Penjualan Agunan?]],"Ya",Upaya_Agunan[[#This Row],[Blokir Agunan]:[Penjualan Agunan]],"")</f>
        <v>1</v>
      </c>
      <c r="S19" s="36">
        <f ca="1">IF(ISNUMBER(Upaya_Agunan[[#This Row],[Realisasi]]/Upaya_Agunan[[#This Row],[Target Upaya]]),Upaya_Agunan[[#This Row],[Realisasi]]/Upaya_Agunan[[#This Row],[Target Upaya]],1)</f>
        <v>1</v>
      </c>
      <c r="W19" t="s">
        <v>99</v>
      </c>
      <c r="Y19" t="s">
        <v>100</v>
      </c>
      <c r="AA19" t="s">
        <v>93</v>
      </c>
    </row>
    <row r="20" spans="1:27" x14ac:dyDescent="0.3">
      <c r="A20" s="16">
        <v>9</v>
      </c>
      <c r="B20" s="17" t="s">
        <v>201</v>
      </c>
      <c r="C20" s="16" t="s">
        <v>84</v>
      </c>
      <c r="D20" s="16" t="s">
        <v>79</v>
      </c>
      <c r="E20" s="16" t="s">
        <v>93</v>
      </c>
      <c r="F20" s="35" t="str">
        <f ca="1">INDEX(Upaya_Debitur[Lunas?],MATCH(Upaya_Agunan[[#This Row],[Nomor PK]],Upaya_Debitur[Nomor PK],0))</f>
        <v>Lunas</v>
      </c>
      <c r="G20" s="35" t="str">
        <f>IF(OR(Upaya_Agunan[[#This Row],[Agunan]]="SHM",Upaya_Agunan[[#This Row],[Agunan]]="BPKB"),"Ya","Tidak")</f>
        <v>Tidak</v>
      </c>
      <c r="H2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0" s="35" t="str">
        <f ca="1">IF(AND(DATEDIF($B$5,$B$6,"D")&gt;=150,Upaya_Agunan[[#This Row],[Lelang 1?]]="Ya"),"Ya","Tidak")</f>
        <v>Tidak</v>
      </c>
      <c r="K20" s="35" t="str">
        <f ca="1">IF(AND(DATEDIF($B$5,$B$6,"D")&gt;=180,Upaya_Agunan[[#This Row],[Lelang 2?]]="Ya"),"Ya","Tidak")</f>
        <v>Tidak</v>
      </c>
      <c r="L20" s="18"/>
      <c r="M20" s="18"/>
      <c r="N20" s="18"/>
      <c r="O20" s="18"/>
      <c r="P20" s="18"/>
      <c r="Q20" s="35">
        <f ca="1">COUNTIF(Upaya_Agunan[[#This Row],[Blokir Agunan?]:[Penjualan Agunan?]],"Ya")</f>
        <v>0</v>
      </c>
      <c r="R20" s="35">
        <f ca="1">Upaya_Agunan[[#This Row],[Target Upaya]]-COUNTIFS(Upaya_Agunan[[#This Row],[Blokir Agunan?]:[Penjualan Agunan?]],"Ya",Upaya_Agunan[[#This Row],[Blokir Agunan]:[Penjualan Agunan]],"")</f>
        <v>0</v>
      </c>
      <c r="S20" s="36">
        <f ca="1">IF(ISNUMBER(Upaya_Agunan[[#This Row],[Realisasi]]/Upaya_Agunan[[#This Row],[Target Upaya]]),Upaya_Agunan[[#This Row],[Realisasi]]/Upaya_Agunan[[#This Row],[Target Upaya]],1)</f>
        <v>1</v>
      </c>
      <c r="W20" t="s">
        <v>101</v>
      </c>
      <c r="Y20" t="s">
        <v>78</v>
      </c>
    </row>
    <row r="21" spans="1:27" x14ac:dyDescent="0.3">
      <c r="A21" s="16">
        <v>10</v>
      </c>
      <c r="B21" s="17" t="s">
        <v>203</v>
      </c>
      <c r="C21" s="16" t="s">
        <v>85</v>
      </c>
      <c r="D21" s="16" t="s">
        <v>78</v>
      </c>
      <c r="E21" s="16" t="s">
        <v>93</v>
      </c>
      <c r="F21" s="35" t="str">
        <f ca="1">INDEX(Upaya_Debitur[Lunas?],MATCH(Upaya_Agunan[[#This Row],[Nomor PK]],Upaya_Debitur[Nomor PK],0))</f>
        <v>Belum Lunas</v>
      </c>
      <c r="G21" s="35" t="str">
        <f>IF(OR(Upaya_Agunan[[#This Row],[Agunan]]="SHM",Upaya_Agunan[[#This Row],[Agunan]]="BPKB"),"Ya","Tidak")</f>
        <v>Ya</v>
      </c>
      <c r="H2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1" s="35" t="str">
        <f ca="1">IF(AND(DATEDIF($B$5,$B$6,"D")&gt;=150,Upaya_Agunan[[#This Row],[Lelang 1?]]="Ya"),"Ya","Tidak")</f>
        <v>Tidak</v>
      </c>
      <c r="K21" s="35" t="str">
        <f ca="1">IF(AND(DATEDIF($B$5,$B$6,"D")&gt;=180,Upaya_Agunan[[#This Row],[Lelang 2?]]="Ya"),"Ya","Tidak")</f>
        <v>Tidak</v>
      </c>
      <c r="L21" s="18" t="s">
        <v>640</v>
      </c>
      <c r="M21" s="18"/>
      <c r="N21" s="18"/>
      <c r="O21" s="18"/>
      <c r="P21" s="18"/>
      <c r="Q21" s="35">
        <f ca="1">COUNTIF(Upaya_Agunan[[#This Row],[Blokir Agunan?]:[Penjualan Agunan?]],"Ya")</f>
        <v>1</v>
      </c>
      <c r="R21" s="35">
        <f ca="1">Upaya_Agunan[[#This Row],[Target Upaya]]-COUNTIFS(Upaya_Agunan[[#This Row],[Blokir Agunan?]:[Penjualan Agunan?]],"Ya",Upaya_Agunan[[#This Row],[Blokir Agunan]:[Penjualan Agunan]],"")</f>
        <v>1</v>
      </c>
      <c r="S21" s="36">
        <f ca="1">IF(ISNUMBER(Upaya_Agunan[[#This Row],[Realisasi]]/Upaya_Agunan[[#This Row],[Target Upaya]]),Upaya_Agunan[[#This Row],[Realisasi]]/Upaya_Agunan[[#This Row],[Target Upaya]],1)</f>
        <v>1</v>
      </c>
      <c r="W21" t="s">
        <v>102</v>
      </c>
      <c r="Y21" t="s">
        <v>110</v>
      </c>
    </row>
    <row r="22" spans="1:27" x14ac:dyDescent="0.3">
      <c r="A22" s="16">
        <v>11</v>
      </c>
      <c r="B22" s="17" t="s">
        <v>205</v>
      </c>
      <c r="C22" s="16" t="s">
        <v>84</v>
      </c>
      <c r="D22" s="16" t="s">
        <v>98</v>
      </c>
      <c r="E22" s="16" t="s">
        <v>93</v>
      </c>
      <c r="F22" s="35" t="str">
        <f ca="1">INDEX(Upaya_Debitur[Lunas?],MATCH(Upaya_Agunan[[#This Row],[Nomor PK]],Upaya_Debitur[Nomor PK],0))</f>
        <v>Belum Lunas</v>
      </c>
      <c r="G22" s="35" t="str">
        <f>IF(OR(Upaya_Agunan[[#This Row],[Agunan]]="SHM",Upaya_Agunan[[#This Row],[Agunan]]="BPKB"),"Ya","Tidak")</f>
        <v>Tidak</v>
      </c>
      <c r="H2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2" s="35" t="str">
        <f ca="1">IF(AND(DATEDIF($B$5,$B$6,"D")&gt;=150,Upaya_Agunan[[#This Row],[Lelang 1?]]="Ya"),"Ya","Tidak")</f>
        <v>Tidak</v>
      </c>
      <c r="K22" s="35" t="str">
        <f ca="1">IF(AND(DATEDIF($B$5,$B$6,"D")&gt;=180,Upaya_Agunan[[#This Row],[Lelang 2?]]="Ya"),"Ya","Tidak")</f>
        <v>Tidak</v>
      </c>
      <c r="L22" s="18"/>
      <c r="M22" s="18"/>
      <c r="N22" s="18"/>
      <c r="O22" s="18"/>
      <c r="P22" s="18"/>
      <c r="Q22" s="35">
        <f ca="1">COUNTIF(Upaya_Agunan[[#This Row],[Blokir Agunan?]:[Penjualan Agunan?]],"Ya")</f>
        <v>0</v>
      </c>
      <c r="R22" s="35">
        <f ca="1">Upaya_Agunan[[#This Row],[Target Upaya]]-COUNTIFS(Upaya_Agunan[[#This Row],[Blokir Agunan?]:[Penjualan Agunan?]],"Ya",Upaya_Agunan[[#This Row],[Blokir Agunan]:[Penjualan Agunan]],"")</f>
        <v>0</v>
      </c>
      <c r="S22" s="36">
        <f ca="1">IF(ISNUMBER(Upaya_Agunan[[#This Row],[Realisasi]]/Upaya_Agunan[[#This Row],[Target Upaya]]),Upaya_Agunan[[#This Row],[Realisasi]]/Upaya_Agunan[[#This Row],[Target Upaya]],1)</f>
        <v>1</v>
      </c>
      <c r="W22" t="s">
        <v>103</v>
      </c>
      <c r="Y22" t="s">
        <v>111</v>
      </c>
    </row>
    <row r="23" spans="1:27" x14ac:dyDescent="0.3">
      <c r="A23" s="16">
        <v>12</v>
      </c>
      <c r="B23" s="17" t="s">
        <v>207</v>
      </c>
      <c r="C23" s="16" t="s">
        <v>84</v>
      </c>
      <c r="D23" s="16" t="s">
        <v>98</v>
      </c>
      <c r="E23" s="16" t="s">
        <v>93</v>
      </c>
      <c r="F23" s="35" t="str">
        <f ca="1">INDEX(Upaya_Debitur[Lunas?],MATCH(Upaya_Agunan[[#This Row],[Nomor PK]],Upaya_Debitur[Nomor PK],0))</f>
        <v>Belum Lunas</v>
      </c>
      <c r="G23" s="35" t="str">
        <f>IF(OR(Upaya_Agunan[[#This Row],[Agunan]]="SHM",Upaya_Agunan[[#This Row],[Agunan]]="BPKB"),"Ya","Tidak")</f>
        <v>Tidak</v>
      </c>
      <c r="H2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3" s="35" t="str">
        <f ca="1">IF(AND(DATEDIF($B$5,$B$6,"D")&gt;=150,Upaya_Agunan[[#This Row],[Lelang 1?]]="Ya"),"Ya","Tidak")</f>
        <v>Tidak</v>
      </c>
      <c r="K23" s="35" t="str">
        <f ca="1">IF(AND(DATEDIF($B$5,$B$6,"D")&gt;=180,Upaya_Agunan[[#This Row],[Lelang 2?]]="Ya"),"Ya","Tidak")</f>
        <v>Tidak</v>
      </c>
      <c r="L23" s="18"/>
      <c r="M23" s="18"/>
      <c r="N23" s="18"/>
      <c r="O23" s="18"/>
      <c r="P23" s="18"/>
      <c r="Q23" s="35">
        <f ca="1">COUNTIF(Upaya_Agunan[[#This Row],[Blokir Agunan?]:[Penjualan Agunan?]],"Ya")</f>
        <v>0</v>
      </c>
      <c r="R23" s="35">
        <f ca="1">Upaya_Agunan[[#This Row],[Target Upaya]]-COUNTIFS(Upaya_Agunan[[#This Row],[Blokir Agunan?]:[Penjualan Agunan?]],"Ya",Upaya_Agunan[[#This Row],[Blokir Agunan]:[Penjualan Agunan]],"")</f>
        <v>0</v>
      </c>
      <c r="S23" s="36">
        <f ca="1">IF(ISNUMBER(Upaya_Agunan[[#This Row],[Realisasi]]/Upaya_Agunan[[#This Row],[Target Upaya]]),Upaya_Agunan[[#This Row],[Realisasi]]/Upaya_Agunan[[#This Row],[Target Upaya]],1)</f>
        <v>1</v>
      </c>
      <c r="W23" t="s">
        <v>104</v>
      </c>
      <c r="Y23" t="s">
        <v>113</v>
      </c>
    </row>
    <row r="24" spans="1:27" x14ac:dyDescent="0.3">
      <c r="A24" s="16">
        <v>13</v>
      </c>
      <c r="B24" s="17" t="s">
        <v>209</v>
      </c>
      <c r="C24" s="16" t="s">
        <v>95</v>
      </c>
      <c r="D24" s="16" t="s">
        <v>638</v>
      </c>
      <c r="E24" s="16" t="s">
        <v>93</v>
      </c>
      <c r="F24" s="35" t="str">
        <f ca="1">INDEX(Upaya_Debitur[Lunas?],MATCH(Upaya_Agunan[[#This Row],[Nomor PK]],Upaya_Debitur[Nomor PK],0))</f>
        <v>Belum Lunas</v>
      </c>
      <c r="G24" s="35" t="str">
        <f>IF(OR(Upaya_Agunan[[#This Row],[Agunan]]="SHM",Upaya_Agunan[[#This Row],[Agunan]]="BPKB"),"Ya","Tidak")</f>
        <v>Tidak</v>
      </c>
      <c r="H2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4" s="35" t="str">
        <f ca="1">IF(AND(DATEDIF($B$5,$B$6,"D")&gt;=150,Upaya_Agunan[[#This Row],[Lelang 1?]]="Ya"),"Ya","Tidak")</f>
        <v>Tidak</v>
      </c>
      <c r="K24" s="35" t="str">
        <f ca="1">IF(AND(DATEDIF($B$5,$B$6,"D")&gt;=180,Upaya_Agunan[[#This Row],[Lelang 2?]]="Ya"),"Ya","Tidak")</f>
        <v>Tidak</v>
      </c>
      <c r="L24" s="18"/>
      <c r="M24" s="18"/>
      <c r="N24" s="18"/>
      <c r="O24" s="18"/>
      <c r="P24" s="18"/>
      <c r="Q24" s="35">
        <f ca="1">COUNTIF(Upaya_Agunan[[#This Row],[Blokir Agunan?]:[Penjualan Agunan?]],"Ya")</f>
        <v>0</v>
      </c>
      <c r="R24" s="35">
        <f ca="1">Upaya_Agunan[[#This Row],[Target Upaya]]-COUNTIFS(Upaya_Agunan[[#This Row],[Blokir Agunan?]:[Penjualan Agunan?]],"Ya",Upaya_Agunan[[#This Row],[Blokir Agunan]:[Penjualan Agunan]],"")</f>
        <v>0</v>
      </c>
      <c r="S24" s="36">
        <f ca="1">IF(ISNUMBER(Upaya_Agunan[[#This Row],[Realisasi]]/Upaya_Agunan[[#This Row],[Target Upaya]]),Upaya_Agunan[[#This Row],[Realisasi]]/Upaya_Agunan[[#This Row],[Target Upaya]],1)</f>
        <v>1</v>
      </c>
      <c r="W24" t="s">
        <v>105</v>
      </c>
      <c r="Y24" t="s">
        <v>114</v>
      </c>
    </row>
    <row r="25" spans="1:27" x14ac:dyDescent="0.3">
      <c r="A25" s="16">
        <v>14</v>
      </c>
      <c r="B25" s="17" t="s">
        <v>210</v>
      </c>
      <c r="C25" s="16" t="s">
        <v>84</v>
      </c>
      <c r="D25" s="16" t="s">
        <v>77</v>
      </c>
      <c r="E25" s="16" t="s">
        <v>93</v>
      </c>
      <c r="F25" s="35" t="str">
        <f ca="1">INDEX(Upaya_Debitur[Lunas?],MATCH(Upaya_Agunan[[#This Row],[Nomor PK]],Upaya_Debitur[Nomor PK],0))</f>
        <v>Belum Lunas</v>
      </c>
      <c r="G25" s="35" t="str">
        <f>IF(OR(Upaya_Agunan[[#This Row],[Agunan]]="SHM",Upaya_Agunan[[#This Row],[Agunan]]="BPKB"),"Ya","Tidak")</f>
        <v>Ya</v>
      </c>
      <c r="H2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5" s="35" t="str">
        <f ca="1">IF(AND(DATEDIF($B$5,$B$6,"D")&gt;=150,Upaya_Agunan[[#This Row],[Lelang 1?]]="Ya"),"Ya","Tidak")</f>
        <v>Tidak</v>
      </c>
      <c r="K25" s="35" t="str">
        <f ca="1">IF(AND(DATEDIF($B$5,$B$6,"D")&gt;=180,Upaya_Agunan[[#This Row],[Lelang 2?]]="Ya"),"Ya","Tidak")</f>
        <v>Tidak</v>
      </c>
      <c r="L25" s="18" t="s">
        <v>642</v>
      </c>
      <c r="M25" s="18"/>
      <c r="N25" s="18"/>
      <c r="O25" s="18"/>
      <c r="P25" s="18"/>
      <c r="Q25" s="35">
        <f ca="1">COUNTIF(Upaya_Agunan[[#This Row],[Blokir Agunan?]:[Penjualan Agunan?]],"Ya")</f>
        <v>1</v>
      </c>
      <c r="R25" s="35">
        <f ca="1">Upaya_Agunan[[#This Row],[Target Upaya]]-COUNTIFS(Upaya_Agunan[[#This Row],[Blokir Agunan?]:[Penjualan Agunan?]],"Ya",Upaya_Agunan[[#This Row],[Blokir Agunan]:[Penjualan Agunan]],"")</f>
        <v>1</v>
      </c>
      <c r="S25" s="36">
        <f ca="1">IF(ISNUMBER(Upaya_Agunan[[#This Row],[Realisasi]]/Upaya_Agunan[[#This Row],[Target Upaya]]),Upaya_Agunan[[#This Row],[Realisasi]]/Upaya_Agunan[[#This Row],[Target Upaya]],1)</f>
        <v>1</v>
      </c>
      <c r="W25" t="s">
        <v>107</v>
      </c>
      <c r="Y25" t="s">
        <v>116</v>
      </c>
    </row>
    <row r="26" spans="1:27" x14ac:dyDescent="0.3">
      <c r="A26" s="16">
        <v>15</v>
      </c>
      <c r="B26" s="17" t="s">
        <v>211</v>
      </c>
      <c r="C26" s="16" t="s">
        <v>95</v>
      </c>
      <c r="D26" s="16" t="s">
        <v>638</v>
      </c>
      <c r="E26" s="16" t="s">
        <v>93</v>
      </c>
      <c r="F26" s="35" t="str">
        <f ca="1">INDEX(Upaya_Debitur[Lunas?],MATCH(Upaya_Agunan[[#This Row],[Nomor PK]],Upaya_Debitur[Nomor PK],0))</f>
        <v>Belum Lunas</v>
      </c>
      <c r="G26" s="35" t="str">
        <f>IF(OR(Upaya_Agunan[[#This Row],[Agunan]]="SHM",Upaya_Agunan[[#This Row],[Agunan]]="BPKB"),"Ya","Tidak")</f>
        <v>Tidak</v>
      </c>
      <c r="H2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6" s="35" t="str">
        <f ca="1">IF(AND(DATEDIF($B$5,$B$6,"D")&gt;=150,Upaya_Agunan[[#This Row],[Lelang 1?]]="Ya"),"Ya","Tidak")</f>
        <v>Tidak</v>
      </c>
      <c r="K26" s="35" t="str">
        <f ca="1">IF(AND(DATEDIF($B$5,$B$6,"D")&gt;=180,Upaya_Agunan[[#This Row],[Lelang 2?]]="Ya"),"Ya","Tidak")</f>
        <v>Tidak</v>
      </c>
      <c r="L26" s="18"/>
      <c r="M26" s="18"/>
      <c r="N26" s="18"/>
      <c r="O26" s="18"/>
      <c r="P26" s="18"/>
      <c r="Q26" s="35">
        <f ca="1">COUNTIF(Upaya_Agunan[[#This Row],[Blokir Agunan?]:[Penjualan Agunan?]],"Ya")</f>
        <v>0</v>
      </c>
      <c r="R26" s="35">
        <f ca="1">Upaya_Agunan[[#This Row],[Target Upaya]]-COUNTIFS(Upaya_Agunan[[#This Row],[Blokir Agunan?]:[Penjualan Agunan?]],"Ya",Upaya_Agunan[[#This Row],[Blokir Agunan]:[Penjualan Agunan]],"")</f>
        <v>0</v>
      </c>
      <c r="S26" s="36">
        <f ca="1">IF(ISNUMBER(Upaya_Agunan[[#This Row],[Realisasi]]/Upaya_Agunan[[#This Row],[Target Upaya]]),Upaya_Agunan[[#This Row],[Realisasi]]/Upaya_Agunan[[#This Row],[Target Upaya]],1)</f>
        <v>1</v>
      </c>
      <c r="W26" t="s">
        <v>108</v>
      </c>
      <c r="Y26" t="s">
        <v>117</v>
      </c>
    </row>
    <row r="27" spans="1:27" x14ac:dyDescent="0.3">
      <c r="A27" s="16">
        <v>16</v>
      </c>
      <c r="B27" s="17" t="s">
        <v>213</v>
      </c>
      <c r="C27" s="16" t="s">
        <v>85</v>
      </c>
      <c r="D27" s="16" t="s">
        <v>78</v>
      </c>
      <c r="E27" s="16" t="s">
        <v>106</v>
      </c>
      <c r="F27" s="35" t="str">
        <f ca="1">INDEX(Upaya_Debitur[Lunas?],MATCH(Upaya_Agunan[[#This Row],[Nomor PK]],Upaya_Debitur[Nomor PK],0))</f>
        <v>Belum Lunas</v>
      </c>
      <c r="G27" s="35" t="str">
        <f>IF(OR(Upaya_Agunan[[#This Row],[Agunan]]="SHM",Upaya_Agunan[[#This Row],[Agunan]]="BPKB"),"Ya","Tidak")</f>
        <v>Ya</v>
      </c>
      <c r="H2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7" s="35" t="str">
        <f ca="1">IF(AND(DATEDIF($B$5,$B$6,"D")&gt;=150,Upaya_Agunan[[#This Row],[Lelang 1?]]="Ya"),"Ya","Tidak")</f>
        <v>Tidak</v>
      </c>
      <c r="K27" s="35" t="str">
        <f ca="1">IF(AND(DATEDIF($B$5,$B$6,"D")&gt;=180,Upaya_Agunan[[#This Row],[Lelang 2?]]="Ya"),"Ya","Tidak")</f>
        <v>Tidak</v>
      </c>
      <c r="L27" s="18" t="s">
        <v>640</v>
      </c>
      <c r="M27" s="18"/>
      <c r="N27" s="18"/>
      <c r="O27" s="18"/>
      <c r="P27" s="18"/>
      <c r="Q27" s="35">
        <f ca="1">COUNTIF(Upaya_Agunan[[#This Row],[Blokir Agunan?]:[Penjualan Agunan?]],"Ya")</f>
        <v>1</v>
      </c>
      <c r="R27" s="35">
        <f ca="1">Upaya_Agunan[[#This Row],[Target Upaya]]-COUNTIFS(Upaya_Agunan[[#This Row],[Blokir Agunan?]:[Penjualan Agunan?]],"Ya",Upaya_Agunan[[#This Row],[Blokir Agunan]:[Penjualan Agunan]],"")</f>
        <v>1</v>
      </c>
      <c r="S27" s="36">
        <f ca="1">IF(ISNUMBER(Upaya_Agunan[[#This Row],[Realisasi]]/Upaya_Agunan[[#This Row],[Target Upaya]]),Upaya_Agunan[[#This Row],[Realisasi]]/Upaya_Agunan[[#This Row],[Target Upaya]],1)</f>
        <v>1</v>
      </c>
      <c r="W27" t="s">
        <v>109</v>
      </c>
      <c r="Y27" t="s">
        <v>118</v>
      </c>
    </row>
    <row r="28" spans="1:27" x14ac:dyDescent="0.3">
      <c r="A28" s="16">
        <v>17</v>
      </c>
      <c r="B28" s="17" t="s">
        <v>215</v>
      </c>
      <c r="C28" s="16" t="s">
        <v>85</v>
      </c>
      <c r="D28" s="16" t="s">
        <v>78</v>
      </c>
      <c r="E28" s="16" t="s">
        <v>93</v>
      </c>
      <c r="F28" s="35" t="str">
        <f ca="1">INDEX(Upaya_Debitur[Lunas?],MATCH(Upaya_Agunan[[#This Row],[Nomor PK]],Upaya_Debitur[Nomor PK],0))</f>
        <v>Belum Lunas</v>
      </c>
      <c r="G28" s="35" t="str">
        <f>IF(OR(Upaya_Agunan[[#This Row],[Agunan]]="SHM",Upaya_Agunan[[#This Row],[Agunan]]="BPKB"),"Ya","Tidak")</f>
        <v>Ya</v>
      </c>
      <c r="H2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8" s="35" t="str">
        <f ca="1">IF(AND(DATEDIF($B$5,$B$6,"D")&gt;=150,Upaya_Agunan[[#This Row],[Lelang 1?]]="Ya"),"Ya","Tidak")</f>
        <v>Tidak</v>
      </c>
      <c r="K28" s="35" t="str">
        <f ca="1">IF(AND(DATEDIF($B$5,$B$6,"D")&gt;=180,Upaya_Agunan[[#This Row],[Lelang 2?]]="Ya"),"Ya","Tidak")</f>
        <v>Tidak</v>
      </c>
      <c r="L28" s="18" t="s">
        <v>640</v>
      </c>
      <c r="M28" s="18"/>
      <c r="N28" s="18"/>
      <c r="O28" s="18"/>
      <c r="P28" s="18"/>
      <c r="Q28" s="35">
        <f ca="1">COUNTIF(Upaya_Agunan[[#This Row],[Blokir Agunan?]:[Penjualan Agunan?]],"Ya")</f>
        <v>1</v>
      </c>
      <c r="R28" s="35">
        <f ca="1">Upaya_Agunan[[#This Row],[Target Upaya]]-COUNTIFS(Upaya_Agunan[[#This Row],[Blokir Agunan?]:[Penjualan Agunan?]],"Ya",Upaya_Agunan[[#This Row],[Blokir Agunan]:[Penjualan Agunan]],"")</f>
        <v>1</v>
      </c>
      <c r="S28" s="36">
        <f ca="1">IF(ISNUMBER(Upaya_Agunan[[#This Row],[Realisasi]]/Upaya_Agunan[[#This Row],[Target Upaya]]),Upaya_Agunan[[#This Row],[Realisasi]]/Upaya_Agunan[[#This Row],[Target Upaya]],1)</f>
        <v>1</v>
      </c>
      <c r="Y28" t="s">
        <v>119</v>
      </c>
    </row>
    <row r="29" spans="1:27" x14ac:dyDescent="0.3">
      <c r="A29" s="16">
        <v>18</v>
      </c>
      <c r="B29" s="17" t="s">
        <v>217</v>
      </c>
      <c r="C29" s="16" t="s">
        <v>85</v>
      </c>
      <c r="D29" s="16" t="s">
        <v>78</v>
      </c>
      <c r="E29" s="16" t="s">
        <v>93</v>
      </c>
      <c r="F29" s="35" t="str">
        <f ca="1">INDEX(Upaya_Debitur[Lunas?],MATCH(Upaya_Agunan[[#This Row],[Nomor PK]],Upaya_Debitur[Nomor PK],0))</f>
        <v>Belum Lunas</v>
      </c>
      <c r="G29" s="35" t="str">
        <f>IF(OR(Upaya_Agunan[[#This Row],[Agunan]]="SHM",Upaya_Agunan[[#This Row],[Agunan]]="BPKB"),"Ya","Tidak")</f>
        <v>Ya</v>
      </c>
      <c r="H2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9" s="35" t="str">
        <f ca="1">IF(AND(DATEDIF($B$5,$B$6,"D")&gt;=150,Upaya_Agunan[[#This Row],[Lelang 1?]]="Ya"),"Ya","Tidak")</f>
        <v>Tidak</v>
      </c>
      <c r="K29" s="35" t="str">
        <f ca="1">IF(AND(DATEDIF($B$5,$B$6,"D")&gt;=180,Upaya_Agunan[[#This Row],[Lelang 2?]]="Ya"),"Ya","Tidak")</f>
        <v>Tidak</v>
      </c>
      <c r="L29" s="18" t="s">
        <v>640</v>
      </c>
      <c r="M29" s="18"/>
      <c r="N29" s="18"/>
      <c r="O29" s="18"/>
      <c r="P29" s="18"/>
      <c r="Q29" s="35">
        <f ca="1">COUNTIF(Upaya_Agunan[[#This Row],[Blokir Agunan?]:[Penjualan Agunan?]],"Ya")</f>
        <v>1</v>
      </c>
      <c r="R29" s="35">
        <f ca="1">Upaya_Agunan[[#This Row],[Target Upaya]]-COUNTIFS(Upaya_Agunan[[#This Row],[Blokir Agunan?]:[Penjualan Agunan?]],"Ya",Upaya_Agunan[[#This Row],[Blokir Agunan]:[Penjualan Agunan]],"")</f>
        <v>1</v>
      </c>
      <c r="S29" s="36">
        <f ca="1">IF(ISNUMBER(Upaya_Agunan[[#This Row],[Realisasi]]/Upaya_Agunan[[#This Row],[Target Upaya]]),Upaya_Agunan[[#This Row],[Realisasi]]/Upaya_Agunan[[#This Row],[Target Upaya]],1)</f>
        <v>1</v>
      </c>
    </row>
    <row r="30" spans="1:27" x14ac:dyDescent="0.3">
      <c r="A30" s="16">
        <v>19</v>
      </c>
      <c r="B30" s="17" t="s">
        <v>219</v>
      </c>
      <c r="C30" s="16" t="s">
        <v>95</v>
      </c>
      <c r="D30" s="16" t="s">
        <v>638</v>
      </c>
      <c r="E30" s="16" t="s">
        <v>93</v>
      </c>
      <c r="F30" s="35" t="str">
        <f ca="1">INDEX(Upaya_Debitur[Lunas?],MATCH(Upaya_Agunan[[#This Row],[Nomor PK]],Upaya_Debitur[Nomor PK],0))</f>
        <v>Belum Lunas</v>
      </c>
      <c r="G30" s="35" t="str">
        <f>IF(OR(Upaya_Agunan[[#This Row],[Agunan]]="SHM",Upaya_Agunan[[#This Row],[Agunan]]="BPKB"),"Ya","Tidak")</f>
        <v>Tidak</v>
      </c>
      <c r="H3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3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30" s="35" t="str">
        <f ca="1">IF(AND(DATEDIF($B$5,$B$6,"D")&gt;=150,Upaya_Agunan[[#This Row],[Lelang 1?]]="Ya"),"Ya","Tidak")</f>
        <v>Tidak</v>
      </c>
      <c r="K30" s="35" t="str">
        <f ca="1">IF(AND(DATEDIF($B$5,$B$6,"D")&gt;=180,Upaya_Agunan[[#This Row],[Lelang 2?]]="Ya"),"Ya","Tidak")</f>
        <v>Tidak</v>
      </c>
      <c r="L30" s="18"/>
      <c r="M30" s="18"/>
      <c r="N30" s="18"/>
      <c r="O30" s="18"/>
      <c r="P30" s="18"/>
      <c r="Q30" s="35">
        <f ca="1">COUNTIF(Upaya_Agunan[[#This Row],[Blokir Agunan?]:[Penjualan Agunan?]],"Ya")</f>
        <v>0</v>
      </c>
      <c r="R30" s="35">
        <f ca="1">Upaya_Agunan[[#This Row],[Target Upaya]]-COUNTIFS(Upaya_Agunan[[#This Row],[Blokir Agunan?]:[Penjualan Agunan?]],"Ya",Upaya_Agunan[[#This Row],[Blokir Agunan]:[Penjualan Agunan]],"")</f>
        <v>0</v>
      </c>
      <c r="S30" s="36">
        <f ca="1">IF(ISNUMBER(Upaya_Agunan[[#This Row],[Realisasi]]/Upaya_Agunan[[#This Row],[Target Upaya]]),Upaya_Agunan[[#This Row],[Realisasi]]/Upaya_Agunan[[#This Row],[Target Upaya]],1)</f>
        <v>1</v>
      </c>
    </row>
    <row r="31" spans="1:27" x14ac:dyDescent="0.3">
      <c r="A31" s="16">
        <v>20</v>
      </c>
      <c r="B31" s="17" t="s">
        <v>221</v>
      </c>
      <c r="C31" s="16" t="s">
        <v>95</v>
      </c>
      <c r="D31" s="16" t="s">
        <v>638</v>
      </c>
      <c r="E31" s="16" t="s">
        <v>93</v>
      </c>
      <c r="F31" s="35" t="str">
        <f ca="1">INDEX(Upaya_Debitur[Lunas?],MATCH(Upaya_Agunan[[#This Row],[Nomor PK]],Upaya_Debitur[Nomor PK],0))</f>
        <v>Belum Lunas</v>
      </c>
      <c r="G31" s="35" t="str">
        <f>IF(OR(Upaya_Agunan[[#This Row],[Agunan]]="SHM",Upaya_Agunan[[#This Row],[Agunan]]="BPKB"),"Ya","Tidak")</f>
        <v>Tidak</v>
      </c>
      <c r="H3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3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31" s="35" t="str">
        <f ca="1">IF(AND(DATEDIF($B$5,$B$6,"D")&gt;=150,Upaya_Agunan[[#This Row],[Lelang 1?]]="Ya"),"Ya","Tidak")</f>
        <v>Tidak</v>
      </c>
      <c r="K31" s="35" t="str">
        <f ca="1">IF(AND(DATEDIF($B$5,$B$6,"D")&gt;=180,Upaya_Agunan[[#This Row],[Lelang 2?]]="Ya"),"Ya","Tidak")</f>
        <v>Tidak</v>
      </c>
      <c r="L31" s="18"/>
      <c r="M31" s="18"/>
      <c r="N31" s="18"/>
      <c r="O31" s="18"/>
      <c r="P31" s="18"/>
      <c r="Q31" s="35">
        <f ca="1">COUNTIF(Upaya_Agunan[[#This Row],[Blokir Agunan?]:[Penjualan Agunan?]],"Ya")</f>
        <v>0</v>
      </c>
      <c r="R31" s="35">
        <f ca="1">Upaya_Agunan[[#This Row],[Target Upaya]]-COUNTIFS(Upaya_Agunan[[#This Row],[Blokir Agunan?]:[Penjualan Agunan?]],"Ya",Upaya_Agunan[[#This Row],[Blokir Agunan]:[Penjualan Agunan]],"")</f>
        <v>0</v>
      </c>
      <c r="S31" s="36">
        <f ca="1">IF(ISNUMBER(Upaya_Agunan[[#This Row],[Realisasi]]/Upaya_Agunan[[#This Row],[Target Upaya]]),Upaya_Agunan[[#This Row],[Realisasi]]/Upaya_Agunan[[#This Row],[Target Upaya]],1)</f>
        <v>1</v>
      </c>
    </row>
    <row r="32" spans="1:27" x14ac:dyDescent="0.3">
      <c r="A32" s="16">
        <v>21</v>
      </c>
      <c r="B32" s="17" t="s">
        <v>223</v>
      </c>
      <c r="C32" s="16" t="s">
        <v>85</v>
      </c>
      <c r="D32" s="16" t="s">
        <v>78</v>
      </c>
      <c r="E32" s="16" t="s">
        <v>93</v>
      </c>
      <c r="F32" s="35" t="str">
        <f ca="1">INDEX(Upaya_Debitur[Lunas?],MATCH(Upaya_Agunan[[#This Row],[Nomor PK]],Upaya_Debitur[Nomor PK],0))</f>
        <v>Belum Lunas</v>
      </c>
      <c r="G32" s="35" t="str">
        <f>IF(OR(Upaya_Agunan[[#This Row],[Agunan]]="SHM",Upaya_Agunan[[#This Row],[Agunan]]="BPKB"),"Ya","Tidak")</f>
        <v>Ya</v>
      </c>
      <c r="H3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3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32" s="35" t="str">
        <f ca="1">IF(AND(DATEDIF($B$5,$B$6,"D")&gt;=150,Upaya_Agunan[[#This Row],[Lelang 1?]]="Ya"),"Ya","Tidak")</f>
        <v>Tidak</v>
      </c>
      <c r="K32" s="35" t="str">
        <f ca="1">IF(AND(DATEDIF($B$5,$B$6,"D")&gt;=180,Upaya_Agunan[[#This Row],[Lelang 2?]]="Ya"),"Ya","Tidak")</f>
        <v>Tidak</v>
      </c>
      <c r="L32" s="18" t="s">
        <v>640</v>
      </c>
      <c r="M32" s="18"/>
      <c r="N32" s="18"/>
      <c r="O32" s="18"/>
      <c r="P32" s="18"/>
      <c r="Q32" s="35">
        <f ca="1">COUNTIF(Upaya_Agunan[[#This Row],[Blokir Agunan?]:[Penjualan Agunan?]],"Ya")</f>
        <v>1</v>
      </c>
      <c r="R32" s="35">
        <f ca="1">Upaya_Agunan[[#This Row],[Target Upaya]]-COUNTIFS(Upaya_Agunan[[#This Row],[Blokir Agunan?]:[Penjualan Agunan?]],"Ya",Upaya_Agunan[[#This Row],[Blokir Agunan]:[Penjualan Agunan]],"")</f>
        <v>1</v>
      </c>
      <c r="S32" s="36">
        <f ca="1">IF(ISNUMBER(Upaya_Agunan[[#This Row],[Realisasi]]/Upaya_Agunan[[#This Row],[Target Upaya]]),Upaya_Agunan[[#This Row],[Realisasi]]/Upaya_Agunan[[#This Row],[Target Upaya]],1)</f>
        <v>1</v>
      </c>
    </row>
    <row r="33" spans="1:19" x14ac:dyDescent="0.3">
      <c r="A33" s="16">
        <v>22</v>
      </c>
      <c r="B33" s="17" t="s">
        <v>225</v>
      </c>
      <c r="C33" s="16" t="s">
        <v>85</v>
      </c>
      <c r="D33" s="16" t="s">
        <v>78</v>
      </c>
      <c r="E33" s="16" t="s">
        <v>93</v>
      </c>
      <c r="F33" s="35" t="str">
        <f ca="1">INDEX(Upaya_Debitur[Lunas?],MATCH(Upaya_Agunan[[#This Row],[Nomor PK]],Upaya_Debitur[Nomor PK],0))</f>
        <v>Belum Lunas</v>
      </c>
      <c r="G33" s="35" t="str">
        <f>IF(OR(Upaya_Agunan[[#This Row],[Agunan]]="SHM",Upaya_Agunan[[#This Row],[Agunan]]="BPKB"),"Ya","Tidak")</f>
        <v>Ya</v>
      </c>
      <c r="H3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3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33" s="35" t="str">
        <f ca="1">IF(AND(DATEDIF($B$5,$B$6,"D")&gt;=150,Upaya_Agunan[[#This Row],[Lelang 1?]]="Ya"),"Ya","Tidak")</f>
        <v>Tidak</v>
      </c>
      <c r="K33" s="35" t="str">
        <f ca="1">IF(AND(DATEDIF($B$5,$B$6,"D")&gt;=180,Upaya_Agunan[[#This Row],[Lelang 2?]]="Ya"),"Ya","Tidak")</f>
        <v>Tidak</v>
      </c>
      <c r="L33" s="18">
        <v>44123</v>
      </c>
      <c r="M33" s="18"/>
      <c r="N33" s="18"/>
      <c r="O33" s="18"/>
      <c r="P33" s="18"/>
      <c r="Q33" s="35">
        <f ca="1">COUNTIF(Upaya_Agunan[[#This Row],[Blokir Agunan?]:[Penjualan Agunan?]],"Ya")</f>
        <v>1</v>
      </c>
      <c r="R33" s="35">
        <f ca="1">Upaya_Agunan[[#This Row],[Target Upaya]]-COUNTIFS(Upaya_Agunan[[#This Row],[Blokir Agunan?]:[Penjualan Agunan?]],"Ya",Upaya_Agunan[[#This Row],[Blokir Agunan]:[Penjualan Agunan]],"")</f>
        <v>1</v>
      </c>
      <c r="S33" s="36">
        <f ca="1">IF(ISNUMBER(Upaya_Agunan[[#This Row],[Realisasi]]/Upaya_Agunan[[#This Row],[Target Upaya]]),Upaya_Agunan[[#This Row],[Realisasi]]/Upaya_Agunan[[#This Row],[Target Upaya]],1)</f>
        <v>1</v>
      </c>
    </row>
    <row r="34" spans="1:19" x14ac:dyDescent="0.3">
      <c r="A34" s="16">
        <v>23</v>
      </c>
      <c r="B34" s="17" t="s">
        <v>227</v>
      </c>
      <c r="C34" s="16" t="s">
        <v>85</v>
      </c>
      <c r="D34" s="16" t="s">
        <v>78</v>
      </c>
      <c r="E34" s="16" t="s">
        <v>93</v>
      </c>
      <c r="F34" s="35" t="str">
        <f ca="1">INDEX(Upaya_Debitur[Lunas?],MATCH(Upaya_Agunan[[#This Row],[Nomor PK]],Upaya_Debitur[Nomor PK],0))</f>
        <v>Belum Lunas</v>
      </c>
      <c r="G34" s="35" t="str">
        <f>IF(OR(Upaya_Agunan[[#This Row],[Agunan]]="SHM",Upaya_Agunan[[#This Row],[Agunan]]="BPKB"),"Ya","Tidak")</f>
        <v>Ya</v>
      </c>
      <c r="H3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3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34" s="35" t="str">
        <f ca="1">IF(AND(DATEDIF($B$5,$B$6,"D")&gt;=150,Upaya_Agunan[[#This Row],[Lelang 1?]]="Ya"),"Ya","Tidak")</f>
        <v>Tidak</v>
      </c>
      <c r="K34" s="35" t="str">
        <f ca="1">IF(AND(DATEDIF($B$5,$B$6,"D")&gt;=180,Upaya_Agunan[[#This Row],[Lelang 2?]]="Ya"),"Ya","Tidak")</f>
        <v>Tidak</v>
      </c>
      <c r="L34" s="18" t="s">
        <v>640</v>
      </c>
      <c r="M34" s="18"/>
      <c r="N34" s="18"/>
      <c r="O34" s="18"/>
      <c r="P34" s="18"/>
      <c r="Q34" s="35">
        <f ca="1">COUNTIF(Upaya_Agunan[[#This Row],[Blokir Agunan?]:[Penjualan Agunan?]],"Ya")</f>
        <v>1</v>
      </c>
      <c r="R34" s="35">
        <f ca="1">Upaya_Agunan[[#This Row],[Target Upaya]]-COUNTIFS(Upaya_Agunan[[#This Row],[Blokir Agunan?]:[Penjualan Agunan?]],"Ya",Upaya_Agunan[[#This Row],[Blokir Agunan]:[Penjualan Agunan]],"")</f>
        <v>1</v>
      </c>
      <c r="S34" s="36">
        <f ca="1">IF(ISNUMBER(Upaya_Agunan[[#This Row],[Realisasi]]/Upaya_Agunan[[#This Row],[Target Upaya]]),Upaya_Agunan[[#This Row],[Realisasi]]/Upaya_Agunan[[#This Row],[Target Upaya]],1)</f>
        <v>1</v>
      </c>
    </row>
    <row r="35" spans="1:19" x14ac:dyDescent="0.3">
      <c r="A35" s="16">
        <v>24</v>
      </c>
      <c r="B35" s="17" t="s">
        <v>227</v>
      </c>
      <c r="C35" s="16" t="s">
        <v>85</v>
      </c>
      <c r="D35" s="16" t="s">
        <v>78</v>
      </c>
      <c r="E35" s="16" t="s">
        <v>93</v>
      </c>
      <c r="F35" s="35" t="str">
        <f ca="1">INDEX(Upaya_Debitur[Lunas?],MATCH(Upaya_Agunan[[#This Row],[Nomor PK]],Upaya_Debitur[Nomor PK],0))</f>
        <v>Belum Lunas</v>
      </c>
      <c r="G35" s="35" t="str">
        <f>IF(OR(Upaya_Agunan[[#This Row],[Agunan]]="SHM",Upaya_Agunan[[#This Row],[Agunan]]="BPKB"),"Ya","Tidak")</f>
        <v>Ya</v>
      </c>
      <c r="H3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3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35" s="35" t="str">
        <f ca="1">IF(AND(DATEDIF($B$5,$B$6,"D")&gt;=150,Upaya_Agunan[[#This Row],[Lelang 1?]]="Ya"),"Ya","Tidak")</f>
        <v>Tidak</v>
      </c>
      <c r="K35" s="35" t="str">
        <f ca="1">IF(AND(DATEDIF($B$5,$B$6,"D")&gt;=180,Upaya_Agunan[[#This Row],[Lelang 2?]]="Ya"),"Ya","Tidak")</f>
        <v>Tidak</v>
      </c>
      <c r="L35" s="18" t="s">
        <v>640</v>
      </c>
      <c r="M35" s="18"/>
      <c r="N35" s="18"/>
      <c r="O35" s="18"/>
      <c r="P35" s="18"/>
      <c r="Q35" s="35">
        <f ca="1">COUNTIF(Upaya_Agunan[[#This Row],[Blokir Agunan?]:[Penjualan Agunan?]],"Ya")</f>
        <v>1</v>
      </c>
      <c r="R35" s="35">
        <f ca="1">Upaya_Agunan[[#This Row],[Target Upaya]]-COUNTIFS(Upaya_Agunan[[#This Row],[Blokir Agunan?]:[Penjualan Agunan?]],"Ya",Upaya_Agunan[[#This Row],[Blokir Agunan]:[Penjualan Agunan]],"")</f>
        <v>1</v>
      </c>
      <c r="S35" s="36">
        <f ca="1">IF(ISNUMBER(Upaya_Agunan[[#This Row],[Realisasi]]/Upaya_Agunan[[#This Row],[Target Upaya]]),Upaya_Agunan[[#This Row],[Realisasi]]/Upaya_Agunan[[#This Row],[Target Upaya]],1)</f>
        <v>1</v>
      </c>
    </row>
    <row r="36" spans="1:19" x14ac:dyDescent="0.3">
      <c r="A36" s="16">
        <v>25</v>
      </c>
      <c r="B36" s="17" t="s">
        <v>227</v>
      </c>
      <c r="C36" s="16" t="s">
        <v>85</v>
      </c>
      <c r="D36" s="16" t="s">
        <v>78</v>
      </c>
      <c r="E36" s="16" t="s">
        <v>93</v>
      </c>
      <c r="F36" s="35" t="str">
        <f ca="1">INDEX(Upaya_Debitur[Lunas?],MATCH(Upaya_Agunan[[#This Row],[Nomor PK]],Upaya_Debitur[Nomor PK],0))</f>
        <v>Belum Lunas</v>
      </c>
      <c r="G36" s="35" t="str">
        <f>IF(OR(Upaya_Agunan[[#This Row],[Agunan]]="SHM",Upaya_Agunan[[#This Row],[Agunan]]="BPKB"),"Ya","Tidak")</f>
        <v>Ya</v>
      </c>
      <c r="H3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3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36" s="35" t="str">
        <f ca="1">IF(AND(DATEDIF($B$5,$B$6,"D")&gt;=150,Upaya_Agunan[[#This Row],[Lelang 1?]]="Ya"),"Ya","Tidak")</f>
        <v>Tidak</v>
      </c>
      <c r="K36" s="35" t="str">
        <f ca="1">IF(AND(DATEDIF($B$5,$B$6,"D")&gt;=180,Upaya_Agunan[[#This Row],[Lelang 2?]]="Ya"),"Ya","Tidak")</f>
        <v>Tidak</v>
      </c>
      <c r="L36" s="18" t="s">
        <v>642</v>
      </c>
      <c r="M36" s="18"/>
      <c r="N36" s="18"/>
      <c r="O36" s="18"/>
      <c r="P36" s="18"/>
      <c r="Q36" s="35">
        <f ca="1">COUNTIF(Upaya_Agunan[[#This Row],[Blokir Agunan?]:[Penjualan Agunan?]],"Ya")</f>
        <v>1</v>
      </c>
      <c r="R36" s="35">
        <f ca="1">Upaya_Agunan[[#This Row],[Target Upaya]]-COUNTIFS(Upaya_Agunan[[#This Row],[Blokir Agunan?]:[Penjualan Agunan?]],"Ya",Upaya_Agunan[[#This Row],[Blokir Agunan]:[Penjualan Agunan]],"")</f>
        <v>1</v>
      </c>
      <c r="S36" s="36">
        <f ca="1">IF(ISNUMBER(Upaya_Agunan[[#This Row],[Realisasi]]/Upaya_Agunan[[#This Row],[Target Upaya]]),Upaya_Agunan[[#This Row],[Realisasi]]/Upaya_Agunan[[#This Row],[Target Upaya]],1)</f>
        <v>1</v>
      </c>
    </row>
    <row r="37" spans="1:19" x14ac:dyDescent="0.3">
      <c r="A37" s="16">
        <v>26</v>
      </c>
      <c r="B37" s="17" t="s">
        <v>229</v>
      </c>
      <c r="C37" s="16" t="s">
        <v>95</v>
      </c>
      <c r="D37" s="16" t="s">
        <v>638</v>
      </c>
      <c r="E37" s="16" t="s">
        <v>93</v>
      </c>
      <c r="F37" s="35" t="str">
        <f ca="1">INDEX(Upaya_Debitur[Lunas?],MATCH(Upaya_Agunan[[#This Row],[Nomor PK]],Upaya_Debitur[Nomor PK],0))</f>
        <v>Belum Lunas</v>
      </c>
      <c r="G37" s="35" t="str">
        <f>IF(OR(Upaya_Agunan[[#This Row],[Agunan]]="SHM",Upaya_Agunan[[#This Row],[Agunan]]="BPKB"),"Ya","Tidak")</f>
        <v>Tidak</v>
      </c>
      <c r="H3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3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37" s="35" t="str">
        <f ca="1">IF(AND(DATEDIF($B$5,$B$6,"D")&gt;=150,Upaya_Agunan[[#This Row],[Lelang 1?]]="Ya"),"Ya","Tidak")</f>
        <v>Tidak</v>
      </c>
      <c r="K37" s="35" t="str">
        <f ca="1">IF(AND(DATEDIF($B$5,$B$6,"D")&gt;=180,Upaya_Agunan[[#This Row],[Lelang 2?]]="Ya"),"Ya","Tidak")</f>
        <v>Tidak</v>
      </c>
      <c r="L37" s="18"/>
      <c r="M37" s="18"/>
      <c r="N37" s="18"/>
      <c r="O37" s="18"/>
      <c r="P37" s="18"/>
      <c r="Q37" s="35">
        <f ca="1">COUNTIF(Upaya_Agunan[[#This Row],[Blokir Agunan?]:[Penjualan Agunan?]],"Ya")</f>
        <v>0</v>
      </c>
      <c r="R37" s="35">
        <f ca="1">Upaya_Agunan[[#This Row],[Target Upaya]]-COUNTIFS(Upaya_Agunan[[#This Row],[Blokir Agunan?]:[Penjualan Agunan?]],"Ya",Upaya_Agunan[[#This Row],[Blokir Agunan]:[Penjualan Agunan]],"")</f>
        <v>0</v>
      </c>
      <c r="S37" s="36">
        <f ca="1">IF(ISNUMBER(Upaya_Agunan[[#This Row],[Realisasi]]/Upaya_Agunan[[#This Row],[Target Upaya]]),Upaya_Agunan[[#This Row],[Realisasi]]/Upaya_Agunan[[#This Row],[Target Upaya]],1)</f>
        <v>1</v>
      </c>
    </row>
    <row r="38" spans="1:19" x14ac:dyDescent="0.3">
      <c r="A38" s="16">
        <v>27</v>
      </c>
      <c r="B38" s="17" t="s">
        <v>231</v>
      </c>
      <c r="C38" s="16" t="s">
        <v>85</v>
      </c>
      <c r="D38" s="16" t="s">
        <v>78</v>
      </c>
      <c r="E38" s="16" t="s">
        <v>93</v>
      </c>
      <c r="F38" s="35" t="str">
        <f ca="1">INDEX(Upaya_Debitur[Lunas?],MATCH(Upaya_Agunan[[#This Row],[Nomor PK]],Upaya_Debitur[Nomor PK],0))</f>
        <v>Belum Lunas</v>
      </c>
      <c r="G38" s="35" t="str">
        <f>IF(OR(Upaya_Agunan[[#This Row],[Agunan]]="SHM",Upaya_Agunan[[#This Row],[Agunan]]="BPKB"),"Ya","Tidak")</f>
        <v>Ya</v>
      </c>
      <c r="H3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3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38" s="35" t="str">
        <f ca="1">IF(AND(DATEDIF($B$5,$B$6,"D")&gt;=150,Upaya_Agunan[[#This Row],[Lelang 1?]]="Ya"),"Ya","Tidak")</f>
        <v>Tidak</v>
      </c>
      <c r="K38" s="35" t="str">
        <f ca="1">IF(AND(DATEDIF($B$5,$B$6,"D")&gt;=180,Upaya_Agunan[[#This Row],[Lelang 2?]]="Ya"),"Ya","Tidak")</f>
        <v>Tidak</v>
      </c>
      <c r="L38" s="18" t="s">
        <v>640</v>
      </c>
      <c r="M38" s="18"/>
      <c r="N38" s="18"/>
      <c r="O38" s="18"/>
      <c r="P38" s="18"/>
      <c r="Q38" s="35">
        <f ca="1">COUNTIF(Upaya_Agunan[[#This Row],[Blokir Agunan?]:[Penjualan Agunan?]],"Ya")</f>
        <v>1</v>
      </c>
      <c r="R38" s="35">
        <f ca="1">Upaya_Agunan[[#This Row],[Target Upaya]]-COUNTIFS(Upaya_Agunan[[#This Row],[Blokir Agunan?]:[Penjualan Agunan?]],"Ya",Upaya_Agunan[[#This Row],[Blokir Agunan]:[Penjualan Agunan]],"")</f>
        <v>1</v>
      </c>
      <c r="S38" s="36">
        <f ca="1">IF(ISNUMBER(Upaya_Agunan[[#This Row],[Realisasi]]/Upaya_Agunan[[#This Row],[Target Upaya]]),Upaya_Agunan[[#This Row],[Realisasi]]/Upaya_Agunan[[#This Row],[Target Upaya]],1)</f>
        <v>1</v>
      </c>
    </row>
    <row r="39" spans="1:19" x14ac:dyDescent="0.3">
      <c r="A39" s="16">
        <v>28</v>
      </c>
      <c r="B39" s="17" t="s">
        <v>233</v>
      </c>
      <c r="C39" s="16" t="s">
        <v>95</v>
      </c>
      <c r="D39" s="16" t="s">
        <v>638</v>
      </c>
      <c r="E39" s="16" t="s">
        <v>93</v>
      </c>
      <c r="F39" s="35" t="str">
        <f ca="1">INDEX(Upaya_Debitur[Lunas?],MATCH(Upaya_Agunan[[#This Row],[Nomor PK]],Upaya_Debitur[Nomor PK],0))</f>
        <v>Belum Lunas</v>
      </c>
      <c r="G39" s="35" t="str">
        <f>IF(OR(Upaya_Agunan[[#This Row],[Agunan]]="SHM",Upaya_Agunan[[#This Row],[Agunan]]="BPKB"),"Ya","Tidak")</f>
        <v>Tidak</v>
      </c>
      <c r="H3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3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39" s="35" t="str">
        <f ca="1">IF(AND(DATEDIF($B$5,$B$6,"D")&gt;=150,Upaya_Agunan[[#This Row],[Lelang 1?]]="Ya"),"Ya","Tidak")</f>
        <v>Tidak</v>
      </c>
      <c r="K39" s="35" t="str">
        <f ca="1">IF(AND(DATEDIF($B$5,$B$6,"D")&gt;=180,Upaya_Agunan[[#This Row],[Lelang 2?]]="Ya"),"Ya","Tidak")</f>
        <v>Tidak</v>
      </c>
      <c r="L39" s="18"/>
      <c r="M39" s="18"/>
      <c r="N39" s="18"/>
      <c r="O39" s="18"/>
      <c r="P39" s="18"/>
      <c r="Q39" s="35">
        <f ca="1">COUNTIF(Upaya_Agunan[[#This Row],[Blokir Agunan?]:[Penjualan Agunan?]],"Ya")</f>
        <v>0</v>
      </c>
      <c r="R39" s="35">
        <f ca="1">Upaya_Agunan[[#This Row],[Target Upaya]]-COUNTIFS(Upaya_Agunan[[#This Row],[Blokir Agunan?]:[Penjualan Agunan?]],"Ya",Upaya_Agunan[[#This Row],[Blokir Agunan]:[Penjualan Agunan]],"")</f>
        <v>0</v>
      </c>
      <c r="S39" s="36">
        <f ca="1">IF(ISNUMBER(Upaya_Agunan[[#This Row],[Realisasi]]/Upaya_Agunan[[#This Row],[Target Upaya]]),Upaya_Agunan[[#This Row],[Realisasi]]/Upaya_Agunan[[#This Row],[Target Upaya]],1)</f>
        <v>1</v>
      </c>
    </row>
    <row r="40" spans="1:19" x14ac:dyDescent="0.3">
      <c r="A40" s="16">
        <v>29</v>
      </c>
      <c r="B40" s="17" t="s">
        <v>235</v>
      </c>
      <c r="C40" s="16" t="s">
        <v>85</v>
      </c>
      <c r="D40" s="16" t="s">
        <v>78</v>
      </c>
      <c r="E40" s="16" t="s">
        <v>93</v>
      </c>
      <c r="F40" s="35" t="str">
        <f ca="1">INDEX(Upaya_Debitur[Lunas?],MATCH(Upaya_Agunan[[#This Row],[Nomor PK]],Upaya_Debitur[Nomor PK],0))</f>
        <v>Belum Lunas</v>
      </c>
      <c r="G40" s="35" t="str">
        <f>IF(OR(Upaya_Agunan[[#This Row],[Agunan]]="SHM",Upaya_Agunan[[#This Row],[Agunan]]="BPKB"),"Ya","Tidak")</f>
        <v>Ya</v>
      </c>
      <c r="H4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4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40" s="35" t="str">
        <f ca="1">IF(AND(DATEDIF($B$5,$B$6,"D")&gt;=150,Upaya_Agunan[[#This Row],[Lelang 1?]]="Ya"),"Ya","Tidak")</f>
        <v>Tidak</v>
      </c>
      <c r="K40" s="35" t="str">
        <f ca="1">IF(AND(DATEDIF($B$5,$B$6,"D")&gt;=180,Upaya_Agunan[[#This Row],[Lelang 2?]]="Ya"),"Ya","Tidak")</f>
        <v>Tidak</v>
      </c>
      <c r="L40" s="18" t="s">
        <v>642</v>
      </c>
      <c r="M40" s="18"/>
      <c r="N40" s="18"/>
      <c r="O40" s="18"/>
      <c r="P40" s="18"/>
      <c r="Q40" s="35">
        <f ca="1">COUNTIF(Upaya_Agunan[[#This Row],[Blokir Agunan?]:[Penjualan Agunan?]],"Ya")</f>
        <v>1</v>
      </c>
      <c r="R40" s="35">
        <f ca="1">Upaya_Agunan[[#This Row],[Target Upaya]]-COUNTIFS(Upaya_Agunan[[#This Row],[Blokir Agunan?]:[Penjualan Agunan?]],"Ya",Upaya_Agunan[[#This Row],[Blokir Agunan]:[Penjualan Agunan]],"")</f>
        <v>1</v>
      </c>
      <c r="S40" s="36">
        <f ca="1">IF(ISNUMBER(Upaya_Agunan[[#This Row],[Realisasi]]/Upaya_Agunan[[#This Row],[Target Upaya]]),Upaya_Agunan[[#This Row],[Realisasi]]/Upaya_Agunan[[#This Row],[Target Upaya]],1)</f>
        <v>1</v>
      </c>
    </row>
    <row r="41" spans="1:19" x14ac:dyDescent="0.3">
      <c r="A41" s="16">
        <v>30</v>
      </c>
      <c r="B41" s="17" t="s">
        <v>237</v>
      </c>
      <c r="C41" s="16" t="s">
        <v>95</v>
      </c>
      <c r="D41" s="16" t="s">
        <v>638</v>
      </c>
      <c r="E41" s="16" t="s">
        <v>93</v>
      </c>
      <c r="F41" s="35" t="str">
        <f ca="1">INDEX(Upaya_Debitur[Lunas?],MATCH(Upaya_Agunan[[#This Row],[Nomor PK]],Upaya_Debitur[Nomor PK],0))</f>
        <v>Lunas</v>
      </c>
      <c r="G41" s="35" t="str">
        <f>IF(OR(Upaya_Agunan[[#This Row],[Agunan]]="SHM",Upaya_Agunan[[#This Row],[Agunan]]="BPKB"),"Ya","Tidak")</f>
        <v>Tidak</v>
      </c>
      <c r="H4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4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41" s="35" t="str">
        <f ca="1">IF(AND(DATEDIF($B$5,$B$6,"D")&gt;=150,Upaya_Agunan[[#This Row],[Lelang 1?]]="Ya"),"Ya","Tidak")</f>
        <v>Tidak</v>
      </c>
      <c r="K41" s="35" t="str">
        <f ca="1">IF(AND(DATEDIF($B$5,$B$6,"D")&gt;=180,Upaya_Agunan[[#This Row],[Lelang 2?]]="Ya"),"Ya","Tidak")</f>
        <v>Tidak</v>
      </c>
      <c r="L41" s="18"/>
      <c r="M41" s="18"/>
      <c r="N41" s="18"/>
      <c r="O41" s="18"/>
      <c r="P41" s="18"/>
      <c r="Q41" s="35">
        <f ca="1">COUNTIF(Upaya_Agunan[[#This Row],[Blokir Agunan?]:[Penjualan Agunan?]],"Ya")</f>
        <v>0</v>
      </c>
      <c r="R41" s="35">
        <f ca="1">Upaya_Agunan[[#This Row],[Target Upaya]]-COUNTIFS(Upaya_Agunan[[#This Row],[Blokir Agunan?]:[Penjualan Agunan?]],"Ya",Upaya_Agunan[[#This Row],[Blokir Agunan]:[Penjualan Agunan]],"")</f>
        <v>0</v>
      </c>
      <c r="S41" s="36">
        <f ca="1">IF(ISNUMBER(Upaya_Agunan[[#This Row],[Realisasi]]/Upaya_Agunan[[#This Row],[Target Upaya]]),Upaya_Agunan[[#This Row],[Realisasi]]/Upaya_Agunan[[#This Row],[Target Upaya]],1)</f>
        <v>1</v>
      </c>
    </row>
    <row r="42" spans="1:19" x14ac:dyDescent="0.3">
      <c r="A42" s="16">
        <v>31</v>
      </c>
      <c r="B42" s="17" t="s">
        <v>239</v>
      </c>
      <c r="C42" s="16" t="s">
        <v>85</v>
      </c>
      <c r="D42" s="16" t="s">
        <v>78</v>
      </c>
      <c r="E42" s="16" t="s">
        <v>93</v>
      </c>
      <c r="F42" s="35" t="str">
        <f ca="1">INDEX(Upaya_Debitur[Lunas?],MATCH(Upaya_Agunan[[#This Row],[Nomor PK]],Upaya_Debitur[Nomor PK],0))</f>
        <v>Belum Lunas</v>
      </c>
      <c r="G42" s="35" t="str">
        <f>IF(OR(Upaya_Agunan[[#This Row],[Agunan]]="SHM",Upaya_Agunan[[#This Row],[Agunan]]="BPKB"),"Ya","Tidak")</f>
        <v>Ya</v>
      </c>
      <c r="H4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4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42" s="35" t="str">
        <f ca="1">IF(AND(DATEDIF($B$5,$B$6,"D")&gt;=150,Upaya_Agunan[[#This Row],[Lelang 1?]]="Ya"),"Ya","Tidak")</f>
        <v>Tidak</v>
      </c>
      <c r="K42" s="35" t="str">
        <f ca="1">IF(AND(DATEDIF($B$5,$B$6,"D")&gt;=180,Upaya_Agunan[[#This Row],[Lelang 2?]]="Ya"),"Ya","Tidak")</f>
        <v>Tidak</v>
      </c>
      <c r="L42" s="18" t="s">
        <v>642</v>
      </c>
      <c r="M42" s="18"/>
      <c r="N42" s="18"/>
      <c r="O42" s="18"/>
      <c r="P42" s="18"/>
      <c r="Q42" s="35">
        <f ca="1">COUNTIF(Upaya_Agunan[[#This Row],[Blokir Agunan?]:[Penjualan Agunan?]],"Ya")</f>
        <v>1</v>
      </c>
      <c r="R42" s="35">
        <f ca="1">Upaya_Agunan[[#This Row],[Target Upaya]]-COUNTIFS(Upaya_Agunan[[#This Row],[Blokir Agunan?]:[Penjualan Agunan?]],"Ya",Upaya_Agunan[[#This Row],[Blokir Agunan]:[Penjualan Agunan]],"")</f>
        <v>1</v>
      </c>
      <c r="S42" s="36">
        <f ca="1">IF(ISNUMBER(Upaya_Agunan[[#This Row],[Realisasi]]/Upaya_Agunan[[#This Row],[Target Upaya]]),Upaya_Agunan[[#This Row],[Realisasi]]/Upaya_Agunan[[#This Row],[Target Upaya]],1)</f>
        <v>1</v>
      </c>
    </row>
    <row r="43" spans="1:19" x14ac:dyDescent="0.3">
      <c r="A43" s="16">
        <v>32</v>
      </c>
      <c r="B43" s="17" t="s">
        <v>241</v>
      </c>
      <c r="C43" s="16" t="s">
        <v>85</v>
      </c>
      <c r="D43" s="16" t="s">
        <v>78</v>
      </c>
      <c r="E43" s="16" t="s">
        <v>93</v>
      </c>
      <c r="F43" s="35" t="str">
        <f ca="1">INDEX(Upaya_Debitur[Lunas?],MATCH(Upaya_Agunan[[#This Row],[Nomor PK]],Upaya_Debitur[Nomor PK],0))</f>
        <v>Belum Lunas</v>
      </c>
      <c r="G43" s="35" t="str">
        <f>IF(OR(Upaya_Agunan[[#This Row],[Agunan]]="SHM",Upaya_Agunan[[#This Row],[Agunan]]="BPKB"),"Ya","Tidak")</f>
        <v>Ya</v>
      </c>
      <c r="H4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4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43" s="35" t="str">
        <f ca="1">IF(AND(DATEDIF($B$5,$B$6,"D")&gt;=150,Upaya_Agunan[[#This Row],[Lelang 1?]]="Ya"),"Ya","Tidak")</f>
        <v>Tidak</v>
      </c>
      <c r="K43" s="35" t="str">
        <f ca="1">IF(AND(DATEDIF($B$5,$B$6,"D")&gt;=180,Upaya_Agunan[[#This Row],[Lelang 2?]]="Ya"),"Ya","Tidak")</f>
        <v>Tidak</v>
      </c>
      <c r="L43" s="18" t="s">
        <v>640</v>
      </c>
      <c r="M43" s="18"/>
      <c r="N43" s="18"/>
      <c r="O43" s="18"/>
      <c r="P43" s="18"/>
      <c r="Q43" s="35">
        <f ca="1">COUNTIF(Upaya_Agunan[[#This Row],[Blokir Agunan?]:[Penjualan Agunan?]],"Ya")</f>
        <v>1</v>
      </c>
      <c r="R43" s="35">
        <f ca="1">Upaya_Agunan[[#This Row],[Target Upaya]]-COUNTIFS(Upaya_Agunan[[#This Row],[Blokir Agunan?]:[Penjualan Agunan?]],"Ya",Upaya_Agunan[[#This Row],[Blokir Agunan]:[Penjualan Agunan]],"")</f>
        <v>1</v>
      </c>
      <c r="S43" s="36">
        <f ca="1">IF(ISNUMBER(Upaya_Agunan[[#This Row],[Realisasi]]/Upaya_Agunan[[#This Row],[Target Upaya]]),Upaya_Agunan[[#This Row],[Realisasi]]/Upaya_Agunan[[#This Row],[Target Upaya]],1)</f>
        <v>1</v>
      </c>
    </row>
    <row r="44" spans="1:19" x14ac:dyDescent="0.3">
      <c r="A44" s="16">
        <v>33</v>
      </c>
      <c r="B44" s="17" t="s">
        <v>243</v>
      </c>
      <c r="C44" s="16" t="s">
        <v>85</v>
      </c>
      <c r="D44" s="16" t="s">
        <v>78</v>
      </c>
      <c r="E44" s="16" t="s">
        <v>93</v>
      </c>
      <c r="F44" s="35" t="str">
        <f ca="1">INDEX(Upaya_Debitur[Lunas?],MATCH(Upaya_Agunan[[#This Row],[Nomor PK]],Upaya_Debitur[Nomor PK],0))</f>
        <v>Belum Lunas</v>
      </c>
      <c r="G44" s="35" t="str">
        <f>IF(OR(Upaya_Agunan[[#This Row],[Agunan]]="SHM",Upaya_Agunan[[#This Row],[Agunan]]="BPKB"),"Ya","Tidak")</f>
        <v>Ya</v>
      </c>
      <c r="H4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4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44" s="35" t="str">
        <f ca="1">IF(AND(DATEDIF($B$5,$B$6,"D")&gt;=150,Upaya_Agunan[[#This Row],[Lelang 1?]]="Ya"),"Ya","Tidak")</f>
        <v>Tidak</v>
      </c>
      <c r="K44" s="35" t="str">
        <f ca="1">IF(AND(DATEDIF($B$5,$B$6,"D")&gt;=180,Upaya_Agunan[[#This Row],[Lelang 2?]]="Ya"),"Ya","Tidak")</f>
        <v>Tidak</v>
      </c>
      <c r="L44" s="18" t="s">
        <v>643</v>
      </c>
      <c r="M44" s="18"/>
      <c r="N44" s="18"/>
      <c r="O44" s="18"/>
      <c r="P44" s="18"/>
      <c r="Q44" s="35">
        <f ca="1">COUNTIF(Upaya_Agunan[[#This Row],[Blokir Agunan?]:[Penjualan Agunan?]],"Ya")</f>
        <v>1</v>
      </c>
      <c r="R44" s="35">
        <f ca="1">Upaya_Agunan[[#This Row],[Target Upaya]]-COUNTIFS(Upaya_Agunan[[#This Row],[Blokir Agunan?]:[Penjualan Agunan?]],"Ya",Upaya_Agunan[[#This Row],[Blokir Agunan]:[Penjualan Agunan]],"")</f>
        <v>1</v>
      </c>
      <c r="S44" s="36">
        <f ca="1">IF(ISNUMBER(Upaya_Agunan[[#This Row],[Realisasi]]/Upaya_Agunan[[#This Row],[Target Upaya]]),Upaya_Agunan[[#This Row],[Realisasi]]/Upaya_Agunan[[#This Row],[Target Upaya]],1)</f>
        <v>1</v>
      </c>
    </row>
    <row r="45" spans="1:19" x14ac:dyDescent="0.3">
      <c r="A45" s="16">
        <v>34</v>
      </c>
      <c r="B45" s="17" t="s">
        <v>245</v>
      </c>
      <c r="C45" s="16" t="s">
        <v>95</v>
      </c>
      <c r="D45" s="16" t="s">
        <v>638</v>
      </c>
      <c r="E45" s="16" t="s">
        <v>93</v>
      </c>
      <c r="F45" s="35" t="str">
        <f ca="1">INDEX(Upaya_Debitur[Lunas?],MATCH(Upaya_Agunan[[#This Row],[Nomor PK]],Upaya_Debitur[Nomor PK],0))</f>
        <v>Belum Lunas</v>
      </c>
      <c r="G45" s="35" t="str">
        <f>IF(OR(Upaya_Agunan[[#This Row],[Agunan]]="SHM",Upaya_Agunan[[#This Row],[Agunan]]="BPKB"),"Ya","Tidak")</f>
        <v>Tidak</v>
      </c>
      <c r="H4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4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45" s="35" t="str">
        <f ca="1">IF(AND(DATEDIF($B$5,$B$6,"D")&gt;=150,Upaya_Agunan[[#This Row],[Lelang 1?]]="Ya"),"Ya","Tidak")</f>
        <v>Tidak</v>
      </c>
      <c r="K45" s="35" t="str">
        <f ca="1">IF(AND(DATEDIF($B$5,$B$6,"D")&gt;=180,Upaya_Agunan[[#This Row],[Lelang 2?]]="Ya"),"Ya","Tidak")</f>
        <v>Tidak</v>
      </c>
      <c r="L45" s="18"/>
      <c r="M45" s="18"/>
      <c r="N45" s="18"/>
      <c r="O45" s="18"/>
      <c r="P45" s="18"/>
      <c r="Q45" s="35">
        <f ca="1">COUNTIF(Upaya_Agunan[[#This Row],[Blokir Agunan?]:[Penjualan Agunan?]],"Ya")</f>
        <v>0</v>
      </c>
      <c r="R45" s="35">
        <f ca="1">Upaya_Agunan[[#This Row],[Target Upaya]]-COUNTIFS(Upaya_Agunan[[#This Row],[Blokir Agunan?]:[Penjualan Agunan?]],"Ya",Upaya_Agunan[[#This Row],[Blokir Agunan]:[Penjualan Agunan]],"")</f>
        <v>0</v>
      </c>
      <c r="S45" s="36">
        <f ca="1">IF(ISNUMBER(Upaya_Agunan[[#This Row],[Realisasi]]/Upaya_Agunan[[#This Row],[Target Upaya]]),Upaya_Agunan[[#This Row],[Realisasi]]/Upaya_Agunan[[#This Row],[Target Upaya]],1)</f>
        <v>1</v>
      </c>
    </row>
    <row r="46" spans="1:19" x14ac:dyDescent="0.3">
      <c r="A46" s="16">
        <v>35</v>
      </c>
      <c r="B46" s="17" t="s">
        <v>247</v>
      </c>
      <c r="C46" s="16" t="s">
        <v>85</v>
      </c>
      <c r="D46" s="16" t="s">
        <v>78</v>
      </c>
      <c r="E46" s="16" t="s">
        <v>93</v>
      </c>
      <c r="F46" s="35" t="str">
        <f ca="1">INDEX(Upaya_Debitur[Lunas?],MATCH(Upaya_Agunan[[#This Row],[Nomor PK]],Upaya_Debitur[Nomor PK],0))</f>
        <v>Belum Lunas</v>
      </c>
      <c r="G46" s="35" t="str">
        <f>IF(OR(Upaya_Agunan[[#This Row],[Agunan]]="SHM",Upaya_Agunan[[#This Row],[Agunan]]="BPKB"),"Ya","Tidak")</f>
        <v>Ya</v>
      </c>
      <c r="H4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4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46" s="35" t="str">
        <f ca="1">IF(AND(DATEDIF($B$5,$B$6,"D")&gt;=150,Upaya_Agunan[[#This Row],[Lelang 1?]]="Ya"),"Ya","Tidak")</f>
        <v>Tidak</v>
      </c>
      <c r="K46" s="35" t="str">
        <f ca="1">IF(AND(DATEDIF($B$5,$B$6,"D")&gt;=180,Upaya_Agunan[[#This Row],[Lelang 2?]]="Ya"),"Ya","Tidak")</f>
        <v>Tidak</v>
      </c>
      <c r="L46" s="18">
        <v>44123</v>
      </c>
      <c r="M46" s="18"/>
      <c r="N46" s="18"/>
      <c r="O46" s="18"/>
      <c r="P46" s="18"/>
      <c r="Q46" s="35">
        <f ca="1">COUNTIF(Upaya_Agunan[[#This Row],[Blokir Agunan?]:[Penjualan Agunan?]],"Ya")</f>
        <v>1</v>
      </c>
      <c r="R46" s="35">
        <f ca="1">Upaya_Agunan[[#This Row],[Target Upaya]]-COUNTIFS(Upaya_Agunan[[#This Row],[Blokir Agunan?]:[Penjualan Agunan?]],"Ya",Upaya_Agunan[[#This Row],[Blokir Agunan]:[Penjualan Agunan]],"")</f>
        <v>1</v>
      </c>
      <c r="S46" s="36">
        <f ca="1">IF(ISNUMBER(Upaya_Agunan[[#This Row],[Realisasi]]/Upaya_Agunan[[#This Row],[Target Upaya]]),Upaya_Agunan[[#This Row],[Realisasi]]/Upaya_Agunan[[#This Row],[Target Upaya]],1)</f>
        <v>1</v>
      </c>
    </row>
    <row r="47" spans="1:19" x14ac:dyDescent="0.3">
      <c r="A47" s="16">
        <v>36</v>
      </c>
      <c r="B47" s="17" t="s">
        <v>249</v>
      </c>
      <c r="C47" s="16" t="s">
        <v>85</v>
      </c>
      <c r="D47" s="16" t="s">
        <v>78</v>
      </c>
      <c r="E47" s="16" t="s">
        <v>106</v>
      </c>
      <c r="F47" s="35" t="str">
        <f ca="1">INDEX(Upaya_Debitur[Lunas?],MATCH(Upaya_Agunan[[#This Row],[Nomor PK]],Upaya_Debitur[Nomor PK],0))</f>
        <v>Lunas</v>
      </c>
      <c r="G47" s="35" t="str">
        <f>IF(OR(Upaya_Agunan[[#This Row],[Agunan]]="SHM",Upaya_Agunan[[#This Row],[Agunan]]="BPKB"),"Ya","Tidak")</f>
        <v>Ya</v>
      </c>
      <c r="H4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4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47" s="35" t="str">
        <f ca="1">IF(AND(DATEDIF($B$5,$B$6,"D")&gt;=150,Upaya_Agunan[[#This Row],[Lelang 1?]]="Ya"),"Ya","Tidak")</f>
        <v>Tidak</v>
      </c>
      <c r="K47" s="35" t="str">
        <f ca="1">IF(AND(DATEDIF($B$5,$B$6,"D")&gt;=180,Upaya_Agunan[[#This Row],[Lelang 2?]]="Ya"),"Ya","Tidak")</f>
        <v>Tidak</v>
      </c>
      <c r="L47" s="18" t="s">
        <v>641</v>
      </c>
      <c r="M47" s="18"/>
      <c r="N47" s="18"/>
      <c r="O47" s="18"/>
      <c r="P47" s="18"/>
      <c r="Q47" s="35">
        <f ca="1">COUNTIF(Upaya_Agunan[[#This Row],[Blokir Agunan?]:[Penjualan Agunan?]],"Ya")</f>
        <v>1</v>
      </c>
      <c r="R47" s="35">
        <f ca="1">Upaya_Agunan[[#This Row],[Target Upaya]]-COUNTIFS(Upaya_Agunan[[#This Row],[Blokir Agunan?]:[Penjualan Agunan?]],"Ya",Upaya_Agunan[[#This Row],[Blokir Agunan]:[Penjualan Agunan]],"")</f>
        <v>1</v>
      </c>
      <c r="S47" s="36">
        <f ca="1">IF(ISNUMBER(Upaya_Agunan[[#This Row],[Realisasi]]/Upaya_Agunan[[#This Row],[Target Upaya]]),Upaya_Agunan[[#This Row],[Realisasi]]/Upaya_Agunan[[#This Row],[Target Upaya]],1)</f>
        <v>1</v>
      </c>
    </row>
    <row r="48" spans="1:19" x14ac:dyDescent="0.3">
      <c r="A48" s="16">
        <v>37</v>
      </c>
      <c r="B48" s="17" t="s">
        <v>251</v>
      </c>
      <c r="C48" s="16" t="s">
        <v>95</v>
      </c>
      <c r="D48" s="16" t="s">
        <v>638</v>
      </c>
      <c r="E48" s="16" t="s">
        <v>93</v>
      </c>
      <c r="F48" s="35" t="str">
        <f ca="1">INDEX(Upaya_Debitur[Lunas?],MATCH(Upaya_Agunan[[#This Row],[Nomor PK]],Upaya_Debitur[Nomor PK],0))</f>
        <v>Belum Lunas</v>
      </c>
      <c r="G48" s="35" t="str">
        <f>IF(OR(Upaya_Agunan[[#This Row],[Agunan]]="SHM",Upaya_Agunan[[#This Row],[Agunan]]="BPKB"),"Ya","Tidak")</f>
        <v>Tidak</v>
      </c>
      <c r="H4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4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48" s="35" t="str">
        <f ca="1">IF(AND(DATEDIF($B$5,$B$6,"D")&gt;=150,Upaya_Agunan[[#This Row],[Lelang 1?]]="Ya"),"Ya","Tidak")</f>
        <v>Tidak</v>
      </c>
      <c r="K48" s="35" t="str">
        <f ca="1">IF(AND(DATEDIF($B$5,$B$6,"D")&gt;=180,Upaya_Agunan[[#This Row],[Lelang 2?]]="Ya"),"Ya","Tidak")</f>
        <v>Tidak</v>
      </c>
      <c r="L48" s="18"/>
      <c r="M48" s="18"/>
      <c r="N48" s="18"/>
      <c r="O48" s="18"/>
      <c r="P48" s="18"/>
      <c r="Q48" s="35">
        <f ca="1">COUNTIF(Upaya_Agunan[[#This Row],[Blokir Agunan?]:[Penjualan Agunan?]],"Ya")</f>
        <v>0</v>
      </c>
      <c r="R48" s="35">
        <f ca="1">Upaya_Agunan[[#This Row],[Target Upaya]]-COUNTIFS(Upaya_Agunan[[#This Row],[Blokir Agunan?]:[Penjualan Agunan?]],"Ya",Upaya_Agunan[[#This Row],[Blokir Agunan]:[Penjualan Agunan]],"")</f>
        <v>0</v>
      </c>
      <c r="S48" s="36">
        <f ca="1">IF(ISNUMBER(Upaya_Agunan[[#This Row],[Realisasi]]/Upaya_Agunan[[#This Row],[Target Upaya]]),Upaya_Agunan[[#This Row],[Realisasi]]/Upaya_Agunan[[#This Row],[Target Upaya]],1)</f>
        <v>1</v>
      </c>
    </row>
    <row r="49" spans="1:19" x14ac:dyDescent="0.3">
      <c r="A49" s="16">
        <v>38</v>
      </c>
      <c r="B49" s="17" t="s">
        <v>253</v>
      </c>
      <c r="C49" s="16" t="s">
        <v>95</v>
      </c>
      <c r="D49" s="16" t="s">
        <v>638</v>
      </c>
      <c r="E49" s="16" t="s">
        <v>93</v>
      </c>
      <c r="F49" s="35" t="str">
        <f ca="1">INDEX(Upaya_Debitur[Lunas?],MATCH(Upaya_Agunan[[#This Row],[Nomor PK]],Upaya_Debitur[Nomor PK],0))</f>
        <v>Belum Lunas</v>
      </c>
      <c r="G49" s="35" t="str">
        <f>IF(OR(Upaya_Agunan[[#This Row],[Agunan]]="SHM",Upaya_Agunan[[#This Row],[Agunan]]="BPKB"),"Ya","Tidak")</f>
        <v>Tidak</v>
      </c>
      <c r="H4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4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49" s="35" t="str">
        <f ca="1">IF(AND(DATEDIF($B$5,$B$6,"D")&gt;=150,Upaya_Agunan[[#This Row],[Lelang 1?]]="Ya"),"Ya","Tidak")</f>
        <v>Tidak</v>
      </c>
      <c r="K49" s="35" t="str">
        <f ca="1">IF(AND(DATEDIF($B$5,$B$6,"D")&gt;=180,Upaya_Agunan[[#This Row],[Lelang 2?]]="Ya"),"Ya","Tidak")</f>
        <v>Tidak</v>
      </c>
      <c r="L49" s="18"/>
      <c r="M49" s="18"/>
      <c r="N49" s="18"/>
      <c r="O49" s="18"/>
      <c r="P49" s="18"/>
      <c r="Q49" s="35">
        <f ca="1">COUNTIF(Upaya_Agunan[[#This Row],[Blokir Agunan?]:[Penjualan Agunan?]],"Ya")</f>
        <v>0</v>
      </c>
      <c r="R49" s="35">
        <f ca="1">Upaya_Agunan[[#This Row],[Target Upaya]]-COUNTIFS(Upaya_Agunan[[#This Row],[Blokir Agunan?]:[Penjualan Agunan?]],"Ya",Upaya_Agunan[[#This Row],[Blokir Agunan]:[Penjualan Agunan]],"")</f>
        <v>0</v>
      </c>
      <c r="S49" s="36">
        <f ca="1">IF(ISNUMBER(Upaya_Agunan[[#This Row],[Realisasi]]/Upaya_Agunan[[#This Row],[Target Upaya]]),Upaya_Agunan[[#This Row],[Realisasi]]/Upaya_Agunan[[#This Row],[Target Upaya]],1)</f>
        <v>1</v>
      </c>
    </row>
    <row r="50" spans="1:19" x14ac:dyDescent="0.3">
      <c r="A50" s="16">
        <v>39</v>
      </c>
      <c r="B50" s="17" t="s">
        <v>255</v>
      </c>
      <c r="C50" s="16" t="s">
        <v>95</v>
      </c>
      <c r="D50" s="16" t="s">
        <v>638</v>
      </c>
      <c r="E50" s="16" t="s">
        <v>93</v>
      </c>
      <c r="F50" s="35" t="str">
        <f ca="1">INDEX(Upaya_Debitur[Lunas?],MATCH(Upaya_Agunan[[#This Row],[Nomor PK]],Upaya_Debitur[Nomor PK],0))</f>
        <v>Belum Lunas</v>
      </c>
      <c r="G50" s="35" t="str">
        <f>IF(OR(Upaya_Agunan[[#This Row],[Agunan]]="SHM",Upaya_Agunan[[#This Row],[Agunan]]="BPKB"),"Ya","Tidak")</f>
        <v>Tidak</v>
      </c>
      <c r="H5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5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50" s="35" t="str">
        <f ca="1">IF(AND(DATEDIF($B$5,$B$6,"D")&gt;=150,Upaya_Agunan[[#This Row],[Lelang 1?]]="Ya"),"Ya","Tidak")</f>
        <v>Tidak</v>
      </c>
      <c r="K50" s="35" t="str">
        <f ca="1">IF(AND(DATEDIF($B$5,$B$6,"D")&gt;=180,Upaya_Agunan[[#This Row],[Lelang 2?]]="Ya"),"Ya","Tidak")</f>
        <v>Tidak</v>
      </c>
      <c r="L50" s="18"/>
      <c r="M50" s="18"/>
      <c r="N50" s="18"/>
      <c r="O50" s="18"/>
      <c r="P50" s="18"/>
      <c r="Q50" s="35">
        <f ca="1">COUNTIF(Upaya_Agunan[[#This Row],[Blokir Agunan?]:[Penjualan Agunan?]],"Ya")</f>
        <v>0</v>
      </c>
      <c r="R50" s="35">
        <f ca="1">Upaya_Agunan[[#This Row],[Target Upaya]]-COUNTIFS(Upaya_Agunan[[#This Row],[Blokir Agunan?]:[Penjualan Agunan?]],"Ya",Upaya_Agunan[[#This Row],[Blokir Agunan]:[Penjualan Agunan]],"")</f>
        <v>0</v>
      </c>
      <c r="S50" s="36">
        <f ca="1">IF(ISNUMBER(Upaya_Agunan[[#This Row],[Realisasi]]/Upaya_Agunan[[#This Row],[Target Upaya]]),Upaya_Agunan[[#This Row],[Realisasi]]/Upaya_Agunan[[#This Row],[Target Upaya]],1)</f>
        <v>1</v>
      </c>
    </row>
    <row r="51" spans="1:19" x14ac:dyDescent="0.3">
      <c r="A51" s="16">
        <v>40</v>
      </c>
      <c r="B51" s="17" t="s">
        <v>257</v>
      </c>
      <c r="C51" s="16" t="s">
        <v>95</v>
      </c>
      <c r="D51" s="16" t="s">
        <v>638</v>
      </c>
      <c r="E51" s="16" t="s">
        <v>93</v>
      </c>
      <c r="F51" s="35" t="str">
        <f ca="1">INDEX(Upaya_Debitur[Lunas?],MATCH(Upaya_Agunan[[#This Row],[Nomor PK]],Upaya_Debitur[Nomor PK],0))</f>
        <v>Belum Lunas</v>
      </c>
      <c r="G51" s="35" t="str">
        <f>IF(OR(Upaya_Agunan[[#This Row],[Agunan]]="SHM",Upaya_Agunan[[#This Row],[Agunan]]="BPKB"),"Ya","Tidak")</f>
        <v>Tidak</v>
      </c>
      <c r="H5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5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51" s="35" t="str">
        <f ca="1">IF(AND(DATEDIF($B$5,$B$6,"D")&gt;=150,Upaya_Agunan[[#This Row],[Lelang 1?]]="Ya"),"Ya","Tidak")</f>
        <v>Tidak</v>
      </c>
      <c r="K51" s="35" t="str">
        <f ca="1">IF(AND(DATEDIF($B$5,$B$6,"D")&gt;=180,Upaya_Agunan[[#This Row],[Lelang 2?]]="Ya"),"Ya","Tidak")</f>
        <v>Tidak</v>
      </c>
      <c r="L51" s="18"/>
      <c r="M51" s="18"/>
      <c r="N51" s="18"/>
      <c r="O51" s="18"/>
      <c r="P51" s="18"/>
      <c r="Q51" s="35">
        <f ca="1">COUNTIF(Upaya_Agunan[[#This Row],[Blokir Agunan?]:[Penjualan Agunan?]],"Ya")</f>
        <v>0</v>
      </c>
      <c r="R51" s="35">
        <f ca="1">Upaya_Agunan[[#This Row],[Target Upaya]]-COUNTIFS(Upaya_Agunan[[#This Row],[Blokir Agunan?]:[Penjualan Agunan?]],"Ya",Upaya_Agunan[[#This Row],[Blokir Agunan]:[Penjualan Agunan]],"")</f>
        <v>0</v>
      </c>
      <c r="S51" s="36">
        <f ca="1">IF(ISNUMBER(Upaya_Agunan[[#This Row],[Realisasi]]/Upaya_Agunan[[#This Row],[Target Upaya]]),Upaya_Agunan[[#This Row],[Realisasi]]/Upaya_Agunan[[#This Row],[Target Upaya]],1)</f>
        <v>1</v>
      </c>
    </row>
    <row r="52" spans="1:19" x14ac:dyDescent="0.3">
      <c r="A52" s="16">
        <v>41</v>
      </c>
      <c r="B52" s="17" t="s">
        <v>259</v>
      </c>
      <c r="C52" s="16" t="s">
        <v>95</v>
      </c>
      <c r="D52" s="16" t="s">
        <v>638</v>
      </c>
      <c r="E52" s="16" t="s">
        <v>93</v>
      </c>
      <c r="F52" s="35" t="str">
        <f ca="1">INDEX(Upaya_Debitur[Lunas?],MATCH(Upaya_Agunan[[#This Row],[Nomor PK]],Upaya_Debitur[Nomor PK],0))</f>
        <v>Belum Lunas</v>
      </c>
      <c r="G52" s="35" t="str">
        <f>IF(OR(Upaya_Agunan[[#This Row],[Agunan]]="SHM",Upaya_Agunan[[#This Row],[Agunan]]="BPKB"),"Ya","Tidak")</f>
        <v>Tidak</v>
      </c>
      <c r="H5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5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52" s="35" t="str">
        <f ca="1">IF(AND(DATEDIF($B$5,$B$6,"D")&gt;=150,Upaya_Agunan[[#This Row],[Lelang 1?]]="Ya"),"Ya","Tidak")</f>
        <v>Tidak</v>
      </c>
      <c r="K52" s="35" t="str">
        <f ca="1">IF(AND(DATEDIF($B$5,$B$6,"D")&gt;=180,Upaya_Agunan[[#This Row],[Lelang 2?]]="Ya"),"Ya","Tidak")</f>
        <v>Tidak</v>
      </c>
      <c r="L52" s="18"/>
      <c r="M52" s="18"/>
      <c r="N52" s="18"/>
      <c r="O52" s="18"/>
      <c r="P52" s="18"/>
      <c r="Q52" s="35">
        <f ca="1">COUNTIF(Upaya_Agunan[[#This Row],[Blokir Agunan?]:[Penjualan Agunan?]],"Ya")</f>
        <v>0</v>
      </c>
      <c r="R52" s="35">
        <f ca="1">Upaya_Agunan[[#This Row],[Target Upaya]]-COUNTIFS(Upaya_Agunan[[#This Row],[Blokir Agunan?]:[Penjualan Agunan?]],"Ya",Upaya_Agunan[[#This Row],[Blokir Agunan]:[Penjualan Agunan]],"")</f>
        <v>0</v>
      </c>
      <c r="S52" s="36">
        <f ca="1">IF(ISNUMBER(Upaya_Agunan[[#This Row],[Realisasi]]/Upaya_Agunan[[#This Row],[Target Upaya]]),Upaya_Agunan[[#This Row],[Realisasi]]/Upaya_Agunan[[#This Row],[Target Upaya]],1)</f>
        <v>1</v>
      </c>
    </row>
    <row r="53" spans="1:19" x14ac:dyDescent="0.3">
      <c r="A53" s="16">
        <v>42</v>
      </c>
      <c r="B53" s="17" t="s">
        <v>261</v>
      </c>
      <c r="C53" s="16" t="s">
        <v>95</v>
      </c>
      <c r="D53" s="16" t="s">
        <v>638</v>
      </c>
      <c r="E53" s="16" t="s">
        <v>93</v>
      </c>
      <c r="F53" s="35" t="str">
        <f ca="1">INDEX(Upaya_Debitur[Lunas?],MATCH(Upaya_Agunan[[#This Row],[Nomor PK]],Upaya_Debitur[Nomor PK],0))</f>
        <v>Belum Lunas</v>
      </c>
      <c r="G53" s="35" t="str">
        <f>IF(OR(Upaya_Agunan[[#This Row],[Agunan]]="SHM",Upaya_Agunan[[#This Row],[Agunan]]="BPKB"),"Ya","Tidak")</f>
        <v>Tidak</v>
      </c>
      <c r="H5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5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53" s="35" t="str">
        <f ca="1">IF(AND(DATEDIF($B$5,$B$6,"D")&gt;=150,Upaya_Agunan[[#This Row],[Lelang 1?]]="Ya"),"Ya","Tidak")</f>
        <v>Tidak</v>
      </c>
      <c r="K53" s="35" t="str">
        <f ca="1">IF(AND(DATEDIF($B$5,$B$6,"D")&gt;=180,Upaya_Agunan[[#This Row],[Lelang 2?]]="Ya"),"Ya","Tidak")</f>
        <v>Tidak</v>
      </c>
      <c r="L53" s="18"/>
      <c r="M53" s="18"/>
      <c r="N53" s="18"/>
      <c r="O53" s="18"/>
      <c r="P53" s="18"/>
      <c r="Q53" s="35">
        <f ca="1">COUNTIF(Upaya_Agunan[[#This Row],[Blokir Agunan?]:[Penjualan Agunan?]],"Ya")</f>
        <v>0</v>
      </c>
      <c r="R53" s="35">
        <f ca="1">Upaya_Agunan[[#This Row],[Target Upaya]]-COUNTIFS(Upaya_Agunan[[#This Row],[Blokir Agunan?]:[Penjualan Agunan?]],"Ya",Upaya_Agunan[[#This Row],[Blokir Agunan]:[Penjualan Agunan]],"")</f>
        <v>0</v>
      </c>
      <c r="S53" s="36">
        <f ca="1">IF(ISNUMBER(Upaya_Agunan[[#This Row],[Realisasi]]/Upaya_Agunan[[#This Row],[Target Upaya]]),Upaya_Agunan[[#This Row],[Realisasi]]/Upaya_Agunan[[#This Row],[Target Upaya]],1)</f>
        <v>1</v>
      </c>
    </row>
    <row r="54" spans="1:19" x14ac:dyDescent="0.3">
      <c r="A54" s="16">
        <v>43</v>
      </c>
      <c r="B54" s="17" t="s">
        <v>263</v>
      </c>
      <c r="C54" s="16" t="s">
        <v>95</v>
      </c>
      <c r="D54" s="16" t="s">
        <v>638</v>
      </c>
      <c r="E54" s="16" t="s">
        <v>93</v>
      </c>
      <c r="F54" s="35" t="str">
        <f ca="1">INDEX(Upaya_Debitur[Lunas?],MATCH(Upaya_Agunan[[#This Row],[Nomor PK]],Upaya_Debitur[Nomor PK],0))</f>
        <v>Belum Lunas</v>
      </c>
      <c r="G54" s="35" t="str">
        <f>IF(OR(Upaya_Agunan[[#This Row],[Agunan]]="SHM",Upaya_Agunan[[#This Row],[Agunan]]="BPKB"),"Ya","Tidak")</f>
        <v>Tidak</v>
      </c>
      <c r="H5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5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54" s="35" t="str">
        <f ca="1">IF(AND(DATEDIF($B$5,$B$6,"D")&gt;=150,Upaya_Agunan[[#This Row],[Lelang 1?]]="Ya"),"Ya","Tidak")</f>
        <v>Tidak</v>
      </c>
      <c r="K54" s="35" t="str">
        <f ca="1">IF(AND(DATEDIF($B$5,$B$6,"D")&gt;=180,Upaya_Agunan[[#This Row],[Lelang 2?]]="Ya"),"Ya","Tidak")</f>
        <v>Tidak</v>
      </c>
      <c r="L54" s="18"/>
      <c r="M54" s="18"/>
      <c r="N54" s="18"/>
      <c r="O54" s="18"/>
      <c r="P54" s="18"/>
      <c r="Q54" s="35">
        <f ca="1">COUNTIF(Upaya_Agunan[[#This Row],[Blokir Agunan?]:[Penjualan Agunan?]],"Ya")</f>
        <v>0</v>
      </c>
      <c r="R54" s="35">
        <f ca="1">Upaya_Agunan[[#This Row],[Target Upaya]]-COUNTIFS(Upaya_Agunan[[#This Row],[Blokir Agunan?]:[Penjualan Agunan?]],"Ya",Upaya_Agunan[[#This Row],[Blokir Agunan]:[Penjualan Agunan]],"")</f>
        <v>0</v>
      </c>
      <c r="S54" s="36">
        <f ca="1">IF(ISNUMBER(Upaya_Agunan[[#This Row],[Realisasi]]/Upaya_Agunan[[#This Row],[Target Upaya]]),Upaya_Agunan[[#This Row],[Realisasi]]/Upaya_Agunan[[#This Row],[Target Upaya]],1)</f>
        <v>1</v>
      </c>
    </row>
    <row r="55" spans="1:19" x14ac:dyDescent="0.3">
      <c r="A55" s="16">
        <v>44</v>
      </c>
      <c r="B55" s="17" t="s">
        <v>265</v>
      </c>
      <c r="C55" s="16" t="s">
        <v>85</v>
      </c>
      <c r="D55" s="16" t="s">
        <v>78</v>
      </c>
      <c r="E55" s="16" t="s">
        <v>106</v>
      </c>
      <c r="F55" s="35" t="str">
        <f ca="1">INDEX(Upaya_Debitur[Lunas?],MATCH(Upaya_Agunan[[#This Row],[Nomor PK]],Upaya_Debitur[Nomor PK],0))</f>
        <v>Belum Lunas</v>
      </c>
      <c r="G55" s="35" t="str">
        <f>IF(OR(Upaya_Agunan[[#This Row],[Agunan]]="SHM",Upaya_Agunan[[#This Row],[Agunan]]="BPKB"),"Ya","Tidak")</f>
        <v>Ya</v>
      </c>
      <c r="H5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5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55" s="35" t="str">
        <f ca="1">IF(AND(DATEDIF($B$5,$B$6,"D")&gt;=150,Upaya_Agunan[[#This Row],[Lelang 1?]]="Ya"),"Ya","Tidak")</f>
        <v>Tidak</v>
      </c>
      <c r="K55" s="35" t="str">
        <f ca="1">IF(AND(DATEDIF($B$5,$B$6,"D")&gt;=180,Upaya_Agunan[[#This Row],[Lelang 2?]]="Ya"),"Ya","Tidak")</f>
        <v>Tidak</v>
      </c>
      <c r="L55" s="18">
        <v>44123</v>
      </c>
      <c r="M55" s="18"/>
      <c r="N55" s="18"/>
      <c r="O55" s="18"/>
      <c r="P55" s="18"/>
      <c r="Q55" s="35">
        <f ca="1">COUNTIF(Upaya_Agunan[[#This Row],[Blokir Agunan?]:[Penjualan Agunan?]],"Ya")</f>
        <v>1</v>
      </c>
      <c r="R55" s="35">
        <f ca="1">Upaya_Agunan[[#This Row],[Target Upaya]]-COUNTIFS(Upaya_Agunan[[#This Row],[Blokir Agunan?]:[Penjualan Agunan?]],"Ya",Upaya_Agunan[[#This Row],[Blokir Agunan]:[Penjualan Agunan]],"")</f>
        <v>1</v>
      </c>
      <c r="S55" s="36">
        <f ca="1">IF(ISNUMBER(Upaya_Agunan[[#This Row],[Realisasi]]/Upaya_Agunan[[#This Row],[Target Upaya]]),Upaya_Agunan[[#This Row],[Realisasi]]/Upaya_Agunan[[#This Row],[Target Upaya]],1)</f>
        <v>1</v>
      </c>
    </row>
    <row r="56" spans="1:19" x14ac:dyDescent="0.3">
      <c r="A56" s="16">
        <v>45</v>
      </c>
      <c r="B56" s="17" t="s">
        <v>265</v>
      </c>
      <c r="C56" s="16" t="s">
        <v>85</v>
      </c>
      <c r="D56" s="16" t="s">
        <v>78</v>
      </c>
      <c r="E56" s="16" t="s">
        <v>106</v>
      </c>
      <c r="F56" s="35" t="str">
        <f ca="1">INDEX(Upaya_Debitur[Lunas?],MATCH(Upaya_Agunan[[#This Row],[Nomor PK]],Upaya_Debitur[Nomor PK],0))</f>
        <v>Belum Lunas</v>
      </c>
      <c r="G56" s="35" t="str">
        <f>IF(OR(Upaya_Agunan[[#This Row],[Agunan]]="SHM",Upaya_Agunan[[#This Row],[Agunan]]="BPKB"),"Ya","Tidak")</f>
        <v>Ya</v>
      </c>
      <c r="H5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5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56" s="35" t="str">
        <f ca="1">IF(AND(DATEDIF($B$5,$B$6,"D")&gt;=150,Upaya_Agunan[[#This Row],[Lelang 1?]]="Ya"),"Ya","Tidak")</f>
        <v>Tidak</v>
      </c>
      <c r="K56" s="35" t="str">
        <f ca="1">IF(AND(DATEDIF($B$5,$B$6,"D")&gt;=180,Upaya_Agunan[[#This Row],[Lelang 2?]]="Ya"),"Ya","Tidak")</f>
        <v>Tidak</v>
      </c>
      <c r="L56" s="18">
        <v>44123</v>
      </c>
      <c r="M56" s="18"/>
      <c r="N56" s="18"/>
      <c r="O56" s="18"/>
      <c r="P56" s="18"/>
      <c r="Q56" s="35">
        <f ca="1">COUNTIF(Upaya_Agunan[[#This Row],[Blokir Agunan?]:[Penjualan Agunan?]],"Ya")</f>
        <v>1</v>
      </c>
      <c r="R56" s="35">
        <f ca="1">Upaya_Agunan[[#This Row],[Target Upaya]]-COUNTIFS(Upaya_Agunan[[#This Row],[Blokir Agunan?]:[Penjualan Agunan?]],"Ya",Upaya_Agunan[[#This Row],[Blokir Agunan]:[Penjualan Agunan]],"")</f>
        <v>1</v>
      </c>
      <c r="S56" s="36">
        <f ca="1">IF(ISNUMBER(Upaya_Agunan[[#This Row],[Realisasi]]/Upaya_Agunan[[#This Row],[Target Upaya]]),Upaya_Agunan[[#This Row],[Realisasi]]/Upaya_Agunan[[#This Row],[Target Upaya]],1)</f>
        <v>1</v>
      </c>
    </row>
    <row r="57" spans="1:19" x14ac:dyDescent="0.3">
      <c r="A57" s="16">
        <v>46</v>
      </c>
      <c r="B57" s="17" t="s">
        <v>267</v>
      </c>
      <c r="C57" s="16" t="s">
        <v>85</v>
      </c>
      <c r="D57" s="16" t="s">
        <v>78</v>
      </c>
      <c r="E57" s="16" t="s">
        <v>93</v>
      </c>
      <c r="F57" s="35" t="str">
        <f ca="1">INDEX(Upaya_Debitur[Lunas?],MATCH(Upaya_Agunan[[#This Row],[Nomor PK]],Upaya_Debitur[Nomor PK],0))</f>
        <v>Belum Lunas</v>
      </c>
      <c r="G57" s="35" t="str">
        <f>IF(OR(Upaya_Agunan[[#This Row],[Agunan]]="SHM",Upaya_Agunan[[#This Row],[Agunan]]="BPKB"),"Ya","Tidak")</f>
        <v>Ya</v>
      </c>
      <c r="H5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5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57" s="35" t="str">
        <f ca="1">IF(AND(DATEDIF($B$5,$B$6,"D")&gt;=150,Upaya_Agunan[[#This Row],[Lelang 1?]]="Ya"),"Ya","Tidak")</f>
        <v>Tidak</v>
      </c>
      <c r="K57" s="35" t="str">
        <f ca="1">IF(AND(DATEDIF($B$5,$B$6,"D")&gt;=180,Upaya_Agunan[[#This Row],[Lelang 2?]]="Ya"),"Ya","Tidak")</f>
        <v>Tidak</v>
      </c>
      <c r="L57" s="18" t="s">
        <v>640</v>
      </c>
      <c r="M57" s="18"/>
      <c r="N57" s="18"/>
      <c r="O57" s="18"/>
      <c r="P57" s="18"/>
      <c r="Q57" s="35">
        <f ca="1">COUNTIF(Upaya_Agunan[[#This Row],[Blokir Agunan?]:[Penjualan Agunan?]],"Ya")</f>
        <v>1</v>
      </c>
      <c r="R57" s="35">
        <f ca="1">Upaya_Agunan[[#This Row],[Target Upaya]]-COUNTIFS(Upaya_Agunan[[#This Row],[Blokir Agunan?]:[Penjualan Agunan?]],"Ya",Upaya_Agunan[[#This Row],[Blokir Agunan]:[Penjualan Agunan]],"")</f>
        <v>1</v>
      </c>
      <c r="S57" s="36">
        <f ca="1">IF(ISNUMBER(Upaya_Agunan[[#This Row],[Realisasi]]/Upaya_Agunan[[#This Row],[Target Upaya]]),Upaya_Agunan[[#This Row],[Realisasi]]/Upaya_Agunan[[#This Row],[Target Upaya]],1)</f>
        <v>1</v>
      </c>
    </row>
    <row r="58" spans="1:19" x14ac:dyDescent="0.3">
      <c r="A58" s="16">
        <v>47</v>
      </c>
      <c r="B58" s="17" t="s">
        <v>269</v>
      </c>
      <c r="C58" s="16" t="s">
        <v>85</v>
      </c>
      <c r="D58" s="16" t="s">
        <v>78</v>
      </c>
      <c r="E58" s="16" t="s">
        <v>93</v>
      </c>
      <c r="F58" s="35" t="str">
        <f ca="1">INDEX(Upaya_Debitur[Lunas?],MATCH(Upaya_Agunan[[#This Row],[Nomor PK]],Upaya_Debitur[Nomor PK],0))</f>
        <v>Belum Lunas</v>
      </c>
      <c r="G58" s="35" t="str">
        <f>IF(OR(Upaya_Agunan[[#This Row],[Agunan]]="SHM",Upaya_Agunan[[#This Row],[Agunan]]="BPKB"),"Ya","Tidak")</f>
        <v>Ya</v>
      </c>
      <c r="H5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5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58" s="35" t="str">
        <f ca="1">IF(AND(DATEDIF($B$5,$B$6,"D")&gt;=150,Upaya_Agunan[[#This Row],[Lelang 1?]]="Ya"),"Ya","Tidak")</f>
        <v>Tidak</v>
      </c>
      <c r="K58" s="35" t="str">
        <f ca="1">IF(AND(DATEDIF($B$5,$B$6,"D")&gt;=180,Upaya_Agunan[[#This Row],[Lelang 2?]]="Ya"),"Ya","Tidak")</f>
        <v>Tidak</v>
      </c>
      <c r="L58" s="18" t="s">
        <v>640</v>
      </c>
      <c r="M58" s="18"/>
      <c r="N58" s="18"/>
      <c r="O58" s="18"/>
      <c r="P58" s="18"/>
      <c r="Q58" s="35">
        <f ca="1">COUNTIF(Upaya_Agunan[[#This Row],[Blokir Agunan?]:[Penjualan Agunan?]],"Ya")</f>
        <v>1</v>
      </c>
      <c r="R58" s="35">
        <f ca="1">Upaya_Agunan[[#This Row],[Target Upaya]]-COUNTIFS(Upaya_Agunan[[#This Row],[Blokir Agunan?]:[Penjualan Agunan?]],"Ya",Upaya_Agunan[[#This Row],[Blokir Agunan]:[Penjualan Agunan]],"")</f>
        <v>1</v>
      </c>
      <c r="S58" s="36">
        <f ca="1">IF(ISNUMBER(Upaya_Agunan[[#This Row],[Realisasi]]/Upaya_Agunan[[#This Row],[Target Upaya]]),Upaya_Agunan[[#This Row],[Realisasi]]/Upaya_Agunan[[#This Row],[Target Upaya]],1)</f>
        <v>1</v>
      </c>
    </row>
    <row r="59" spans="1:19" x14ac:dyDescent="0.3">
      <c r="A59" s="16">
        <v>48</v>
      </c>
      <c r="B59" s="17" t="s">
        <v>269</v>
      </c>
      <c r="C59" s="16" t="s">
        <v>85</v>
      </c>
      <c r="D59" s="16" t="s">
        <v>78</v>
      </c>
      <c r="E59" s="16" t="s">
        <v>93</v>
      </c>
      <c r="F59" s="35" t="str">
        <f ca="1">INDEX(Upaya_Debitur[Lunas?],MATCH(Upaya_Agunan[[#This Row],[Nomor PK]],Upaya_Debitur[Nomor PK],0))</f>
        <v>Belum Lunas</v>
      </c>
      <c r="G59" s="35" t="str">
        <f>IF(OR(Upaya_Agunan[[#This Row],[Agunan]]="SHM",Upaya_Agunan[[#This Row],[Agunan]]="BPKB"),"Ya","Tidak")</f>
        <v>Ya</v>
      </c>
      <c r="H5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5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59" s="35" t="str">
        <f ca="1">IF(AND(DATEDIF($B$5,$B$6,"D")&gt;=150,Upaya_Agunan[[#This Row],[Lelang 1?]]="Ya"),"Ya","Tidak")</f>
        <v>Tidak</v>
      </c>
      <c r="K59" s="35" t="str">
        <f ca="1">IF(AND(DATEDIF($B$5,$B$6,"D")&gt;=180,Upaya_Agunan[[#This Row],[Lelang 2?]]="Ya"),"Ya","Tidak")</f>
        <v>Tidak</v>
      </c>
      <c r="L59" s="18" t="s">
        <v>640</v>
      </c>
      <c r="M59" s="18"/>
      <c r="N59" s="18"/>
      <c r="O59" s="18"/>
      <c r="P59" s="18"/>
      <c r="Q59" s="35">
        <f ca="1">COUNTIF(Upaya_Agunan[[#This Row],[Blokir Agunan?]:[Penjualan Agunan?]],"Ya")</f>
        <v>1</v>
      </c>
      <c r="R59" s="35">
        <f ca="1">Upaya_Agunan[[#This Row],[Target Upaya]]-COUNTIFS(Upaya_Agunan[[#This Row],[Blokir Agunan?]:[Penjualan Agunan?]],"Ya",Upaya_Agunan[[#This Row],[Blokir Agunan]:[Penjualan Agunan]],"")</f>
        <v>1</v>
      </c>
      <c r="S59" s="36">
        <f ca="1">IF(ISNUMBER(Upaya_Agunan[[#This Row],[Realisasi]]/Upaya_Agunan[[#This Row],[Target Upaya]]),Upaya_Agunan[[#This Row],[Realisasi]]/Upaya_Agunan[[#This Row],[Target Upaya]],1)</f>
        <v>1</v>
      </c>
    </row>
    <row r="60" spans="1:19" x14ac:dyDescent="0.3">
      <c r="A60" s="16">
        <v>49</v>
      </c>
      <c r="B60" s="17" t="s">
        <v>271</v>
      </c>
      <c r="C60" s="16" t="s">
        <v>85</v>
      </c>
      <c r="D60" s="16" t="s">
        <v>78</v>
      </c>
      <c r="E60" s="16" t="s">
        <v>93</v>
      </c>
      <c r="F60" s="35" t="str">
        <f ca="1">INDEX(Upaya_Debitur[Lunas?],MATCH(Upaya_Agunan[[#This Row],[Nomor PK]],Upaya_Debitur[Nomor PK],0))</f>
        <v>Belum Lunas</v>
      </c>
      <c r="G60" s="35" t="str">
        <f>IF(OR(Upaya_Agunan[[#This Row],[Agunan]]="SHM",Upaya_Agunan[[#This Row],[Agunan]]="BPKB"),"Ya","Tidak")</f>
        <v>Ya</v>
      </c>
      <c r="H6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6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60" s="35" t="str">
        <f ca="1">IF(AND(DATEDIF($B$5,$B$6,"D")&gt;=150,Upaya_Agunan[[#This Row],[Lelang 1?]]="Ya"),"Ya","Tidak")</f>
        <v>Tidak</v>
      </c>
      <c r="K60" s="35" t="str">
        <f ca="1">IF(AND(DATEDIF($B$5,$B$6,"D")&gt;=180,Upaya_Agunan[[#This Row],[Lelang 2?]]="Ya"),"Ya","Tidak")</f>
        <v>Tidak</v>
      </c>
      <c r="L60" s="18" t="s">
        <v>640</v>
      </c>
      <c r="M60" s="18"/>
      <c r="N60" s="18"/>
      <c r="O60" s="18"/>
      <c r="P60" s="18"/>
      <c r="Q60" s="35">
        <f ca="1">COUNTIF(Upaya_Agunan[[#This Row],[Blokir Agunan?]:[Penjualan Agunan?]],"Ya")</f>
        <v>1</v>
      </c>
      <c r="R60" s="35">
        <f ca="1">Upaya_Agunan[[#This Row],[Target Upaya]]-COUNTIFS(Upaya_Agunan[[#This Row],[Blokir Agunan?]:[Penjualan Agunan?]],"Ya",Upaya_Agunan[[#This Row],[Blokir Agunan]:[Penjualan Agunan]],"")</f>
        <v>1</v>
      </c>
      <c r="S60" s="36">
        <f ca="1">IF(ISNUMBER(Upaya_Agunan[[#This Row],[Realisasi]]/Upaya_Agunan[[#This Row],[Target Upaya]]),Upaya_Agunan[[#This Row],[Realisasi]]/Upaya_Agunan[[#This Row],[Target Upaya]],1)</f>
        <v>1</v>
      </c>
    </row>
    <row r="61" spans="1:19" x14ac:dyDescent="0.3">
      <c r="A61" s="16">
        <v>50</v>
      </c>
      <c r="B61" s="17" t="s">
        <v>273</v>
      </c>
      <c r="C61" s="16" t="s">
        <v>85</v>
      </c>
      <c r="D61" s="16" t="s">
        <v>78</v>
      </c>
      <c r="E61" s="16" t="s">
        <v>93</v>
      </c>
      <c r="F61" s="35" t="str">
        <f ca="1">INDEX(Upaya_Debitur[Lunas?],MATCH(Upaya_Agunan[[#This Row],[Nomor PK]],Upaya_Debitur[Nomor PK],0))</f>
        <v>Belum Lunas</v>
      </c>
      <c r="G61" s="35" t="str">
        <f>IF(OR(Upaya_Agunan[[#This Row],[Agunan]]="SHM",Upaya_Agunan[[#This Row],[Agunan]]="BPKB"),"Ya","Tidak")</f>
        <v>Ya</v>
      </c>
      <c r="H6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6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61" s="35" t="str">
        <f ca="1">IF(AND(DATEDIF($B$5,$B$6,"D")&gt;=150,Upaya_Agunan[[#This Row],[Lelang 1?]]="Ya"),"Ya","Tidak")</f>
        <v>Tidak</v>
      </c>
      <c r="K61" s="35" t="str">
        <f ca="1">IF(AND(DATEDIF($B$5,$B$6,"D")&gt;=180,Upaya_Agunan[[#This Row],[Lelang 2?]]="Ya"),"Ya","Tidak")</f>
        <v>Tidak</v>
      </c>
      <c r="L61" s="18" t="s">
        <v>640</v>
      </c>
      <c r="M61" s="18"/>
      <c r="N61" s="18"/>
      <c r="O61" s="18"/>
      <c r="P61" s="18"/>
      <c r="Q61" s="35">
        <f ca="1">COUNTIF(Upaya_Agunan[[#This Row],[Blokir Agunan?]:[Penjualan Agunan?]],"Ya")</f>
        <v>1</v>
      </c>
      <c r="R61" s="35">
        <f ca="1">Upaya_Agunan[[#This Row],[Target Upaya]]-COUNTIFS(Upaya_Agunan[[#This Row],[Blokir Agunan?]:[Penjualan Agunan?]],"Ya",Upaya_Agunan[[#This Row],[Blokir Agunan]:[Penjualan Agunan]],"")</f>
        <v>1</v>
      </c>
      <c r="S61" s="36">
        <f ca="1">IF(ISNUMBER(Upaya_Agunan[[#This Row],[Realisasi]]/Upaya_Agunan[[#This Row],[Target Upaya]]),Upaya_Agunan[[#This Row],[Realisasi]]/Upaya_Agunan[[#This Row],[Target Upaya]],1)</f>
        <v>1</v>
      </c>
    </row>
    <row r="62" spans="1:19" x14ac:dyDescent="0.3">
      <c r="A62" s="16">
        <v>51</v>
      </c>
      <c r="B62" s="17" t="s">
        <v>275</v>
      </c>
      <c r="C62" s="16" t="s">
        <v>84</v>
      </c>
      <c r="D62" s="16" t="s">
        <v>100</v>
      </c>
      <c r="E62" s="16" t="s">
        <v>93</v>
      </c>
      <c r="F62" s="35" t="str">
        <f ca="1">INDEX(Upaya_Debitur[Lunas?],MATCH(Upaya_Agunan[[#This Row],[Nomor PK]],Upaya_Debitur[Nomor PK],0))</f>
        <v>Belum Lunas</v>
      </c>
      <c r="G62" s="35" t="str">
        <f>IF(OR(Upaya_Agunan[[#This Row],[Agunan]]="SHM",Upaya_Agunan[[#This Row],[Agunan]]="BPKB"),"Ya","Tidak")</f>
        <v>Tidak</v>
      </c>
      <c r="H6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6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62" s="35" t="str">
        <f ca="1">IF(AND(DATEDIF($B$5,$B$6,"D")&gt;=150,Upaya_Agunan[[#This Row],[Lelang 1?]]="Ya"),"Ya","Tidak")</f>
        <v>Tidak</v>
      </c>
      <c r="K62" s="35" t="str">
        <f ca="1">IF(AND(DATEDIF($B$5,$B$6,"D")&gt;=180,Upaya_Agunan[[#This Row],[Lelang 2?]]="Ya"),"Ya","Tidak")</f>
        <v>Tidak</v>
      </c>
      <c r="L62" s="18"/>
      <c r="M62" s="18"/>
      <c r="N62" s="18"/>
      <c r="O62" s="18"/>
      <c r="P62" s="18"/>
      <c r="Q62" s="35">
        <f ca="1">COUNTIF(Upaya_Agunan[[#This Row],[Blokir Agunan?]:[Penjualan Agunan?]],"Ya")</f>
        <v>0</v>
      </c>
      <c r="R62" s="35">
        <f ca="1">Upaya_Agunan[[#This Row],[Target Upaya]]-COUNTIFS(Upaya_Agunan[[#This Row],[Blokir Agunan?]:[Penjualan Agunan?]],"Ya",Upaya_Agunan[[#This Row],[Blokir Agunan]:[Penjualan Agunan]],"")</f>
        <v>0</v>
      </c>
      <c r="S62" s="36">
        <f ca="1">IF(ISNUMBER(Upaya_Agunan[[#This Row],[Realisasi]]/Upaya_Agunan[[#This Row],[Target Upaya]]),Upaya_Agunan[[#This Row],[Realisasi]]/Upaya_Agunan[[#This Row],[Target Upaya]],1)</f>
        <v>1</v>
      </c>
    </row>
    <row r="63" spans="1:19" x14ac:dyDescent="0.3">
      <c r="A63" s="16">
        <v>52</v>
      </c>
      <c r="B63" s="17" t="s">
        <v>277</v>
      </c>
      <c r="C63" s="16" t="s">
        <v>85</v>
      </c>
      <c r="D63" s="16" t="s">
        <v>78</v>
      </c>
      <c r="E63" s="16" t="s">
        <v>93</v>
      </c>
      <c r="F63" s="35" t="str">
        <f ca="1">INDEX(Upaya_Debitur[Lunas?],MATCH(Upaya_Agunan[[#This Row],[Nomor PK]],Upaya_Debitur[Nomor PK],0))</f>
        <v>Belum Lunas</v>
      </c>
      <c r="G63" s="35" t="str">
        <f>IF(OR(Upaya_Agunan[[#This Row],[Agunan]]="SHM",Upaya_Agunan[[#This Row],[Agunan]]="BPKB"),"Ya","Tidak")</f>
        <v>Ya</v>
      </c>
      <c r="H6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6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63" s="35" t="str">
        <f ca="1">IF(AND(DATEDIF($B$5,$B$6,"D")&gt;=150,Upaya_Agunan[[#This Row],[Lelang 1?]]="Ya"),"Ya","Tidak")</f>
        <v>Tidak</v>
      </c>
      <c r="K63" s="35" t="str">
        <f ca="1">IF(AND(DATEDIF($B$5,$B$6,"D")&gt;=180,Upaya_Agunan[[#This Row],[Lelang 2?]]="Ya"),"Ya","Tidak")</f>
        <v>Tidak</v>
      </c>
      <c r="L63" s="18" t="s">
        <v>642</v>
      </c>
      <c r="M63" s="18"/>
      <c r="N63" s="18"/>
      <c r="O63" s="18"/>
      <c r="P63" s="18"/>
      <c r="Q63" s="35">
        <f ca="1">COUNTIF(Upaya_Agunan[[#This Row],[Blokir Agunan?]:[Penjualan Agunan?]],"Ya")</f>
        <v>1</v>
      </c>
      <c r="R63" s="35">
        <f ca="1">Upaya_Agunan[[#This Row],[Target Upaya]]-COUNTIFS(Upaya_Agunan[[#This Row],[Blokir Agunan?]:[Penjualan Agunan?]],"Ya",Upaya_Agunan[[#This Row],[Blokir Agunan]:[Penjualan Agunan]],"")</f>
        <v>1</v>
      </c>
      <c r="S63" s="36">
        <f ca="1">IF(ISNUMBER(Upaya_Agunan[[#This Row],[Realisasi]]/Upaya_Agunan[[#This Row],[Target Upaya]]),Upaya_Agunan[[#This Row],[Realisasi]]/Upaya_Agunan[[#This Row],[Target Upaya]],1)</f>
        <v>1</v>
      </c>
    </row>
    <row r="64" spans="1:19" x14ac:dyDescent="0.3">
      <c r="A64" s="16">
        <v>53</v>
      </c>
      <c r="B64" s="17" t="s">
        <v>279</v>
      </c>
      <c r="C64" s="16" t="s">
        <v>85</v>
      </c>
      <c r="D64" s="16" t="s">
        <v>78</v>
      </c>
      <c r="E64" s="16" t="s">
        <v>93</v>
      </c>
      <c r="F64" s="35" t="str">
        <f ca="1">INDEX(Upaya_Debitur[Lunas?],MATCH(Upaya_Agunan[[#This Row],[Nomor PK]],Upaya_Debitur[Nomor PK],0))</f>
        <v>Belum Lunas</v>
      </c>
      <c r="G64" s="35" t="str">
        <f>IF(OR(Upaya_Agunan[[#This Row],[Agunan]]="SHM",Upaya_Agunan[[#This Row],[Agunan]]="BPKB"),"Ya","Tidak")</f>
        <v>Ya</v>
      </c>
      <c r="H6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6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64" s="35" t="str">
        <f ca="1">IF(AND(DATEDIF($B$5,$B$6,"D")&gt;=150,Upaya_Agunan[[#This Row],[Lelang 1?]]="Ya"),"Ya","Tidak")</f>
        <v>Tidak</v>
      </c>
      <c r="K64" s="35" t="str">
        <f ca="1">IF(AND(DATEDIF($B$5,$B$6,"D")&gt;=180,Upaya_Agunan[[#This Row],[Lelang 2?]]="Ya"),"Ya","Tidak")</f>
        <v>Tidak</v>
      </c>
      <c r="L64" s="18" t="s">
        <v>640</v>
      </c>
      <c r="M64" s="18"/>
      <c r="N64" s="18"/>
      <c r="O64" s="18"/>
      <c r="P64" s="18"/>
      <c r="Q64" s="35">
        <f ca="1">COUNTIF(Upaya_Agunan[[#This Row],[Blokir Agunan?]:[Penjualan Agunan?]],"Ya")</f>
        <v>1</v>
      </c>
      <c r="R64" s="35">
        <f ca="1">Upaya_Agunan[[#This Row],[Target Upaya]]-COUNTIFS(Upaya_Agunan[[#This Row],[Blokir Agunan?]:[Penjualan Agunan?]],"Ya",Upaya_Agunan[[#This Row],[Blokir Agunan]:[Penjualan Agunan]],"")</f>
        <v>1</v>
      </c>
      <c r="S64" s="36">
        <f ca="1">IF(ISNUMBER(Upaya_Agunan[[#This Row],[Realisasi]]/Upaya_Agunan[[#This Row],[Target Upaya]]),Upaya_Agunan[[#This Row],[Realisasi]]/Upaya_Agunan[[#This Row],[Target Upaya]],1)</f>
        <v>1</v>
      </c>
    </row>
    <row r="65" spans="1:19" x14ac:dyDescent="0.3">
      <c r="A65" s="16">
        <v>54</v>
      </c>
      <c r="B65" s="17" t="s">
        <v>281</v>
      </c>
      <c r="C65" s="16" t="s">
        <v>95</v>
      </c>
      <c r="D65" s="16" t="s">
        <v>638</v>
      </c>
      <c r="E65" s="16" t="s">
        <v>93</v>
      </c>
      <c r="F65" s="35" t="str">
        <f ca="1">INDEX(Upaya_Debitur[Lunas?],MATCH(Upaya_Agunan[[#This Row],[Nomor PK]],Upaya_Debitur[Nomor PK],0))</f>
        <v>Belum Lunas</v>
      </c>
      <c r="G65" s="35" t="str">
        <f>IF(OR(Upaya_Agunan[[#This Row],[Agunan]]="SHM",Upaya_Agunan[[#This Row],[Agunan]]="BPKB"),"Ya","Tidak")</f>
        <v>Tidak</v>
      </c>
      <c r="H6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6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65" s="35" t="str">
        <f ca="1">IF(AND(DATEDIF($B$5,$B$6,"D")&gt;=150,Upaya_Agunan[[#This Row],[Lelang 1?]]="Ya"),"Ya","Tidak")</f>
        <v>Tidak</v>
      </c>
      <c r="K65" s="35" t="str">
        <f ca="1">IF(AND(DATEDIF($B$5,$B$6,"D")&gt;=180,Upaya_Agunan[[#This Row],[Lelang 2?]]="Ya"),"Ya","Tidak")</f>
        <v>Tidak</v>
      </c>
      <c r="L65" s="18"/>
      <c r="M65" s="18"/>
      <c r="N65" s="18"/>
      <c r="O65" s="18"/>
      <c r="P65" s="18"/>
      <c r="Q65" s="35">
        <f ca="1">COUNTIF(Upaya_Agunan[[#This Row],[Blokir Agunan?]:[Penjualan Agunan?]],"Ya")</f>
        <v>0</v>
      </c>
      <c r="R65" s="35">
        <f ca="1">Upaya_Agunan[[#This Row],[Target Upaya]]-COUNTIFS(Upaya_Agunan[[#This Row],[Blokir Agunan?]:[Penjualan Agunan?]],"Ya",Upaya_Agunan[[#This Row],[Blokir Agunan]:[Penjualan Agunan]],"")</f>
        <v>0</v>
      </c>
      <c r="S65" s="36">
        <f ca="1">IF(ISNUMBER(Upaya_Agunan[[#This Row],[Realisasi]]/Upaya_Agunan[[#This Row],[Target Upaya]]),Upaya_Agunan[[#This Row],[Realisasi]]/Upaya_Agunan[[#This Row],[Target Upaya]],1)</f>
        <v>1</v>
      </c>
    </row>
    <row r="66" spans="1:19" x14ac:dyDescent="0.3">
      <c r="A66" s="16">
        <v>55</v>
      </c>
      <c r="B66" s="17" t="s">
        <v>283</v>
      </c>
      <c r="C66" s="16" t="s">
        <v>95</v>
      </c>
      <c r="D66" s="16" t="s">
        <v>638</v>
      </c>
      <c r="E66" s="16" t="s">
        <v>93</v>
      </c>
      <c r="F66" s="35" t="str">
        <f ca="1">INDEX(Upaya_Debitur[Lunas?],MATCH(Upaya_Agunan[[#This Row],[Nomor PK]],Upaya_Debitur[Nomor PK],0))</f>
        <v>Belum Lunas</v>
      </c>
      <c r="G66" s="35" t="str">
        <f>IF(OR(Upaya_Agunan[[#This Row],[Agunan]]="SHM",Upaya_Agunan[[#This Row],[Agunan]]="BPKB"),"Ya","Tidak")</f>
        <v>Tidak</v>
      </c>
      <c r="H6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6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66" s="35" t="str">
        <f ca="1">IF(AND(DATEDIF($B$5,$B$6,"D")&gt;=150,Upaya_Agunan[[#This Row],[Lelang 1?]]="Ya"),"Ya","Tidak")</f>
        <v>Tidak</v>
      </c>
      <c r="K66" s="35" t="str">
        <f ca="1">IF(AND(DATEDIF($B$5,$B$6,"D")&gt;=180,Upaya_Agunan[[#This Row],[Lelang 2?]]="Ya"),"Ya","Tidak")</f>
        <v>Tidak</v>
      </c>
      <c r="L66" s="18"/>
      <c r="M66" s="18"/>
      <c r="N66" s="18"/>
      <c r="O66" s="18"/>
      <c r="P66" s="18"/>
      <c r="Q66" s="35">
        <f ca="1">COUNTIF(Upaya_Agunan[[#This Row],[Blokir Agunan?]:[Penjualan Agunan?]],"Ya")</f>
        <v>0</v>
      </c>
      <c r="R66" s="35">
        <f ca="1">Upaya_Agunan[[#This Row],[Target Upaya]]-COUNTIFS(Upaya_Agunan[[#This Row],[Blokir Agunan?]:[Penjualan Agunan?]],"Ya",Upaya_Agunan[[#This Row],[Blokir Agunan]:[Penjualan Agunan]],"")</f>
        <v>0</v>
      </c>
      <c r="S66" s="36">
        <f ca="1">IF(ISNUMBER(Upaya_Agunan[[#This Row],[Realisasi]]/Upaya_Agunan[[#This Row],[Target Upaya]]),Upaya_Agunan[[#This Row],[Realisasi]]/Upaya_Agunan[[#This Row],[Target Upaya]],1)</f>
        <v>1</v>
      </c>
    </row>
    <row r="67" spans="1:19" x14ac:dyDescent="0.3">
      <c r="A67" s="16">
        <v>56</v>
      </c>
      <c r="B67" s="17" t="s">
        <v>285</v>
      </c>
      <c r="C67" s="16" t="s">
        <v>95</v>
      </c>
      <c r="D67" s="16" t="s">
        <v>638</v>
      </c>
      <c r="E67" s="16" t="s">
        <v>93</v>
      </c>
      <c r="F67" s="35" t="str">
        <f ca="1">INDEX(Upaya_Debitur[Lunas?],MATCH(Upaya_Agunan[[#This Row],[Nomor PK]],Upaya_Debitur[Nomor PK],0))</f>
        <v>Belum Lunas</v>
      </c>
      <c r="G67" s="35" t="str">
        <f>IF(OR(Upaya_Agunan[[#This Row],[Agunan]]="SHM",Upaya_Agunan[[#This Row],[Agunan]]="BPKB"),"Ya","Tidak")</f>
        <v>Tidak</v>
      </c>
      <c r="H6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6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67" s="35" t="str">
        <f ca="1">IF(AND(DATEDIF($B$5,$B$6,"D")&gt;=150,Upaya_Agunan[[#This Row],[Lelang 1?]]="Ya"),"Ya","Tidak")</f>
        <v>Tidak</v>
      </c>
      <c r="K67" s="35" t="str">
        <f ca="1">IF(AND(DATEDIF($B$5,$B$6,"D")&gt;=180,Upaya_Agunan[[#This Row],[Lelang 2?]]="Ya"),"Ya","Tidak")</f>
        <v>Tidak</v>
      </c>
      <c r="L67" s="18"/>
      <c r="M67" s="18"/>
      <c r="N67" s="18"/>
      <c r="O67" s="18"/>
      <c r="P67" s="18"/>
      <c r="Q67" s="35">
        <f ca="1">COUNTIF(Upaya_Agunan[[#This Row],[Blokir Agunan?]:[Penjualan Agunan?]],"Ya")</f>
        <v>0</v>
      </c>
      <c r="R67" s="35">
        <f ca="1">Upaya_Agunan[[#This Row],[Target Upaya]]-COUNTIFS(Upaya_Agunan[[#This Row],[Blokir Agunan?]:[Penjualan Agunan?]],"Ya",Upaya_Agunan[[#This Row],[Blokir Agunan]:[Penjualan Agunan]],"")</f>
        <v>0</v>
      </c>
      <c r="S67" s="36">
        <f ca="1">IF(ISNUMBER(Upaya_Agunan[[#This Row],[Realisasi]]/Upaya_Agunan[[#This Row],[Target Upaya]]),Upaya_Agunan[[#This Row],[Realisasi]]/Upaya_Agunan[[#This Row],[Target Upaya]],1)</f>
        <v>1</v>
      </c>
    </row>
    <row r="68" spans="1:19" x14ac:dyDescent="0.3">
      <c r="A68" s="16">
        <v>57</v>
      </c>
      <c r="B68" s="17" t="s">
        <v>287</v>
      </c>
      <c r="C68" s="16" t="s">
        <v>85</v>
      </c>
      <c r="D68" s="16" t="s">
        <v>78</v>
      </c>
      <c r="E68" s="16" t="s">
        <v>93</v>
      </c>
      <c r="F68" s="35" t="str">
        <f ca="1">INDEX(Upaya_Debitur[Lunas?],MATCH(Upaya_Agunan[[#This Row],[Nomor PK]],Upaya_Debitur[Nomor PK],0))</f>
        <v>Belum Lunas</v>
      </c>
      <c r="G68" s="35" t="str">
        <f>IF(OR(Upaya_Agunan[[#This Row],[Agunan]]="SHM",Upaya_Agunan[[#This Row],[Agunan]]="BPKB"),"Ya","Tidak")</f>
        <v>Ya</v>
      </c>
      <c r="H6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6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68" s="35" t="str">
        <f ca="1">IF(AND(DATEDIF($B$5,$B$6,"D")&gt;=150,Upaya_Agunan[[#This Row],[Lelang 1?]]="Ya"),"Ya","Tidak")</f>
        <v>Tidak</v>
      </c>
      <c r="K68" s="35" t="str">
        <f ca="1">IF(AND(DATEDIF($B$5,$B$6,"D")&gt;=180,Upaya_Agunan[[#This Row],[Lelang 2?]]="Ya"),"Ya","Tidak")</f>
        <v>Tidak</v>
      </c>
      <c r="L68" s="18">
        <v>44123</v>
      </c>
      <c r="M68" s="18"/>
      <c r="N68" s="18"/>
      <c r="O68" s="18"/>
      <c r="P68" s="18"/>
      <c r="Q68" s="35">
        <f ca="1">COUNTIF(Upaya_Agunan[[#This Row],[Blokir Agunan?]:[Penjualan Agunan?]],"Ya")</f>
        <v>1</v>
      </c>
      <c r="R68" s="35">
        <f ca="1">Upaya_Agunan[[#This Row],[Target Upaya]]-COUNTIFS(Upaya_Agunan[[#This Row],[Blokir Agunan?]:[Penjualan Agunan?]],"Ya",Upaya_Agunan[[#This Row],[Blokir Agunan]:[Penjualan Agunan]],"")</f>
        <v>1</v>
      </c>
      <c r="S68" s="36">
        <f ca="1">IF(ISNUMBER(Upaya_Agunan[[#This Row],[Realisasi]]/Upaya_Agunan[[#This Row],[Target Upaya]]),Upaya_Agunan[[#This Row],[Realisasi]]/Upaya_Agunan[[#This Row],[Target Upaya]],1)</f>
        <v>1</v>
      </c>
    </row>
    <row r="69" spans="1:19" x14ac:dyDescent="0.3">
      <c r="A69" s="16">
        <v>58</v>
      </c>
      <c r="B69" s="17" t="s">
        <v>289</v>
      </c>
      <c r="C69" s="16" t="s">
        <v>84</v>
      </c>
      <c r="D69" s="16" t="s">
        <v>79</v>
      </c>
      <c r="E69" s="16" t="s">
        <v>93</v>
      </c>
      <c r="F69" s="35" t="str">
        <f ca="1">INDEX(Upaya_Debitur[Lunas?],MATCH(Upaya_Agunan[[#This Row],[Nomor PK]],Upaya_Debitur[Nomor PK],0))</f>
        <v>Belum Lunas</v>
      </c>
      <c r="G69" s="35" t="str">
        <f>IF(OR(Upaya_Agunan[[#This Row],[Agunan]]="SHM",Upaya_Agunan[[#This Row],[Agunan]]="BPKB"),"Ya","Tidak")</f>
        <v>Tidak</v>
      </c>
      <c r="H6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6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69" s="35" t="str">
        <f ca="1">IF(AND(DATEDIF($B$5,$B$6,"D")&gt;=150,Upaya_Agunan[[#This Row],[Lelang 1?]]="Ya"),"Ya","Tidak")</f>
        <v>Tidak</v>
      </c>
      <c r="K69" s="35" t="str">
        <f ca="1">IF(AND(DATEDIF($B$5,$B$6,"D")&gt;=180,Upaya_Agunan[[#This Row],[Lelang 2?]]="Ya"),"Ya","Tidak")</f>
        <v>Tidak</v>
      </c>
      <c r="L69" s="18"/>
      <c r="M69" s="18"/>
      <c r="N69" s="18"/>
      <c r="O69" s="18"/>
      <c r="P69" s="18"/>
      <c r="Q69" s="35">
        <f ca="1">COUNTIF(Upaya_Agunan[[#This Row],[Blokir Agunan?]:[Penjualan Agunan?]],"Ya")</f>
        <v>0</v>
      </c>
      <c r="R69" s="35">
        <f ca="1">Upaya_Agunan[[#This Row],[Target Upaya]]-COUNTIFS(Upaya_Agunan[[#This Row],[Blokir Agunan?]:[Penjualan Agunan?]],"Ya",Upaya_Agunan[[#This Row],[Blokir Agunan]:[Penjualan Agunan]],"")</f>
        <v>0</v>
      </c>
      <c r="S69" s="36">
        <f ca="1">IF(ISNUMBER(Upaya_Agunan[[#This Row],[Realisasi]]/Upaya_Agunan[[#This Row],[Target Upaya]]),Upaya_Agunan[[#This Row],[Realisasi]]/Upaya_Agunan[[#This Row],[Target Upaya]],1)</f>
        <v>1</v>
      </c>
    </row>
    <row r="70" spans="1:19" x14ac:dyDescent="0.3">
      <c r="A70" s="16">
        <v>59</v>
      </c>
      <c r="B70" s="17" t="s">
        <v>291</v>
      </c>
      <c r="C70" s="16" t="s">
        <v>85</v>
      </c>
      <c r="D70" s="16" t="s">
        <v>78</v>
      </c>
      <c r="E70" s="16" t="s">
        <v>93</v>
      </c>
      <c r="F70" s="35" t="str">
        <f ca="1">INDEX(Upaya_Debitur[Lunas?],MATCH(Upaya_Agunan[[#This Row],[Nomor PK]],Upaya_Debitur[Nomor PK],0))</f>
        <v>Lunas</v>
      </c>
      <c r="G70" s="35" t="str">
        <f>IF(OR(Upaya_Agunan[[#This Row],[Agunan]]="SHM",Upaya_Agunan[[#This Row],[Agunan]]="BPKB"),"Ya","Tidak")</f>
        <v>Ya</v>
      </c>
      <c r="H7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7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70" s="35" t="str">
        <f ca="1">IF(AND(DATEDIF($B$5,$B$6,"D")&gt;=150,Upaya_Agunan[[#This Row],[Lelang 1?]]="Ya"),"Ya","Tidak")</f>
        <v>Tidak</v>
      </c>
      <c r="K70" s="35" t="str">
        <f ca="1">IF(AND(DATEDIF($B$5,$B$6,"D")&gt;=180,Upaya_Agunan[[#This Row],[Lelang 2?]]="Ya"),"Ya","Tidak")</f>
        <v>Tidak</v>
      </c>
      <c r="L70" s="18" t="s">
        <v>641</v>
      </c>
      <c r="M70" s="18"/>
      <c r="N70" s="18"/>
      <c r="O70" s="18"/>
      <c r="P70" s="18"/>
      <c r="Q70" s="35">
        <f ca="1">COUNTIF(Upaya_Agunan[[#This Row],[Blokir Agunan?]:[Penjualan Agunan?]],"Ya")</f>
        <v>1</v>
      </c>
      <c r="R70" s="35">
        <f ca="1">Upaya_Agunan[[#This Row],[Target Upaya]]-COUNTIFS(Upaya_Agunan[[#This Row],[Blokir Agunan?]:[Penjualan Agunan?]],"Ya",Upaya_Agunan[[#This Row],[Blokir Agunan]:[Penjualan Agunan]],"")</f>
        <v>1</v>
      </c>
      <c r="S70" s="36">
        <f ca="1">IF(ISNUMBER(Upaya_Agunan[[#This Row],[Realisasi]]/Upaya_Agunan[[#This Row],[Target Upaya]]),Upaya_Agunan[[#This Row],[Realisasi]]/Upaya_Agunan[[#This Row],[Target Upaya]],1)</f>
        <v>1</v>
      </c>
    </row>
    <row r="71" spans="1:19" x14ac:dyDescent="0.3">
      <c r="A71" s="16">
        <v>60</v>
      </c>
      <c r="B71" s="17" t="s">
        <v>293</v>
      </c>
      <c r="C71" s="16" t="s">
        <v>84</v>
      </c>
      <c r="D71" s="16" t="s">
        <v>79</v>
      </c>
      <c r="E71" s="16" t="s">
        <v>93</v>
      </c>
      <c r="F71" s="35" t="str">
        <f ca="1">INDEX(Upaya_Debitur[Lunas?],MATCH(Upaya_Agunan[[#This Row],[Nomor PK]],Upaya_Debitur[Nomor PK],0))</f>
        <v>Belum Lunas</v>
      </c>
      <c r="G71" s="35" t="str">
        <f>IF(OR(Upaya_Agunan[[#This Row],[Agunan]]="SHM",Upaya_Agunan[[#This Row],[Agunan]]="BPKB"),"Ya","Tidak")</f>
        <v>Tidak</v>
      </c>
      <c r="H7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7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71" s="35" t="str">
        <f ca="1">IF(AND(DATEDIF($B$5,$B$6,"D")&gt;=150,Upaya_Agunan[[#This Row],[Lelang 1?]]="Ya"),"Ya","Tidak")</f>
        <v>Tidak</v>
      </c>
      <c r="K71" s="35" t="str">
        <f ca="1">IF(AND(DATEDIF($B$5,$B$6,"D")&gt;=180,Upaya_Agunan[[#This Row],[Lelang 2?]]="Ya"),"Ya","Tidak")</f>
        <v>Tidak</v>
      </c>
      <c r="L71" s="18"/>
      <c r="M71" s="18"/>
      <c r="N71" s="18"/>
      <c r="O71" s="18"/>
      <c r="P71" s="18"/>
      <c r="Q71" s="35">
        <f ca="1">COUNTIF(Upaya_Agunan[[#This Row],[Blokir Agunan?]:[Penjualan Agunan?]],"Ya")</f>
        <v>0</v>
      </c>
      <c r="R71" s="35">
        <f ca="1">Upaya_Agunan[[#This Row],[Target Upaya]]-COUNTIFS(Upaya_Agunan[[#This Row],[Blokir Agunan?]:[Penjualan Agunan?]],"Ya",Upaya_Agunan[[#This Row],[Blokir Agunan]:[Penjualan Agunan]],"")</f>
        <v>0</v>
      </c>
      <c r="S71" s="36">
        <f ca="1">IF(ISNUMBER(Upaya_Agunan[[#This Row],[Realisasi]]/Upaya_Agunan[[#This Row],[Target Upaya]]),Upaya_Agunan[[#This Row],[Realisasi]]/Upaya_Agunan[[#This Row],[Target Upaya]],1)</f>
        <v>1</v>
      </c>
    </row>
    <row r="72" spans="1:19" x14ac:dyDescent="0.3">
      <c r="A72" s="16">
        <v>61</v>
      </c>
      <c r="B72" s="17" t="s">
        <v>295</v>
      </c>
      <c r="C72" s="16" t="s">
        <v>84</v>
      </c>
      <c r="D72" s="16" t="s">
        <v>98</v>
      </c>
      <c r="E72" s="16" t="s">
        <v>93</v>
      </c>
      <c r="F72" s="35" t="str">
        <f ca="1">INDEX(Upaya_Debitur[Lunas?],MATCH(Upaya_Agunan[[#This Row],[Nomor PK]],Upaya_Debitur[Nomor PK],0))</f>
        <v>Belum Lunas</v>
      </c>
      <c r="G72" s="35" t="str">
        <f>IF(OR(Upaya_Agunan[[#This Row],[Agunan]]="SHM",Upaya_Agunan[[#This Row],[Agunan]]="BPKB"),"Ya","Tidak")</f>
        <v>Tidak</v>
      </c>
      <c r="H7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7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72" s="35" t="str">
        <f ca="1">IF(AND(DATEDIF($B$5,$B$6,"D")&gt;=150,Upaya_Agunan[[#This Row],[Lelang 1?]]="Ya"),"Ya","Tidak")</f>
        <v>Tidak</v>
      </c>
      <c r="K72" s="35" t="str">
        <f ca="1">IF(AND(DATEDIF($B$5,$B$6,"D")&gt;=180,Upaya_Agunan[[#This Row],[Lelang 2?]]="Ya"),"Ya","Tidak")</f>
        <v>Tidak</v>
      </c>
      <c r="L72" s="18"/>
      <c r="M72" s="18"/>
      <c r="N72" s="18"/>
      <c r="O72" s="18"/>
      <c r="P72" s="18"/>
      <c r="Q72" s="35">
        <f ca="1">COUNTIF(Upaya_Agunan[[#This Row],[Blokir Agunan?]:[Penjualan Agunan?]],"Ya")</f>
        <v>0</v>
      </c>
      <c r="R72" s="35">
        <f ca="1">Upaya_Agunan[[#This Row],[Target Upaya]]-COUNTIFS(Upaya_Agunan[[#This Row],[Blokir Agunan?]:[Penjualan Agunan?]],"Ya",Upaya_Agunan[[#This Row],[Blokir Agunan]:[Penjualan Agunan]],"")</f>
        <v>0</v>
      </c>
      <c r="S72" s="36">
        <f ca="1">IF(ISNUMBER(Upaya_Agunan[[#This Row],[Realisasi]]/Upaya_Agunan[[#This Row],[Target Upaya]]),Upaya_Agunan[[#This Row],[Realisasi]]/Upaya_Agunan[[#This Row],[Target Upaya]],1)</f>
        <v>1</v>
      </c>
    </row>
    <row r="73" spans="1:19" x14ac:dyDescent="0.3">
      <c r="A73" s="16">
        <v>62</v>
      </c>
      <c r="B73" s="17" t="s">
        <v>297</v>
      </c>
      <c r="C73" s="16" t="s">
        <v>95</v>
      </c>
      <c r="D73" s="16" t="s">
        <v>638</v>
      </c>
      <c r="E73" s="16" t="s">
        <v>93</v>
      </c>
      <c r="F73" s="35" t="str">
        <f ca="1">INDEX(Upaya_Debitur[Lunas?],MATCH(Upaya_Agunan[[#This Row],[Nomor PK]],Upaya_Debitur[Nomor PK],0))</f>
        <v>Belum Lunas</v>
      </c>
      <c r="G73" s="35" t="str">
        <f>IF(OR(Upaya_Agunan[[#This Row],[Agunan]]="SHM",Upaya_Agunan[[#This Row],[Agunan]]="BPKB"),"Ya","Tidak")</f>
        <v>Tidak</v>
      </c>
      <c r="H7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7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73" s="35" t="str">
        <f ca="1">IF(AND(DATEDIF($B$5,$B$6,"D")&gt;=150,Upaya_Agunan[[#This Row],[Lelang 1?]]="Ya"),"Ya","Tidak")</f>
        <v>Tidak</v>
      </c>
      <c r="K73" s="35" t="str">
        <f ca="1">IF(AND(DATEDIF($B$5,$B$6,"D")&gt;=180,Upaya_Agunan[[#This Row],[Lelang 2?]]="Ya"),"Ya","Tidak")</f>
        <v>Tidak</v>
      </c>
      <c r="L73" s="18"/>
      <c r="M73" s="18"/>
      <c r="N73" s="18"/>
      <c r="O73" s="18"/>
      <c r="P73" s="18"/>
      <c r="Q73" s="35">
        <f ca="1">COUNTIF(Upaya_Agunan[[#This Row],[Blokir Agunan?]:[Penjualan Agunan?]],"Ya")</f>
        <v>0</v>
      </c>
      <c r="R73" s="35">
        <f ca="1">Upaya_Agunan[[#This Row],[Target Upaya]]-COUNTIFS(Upaya_Agunan[[#This Row],[Blokir Agunan?]:[Penjualan Agunan?]],"Ya",Upaya_Agunan[[#This Row],[Blokir Agunan]:[Penjualan Agunan]],"")</f>
        <v>0</v>
      </c>
      <c r="S73" s="36">
        <f ca="1">IF(ISNUMBER(Upaya_Agunan[[#This Row],[Realisasi]]/Upaya_Agunan[[#This Row],[Target Upaya]]),Upaya_Agunan[[#This Row],[Realisasi]]/Upaya_Agunan[[#This Row],[Target Upaya]],1)</f>
        <v>1</v>
      </c>
    </row>
    <row r="74" spans="1:19" x14ac:dyDescent="0.3">
      <c r="A74" s="16">
        <v>63</v>
      </c>
      <c r="B74" s="17" t="s">
        <v>299</v>
      </c>
      <c r="C74" s="16" t="s">
        <v>95</v>
      </c>
      <c r="D74" s="16" t="s">
        <v>638</v>
      </c>
      <c r="E74" s="16" t="s">
        <v>93</v>
      </c>
      <c r="F74" s="35" t="str">
        <f ca="1">INDEX(Upaya_Debitur[Lunas?],MATCH(Upaya_Agunan[[#This Row],[Nomor PK]],Upaya_Debitur[Nomor PK],0))</f>
        <v>Belum Lunas</v>
      </c>
      <c r="G74" s="35" t="str">
        <f>IF(OR(Upaya_Agunan[[#This Row],[Agunan]]="SHM",Upaya_Agunan[[#This Row],[Agunan]]="BPKB"),"Ya","Tidak")</f>
        <v>Tidak</v>
      </c>
      <c r="H7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7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74" s="35" t="str">
        <f ca="1">IF(AND(DATEDIF($B$5,$B$6,"D")&gt;=150,Upaya_Agunan[[#This Row],[Lelang 1?]]="Ya"),"Ya","Tidak")</f>
        <v>Tidak</v>
      </c>
      <c r="K74" s="35" t="str">
        <f ca="1">IF(AND(DATEDIF($B$5,$B$6,"D")&gt;=180,Upaya_Agunan[[#This Row],[Lelang 2?]]="Ya"),"Ya","Tidak")</f>
        <v>Tidak</v>
      </c>
      <c r="L74" s="18"/>
      <c r="M74" s="18"/>
      <c r="N74" s="18"/>
      <c r="O74" s="18"/>
      <c r="P74" s="18"/>
      <c r="Q74" s="35">
        <f ca="1">COUNTIF(Upaya_Agunan[[#This Row],[Blokir Agunan?]:[Penjualan Agunan?]],"Ya")</f>
        <v>0</v>
      </c>
      <c r="R74" s="35">
        <f ca="1">Upaya_Agunan[[#This Row],[Target Upaya]]-COUNTIFS(Upaya_Agunan[[#This Row],[Blokir Agunan?]:[Penjualan Agunan?]],"Ya",Upaya_Agunan[[#This Row],[Blokir Agunan]:[Penjualan Agunan]],"")</f>
        <v>0</v>
      </c>
      <c r="S74" s="36">
        <f ca="1">IF(ISNUMBER(Upaya_Agunan[[#This Row],[Realisasi]]/Upaya_Agunan[[#This Row],[Target Upaya]]),Upaya_Agunan[[#This Row],[Realisasi]]/Upaya_Agunan[[#This Row],[Target Upaya]],1)</f>
        <v>1</v>
      </c>
    </row>
    <row r="75" spans="1:19" x14ac:dyDescent="0.3">
      <c r="A75" s="16">
        <v>64</v>
      </c>
      <c r="B75" s="17" t="s">
        <v>301</v>
      </c>
      <c r="C75" s="16" t="s">
        <v>95</v>
      </c>
      <c r="D75" s="16" t="s">
        <v>638</v>
      </c>
      <c r="E75" s="16" t="s">
        <v>93</v>
      </c>
      <c r="F75" s="35" t="str">
        <f ca="1">INDEX(Upaya_Debitur[Lunas?],MATCH(Upaya_Agunan[[#This Row],[Nomor PK]],Upaya_Debitur[Nomor PK],0))</f>
        <v>Belum Lunas</v>
      </c>
      <c r="G75" s="35" t="str">
        <f>IF(OR(Upaya_Agunan[[#This Row],[Agunan]]="SHM",Upaya_Agunan[[#This Row],[Agunan]]="BPKB"),"Ya","Tidak")</f>
        <v>Tidak</v>
      </c>
      <c r="H7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7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75" s="35" t="str">
        <f ca="1">IF(AND(DATEDIF($B$5,$B$6,"D")&gt;=150,Upaya_Agunan[[#This Row],[Lelang 1?]]="Ya"),"Ya","Tidak")</f>
        <v>Tidak</v>
      </c>
      <c r="K75" s="35" t="str">
        <f ca="1">IF(AND(DATEDIF($B$5,$B$6,"D")&gt;=180,Upaya_Agunan[[#This Row],[Lelang 2?]]="Ya"),"Ya","Tidak")</f>
        <v>Tidak</v>
      </c>
      <c r="L75" s="18"/>
      <c r="M75" s="18"/>
      <c r="N75" s="18"/>
      <c r="O75" s="18"/>
      <c r="P75" s="18"/>
      <c r="Q75" s="35">
        <f ca="1">COUNTIF(Upaya_Agunan[[#This Row],[Blokir Agunan?]:[Penjualan Agunan?]],"Ya")</f>
        <v>0</v>
      </c>
      <c r="R75" s="35">
        <f ca="1">Upaya_Agunan[[#This Row],[Target Upaya]]-COUNTIFS(Upaya_Agunan[[#This Row],[Blokir Agunan?]:[Penjualan Agunan?]],"Ya",Upaya_Agunan[[#This Row],[Blokir Agunan]:[Penjualan Agunan]],"")</f>
        <v>0</v>
      </c>
      <c r="S75" s="36">
        <f ca="1">IF(ISNUMBER(Upaya_Agunan[[#This Row],[Realisasi]]/Upaya_Agunan[[#This Row],[Target Upaya]]),Upaya_Agunan[[#This Row],[Realisasi]]/Upaya_Agunan[[#This Row],[Target Upaya]],1)</f>
        <v>1</v>
      </c>
    </row>
    <row r="76" spans="1:19" x14ac:dyDescent="0.3">
      <c r="A76" s="16">
        <v>65</v>
      </c>
      <c r="B76" s="17" t="s">
        <v>303</v>
      </c>
      <c r="C76" s="16" t="s">
        <v>95</v>
      </c>
      <c r="D76" s="16" t="s">
        <v>638</v>
      </c>
      <c r="E76" s="16" t="s">
        <v>93</v>
      </c>
      <c r="F76" s="35" t="str">
        <f ca="1">INDEX(Upaya_Debitur[Lunas?],MATCH(Upaya_Agunan[[#This Row],[Nomor PK]],Upaya_Debitur[Nomor PK],0))</f>
        <v>Belum Lunas</v>
      </c>
      <c r="G76" s="35" t="str">
        <f>IF(OR(Upaya_Agunan[[#This Row],[Agunan]]="SHM",Upaya_Agunan[[#This Row],[Agunan]]="BPKB"),"Ya","Tidak")</f>
        <v>Tidak</v>
      </c>
      <c r="H7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7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76" s="35" t="str">
        <f ca="1">IF(AND(DATEDIF($B$5,$B$6,"D")&gt;=150,Upaya_Agunan[[#This Row],[Lelang 1?]]="Ya"),"Ya","Tidak")</f>
        <v>Tidak</v>
      </c>
      <c r="K76" s="35" t="str">
        <f ca="1">IF(AND(DATEDIF($B$5,$B$6,"D")&gt;=180,Upaya_Agunan[[#This Row],[Lelang 2?]]="Ya"),"Ya","Tidak")</f>
        <v>Tidak</v>
      </c>
      <c r="L76" s="18"/>
      <c r="M76" s="18"/>
      <c r="N76" s="18"/>
      <c r="O76" s="18"/>
      <c r="P76" s="18"/>
      <c r="Q76" s="35">
        <f ca="1">COUNTIF(Upaya_Agunan[[#This Row],[Blokir Agunan?]:[Penjualan Agunan?]],"Ya")</f>
        <v>0</v>
      </c>
      <c r="R76" s="35">
        <f ca="1">Upaya_Agunan[[#This Row],[Target Upaya]]-COUNTIFS(Upaya_Agunan[[#This Row],[Blokir Agunan?]:[Penjualan Agunan?]],"Ya",Upaya_Agunan[[#This Row],[Blokir Agunan]:[Penjualan Agunan]],"")</f>
        <v>0</v>
      </c>
      <c r="S76" s="36">
        <f ca="1">IF(ISNUMBER(Upaya_Agunan[[#This Row],[Realisasi]]/Upaya_Agunan[[#This Row],[Target Upaya]]),Upaya_Agunan[[#This Row],[Realisasi]]/Upaya_Agunan[[#This Row],[Target Upaya]],1)</f>
        <v>1</v>
      </c>
    </row>
    <row r="77" spans="1:19" x14ac:dyDescent="0.3">
      <c r="A77" s="16">
        <v>66</v>
      </c>
      <c r="B77" s="17" t="s">
        <v>305</v>
      </c>
      <c r="C77" s="16" t="s">
        <v>95</v>
      </c>
      <c r="D77" s="16" t="s">
        <v>638</v>
      </c>
      <c r="E77" s="16" t="s">
        <v>93</v>
      </c>
      <c r="F77" s="35" t="str">
        <f ca="1">INDEX(Upaya_Debitur[Lunas?],MATCH(Upaya_Agunan[[#This Row],[Nomor PK]],Upaya_Debitur[Nomor PK],0))</f>
        <v>Belum Lunas</v>
      </c>
      <c r="G77" s="35" t="str">
        <f>IF(OR(Upaya_Agunan[[#This Row],[Agunan]]="SHM",Upaya_Agunan[[#This Row],[Agunan]]="BPKB"),"Ya","Tidak")</f>
        <v>Tidak</v>
      </c>
      <c r="H7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7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77" s="35" t="str">
        <f ca="1">IF(AND(DATEDIF($B$5,$B$6,"D")&gt;=150,Upaya_Agunan[[#This Row],[Lelang 1?]]="Ya"),"Ya","Tidak")</f>
        <v>Tidak</v>
      </c>
      <c r="K77" s="35" t="str">
        <f ca="1">IF(AND(DATEDIF($B$5,$B$6,"D")&gt;=180,Upaya_Agunan[[#This Row],[Lelang 2?]]="Ya"),"Ya","Tidak")</f>
        <v>Tidak</v>
      </c>
      <c r="L77" s="18"/>
      <c r="M77" s="18"/>
      <c r="N77" s="18"/>
      <c r="O77" s="18"/>
      <c r="P77" s="18"/>
      <c r="Q77" s="35">
        <f ca="1">COUNTIF(Upaya_Agunan[[#This Row],[Blokir Agunan?]:[Penjualan Agunan?]],"Ya")</f>
        <v>0</v>
      </c>
      <c r="R77" s="35">
        <f ca="1">Upaya_Agunan[[#This Row],[Target Upaya]]-COUNTIFS(Upaya_Agunan[[#This Row],[Blokir Agunan?]:[Penjualan Agunan?]],"Ya",Upaya_Agunan[[#This Row],[Blokir Agunan]:[Penjualan Agunan]],"")</f>
        <v>0</v>
      </c>
      <c r="S77" s="36">
        <f ca="1">IF(ISNUMBER(Upaya_Agunan[[#This Row],[Realisasi]]/Upaya_Agunan[[#This Row],[Target Upaya]]),Upaya_Agunan[[#This Row],[Realisasi]]/Upaya_Agunan[[#This Row],[Target Upaya]],1)</f>
        <v>1</v>
      </c>
    </row>
    <row r="78" spans="1:19" x14ac:dyDescent="0.3">
      <c r="A78" s="16">
        <v>67</v>
      </c>
      <c r="B78" s="17" t="s">
        <v>307</v>
      </c>
      <c r="C78" s="16" t="s">
        <v>85</v>
      </c>
      <c r="D78" s="16" t="s">
        <v>78</v>
      </c>
      <c r="E78" s="16" t="s">
        <v>93</v>
      </c>
      <c r="F78" s="35" t="str">
        <f ca="1">INDEX(Upaya_Debitur[Lunas?],MATCH(Upaya_Agunan[[#This Row],[Nomor PK]],Upaya_Debitur[Nomor PK],0))</f>
        <v>Belum Lunas</v>
      </c>
      <c r="G78" s="35" t="str">
        <f>IF(OR(Upaya_Agunan[[#This Row],[Agunan]]="SHM",Upaya_Agunan[[#This Row],[Agunan]]="BPKB"),"Ya","Tidak")</f>
        <v>Ya</v>
      </c>
      <c r="H7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7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78" s="35" t="str">
        <f ca="1">IF(AND(DATEDIF($B$5,$B$6,"D")&gt;=150,Upaya_Agunan[[#This Row],[Lelang 1?]]="Ya"),"Ya","Tidak")</f>
        <v>Tidak</v>
      </c>
      <c r="K78" s="35" t="str">
        <f ca="1">IF(AND(DATEDIF($B$5,$B$6,"D")&gt;=180,Upaya_Agunan[[#This Row],[Lelang 2?]]="Ya"),"Ya","Tidak")</f>
        <v>Tidak</v>
      </c>
      <c r="L78" s="18" t="s">
        <v>640</v>
      </c>
      <c r="M78" s="18"/>
      <c r="N78" s="18"/>
      <c r="O78" s="18"/>
      <c r="P78" s="18"/>
      <c r="Q78" s="35">
        <f ca="1">COUNTIF(Upaya_Agunan[[#This Row],[Blokir Agunan?]:[Penjualan Agunan?]],"Ya")</f>
        <v>1</v>
      </c>
      <c r="R78" s="35">
        <f ca="1">Upaya_Agunan[[#This Row],[Target Upaya]]-COUNTIFS(Upaya_Agunan[[#This Row],[Blokir Agunan?]:[Penjualan Agunan?]],"Ya",Upaya_Agunan[[#This Row],[Blokir Agunan]:[Penjualan Agunan]],"")</f>
        <v>1</v>
      </c>
      <c r="S78" s="36">
        <f ca="1">IF(ISNUMBER(Upaya_Agunan[[#This Row],[Realisasi]]/Upaya_Agunan[[#This Row],[Target Upaya]]),Upaya_Agunan[[#This Row],[Realisasi]]/Upaya_Agunan[[#This Row],[Target Upaya]],1)</f>
        <v>1</v>
      </c>
    </row>
    <row r="79" spans="1:19" x14ac:dyDescent="0.3">
      <c r="A79" s="16">
        <v>68</v>
      </c>
      <c r="B79" s="17" t="s">
        <v>309</v>
      </c>
      <c r="C79" s="16" t="s">
        <v>95</v>
      </c>
      <c r="D79" s="16" t="s">
        <v>638</v>
      </c>
      <c r="E79" s="16" t="s">
        <v>93</v>
      </c>
      <c r="F79" s="35" t="str">
        <f ca="1">INDEX(Upaya_Debitur[Lunas?],MATCH(Upaya_Agunan[[#This Row],[Nomor PK]],Upaya_Debitur[Nomor PK],0))</f>
        <v>Belum Lunas</v>
      </c>
      <c r="G79" s="35" t="str">
        <f>IF(OR(Upaya_Agunan[[#This Row],[Agunan]]="SHM",Upaya_Agunan[[#This Row],[Agunan]]="BPKB"),"Ya","Tidak")</f>
        <v>Tidak</v>
      </c>
      <c r="H7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7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79" s="35" t="str">
        <f ca="1">IF(AND(DATEDIF($B$5,$B$6,"D")&gt;=150,Upaya_Agunan[[#This Row],[Lelang 1?]]="Ya"),"Ya","Tidak")</f>
        <v>Tidak</v>
      </c>
      <c r="K79" s="35" t="str">
        <f ca="1">IF(AND(DATEDIF($B$5,$B$6,"D")&gt;=180,Upaya_Agunan[[#This Row],[Lelang 2?]]="Ya"),"Ya","Tidak")</f>
        <v>Tidak</v>
      </c>
      <c r="L79" s="18"/>
      <c r="M79" s="18"/>
      <c r="N79" s="18"/>
      <c r="O79" s="18"/>
      <c r="P79" s="18"/>
      <c r="Q79" s="35">
        <f ca="1">COUNTIF(Upaya_Agunan[[#This Row],[Blokir Agunan?]:[Penjualan Agunan?]],"Ya")</f>
        <v>0</v>
      </c>
      <c r="R79" s="35">
        <f ca="1">Upaya_Agunan[[#This Row],[Target Upaya]]-COUNTIFS(Upaya_Agunan[[#This Row],[Blokir Agunan?]:[Penjualan Agunan?]],"Ya",Upaya_Agunan[[#This Row],[Blokir Agunan]:[Penjualan Agunan]],"")</f>
        <v>0</v>
      </c>
      <c r="S79" s="36">
        <f ca="1">IF(ISNUMBER(Upaya_Agunan[[#This Row],[Realisasi]]/Upaya_Agunan[[#This Row],[Target Upaya]]),Upaya_Agunan[[#This Row],[Realisasi]]/Upaya_Agunan[[#This Row],[Target Upaya]],1)</f>
        <v>1</v>
      </c>
    </row>
    <row r="80" spans="1:19" x14ac:dyDescent="0.3">
      <c r="A80" s="16">
        <v>69</v>
      </c>
      <c r="B80" s="17" t="s">
        <v>311</v>
      </c>
      <c r="C80" s="16" t="s">
        <v>95</v>
      </c>
      <c r="D80" s="16" t="s">
        <v>638</v>
      </c>
      <c r="E80" s="16" t="s">
        <v>93</v>
      </c>
      <c r="F80" s="35" t="str">
        <f ca="1">INDEX(Upaya_Debitur[Lunas?],MATCH(Upaya_Agunan[[#This Row],[Nomor PK]],Upaya_Debitur[Nomor PK],0))</f>
        <v>Belum Lunas</v>
      </c>
      <c r="G80" s="35" t="str">
        <f>IF(OR(Upaya_Agunan[[#This Row],[Agunan]]="SHM",Upaya_Agunan[[#This Row],[Agunan]]="BPKB"),"Ya","Tidak")</f>
        <v>Tidak</v>
      </c>
      <c r="H8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8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80" s="35" t="str">
        <f ca="1">IF(AND(DATEDIF($B$5,$B$6,"D")&gt;=150,Upaya_Agunan[[#This Row],[Lelang 1?]]="Ya"),"Ya","Tidak")</f>
        <v>Tidak</v>
      </c>
      <c r="K80" s="35" t="str">
        <f ca="1">IF(AND(DATEDIF($B$5,$B$6,"D")&gt;=180,Upaya_Agunan[[#This Row],[Lelang 2?]]="Ya"),"Ya","Tidak")</f>
        <v>Tidak</v>
      </c>
      <c r="L80" s="18"/>
      <c r="M80" s="18"/>
      <c r="N80" s="18"/>
      <c r="O80" s="18"/>
      <c r="P80" s="18"/>
      <c r="Q80" s="35">
        <f ca="1">COUNTIF(Upaya_Agunan[[#This Row],[Blokir Agunan?]:[Penjualan Agunan?]],"Ya")</f>
        <v>0</v>
      </c>
      <c r="R80" s="35">
        <f ca="1">Upaya_Agunan[[#This Row],[Target Upaya]]-COUNTIFS(Upaya_Agunan[[#This Row],[Blokir Agunan?]:[Penjualan Agunan?]],"Ya",Upaya_Agunan[[#This Row],[Blokir Agunan]:[Penjualan Agunan]],"")</f>
        <v>0</v>
      </c>
      <c r="S80" s="36">
        <f ca="1">IF(ISNUMBER(Upaya_Agunan[[#This Row],[Realisasi]]/Upaya_Agunan[[#This Row],[Target Upaya]]),Upaya_Agunan[[#This Row],[Realisasi]]/Upaya_Agunan[[#This Row],[Target Upaya]],1)</f>
        <v>1</v>
      </c>
    </row>
    <row r="81" spans="1:19" x14ac:dyDescent="0.3">
      <c r="A81" s="16">
        <v>70</v>
      </c>
      <c r="B81" s="17" t="s">
        <v>313</v>
      </c>
      <c r="C81" s="16" t="s">
        <v>95</v>
      </c>
      <c r="D81" s="16" t="s">
        <v>638</v>
      </c>
      <c r="E81" s="16" t="s">
        <v>93</v>
      </c>
      <c r="F81" s="35" t="str">
        <f ca="1">INDEX(Upaya_Debitur[Lunas?],MATCH(Upaya_Agunan[[#This Row],[Nomor PK]],Upaya_Debitur[Nomor PK],0))</f>
        <v>Belum Lunas</v>
      </c>
      <c r="G81" s="35" t="str">
        <f>IF(OR(Upaya_Agunan[[#This Row],[Agunan]]="SHM",Upaya_Agunan[[#This Row],[Agunan]]="BPKB"),"Ya","Tidak")</f>
        <v>Tidak</v>
      </c>
      <c r="H8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8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81" s="35" t="str">
        <f ca="1">IF(AND(DATEDIF($B$5,$B$6,"D")&gt;=150,Upaya_Agunan[[#This Row],[Lelang 1?]]="Ya"),"Ya","Tidak")</f>
        <v>Tidak</v>
      </c>
      <c r="K81" s="35" t="str">
        <f ca="1">IF(AND(DATEDIF($B$5,$B$6,"D")&gt;=180,Upaya_Agunan[[#This Row],[Lelang 2?]]="Ya"),"Ya","Tidak")</f>
        <v>Tidak</v>
      </c>
      <c r="L81" s="18"/>
      <c r="M81" s="18"/>
      <c r="N81" s="18"/>
      <c r="O81" s="18"/>
      <c r="P81" s="18"/>
      <c r="Q81" s="35">
        <f ca="1">COUNTIF(Upaya_Agunan[[#This Row],[Blokir Agunan?]:[Penjualan Agunan?]],"Ya")</f>
        <v>0</v>
      </c>
      <c r="R81" s="35">
        <f ca="1">Upaya_Agunan[[#This Row],[Target Upaya]]-COUNTIFS(Upaya_Agunan[[#This Row],[Blokir Agunan?]:[Penjualan Agunan?]],"Ya",Upaya_Agunan[[#This Row],[Blokir Agunan]:[Penjualan Agunan]],"")</f>
        <v>0</v>
      </c>
      <c r="S81" s="36">
        <f ca="1">IF(ISNUMBER(Upaya_Agunan[[#This Row],[Realisasi]]/Upaya_Agunan[[#This Row],[Target Upaya]]),Upaya_Agunan[[#This Row],[Realisasi]]/Upaya_Agunan[[#This Row],[Target Upaya]],1)</f>
        <v>1</v>
      </c>
    </row>
    <row r="82" spans="1:19" x14ac:dyDescent="0.3">
      <c r="A82" s="16">
        <v>71</v>
      </c>
      <c r="B82" s="17" t="s">
        <v>315</v>
      </c>
      <c r="C82" s="16" t="s">
        <v>95</v>
      </c>
      <c r="D82" s="16" t="s">
        <v>638</v>
      </c>
      <c r="E82" s="16" t="s">
        <v>93</v>
      </c>
      <c r="F82" s="35" t="str">
        <f ca="1">INDEX(Upaya_Debitur[Lunas?],MATCH(Upaya_Agunan[[#This Row],[Nomor PK]],Upaya_Debitur[Nomor PK],0))</f>
        <v>Belum Lunas</v>
      </c>
      <c r="G82" s="35" t="str">
        <f>IF(OR(Upaya_Agunan[[#This Row],[Agunan]]="SHM",Upaya_Agunan[[#This Row],[Agunan]]="BPKB"),"Ya","Tidak")</f>
        <v>Tidak</v>
      </c>
      <c r="H8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8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82" s="35" t="str">
        <f ca="1">IF(AND(DATEDIF($B$5,$B$6,"D")&gt;=150,Upaya_Agunan[[#This Row],[Lelang 1?]]="Ya"),"Ya","Tidak")</f>
        <v>Tidak</v>
      </c>
      <c r="K82" s="35" t="str">
        <f ca="1">IF(AND(DATEDIF($B$5,$B$6,"D")&gt;=180,Upaya_Agunan[[#This Row],[Lelang 2?]]="Ya"),"Ya","Tidak")</f>
        <v>Tidak</v>
      </c>
      <c r="L82" s="18"/>
      <c r="M82" s="18"/>
      <c r="N82" s="18"/>
      <c r="O82" s="18"/>
      <c r="P82" s="18"/>
      <c r="Q82" s="35">
        <f ca="1">COUNTIF(Upaya_Agunan[[#This Row],[Blokir Agunan?]:[Penjualan Agunan?]],"Ya")</f>
        <v>0</v>
      </c>
      <c r="R82" s="35">
        <f ca="1">Upaya_Agunan[[#This Row],[Target Upaya]]-COUNTIFS(Upaya_Agunan[[#This Row],[Blokir Agunan?]:[Penjualan Agunan?]],"Ya",Upaya_Agunan[[#This Row],[Blokir Agunan]:[Penjualan Agunan]],"")</f>
        <v>0</v>
      </c>
      <c r="S82" s="36">
        <f ca="1">IF(ISNUMBER(Upaya_Agunan[[#This Row],[Realisasi]]/Upaya_Agunan[[#This Row],[Target Upaya]]),Upaya_Agunan[[#This Row],[Realisasi]]/Upaya_Agunan[[#This Row],[Target Upaya]],1)</f>
        <v>1</v>
      </c>
    </row>
    <row r="83" spans="1:19" x14ac:dyDescent="0.3">
      <c r="A83" s="16">
        <v>72</v>
      </c>
      <c r="B83" s="17" t="s">
        <v>317</v>
      </c>
      <c r="C83" s="16" t="s">
        <v>84</v>
      </c>
      <c r="D83" s="16" t="s">
        <v>79</v>
      </c>
      <c r="E83" s="16" t="s">
        <v>93</v>
      </c>
      <c r="F83" s="35" t="str">
        <f ca="1">INDEX(Upaya_Debitur[Lunas?],MATCH(Upaya_Agunan[[#This Row],[Nomor PK]],Upaya_Debitur[Nomor PK],0))</f>
        <v>Belum Lunas</v>
      </c>
      <c r="G83" s="35" t="str">
        <f>IF(OR(Upaya_Agunan[[#This Row],[Agunan]]="SHM",Upaya_Agunan[[#This Row],[Agunan]]="BPKB"),"Ya","Tidak")</f>
        <v>Tidak</v>
      </c>
      <c r="H8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8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83" s="35" t="str">
        <f ca="1">IF(AND(DATEDIF($B$5,$B$6,"D")&gt;=150,Upaya_Agunan[[#This Row],[Lelang 1?]]="Ya"),"Ya","Tidak")</f>
        <v>Tidak</v>
      </c>
      <c r="K83" s="35" t="str">
        <f ca="1">IF(AND(DATEDIF($B$5,$B$6,"D")&gt;=180,Upaya_Agunan[[#This Row],[Lelang 2?]]="Ya"),"Ya","Tidak")</f>
        <v>Tidak</v>
      </c>
      <c r="L83" s="18"/>
      <c r="M83" s="18"/>
      <c r="N83" s="18"/>
      <c r="O83" s="18"/>
      <c r="P83" s="18"/>
      <c r="Q83" s="35">
        <f ca="1">COUNTIF(Upaya_Agunan[[#This Row],[Blokir Agunan?]:[Penjualan Agunan?]],"Ya")</f>
        <v>0</v>
      </c>
      <c r="R83" s="35">
        <f ca="1">Upaya_Agunan[[#This Row],[Target Upaya]]-COUNTIFS(Upaya_Agunan[[#This Row],[Blokir Agunan?]:[Penjualan Agunan?]],"Ya",Upaya_Agunan[[#This Row],[Blokir Agunan]:[Penjualan Agunan]],"")</f>
        <v>0</v>
      </c>
      <c r="S83" s="36">
        <f ca="1">IF(ISNUMBER(Upaya_Agunan[[#This Row],[Realisasi]]/Upaya_Agunan[[#This Row],[Target Upaya]]),Upaya_Agunan[[#This Row],[Realisasi]]/Upaya_Agunan[[#This Row],[Target Upaya]],1)</f>
        <v>1</v>
      </c>
    </row>
    <row r="84" spans="1:19" x14ac:dyDescent="0.3">
      <c r="A84" s="16">
        <v>73</v>
      </c>
      <c r="B84" s="17" t="s">
        <v>319</v>
      </c>
      <c r="C84" s="16" t="s">
        <v>95</v>
      </c>
      <c r="D84" s="16" t="s">
        <v>638</v>
      </c>
      <c r="E84" s="16" t="s">
        <v>93</v>
      </c>
      <c r="F84" s="35" t="str">
        <f ca="1">INDEX(Upaya_Debitur[Lunas?],MATCH(Upaya_Agunan[[#This Row],[Nomor PK]],Upaya_Debitur[Nomor PK],0))</f>
        <v>Belum Lunas</v>
      </c>
      <c r="G84" s="35" t="str">
        <f>IF(OR(Upaya_Agunan[[#This Row],[Agunan]]="SHM",Upaya_Agunan[[#This Row],[Agunan]]="BPKB"),"Ya","Tidak")</f>
        <v>Tidak</v>
      </c>
      <c r="H8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8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84" s="35" t="str">
        <f ca="1">IF(AND(DATEDIF($B$5,$B$6,"D")&gt;=150,Upaya_Agunan[[#This Row],[Lelang 1?]]="Ya"),"Ya","Tidak")</f>
        <v>Tidak</v>
      </c>
      <c r="K84" s="35" t="str">
        <f ca="1">IF(AND(DATEDIF($B$5,$B$6,"D")&gt;=180,Upaya_Agunan[[#This Row],[Lelang 2?]]="Ya"),"Ya","Tidak")</f>
        <v>Tidak</v>
      </c>
      <c r="L84" s="18"/>
      <c r="M84" s="18"/>
      <c r="N84" s="18"/>
      <c r="O84" s="18"/>
      <c r="P84" s="18"/>
      <c r="Q84" s="35">
        <f ca="1">COUNTIF(Upaya_Agunan[[#This Row],[Blokir Agunan?]:[Penjualan Agunan?]],"Ya")</f>
        <v>0</v>
      </c>
      <c r="R84" s="35">
        <f ca="1">Upaya_Agunan[[#This Row],[Target Upaya]]-COUNTIFS(Upaya_Agunan[[#This Row],[Blokir Agunan?]:[Penjualan Agunan?]],"Ya",Upaya_Agunan[[#This Row],[Blokir Agunan]:[Penjualan Agunan]],"")</f>
        <v>0</v>
      </c>
      <c r="S84" s="36">
        <f ca="1">IF(ISNUMBER(Upaya_Agunan[[#This Row],[Realisasi]]/Upaya_Agunan[[#This Row],[Target Upaya]]),Upaya_Agunan[[#This Row],[Realisasi]]/Upaya_Agunan[[#This Row],[Target Upaya]],1)</f>
        <v>1</v>
      </c>
    </row>
    <row r="85" spans="1:19" x14ac:dyDescent="0.3">
      <c r="A85" s="16">
        <v>74</v>
      </c>
      <c r="B85" s="17" t="s">
        <v>321</v>
      </c>
      <c r="C85" s="16" t="s">
        <v>95</v>
      </c>
      <c r="D85" s="16" t="s">
        <v>638</v>
      </c>
      <c r="E85" s="16" t="s">
        <v>93</v>
      </c>
      <c r="F85" s="35" t="str">
        <f ca="1">INDEX(Upaya_Debitur[Lunas?],MATCH(Upaya_Agunan[[#This Row],[Nomor PK]],Upaya_Debitur[Nomor PK],0))</f>
        <v>Belum Lunas</v>
      </c>
      <c r="G85" s="35" t="str">
        <f>IF(OR(Upaya_Agunan[[#This Row],[Agunan]]="SHM",Upaya_Agunan[[#This Row],[Agunan]]="BPKB"),"Ya","Tidak")</f>
        <v>Tidak</v>
      </c>
      <c r="H8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8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85" s="35" t="str">
        <f ca="1">IF(AND(DATEDIF($B$5,$B$6,"D")&gt;=150,Upaya_Agunan[[#This Row],[Lelang 1?]]="Ya"),"Ya","Tidak")</f>
        <v>Tidak</v>
      </c>
      <c r="K85" s="35" t="str">
        <f ca="1">IF(AND(DATEDIF($B$5,$B$6,"D")&gt;=180,Upaya_Agunan[[#This Row],[Lelang 2?]]="Ya"),"Ya","Tidak")</f>
        <v>Tidak</v>
      </c>
      <c r="L85" s="18"/>
      <c r="M85" s="18"/>
      <c r="N85" s="18"/>
      <c r="O85" s="18"/>
      <c r="P85" s="18"/>
      <c r="Q85" s="35">
        <f ca="1">COUNTIF(Upaya_Agunan[[#This Row],[Blokir Agunan?]:[Penjualan Agunan?]],"Ya")</f>
        <v>0</v>
      </c>
      <c r="R85" s="35">
        <f ca="1">Upaya_Agunan[[#This Row],[Target Upaya]]-COUNTIFS(Upaya_Agunan[[#This Row],[Blokir Agunan?]:[Penjualan Agunan?]],"Ya",Upaya_Agunan[[#This Row],[Blokir Agunan]:[Penjualan Agunan]],"")</f>
        <v>0</v>
      </c>
      <c r="S85" s="36">
        <f ca="1">IF(ISNUMBER(Upaya_Agunan[[#This Row],[Realisasi]]/Upaya_Agunan[[#This Row],[Target Upaya]]),Upaya_Agunan[[#This Row],[Realisasi]]/Upaya_Agunan[[#This Row],[Target Upaya]],1)</f>
        <v>1</v>
      </c>
    </row>
    <row r="86" spans="1:19" x14ac:dyDescent="0.3">
      <c r="A86" s="16">
        <v>75</v>
      </c>
      <c r="B86" s="17" t="s">
        <v>322</v>
      </c>
      <c r="C86" s="16" t="s">
        <v>95</v>
      </c>
      <c r="D86" s="16" t="s">
        <v>638</v>
      </c>
      <c r="E86" s="16" t="s">
        <v>93</v>
      </c>
      <c r="F86" s="35" t="str">
        <f ca="1">INDEX(Upaya_Debitur[Lunas?],MATCH(Upaya_Agunan[[#This Row],[Nomor PK]],Upaya_Debitur[Nomor PK],0))</f>
        <v>Belum Lunas</v>
      </c>
      <c r="G86" s="35" t="str">
        <f>IF(OR(Upaya_Agunan[[#This Row],[Agunan]]="SHM",Upaya_Agunan[[#This Row],[Agunan]]="BPKB"),"Ya","Tidak")</f>
        <v>Tidak</v>
      </c>
      <c r="H8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8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86" s="35" t="str">
        <f ca="1">IF(AND(DATEDIF($B$5,$B$6,"D")&gt;=150,Upaya_Agunan[[#This Row],[Lelang 1?]]="Ya"),"Ya","Tidak")</f>
        <v>Tidak</v>
      </c>
      <c r="K86" s="35" t="str">
        <f ca="1">IF(AND(DATEDIF($B$5,$B$6,"D")&gt;=180,Upaya_Agunan[[#This Row],[Lelang 2?]]="Ya"),"Ya","Tidak")</f>
        <v>Tidak</v>
      </c>
      <c r="L86" s="18"/>
      <c r="M86" s="18"/>
      <c r="N86" s="18"/>
      <c r="O86" s="18"/>
      <c r="P86" s="18"/>
      <c r="Q86" s="35">
        <f ca="1">COUNTIF(Upaya_Agunan[[#This Row],[Blokir Agunan?]:[Penjualan Agunan?]],"Ya")</f>
        <v>0</v>
      </c>
      <c r="R86" s="35">
        <f ca="1">Upaya_Agunan[[#This Row],[Target Upaya]]-COUNTIFS(Upaya_Agunan[[#This Row],[Blokir Agunan?]:[Penjualan Agunan?]],"Ya",Upaya_Agunan[[#This Row],[Blokir Agunan]:[Penjualan Agunan]],"")</f>
        <v>0</v>
      </c>
      <c r="S86" s="36">
        <f ca="1">IF(ISNUMBER(Upaya_Agunan[[#This Row],[Realisasi]]/Upaya_Agunan[[#This Row],[Target Upaya]]),Upaya_Agunan[[#This Row],[Realisasi]]/Upaya_Agunan[[#This Row],[Target Upaya]],1)</f>
        <v>1</v>
      </c>
    </row>
    <row r="87" spans="1:19" x14ac:dyDescent="0.3">
      <c r="A87" s="16">
        <v>76</v>
      </c>
      <c r="B87" s="17" t="s">
        <v>324</v>
      </c>
      <c r="C87" s="16" t="s">
        <v>95</v>
      </c>
      <c r="D87" s="16" t="s">
        <v>638</v>
      </c>
      <c r="E87" s="16" t="s">
        <v>93</v>
      </c>
      <c r="F87" s="35" t="str">
        <f ca="1">INDEX(Upaya_Debitur[Lunas?],MATCH(Upaya_Agunan[[#This Row],[Nomor PK]],Upaya_Debitur[Nomor PK],0))</f>
        <v>Belum Lunas</v>
      </c>
      <c r="G87" s="35" t="str">
        <f>IF(OR(Upaya_Agunan[[#This Row],[Agunan]]="SHM",Upaya_Agunan[[#This Row],[Agunan]]="BPKB"),"Ya","Tidak")</f>
        <v>Tidak</v>
      </c>
      <c r="H8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8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87" s="35" t="str">
        <f ca="1">IF(AND(DATEDIF($B$5,$B$6,"D")&gt;=150,Upaya_Agunan[[#This Row],[Lelang 1?]]="Ya"),"Ya","Tidak")</f>
        <v>Tidak</v>
      </c>
      <c r="K87" s="35" t="str">
        <f ca="1">IF(AND(DATEDIF($B$5,$B$6,"D")&gt;=180,Upaya_Agunan[[#This Row],[Lelang 2?]]="Ya"),"Ya","Tidak")</f>
        <v>Tidak</v>
      </c>
      <c r="L87" s="18"/>
      <c r="M87" s="18"/>
      <c r="N87" s="18"/>
      <c r="O87" s="18"/>
      <c r="P87" s="18"/>
      <c r="Q87" s="35">
        <f ca="1">COUNTIF(Upaya_Agunan[[#This Row],[Blokir Agunan?]:[Penjualan Agunan?]],"Ya")</f>
        <v>0</v>
      </c>
      <c r="R87" s="35">
        <f ca="1">Upaya_Agunan[[#This Row],[Target Upaya]]-COUNTIFS(Upaya_Agunan[[#This Row],[Blokir Agunan?]:[Penjualan Agunan?]],"Ya",Upaya_Agunan[[#This Row],[Blokir Agunan]:[Penjualan Agunan]],"")</f>
        <v>0</v>
      </c>
      <c r="S87" s="36">
        <f ca="1">IF(ISNUMBER(Upaya_Agunan[[#This Row],[Realisasi]]/Upaya_Agunan[[#This Row],[Target Upaya]]),Upaya_Agunan[[#This Row],[Realisasi]]/Upaya_Agunan[[#This Row],[Target Upaya]],1)</f>
        <v>1</v>
      </c>
    </row>
    <row r="88" spans="1:19" x14ac:dyDescent="0.3">
      <c r="A88" s="16">
        <v>77</v>
      </c>
      <c r="B88" s="17" t="s">
        <v>326</v>
      </c>
      <c r="C88" s="16" t="s">
        <v>84</v>
      </c>
      <c r="D88" s="16" t="s">
        <v>79</v>
      </c>
      <c r="E88" s="16" t="s">
        <v>93</v>
      </c>
      <c r="F88" s="35" t="str">
        <f ca="1">INDEX(Upaya_Debitur[Lunas?],MATCH(Upaya_Agunan[[#This Row],[Nomor PK]],Upaya_Debitur[Nomor PK],0))</f>
        <v>Belum Lunas</v>
      </c>
      <c r="G88" s="35" t="str">
        <f>IF(OR(Upaya_Agunan[[#This Row],[Agunan]]="SHM",Upaya_Agunan[[#This Row],[Agunan]]="BPKB"),"Ya","Tidak")</f>
        <v>Tidak</v>
      </c>
      <c r="H8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8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88" s="35" t="str">
        <f ca="1">IF(AND(DATEDIF($B$5,$B$6,"D")&gt;=150,Upaya_Agunan[[#This Row],[Lelang 1?]]="Ya"),"Ya","Tidak")</f>
        <v>Tidak</v>
      </c>
      <c r="K88" s="35" t="str">
        <f ca="1">IF(AND(DATEDIF($B$5,$B$6,"D")&gt;=180,Upaya_Agunan[[#This Row],[Lelang 2?]]="Ya"),"Ya","Tidak")</f>
        <v>Tidak</v>
      </c>
      <c r="L88" s="18"/>
      <c r="M88" s="18"/>
      <c r="N88" s="18"/>
      <c r="O88" s="18"/>
      <c r="P88" s="18"/>
      <c r="Q88" s="35">
        <f ca="1">COUNTIF(Upaya_Agunan[[#This Row],[Blokir Agunan?]:[Penjualan Agunan?]],"Ya")</f>
        <v>0</v>
      </c>
      <c r="R88" s="35">
        <f ca="1">Upaya_Agunan[[#This Row],[Target Upaya]]-COUNTIFS(Upaya_Agunan[[#This Row],[Blokir Agunan?]:[Penjualan Agunan?]],"Ya",Upaya_Agunan[[#This Row],[Blokir Agunan]:[Penjualan Agunan]],"")</f>
        <v>0</v>
      </c>
      <c r="S88" s="36">
        <f ca="1">IF(ISNUMBER(Upaya_Agunan[[#This Row],[Realisasi]]/Upaya_Agunan[[#This Row],[Target Upaya]]),Upaya_Agunan[[#This Row],[Realisasi]]/Upaya_Agunan[[#This Row],[Target Upaya]],1)</f>
        <v>1</v>
      </c>
    </row>
    <row r="89" spans="1:19" x14ac:dyDescent="0.3">
      <c r="A89" s="16">
        <v>78</v>
      </c>
      <c r="B89" s="17" t="s">
        <v>328</v>
      </c>
      <c r="C89" s="16" t="s">
        <v>95</v>
      </c>
      <c r="D89" s="16" t="s">
        <v>638</v>
      </c>
      <c r="E89" s="16" t="s">
        <v>93</v>
      </c>
      <c r="F89" s="35" t="str">
        <f ca="1">INDEX(Upaya_Debitur[Lunas?],MATCH(Upaya_Agunan[[#This Row],[Nomor PK]],Upaya_Debitur[Nomor PK],0))</f>
        <v>Belum Lunas</v>
      </c>
      <c r="G89" s="35" t="str">
        <f>IF(OR(Upaya_Agunan[[#This Row],[Agunan]]="SHM",Upaya_Agunan[[#This Row],[Agunan]]="BPKB"),"Ya","Tidak")</f>
        <v>Tidak</v>
      </c>
      <c r="H8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8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89" s="35" t="str">
        <f ca="1">IF(AND(DATEDIF($B$5,$B$6,"D")&gt;=150,Upaya_Agunan[[#This Row],[Lelang 1?]]="Ya"),"Ya","Tidak")</f>
        <v>Tidak</v>
      </c>
      <c r="K89" s="35" t="str">
        <f ca="1">IF(AND(DATEDIF($B$5,$B$6,"D")&gt;=180,Upaya_Agunan[[#This Row],[Lelang 2?]]="Ya"),"Ya","Tidak")</f>
        <v>Tidak</v>
      </c>
      <c r="L89" s="18"/>
      <c r="M89" s="18"/>
      <c r="N89" s="18"/>
      <c r="O89" s="18"/>
      <c r="P89" s="18"/>
      <c r="Q89" s="35">
        <f ca="1">COUNTIF(Upaya_Agunan[[#This Row],[Blokir Agunan?]:[Penjualan Agunan?]],"Ya")</f>
        <v>0</v>
      </c>
      <c r="R89" s="35">
        <f ca="1">Upaya_Agunan[[#This Row],[Target Upaya]]-COUNTIFS(Upaya_Agunan[[#This Row],[Blokir Agunan?]:[Penjualan Agunan?]],"Ya",Upaya_Agunan[[#This Row],[Blokir Agunan]:[Penjualan Agunan]],"")</f>
        <v>0</v>
      </c>
      <c r="S89" s="36">
        <f ca="1">IF(ISNUMBER(Upaya_Agunan[[#This Row],[Realisasi]]/Upaya_Agunan[[#This Row],[Target Upaya]]),Upaya_Agunan[[#This Row],[Realisasi]]/Upaya_Agunan[[#This Row],[Target Upaya]],1)</f>
        <v>1</v>
      </c>
    </row>
    <row r="90" spans="1:19" x14ac:dyDescent="0.3">
      <c r="A90" s="16">
        <v>79</v>
      </c>
      <c r="B90" s="17" t="s">
        <v>330</v>
      </c>
      <c r="C90" s="16" t="s">
        <v>84</v>
      </c>
      <c r="D90" s="16" t="s">
        <v>77</v>
      </c>
      <c r="E90" s="16" t="s">
        <v>93</v>
      </c>
      <c r="F90" s="35" t="str">
        <f ca="1">INDEX(Upaya_Debitur[Lunas?],MATCH(Upaya_Agunan[[#This Row],[Nomor PK]],Upaya_Debitur[Nomor PK],0))</f>
        <v>Belum Lunas</v>
      </c>
      <c r="G90" s="35" t="str">
        <f>IF(OR(Upaya_Agunan[[#This Row],[Agunan]]="SHM",Upaya_Agunan[[#This Row],[Agunan]]="BPKB"),"Ya","Tidak")</f>
        <v>Ya</v>
      </c>
      <c r="H9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9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90" s="35" t="str">
        <f ca="1">IF(AND(DATEDIF($B$5,$B$6,"D")&gt;=150,Upaya_Agunan[[#This Row],[Lelang 1?]]="Ya"),"Ya","Tidak")</f>
        <v>Tidak</v>
      </c>
      <c r="K90" s="35" t="str">
        <f ca="1">IF(AND(DATEDIF($B$5,$B$6,"D")&gt;=180,Upaya_Agunan[[#This Row],[Lelang 2?]]="Ya"),"Ya","Tidak")</f>
        <v>Tidak</v>
      </c>
      <c r="L90" s="18">
        <v>44125</v>
      </c>
      <c r="M90" s="18"/>
      <c r="N90" s="18"/>
      <c r="O90" s="18"/>
      <c r="P90" s="18"/>
      <c r="Q90" s="35">
        <f ca="1">COUNTIF(Upaya_Agunan[[#This Row],[Blokir Agunan?]:[Penjualan Agunan?]],"Ya")</f>
        <v>1</v>
      </c>
      <c r="R90" s="35">
        <f ca="1">Upaya_Agunan[[#This Row],[Target Upaya]]-COUNTIFS(Upaya_Agunan[[#This Row],[Blokir Agunan?]:[Penjualan Agunan?]],"Ya",Upaya_Agunan[[#This Row],[Blokir Agunan]:[Penjualan Agunan]],"")</f>
        <v>1</v>
      </c>
      <c r="S90" s="36">
        <f ca="1">IF(ISNUMBER(Upaya_Agunan[[#This Row],[Realisasi]]/Upaya_Agunan[[#This Row],[Target Upaya]]),Upaya_Agunan[[#This Row],[Realisasi]]/Upaya_Agunan[[#This Row],[Target Upaya]],1)</f>
        <v>1</v>
      </c>
    </row>
    <row r="91" spans="1:19" x14ac:dyDescent="0.3">
      <c r="A91" s="16">
        <v>80</v>
      </c>
      <c r="B91" s="17" t="s">
        <v>332</v>
      </c>
      <c r="C91" s="16" t="s">
        <v>95</v>
      </c>
      <c r="D91" s="16" t="s">
        <v>638</v>
      </c>
      <c r="E91" s="16" t="s">
        <v>93</v>
      </c>
      <c r="F91" s="35" t="str">
        <f ca="1">INDEX(Upaya_Debitur[Lunas?],MATCH(Upaya_Agunan[[#This Row],[Nomor PK]],Upaya_Debitur[Nomor PK],0))</f>
        <v>Belum Lunas</v>
      </c>
      <c r="G91" s="35" t="str">
        <f>IF(OR(Upaya_Agunan[[#This Row],[Agunan]]="SHM",Upaya_Agunan[[#This Row],[Agunan]]="BPKB"),"Ya","Tidak")</f>
        <v>Tidak</v>
      </c>
      <c r="H9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9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91" s="35" t="str">
        <f ca="1">IF(AND(DATEDIF($B$5,$B$6,"D")&gt;=150,Upaya_Agunan[[#This Row],[Lelang 1?]]="Ya"),"Ya","Tidak")</f>
        <v>Tidak</v>
      </c>
      <c r="K91" s="35" t="str">
        <f ca="1">IF(AND(DATEDIF($B$5,$B$6,"D")&gt;=180,Upaya_Agunan[[#This Row],[Lelang 2?]]="Ya"),"Ya","Tidak")</f>
        <v>Tidak</v>
      </c>
      <c r="L91" s="18"/>
      <c r="M91" s="18"/>
      <c r="N91" s="18"/>
      <c r="O91" s="18"/>
      <c r="P91" s="18"/>
      <c r="Q91" s="35">
        <f ca="1">COUNTIF(Upaya_Agunan[[#This Row],[Blokir Agunan?]:[Penjualan Agunan?]],"Ya")</f>
        <v>0</v>
      </c>
      <c r="R91" s="35">
        <f ca="1">Upaya_Agunan[[#This Row],[Target Upaya]]-COUNTIFS(Upaya_Agunan[[#This Row],[Blokir Agunan?]:[Penjualan Agunan?]],"Ya",Upaya_Agunan[[#This Row],[Blokir Agunan]:[Penjualan Agunan]],"")</f>
        <v>0</v>
      </c>
      <c r="S91" s="36">
        <f ca="1">IF(ISNUMBER(Upaya_Agunan[[#This Row],[Realisasi]]/Upaya_Agunan[[#This Row],[Target Upaya]]),Upaya_Agunan[[#This Row],[Realisasi]]/Upaya_Agunan[[#This Row],[Target Upaya]],1)</f>
        <v>1</v>
      </c>
    </row>
    <row r="92" spans="1:19" x14ac:dyDescent="0.3">
      <c r="A92" s="16">
        <v>81</v>
      </c>
      <c r="B92" s="17" t="s">
        <v>334</v>
      </c>
      <c r="C92" s="16" t="s">
        <v>95</v>
      </c>
      <c r="D92" s="16" t="s">
        <v>638</v>
      </c>
      <c r="E92" s="16" t="s">
        <v>93</v>
      </c>
      <c r="F92" s="35" t="str">
        <f ca="1">INDEX(Upaya_Debitur[Lunas?],MATCH(Upaya_Agunan[[#This Row],[Nomor PK]],Upaya_Debitur[Nomor PK],0))</f>
        <v>Belum Lunas</v>
      </c>
      <c r="G92" s="35" t="str">
        <f>IF(OR(Upaya_Agunan[[#This Row],[Agunan]]="SHM",Upaya_Agunan[[#This Row],[Agunan]]="BPKB"),"Ya","Tidak")</f>
        <v>Tidak</v>
      </c>
      <c r="H9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9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92" s="35" t="str">
        <f ca="1">IF(AND(DATEDIF($B$5,$B$6,"D")&gt;=150,Upaya_Agunan[[#This Row],[Lelang 1?]]="Ya"),"Ya","Tidak")</f>
        <v>Tidak</v>
      </c>
      <c r="K92" s="35" t="str">
        <f ca="1">IF(AND(DATEDIF($B$5,$B$6,"D")&gt;=180,Upaya_Agunan[[#This Row],[Lelang 2?]]="Ya"),"Ya","Tidak")</f>
        <v>Tidak</v>
      </c>
      <c r="L92" s="18"/>
      <c r="M92" s="18"/>
      <c r="N92" s="18"/>
      <c r="O92" s="18"/>
      <c r="P92" s="18"/>
      <c r="Q92" s="35">
        <f ca="1">COUNTIF(Upaya_Agunan[[#This Row],[Blokir Agunan?]:[Penjualan Agunan?]],"Ya")</f>
        <v>0</v>
      </c>
      <c r="R92" s="35">
        <f ca="1">Upaya_Agunan[[#This Row],[Target Upaya]]-COUNTIFS(Upaya_Agunan[[#This Row],[Blokir Agunan?]:[Penjualan Agunan?]],"Ya",Upaya_Agunan[[#This Row],[Blokir Agunan]:[Penjualan Agunan]],"")</f>
        <v>0</v>
      </c>
      <c r="S92" s="36">
        <f ca="1">IF(ISNUMBER(Upaya_Agunan[[#This Row],[Realisasi]]/Upaya_Agunan[[#This Row],[Target Upaya]]),Upaya_Agunan[[#This Row],[Realisasi]]/Upaya_Agunan[[#This Row],[Target Upaya]],1)</f>
        <v>1</v>
      </c>
    </row>
    <row r="93" spans="1:19" x14ac:dyDescent="0.3">
      <c r="A93" s="16">
        <v>82</v>
      </c>
      <c r="B93" s="17" t="s">
        <v>336</v>
      </c>
      <c r="C93" s="16" t="s">
        <v>84</v>
      </c>
      <c r="D93" s="16" t="s">
        <v>100</v>
      </c>
      <c r="E93" s="16" t="s">
        <v>93</v>
      </c>
      <c r="F93" s="35" t="str">
        <f ca="1">INDEX(Upaya_Debitur[Lunas?],MATCH(Upaya_Agunan[[#This Row],[Nomor PK]],Upaya_Debitur[Nomor PK],0))</f>
        <v>Belum Lunas</v>
      </c>
      <c r="G93" s="35" t="str">
        <f>IF(OR(Upaya_Agunan[[#This Row],[Agunan]]="SHM",Upaya_Agunan[[#This Row],[Agunan]]="BPKB"),"Ya","Tidak")</f>
        <v>Tidak</v>
      </c>
      <c r="H9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9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93" s="35" t="str">
        <f ca="1">IF(AND(DATEDIF($B$5,$B$6,"D")&gt;=150,Upaya_Agunan[[#This Row],[Lelang 1?]]="Ya"),"Ya","Tidak")</f>
        <v>Tidak</v>
      </c>
      <c r="K93" s="35" t="str">
        <f ca="1">IF(AND(DATEDIF($B$5,$B$6,"D")&gt;=180,Upaya_Agunan[[#This Row],[Lelang 2?]]="Ya"),"Ya","Tidak")</f>
        <v>Tidak</v>
      </c>
      <c r="L93" s="18"/>
      <c r="M93" s="18"/>
      <c r="N93" s="18"/>
      <c r="O93" s="18"/>
      <c r="P93" s="18"/>
      <c r="Q93" s="35">
        <f ca="1">COUNTIF(Upaya_Agunan[[#This Row],[Blokir Agunan?]:[Penjualan Agunan?]],"Ya")</f>
        <v>0</v>
      </c>
      <c r="R93" s="35">
        <f ca="1">Upaya_Agunan[[#This Row],[Target Upaya]]-COUNTIFS(Upaya_Agunan[[#This Row],[Blokir Agunan?]:[Penjualan Agunan?]],"Ya",Upaya_Agunan[[#This Row],[Blokir Agunan]:[Penjualan Agunan]],"")</f>
        <v>0</v>
      </c>
      <c r="S93" s="36">
        <f ca="1">IF(ISNUMBER(Upaya_Agunan[[#This Row],[Realisasi]]/Upaya_Agunan[[#This Row],[Target Upaya]]),Upaya_Agunan[[#This Row],[Realisasi]]/Upaya_Agunan[[#This Row],[Target Upaya]],1)</f>
        <v>1</v>
      </c>
    </row>
    <row r="94" spans="1:19" x14ac:dyDescent="0.3">
      <c r="A94" s="16">
        <v>83</v>
      </c>
      <c r="B94" s="17" t="s">
        <v>337</v>
      </c>
      <c r="C94" s="16" t="s">
        <v>84</v>
      </c>
      <c r="D94" s="16" t="s">
        <v>79</v>
      </c>
      <c r="E94" s="16" t="s">
        <v>93</v>
      </c>
      <c r="F94" s="35" t="str">
        <f ca="1">INDEX(Upaya_Debitur[Lunas?],MATCH(Upaya_Agunan[[#This Row],[Nomor PK]],Upaya_Debitur[Nomor PK],0))</f>
        <v>Belum Lunas</v>
      </c>
      <c r="G94" s="35" t="str">
        <f>IF(OR(Upaya_Agunan[[#This Row],[Agunan]]="SHM",Upaya_Agunan[[#This Row],[Agunan]]="BPKB"),"Ya","Tidak")</f>
        <v>Tidak</v>
      </c>
      <c r="H9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9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94" s="35" t="str">
        <f ca="1">IF(AND(DATEDIF($B$5,$B$6,"D")&gt;=150,Upaya_Agunan[[#This Row],[Lelang 1?]]="Ya"),"Ya","Tidak")</f>
        <v>Tidak</v>
      </c>
      <c r="K94" s="35" t="str">
        <f ca="1">IF(AND(DATEDIF($B$5,$B$6,"D")&gt;=180,Upaya_Agunan[[#This Row],[Lelang 2?]]="Ya"),"Ya","Tidak")</f>
        <v>Tidak</v>
      </c>
      <c r="L94" s="18"/>
      <c r="M94" s="18"/>
      <c r="N94" s="18"/>
      <c r="O94" s="18"/>
      <c r="P94" s="18"/>
      <c r="Q94" s="35">
        <f ca="1">COUNTIF(Upaya_Agunan[[#This Row],[Blokir Agunan?]:[Penjualan Agunan?]],"Ya")</f>
        <v>0</v>
      </c>
      <c r="R94" s="35">
        <f ca="1">Upaya_Agunan[[#This Row],[Target Upaya]]-COUNTIFS(Upaya_Agunan[[#This Row],[Blokir Agunan?]:[Penjualan Agunan?]],"Ya",Upaya_Agunan[[#This Row],[Blokir Agunan]:[Penjualan Agunan]],"")</f>
        <v>0</v>
      </c>
      <c r="S94" s="36">
        <f ca="1">IF(ISNUMBER(Upaya_Agunan[[#This Row],[Realisasi]]/Upaya_Agunan[[#This Row],[Target Upaya]]),Upaya_Agunan[[#This Row],[Realisasi]]/Upaya_Agunan[[#This Row],[Target Upaya]],1)</f>
        <v>1</v>
      </c>
    </row>
    <row r="95" spans="1:19" x14ac:dyDescent="0.3">
      <c r="A95" s="16">
        <v>84</v>
      </c>
      <c r="B95" s="17" t="s">
        <v>337</v>
      </c>
      <c r="C95" s="16" t="s">
        <v>84</v>
      </c>
      <c r="D95" s="16" t="s">
        <v>79</v>
      </c>
      <c r="E95" s="16" t="s">
        <v>93</v>
      </c>
      <c r="F95" s="35" t="str">
        <f ca="1">INDEX(Upaya_Debitur[Lunas?],MATCH(Upaya_Agunan[[#This Row],[Nomor PK]],Upaya_Debitur[Nomor PK],0))</f>
        <v>Belum Lunas</v>
      </c>
      <c r="G95" s="35" t="str">
        <f>IF(OR(Upaya_Agunan[[#This Row],[Agunan]]="SHM",Upaya_Agunan[[#This Row],[Agunan]]="BPKB"),"Ya","Tidak")</f>
        <v>Tidak</v>
      </c>
      <c r="H9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9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95" s="35" t="str">
        <f ca="1">IF(AND(DATEDIF($B$5,$B$6,"D")&gt;=150,Upaya_Agunan[[#This Row],[Lelang 1?]]="Ya"),"Ya","Tidak")</f>
        <v>Tidak</v>
      </c>
      <c r="K95" s="35" t="str">
        <f ca="1">IF(AND(DATEDIF($B$5,$B$6,"D")&gt;=180,Upaya_Agunan[[#This Row],[Lelang 2?]]="Ya"),"Ya","Tidak")</f>
        <v>Tidak</v>
      </c>
      <c r="L95" s="18"/>
      <c r="M95" s="18"/>
      <c r="N95" s="18"/>
      <c r="O95" s="18"/>
      <c r="P95" s="18"/>
      <c r="Q95" s="35">
        <f ca="1">COUNTIF(Upaya_Agunan[[#This Row],[Blokir Agunan?]:[Penjualan Agunan?]],"Ya")</f>
        <v>0</v>
      </c>
      <c r="R95" s="35">
        <f ca="1">Upaya_Agunan[[#This Row],[Target Upaya]]-COUNTIFS(Upaya_Agunan[[#This Row],[Blokir Agunan?]:[Penjualan Agunan?]],"Ya",Upaya_Agunan[[#This Row],[Blokir Agunan]:[Penjualan Agunan]],"")</f>
        <v>0</v>
      </c>
      <c r="S95" s="36">
        <f ca="1">IF(ISNUMBER(Upaya_Agunan[[#This Row],[Realisasi]]/Upaya_Agunan[[#This Row],[Target Upaya]]),Upaya_Agunan[[#This Row],[Realisasi]]/Upaya_Agunan[[#This Row],[Target Upaya]],1)</f>
        <v>1</v>
      </c>
    </row>
    <row r="96" spans="1:19" x14ac:dyDescent="0.3">
      <c r="A96" s="16">
        <v>85</v>
      </c>
      <c r="B96" s="17" t="s">
        <v>339</v>
      </c>
      <c r="C96" s="16" t="s">
        <v>85</v>
      </c>
      <c r="D96" s="16" t="s">
        <v>78</v>
      </c>
      <c r="E96" s="16" t="s">
        <v>93</v>
      </c>
      <c r="F96" s="35" t="str">
        <f ca="1">INDEX(Upaya_Debitur[Lunas?],MATCH(Upaya_Agunan[[#This Row],[Nomor PK]],Upaya_Debitur[Nomor PK],0))</f>
        <v>Belum Lunas</v>
      </c>
      <c r="G96" s="35" t="str">
        <f>IF(OR(Upaya_Agunan[[#This Row],[Agunan]]="SHM",Upaya_Agunan[[#This Row],[Agunan]]="BPKB"),"Ya","Tidak")</f>
        <v>Ya</v>
      </c>
      <c r="H9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9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96" s="35" t="str">
        <f ca="1">IF(AND(DATEDIF($B$5,$B$6,"D")&gt;=150,Upaya_Agunan[[#This Row],[Lelang 1?]]="Ya"),"Ya","Tidak")</f>
        <v>Tidak</v>
      </c>
      <c r="K96" s="35" t="str">
        <f ca="1">IF(AND(DATEDIF($B$5,$B$6,"D")&gt;=180,Upaya_Agunan[[#This Row],[Lelang 2?]]="Ya"),"Ya","Tidak")</f>
        <v>Tidak</v>
      </c>
      <c r="L96" s="18" t="s">
        <v>640</v>
      </c>
      <c r="M96" s="18"/>
      <c r="N96" s="18"/>
      <c r="O96" s="18"/>
      <c r="P96" s="18"/>
      <c r="Q96" s="35">
        <f ca="1">COUNTIF(Upaya_Agunan[[#This Row],[Blokir Agunan?]:[Penjualan Agunan?]],"Ya")</f>
        <v>1</v>
      </c>
      <c r="R96" s="35">
        <f ca="1">Upaya_Agunan[[#This Row],[Target Upaya]]-COUNTIFS(Upaya_Agunan[[#This Row],[Blokir Agunan?]:[Penjualan Agunan?]],"Ya",Upaya_Agunan[[#This Row],[Blokir Agunan]:[Penjualan Agunan]],"")</f>
        <v>1</v>
      </c>
      <c r="S96" s="36">
        <f ca="1">IF(ISNUMBER(Upaya_Agunan[[#This Row],[Realisasi]]/Upaya_Agunan[[#This Row],[Target Upaya]]),Upaya_Agunan[[#This Row],[Realisasi]]/Upaya_Agunan[[#This Row],[Target Upaya]],1)</f>
        <v>1</v>
      </c>
    </row>
    <row r="97" spans="1:19" x14ac:dyDescent="0.3">
      <c r="A97" s="16">
        <v>86</v>
      </c>
      <c r="B97" s="17" t="s">
        <v>341</v>
      </c>
      <c r="C97" s="16" t="s">
        <v>85</v>
      </c>
      <c r="D97" s="16" t="s">
        <v>78</v>
      </c>
      <c r="E97" s="16" t="s">
        <v>93</v>
      </c>
      <c r="F97" s="35" t="str">
        <f ca="1">INDEX(Upaya_Debitur[Lunas?],MATCH(Upaya_Agunan[[#This Row],[Nomor PK]],Upaya_Debitur[Nomor PK],0))</f>
        <v>Belum Lunas</v>
      </c>
      <c r="G97" s="35" t="str">
        <f>IF(OR(Upaya_Agunan[[#This Row],[Agunan]]="SHM",Upaya_Agunan[[#This Row],[Agunan]]="BPKB"),"Ya","Tidak")</f>
        <v>Ya</v>
      </c>
      <c r="H9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9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97" s="35" t="str">
        <f ca="1">IF(AND(DATEDIF($B$5,$B$6,"D")&gt;=150,Upaya_Agunan[[#This Row],[Lelang 1?]]="Ya"),"Ya","Tidak")</f>
        <v>Tidak</v>
      </c>
      <c r="K97" s="35" t="str">
        <f ca="1">IF(AND(DATEDIF($B$5,$B$6,"D")&gt;=180,Upaya_Agunan[[#This Row],[Lelang 2?]]="Ya"),"Ya","Tidak")</f>
        <v>Tidak</v>
      </c>
      <c r="L97" s="18" t="s">
        <v>640</v>
      </c>
      <c r="M97" s="18"/>
      <c r="N97" s="18"/>
      <c r="O97" s="18"/>
      <c r="P97" s="18"/>
      <c r="Q97" s="35">
        <f ca="1">COUNTIF(Upaya_Agunan[[#This Row],[Blokir Agunan?]:[Penjualan Agunan?]],"Ya")</f>
        <v>1</v>
      </c>
      <c r="R97" s="35">
        <f ca="1">Upaya_Agunan[[#This Row],[Target Upaya]]-COUNTIFS(Upaya_Agunan[[#This Row],[Blokir Agunan?]:[Penjualan Agunan?]],"Ya",Upaya_Agunan[[#This Row],[Blokir Agunan]:[Penjualan Agunan]],"")</f>
        <v>1</v>
      </c>
      <c r="S97" s="36">
        <f ca="1">IF(ISNUMBER(Upaya_Agunan[[#This Row],[Realisasi]]/Upaya_Agunan[[#This Row],[Target Upaya]]),Upaya_Agunan[[#This Row],[Realisasi]]/Upaya_Agunan[[#This Row],[Target Upaya]],1)</f>
        <v>1</v>
      </c>
    </row>
    <row r="98" spans="1:19" x14ac:dyDescent="0.3">
      <c r="A98" s="16">
        <v>87</v>
      </c>
      <c r="B98" s="17" t="s">
        <v>342</v>
      </c>
      <c r="C98" s="16" t="s">
        <v>95</v>
      </c>
      <c r="D98" s="16" t="s">
        <v>638</v>
      </c>
      <c r="E98" s="16" t="s">
        <v>93</v>
      </c>
      <c r="F98" s="35" t="str">
        <f ca="1">INDEX(Upaya_Debitur[Lunas?],MATCH(Upaya_Agunan[[#This Row],[Nomor PK]],Upaya_Debitur[Nomor PK],0))</f>
        <v>Belum Lunas</v>
      </c>
      <c r="G98" s="35" t="str">
        <f>IF(OR(Upaya_Agunan[[#This Row],[Agunan]]="SHM",Upaya_Agunan[[#This Row],[Agunan]]="BPKB"),"Ya","Tidak")</f>
        <v>Tidak</v>
      </c>
      <c r="H9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9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98" s="35" t="str">
        <f ca="1">IF(AND(DATEDIF($B$5,$B$6,"D")&gt;=150,Upaya_Agunan[[#This Row],[Lelang 1?]]="Ya"),"Ya","Tidak")</f>
        <v>Tidak</v>
      </c>
      <c r="K98" s="35" t="str">
        <f ca="1">IF(AND(DATEDIF($B$5,$B$6,"D")&gt;=180,Upaya_Agunan[[#This Row],[Lelang 2?]]="Ya"),"Ya","Tidak")</f>
        <v>Tidak</v>
      </c>
      <c r="L98" s="18"/>
      <c r="M98" s="18"/>
      <c r="N98" s="18"/>
      <c r="O98" s="18"/>
      <c r="P98" s="18"/>
      <c r="Q98" s="35">
        <f ca="1">COUNTIF(Upaya_Agunan[[#This Row],[Blokir Agunan?]:[Penjualan Agunan?]],"Ya")</f>
        <v>0</v>
      </c>
      <c r="R98" s="35">
        <f ca="1">Upaya_Agunan[[#This Row],[Target Upaya]]-COUNTIFS(Upaya_Agunan[[#This Row],[Blokir Agunan?]:[Penjualan Agunan?]],"Ya",Upaya_Agunan[[#This Row],[Blokir Agunan]:[Penjualan Agunan]],"")</f>
        <v>0</v>
      </c>
      <c r="S98" s="36">
        <f ca="1">IF(ISNUMBER(Upaya_Agunan[[#This Row],[Realisasi]]/Upaya_Agunan[[#This Row],[Target Upaya]]),Upaya_Agunan[[#This Row],[Realisasi]]/Upaya_Agunan[[#This Row],[Target Upaya]],1)</f>
        <v>1</v>
      </c>
    </row>
    <row r="99" spans="1:19" x14ac:dyDescent="0.3">
      <c r="A99" s="16">
        <v>88</v>
      </c>
      <c r="B99" s="17" t="s">
        <v>344</v>
      </c>
      <c r="C99" s="16" t="s">
        <v>85</v>
      </c>
      <c r="D99" s="16" t="s">
        <v>78</v>
      </c>
      <c r="E99" s="16" t="s">
        <v>93</v>
      </c>
      <c r="F99" s="35" t="str">
        <f ca="1">INDEX(Upaya_Debitur[Lunas?],MATCH(Upaya_Agunan[[#This Row],[Nomor PK]],Upaya_Debitur[Nomor PK],0))</f>
        <v>Belum Lunas</v>
      </c>
      <c r="G99" s="35" t="str">
        <f>IF(OR(Upaya_Agunan[[#This Row],[Agunan]]="SHM",Upaya_Agunan[[#This Row],[Agunan]]="BPKB"),"Ya","Tidak")</f>
        <v>Ya</v>
      </c>
      <c r="H9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9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99" s="35" t="str">
        <f ca="1">IF(AND(DATEDIF($B$5,$B$6,"D")&gt;=150,Upaya_Agunan[[#This Row],[Lelang 1?]]="Ya"),"Ya","Tidak")</f>
        <v>Tidak</v>
      </c>
      <c r="K99" s="35" t="str">
        <f ca="1">IF(AND(DATEDIF($B$5,$B$6,"D")&gt;=180,Upaya_Agunan[[#This Row],[Lelang 2?]]="Ya"),"Ya","Tidak")</f>
        <v>Tidak</v>
      </c>
      <c r="L99" s="18" t="s">
        <v>640</v>
      </c>
      <c r="M99" s="18"/>
      <c r="N99" s="18"/>
      <c r="O99" s="18"/>
      <c r="P99" s="18"/>
      <c r="Q99" s="35">
        <f ca="1">COUNTIF(Upaya_Agunan[[#This Row],[Blokir Agunan?]:[Penjualan Agunan?]],"Ya")</f>
        <v>1</v>
      </c>
      <c r="R99" s="35">
        <f ca="1">Upaya_Agunan[[#This Row],[Target Upaya]]-COUNTIFS(Upaya_Agunan[[#This Row],[Blokir Agunan?]:[Penjualan Agunan?]],"Ya",Upaya_Agunan[[#This Row],[Blokir Agunan]:[Penjualan Agunan]],"")</f>
        <v>1</v>
      </c>
      <c r="S99" s="36">
        <f ca="1">IF(ISNUMBER(Upaya_Agunan[[#This Row],[Realisasi]]/Upaya_Agunan[[#This Row],[Target Upaya]]),Upaya_Agunan[[#This Row],[Realisasi]]/Upaya_Agunan[[#This Row],[Target Upaya]],1)</f>
        <v>1</v>
      </c>
    </row>
    <row r="100" spans="1:19" x14ac:dyDescent="0.3">
      <c r="A100" s="16">
        <v>89</v>
      </c>
      <c r="B100" s="17" t="s">
        <v>346</v>
      </c>
      <c r="C100" s="16" t="s">
        <v>95</v>
      </c>
      <c r="D100" s="16" t="s">
        <v>638</v>
      </c>
      <c r="E100" s="16" t="s">
        <v>93</v>
      </c>
      <c r="F100" s="35" t="str">
        <f ca="1">INDEX(Upaya_Debitur[Lunas?],MATCH(Upaya_Agunan[[#This Row],[Nomor PK]],Upaya_Debitur[Nomor PK],0))</f>
        <v>Belum Lunas</v>
      </c>
      <c r="G100" s="35" t="str">
        <f>IF(OR(Upaya_Agunan[[#This Row],[Agunan]]="SHM",Upaya_Agunan[[#This Row],[Agunan]]="BPKB"),"Ya","Tidak")</f>
        <v>Tidak</v>
      </c>
      <c r="H10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0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00" s="35" t="str">
        <f ca="1">IF(AND(DATEDIF($B$5,$B$6,"D")&gt;=150,Upaya_Agunan[[#This Row],[Lelang 1?]]="Ya"),"Ya","Tidak")</f>
        <v>Tidak</v>
      </c>
      <c r="K100" s="35" t="str">
        <f ca="1">IF(AND(DATEDIF($B$5,$B$6,"D")&gt;=180,Upaya_Agunan[[#This Row],[Lelang 2?]]="Ya"),"Ya","Tidak")</f>
        <v>Tidak</v>
      </c>
      <c r="L100" s="18"/>
      <c r="M100" s="18"/>
      <c r="N100" s="18"/>
      <c r="O100" s="18"/>
      <c r="P100" s="18"/>
      <c r="Q100" s="35">
        <f ca="1">COUNTIF(Upaya_Agunan[[#This Row],[Blokir Agunan?]:[Penjualan Agunan?]],"Ya")</f>
        <v>0</v>
      </c>
      <c r="R100" s="35">
        <f ca="1">Upaya_Agunan[[#This Row],[Target Upaya]]-COUNTIFS(Upaya_Agunan[[#This Row],[Blokir Agunan?]:[Penjualan Agunan?]],"Ya",Upaya_Agunan[[#This Row],[Blokir Agunan]:[Penjualan Agunan]],"")</f>
        <v>0</v>
      </c>
      <c r="S100" s="36">
        <f ca="1">IF(ISNUMBER(Upaya_Agunan[[#This Row],[Realisasi]]/Upaya_Agunan[[#This Row],[Target Upaya]]),Upaya_Agunan[[#This Row],[Realisasi]]/Upaya_Agunan[[#This Row],[Target Upaya]],1)</f>
        <v>1</v>
      </c>
    </row>
    <row r="101" spans="1:19" x14ac:dyDescent="0.3">
      <c r="A101" s="16">
        <v>90</v>
      </c>
      <c r="B101" s="17" t="s">
        <v>348</v>
      </c>
      <c r="C101" s="16" t="s">
        <v>84</v>
      </c>
      <c r="D101" s="16" t="s">
        <v>79</v>
      </c>
      <c r="E101" s="16" t="s">
        <v>93</v>
      </c>
      <c r="F101" s="35" t="str">
        <f ca="1">INDEX(Upaya_Debitur[Lunas?],MATCH(Upaya_Agunan[[#This Row],[Nomor PK]],Upaya_Debitur[Nomor PK],0))</f>
        <v>Belum Lunas</v>
      </c>
      <c r="G101" s="35" t="str">
        <f>IF(OR(Upaya_Agunan[[#This Row],[Agunan]]="SHM",Upaya_Agunan[[#This Row],[Agunan]]="BPKB"),"Ya","Tidak")</f>
        <v>Tidak</v>
      </c>
      <c r="H10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0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01" s="35" t="str">
        <f ca="1">IF(AND(DATEDIF($B$5,$B$6,"D")&gt;=150,Upaya_Agunan[[#This Row],[Lelang 1?]]="Ya"),"Ya","Tidak")</f>
        <v>Tidak</v>
      </c>
      <c r="K101" s="35" t="str">
        <f ca="1">IF(AND(DATEDIF($B$5,$B$6,"D")&gt;=180,Upaya_Agunan[[#This Row],[Lelang 2?]]="Ya"),"Ya","Tidak")</f>
        <v>Tidak</v>
      </c>
      <c r="L101" s="18"/>
      <c r="M101" s="18"/>
      <c r="N101" s="18"/>
      <c r="O101" s="18"/>
      <c r="P101" s="18"/>
      <c r="Q101" s="35">
        <f ca="1">COUNTIF(Upaya_Agunan[[#This Row],[Blokir Agunan?]:[Penjualan Agunan?]],"Ya")</f>
        <v>0</v>
      </c>
      <c r="R101" s="35">
        <f ca="1">Upaya_Agunan[[#This Row],[Target Upaya]]-COUNTIFS(Upaya_Agunan[[#This Row],[Blokir Agunan?]:[Penjualan Agunan?]],"Ya",Upaya_Agunan[[#This Row],[Blokir Agunan]:[Penjualan Agunan]],"")</f>
        <v>0</v>
      </c>
      <c r="S101" s="36">
        <f ca="1">IF(ISNUMBER(Upaya_Agunan[[#This Row],[Realisasi]]/Upaya_Agunan[[#This Row],[Target Upaya]]),Upaya_Agunan[[#This Row],[Realisasi]]/Upaya_Agunan[[#This Row],[Target Upaya]],1)</f>
        <v>1</v>
      </c>
    </row>
    <row r="102" spans="1:19" x14ac:dyDescent="0.3">
      <c r="A102" s="16">
        <v>91</v>
      </c>
      <c r="B102" s="17" t="s">
        <v>350</v>
      </c>
      <c r="C102" s="16" t="s">
        <v>84</v>
      </c>
      <c r="D102" s="16" t="s">
        <v>79</v>
      </c>
      <c r="E102" s="16" t="s">
        <v>93</v>
      </c>
      <c r="F102" s="35" t="str">
        <f ca="1">INDEX(Upaya_Debitur[Lunas?],MATCH(Upaya_Agunan[[#This Row],[Nomor PK]],Upaya_Debitur[Nomor PK],0))</f>
        <v>Belum Lunas</v>
      </c>
      <c r="G102" s="35" t="str">
        <f>IF(OR(Upaya_Agunan[[#This Row],[Agunan]]="SHM",Upaya_Agunan[[#This Row],[Agunan]]="BPKB"),"Ya","Tidak")</f>
        <v>Tidak</v>
      </c>
      <c r="H10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0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02" s="35" t="str">
        <f ca="1">IF(AND(DATEDIF($B$5,$B$6,"D")&gt;=150,Upaya_Agunan[[#This Row],[Lelang 1?]]="Ya"),"Ya","Tidak")</f>
        <v>Tidak</v>
      </c>
      <c r="K102" s="35" t="str">
        <f ca="1">IF(AND(DATEDIF($B$5,$B$6,"D")&gt;=180,Upaya_Agunan[[#This Row],[Lelang 2?]]="Ya"),"Ya","Tidak")</f>
        <v>Tidak</v>
      </c>
      <c r="L102" s="18"/>
      <c r="M102" s="18"/>
      <c r="N102" s="18"/>
      <c r="O102" s="18"/>
      <c r="P102" s="18"/>
      <c r="Q102" s="35">
        <f ca="1">COUNTIF(Upaya_Agunan[[#This Row],[Blokir Agunan?]:[Penjualan Agunan?]],"Ya")</f>
        <v>0</v>
      </c>
      <c r="R102" s="35">
        <f ca="1">Upaya_Agunan[[#This Row],[Target Upaya]]-COUNTIFS(Upaya_Agunan[[#This Row],[Blokir Agunan?]:[Penjualan Agunan?]],"Ya",Upaya_Agunan[[#This Row],[Blokir Agunan]:[Penjualan Agunan]],"")</f>
        <v>0</v>
      </c>
      <c r="S102" s="36">
        <f ca="1">IF(ISNUMBER(Upaya_Agunan[[#This Row],[Realisasi]]/Upaya_Agunan[[#This Row],[Target Upaya]]),Upaya_Agunan[[#This Row],[Realisasi]]/Upaya_Agunan[[#This Row],[Target Upaya]],1)</f>
        <v>1</v>
      </c>
    </row>
    <row r="103" spans="1:19" x14ac:dyDescent="0.3">
      <c r="A103" s="16">
        <v>92</v>
      </c>
      <c r="B103" s="17" t="s">
        <v>352</v>
      </c>
      <c r="C103" s="16" t="s">
        <v>95</v>
      </c>
      <c r="D103" s="16" t="s">
        <v>638</v>
      </c>
      <c r="E103" s="16" t="s">
        <v>93</v>
      </c>
      <c r="F103" s="35" t="str">
        <f ca="1">INDEX(Upaya_Debitur[Lunas?],MATCH(Upaya_Agunan[[#This Row],[Nomor PK]],Upaya_Debitur[Nomor PK],0))</f>
        <v>Belum Lunas</v>
      </c>
      <c r="G103" s="35" t="str">
        <f>IF(OR(Upaya_Agunan[[#This Row],[Agunan]]="SHM",Upaya_Agunan[[#This Row],[Agunan]]="BPKB"),"Ya","Tidak")</f>
        <v>Tidak</v>
      </c>
      <c r="H10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0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03" s="35" t="str">
        <f ca="1">IF(AND(DATEDIF($B$5,$B$6,"D")&gt;=150,Upaya_Agunan[[#This Row],[Lelang 1?]]="Ya"),"Ya","Tidak")</f>
        <v>Tidak</v>
      </c>
      <c r="K103" s="35" t="str">
        <f ca="1">IF(AND(DATEDIF($B$5,$B$6,"D")&gt;=180,Upaya_Agunan[[#This Row],[Lelang 2?]]="Ya"),"Ya","Tidak")</f>
        <v>Tidak</v>
      </c>
      <c r="L103" s="18"/>
      <c r="M103" s="18"/>
      <c r="N103" s="18"/>
      <c r="O103" s="18"/>
      <c r="P103" s="18"/>
      <c r="Q103" s="35">
        <f ca="1">COUNTIF(Upaya_Agunan[[#This Row],[Blokir Agunan?]:[Penjualan Agunan?]],"Ya")</f>
        <v>0</v>
      </c>
      <c r="R103" s="35">
        <f ca="1">Upaya_Agunan[[#This Row],[Target Upaya]]-COUNTIFS(Upaya_Agunan[[#This Row],[Blokir Agunan?]:[Penjualan Agunan?]],"Ya",Upaya_Agunan[[#This Row],[Blokir Agunan]:[Penjualan Agunan]],"")</f>
        <v>0</v>
      </c>
      <c r="S103" s="36">
        <f ca="1">IF(ISNUMBER(Upaya_Agunan[[#This Row],[Realisasi]]/Upaya_Agunan[[#This Row],[Target Upaya]]),Upaya_Agunan[[#This Row],[Realisasi]]/Upaya_Agunan[[#This Row],[Target Upaya]],1)</f>
        <v>1</v>
      </c>
    </row>
    <row r="104" spans="1:19" x14ac:dyDescent="0.3">
      <c r="A104" s="16">
        <v>93</v>
      </c>
      <c r="B104" s="17" t="s">
        <v>354</v>
      </c>
      <c r="C104" s="16" t="s">
        <v>85</v>
      </c>
      <c r="D104" s="16" t="s">
        <v>78</v>
      </c>
      <c r="E104" s="16" t="s">
        <v>93</v>
      </c>
      <c r="F104" s="35" t="str">
        <f ca="1">INDEX(Upaya_Debitur[Lunas?],MATCH(Upaya_Agunan[[#This Row],[Nomor PK]],Upaya_Debitur[Nomor PK],0))</f>
        <v>Lunas</v>
      </c>
      <c r="G104" s="35" t="str">
        <f>IF(OR(Upaya_Agunan[[#This Row],[Agunan]]="SHM",Upaya_Agunan[[#This Row],[Agunan]]="BPKB"),"Ya","Tidak")</f>
        <v>Ya</v>
      </c>
      <c r="H10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0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04" s="35" t="str">
        <f ca="1">IF(AND(DATEDIF($B$5,$B$6,"D")&gt;=150,Upaya_Agunan[[#This Row],[Lelang 1?]]="Ya"),"Ya","Tidak")</f>
        <v>Tidak</v>
      </c>
      <c r="K104" s="35" t="str">
        <f ca="1">IF(AND(DATEDIF($B$5,$B$6,"D")&gt;=180,Upaya_Agunan[[#This Row],[Lelang 2?]]="Ya"),"Ya","Tidak")</f>
        <v>Tidak</v>
      </c>
      <c r="L104" s="18" t="s">
        <v>641</v>
      </c>
      <c r="M104" s="18"/>
      <c r="N104" s="18"/>
      <c r="O104" s="18"/>
      <c r="P104" s="18"/>
      <c r="Q104" s="35">
        <f ca="1">COUNTIF(Upaya_Agunan[[#This Row],[Blokir Agunan?]:[Penjualan Agunan?]],"Ya")</f>
        <v>1</v>
      </c>
      <c r="R104" s="35">
        <f ca="1">Upaya_Agunan[[#This Row],[Target Upaya]]-COUNTIFS(Upaya_Agunan[[#This Row],[Blokir Agunan?]:[Penjualan Agunan?]],"Ya",Upaya_Agunan[[#This Row],[Blokir Agunan]:[Penjualan Agunan]],"")</f>
        <v>1</v>
      </c>
      <c r="S104" s="36">
        <f ca="1">IF(ISNUMBER(Upaya_Agunan[[#This Row],[Realisasi]]/Upaya_Agunan[[#This Row],[Target Upaya]]),Upaya_Agunan[[#This Row],[Realisasi]]/Upaya_Agunan[[#This Row],[Target Upaya]],1)</f>
        <v>1</v>
      </c>
    </row>
    <row r="105" spans="1:19" x14ac:dyDescent="0.3">
      <c r="A105" s="16">
        <v>94</v>
      </c>
      <c r="B105" s="17" t="s">
        <v>356</v>
      </c>
      <c r="C105" s="16" t="s">
        <v>95</v>
      </c>
      <c r="D105" s="16" t="s">
        <v>638</v>
      </c>
      <c r="E105" s="16" t="s">
        <v>93</v>
      </c>
      <c r="F105" s="35" t="str">
        <f ca="1">INDEX(Upaya_Debitur[Lunas?],MATCH(Upaya_Agunan[[#This Row],[Nomor PK]],Upaya_Debitur[Nomor PK],0))</f>
        <v>Belum Lunas</v>
      </c>
      <c r="G105" s="35" t="str">
        <f>IF(OR(Upaya_Agunan[[#This Row],[Agunan]]="SHM",Upaya_Agunan[[#This Row],[Agunan]]="BPKB"),"Ya","Tidak")</f>
        <v>Tidak</v>
      </c>
      <c r="H10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0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05" s="35" t="str">
        <f ca="1">IF(AND(DATEDIF($B$5,$B$6,"D")&gt;=150,Upaya_Agunan[[#This Row],[Lelang 1?]]="Ya"),"Ya","Tidak")</f>
        <v>Tidak</v>
      </c>
      <c r="K105" s="35" t="str">
        <f ca="1">IF(AND(DATEDIF($B$5,$B$6,"D")&gt;=180,Upaya_Agunan[[#This Row],[Lelang 2?]]="Ya"),"Ya","Tidak")</f>
        <v>Tidak</v>
      </c>
      <c r="L105" s="18"/>
      <c r="M105" s="18"/>
      <c r="N105" s="18"/>
      <c r="O105" s="18"/>
      <c r="P105" s="18"/>
      <c r="Q105" s="35">
        <f ca="1">COUNTIF(Upaya_Agunan[[#This Row],[Blokir Agunan?]:[Penjualan Agunan?]],"Ya")</f>
        <v>0</v>
      </c>
      <c r="R105" s="35">
        <f ca="1">Upaya_Agunan[[#This Row],[Target Upaya]]-COUNTIFS(Upaya_Agunan[[#This Row],[Blokir Agunan?]:[Penjualan Agunan?]],"Ya",Upaya_Agunan[[#This Row],[Blokir Agunan]:[Penjualan Agunan]],"")</f>
        <v>0</v>
      </c>
      <c r="S105" s="36">
        <f ca="1">IF(ISNUMBER(Upaya_Agunan[[#This Row],[Realisasi]]/Upaya_Agunan[[#This Row],[Target Upaya]]),Upaya_Agunan[[#This Row],[Realisasi]]/Upaya_Agunan[[#This Row],[Target Upaya]],1)</f>
        <v>1</v>
      </c>
    </row>
    <row r="106" spans="1:19" x14ac:dyDescent="0.3">
      <c r="A106" s="16">
        <v>95</v>
      </c>
      <c r="B106" s="17" t="s">
        <v>358</v>
      </c>
      <c r="C106" s="16" t="s">
        <v>85</v>
      </c>
      <c r="D106" s="16" t="s">
        <v>78</v>
      </c>
      <c r="E106" s="16" t="s">
        <v>93</v>
      </c>
      <c r="F106" s="35" t="str">
        <f ca="1">INDEX(Upaya_Debitur[Lunas?],MATCH(Upaya_Agunan[[#This Row],[Nomor PK]],Upaya_Debitur[Nomor PK],0))</f>
        <v>Belum Lunas</v>
      </c>
      <c r="G106" s="35" t="str">
        <f>IF(OR(Upaya_Agunan[[#This Row],[Agunan]]="SHM",Upaya_Agunan[[#This Row],[Agunan]]="BPKB"),"Ya","Tidak")</f>
        <v>Ya</v>
      </c>
      <c r="H10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0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06" s="35" t="str">
        <f ca="1">IF(AND(DATEDIF($B$5,$B$6,"D")&gt;=150,Upaya_Agunan[[#This Row],[Lelang 1?]]="Ya"),"Ya","Tidak")</f>
        <v>Tidak</v>
      </c>
      <c r="K106" s="35" t="str">
        <f ca="1">IF(AND(DATEDIF($B$5,$B$6,"D")&gt;=180,Upaya_Agunan[[#This Row],[Lelang 2?]]="Ya"),"Ya","Tidak")</f>
        <v>Tidak</v>
      </c>
      <c r="L106" s="18" t="s">
        <v>643</v>
      </c>
      <c r="M106" s="18"/>
      <c r="N106" s="18"/>
      <c r="O106" s="18"/>
      <c r="P106" s="18"/>
      <c r="Q106" s="35">
        <f ca="1">COUNTIF(Upaya_Agunan[[#This Row],[Blokir Agunan?]:[Penjualan Agunan?]],"Ya")</f>
        <v>1</v>
      </c>
      <c r="R106" s="35">
        <f ca="1">Upaya_Agunan[[#This Row],[Target Upaya]]-COUNTIFS(Upaya_Agunan[[#This Row],[Blokir Agunan?]:[Penjualan Agunan?]],"Ya",Upaya_Agunan[[#This Row],[Blokir Agunan]:[Penjualan Agunan]],"")</f>
        <v>1</v>
      </c>
      <c r="S106" s="36">
        <f ca="1">IF(ISNUMBER(Upaya_Agunan[[#This Row],[Realisasi]]/Upaya_Agunan[[#This Row],[Target Upaya]]),Upaya_Agunan[[#This Row],[Realisasi]]/Upaya_Agunan[[#This Row],[Target Upaya]],1)</f>
        <v>1</v>
      </c>
    </row>
    <row r="107" spans="1:19" x14ac:dyDescent="0.3">
      <c r="A107" s="16">
        <v>96</v>
      </c>
      <c r="B107" s="17" t="s">
        <v>359</v>
      </c>
      <c r="C107" s="16" t="s">
        <v>84</v>
      </c>
      <c r="D107" s="16" t="s">
        <v>79</v>
      </c>
      <c r="E107" s="16" t="s">
        <v>93</v>
      </c>
      <c r="F107" s="35" t="str">
        <f ca="1">INDEX(Upaya_Debitur[Lunas?],MATCH(Upaya_Agunan[[#This Row],[Nomor PK]],Upaya_Debitur[Nomor PK],0))</f>
        <v>Belum Lunas</v>
      </c>
      <c r="G107" s="35" t="str">
        <f>IF(OR(Upaya_Agunan[[#This Row],[Agunan]]="SHM",Upaya_Agunan[[#This Row],[Agunan]]="BPKB"),"Ya","Tidak")</f>
        <v>Tidak</v>
      </c>
      <c r="H10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0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07" s="35" t="str">
        <f ca="1">IF(AND(DATEDIF($B$5,$B$6,"D")&gt;=150,Upaya_Agunan[[#This Row],[Lelang 1?]]="Ya"),"Ya","Tidak")</f>
        <v>Tidak</v>
      </c>
      <c r="K107" s="35" t="str">
        <f ca="1">IF(AND(DATEDIF($B$5,$B$6,"D")&gt;=180,Upaya_Agunan[[#This Row],[Lelang 2?]]="Ya"),"Ya","Tidak")</f>
        <v>Tidak</v>
      </c>
      <c r="L107" s="18"/>
      <c r="M107" s="18"/>
      <c r="N107" s="18"/>
      <c r="O107" s="18"/>
      <c r="P107" s="18"/>
      <c r="Q107" s="35">
        <f ca="1">COUNTIF(Upaya_Agunan[[#This Row],[Blokir Agunan?]:[Penjualan Agunan?]],"Ya")</f>
        <v>0</v>
      </c>
      <c r="R107" s="35">
        <f ca="1">Upaya_Agunan[[#This Row],[Target Upaya]]-COUNTIFS(Upaya_Agunan[[#This Row],[Blokir Agunan?]:[Penjualan Agunan?]],"Ya",Upaya_Agunan[[#This Row],[Blokir Agunan]:[Penjualan Agunan]],"")</f>
        <v>0</v>
      </c>
      <c r="S107" s="36">
        <f ca="1">IF(ISNUMBER(Upaya_Agunan[[#This Row],[Realisasi]]/Upaya_Agunan[[#This Row],[Target Upaya]]),Upaya_Agunan[[#This Row],[Realisasi]]/Upaya_Agunan[[#This Row],[Target Upaya]],1)</f>
        <v>1</v>
      </c>
    </row>
    <row r="108" spans="1:19" x14ac:dyDescent="0.3">
      <c r="A108" s="16">
        <v>97</v>
      </c>
      <c r="B108" s="17" t="s">
        <v>359</v>
      </c>
      <c r="C108" s="16" t="s">
        <v>84</v>
      </c>
      <c r="D108" s="16" t="s">
        <v>79</v>
      </c>
      <c r="E108" s="16" t="s">
        <v>93</v>
      </c>
      <c r="F108" s="35" t="str">
        <f ca="1">INDEX(Upaya_Debitur[Lunas?],MATCH(Upaya_Agunan[[#This Row],[Nomor PK]],Upaya_Debitur[Nomor PK],0))</f>
        <v>Belum Lunas</v>
      </c>
      <c r="G108" s="35" t="str">
        <f>IF(OR(Upaya_Agunan[[#This Row],[Agunan]]="SHM",Upaya_Agunan[[#This Row],[Agunan]]="BPKB"),"Ya","Tidak")</f>
        <v>Tidak</v>
      </c>
      <c r="H10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0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08" s="35" t="str">
        <f ca="1">IF(AND(DATEDIF($B$5,$B$6,"D")&gt;=150,Upaya_Agunan[[#This Row],[Lelang 1?]]="Ya"),"Ya","Tidak")</f>
        <v>Tidak</v>
      </c>
      <c r="K108" s="35" t="str">
        <f ca="1">IF(AND(DATEDIF($B$5,$B$6,"D")&gt;=180,Upaya_Agunan[[#This Row],[Lelang 2?]]="Ya"),"Ya","Tidak")</f>
        <v>Tidak</v>
      </c>
      <c r="L108" s="18"/>
      <c r="M108" s="18"/>
      <c r="N108" s="18"/>
      <c r="O108" s="18"/>
      <c r="P108" s="18"/>
      <c r="Q108" s="35">
        <f ca="1">COUNTIF(Upaya_Agunan[[#This Row],[Blokir Agunan?]:[Penjualan Agunan?]],"Ya")</f>
        <v>0</v>
      </c>
      <c r="R108" s="35">
        <f ca="1">Upaya_Agunan[[#This Row],[Target Upaya]]-COUNTIFS(Upaya_Agunan[[#This Row],[Blokir Agunan?]:[Penjualan Agunan?]],"Ya",Upaya_Agunan[[#This Row],[Blokir Agunan]:[Penjualan Agunan]],"")</f>
        <v>0</v>
      </c>
      <c r="S108" s="36">
        <f ca="1">IF(ISNUMBER(Upaya_Agunan[[#This Row],[Realisasi]]/Upaya_Agunan[[#This Row],[Target Upaya]]),Upaya_Agunan[[#This Row],[Realisasi]]/Upaya_Agunan[[#This Row],[Target Upaya]],1)</f>
        <v>1</v>
      </c>
    </row>
    <row r="109" spans="1:19" x14ac:dyDescent="0.3">
      <c r="A109" s="16">
        <v>98</v>
      </c>
      <c r="B109" s="17" t="s">
        <v>359</v>
      </c>
      <c r="C109" s="16" t="s">
        <v>84</v>
      </c>
      <c r="D109" s="16" t="s">
        <v>79</v>
      </c>
      <c r="E109" s="16" t="s">
        <v>93</v>
      </c>
      <c r="F109" s="35" t="str">
        <f ca="1">INDEX(Upaya_Debitur[Lunas?],MATCH(Upaya_Agunan[[#This Row],[Nomor PK]],Upaya_Debitur[Nomor PK],0))</f>
        <v>Belum Lunas</v>
      </c>
      <c r="G109" s="35" t="str">
        <f>IF(OR(Upaya_Agunan[[#This Row],[Agunan]]="SHM",Upaya_Agunan[[#This Row],[Agunan]]="BPKB"),"Ya","Tidak")</f>
        <v>Tidak</v>
      </c>
      <c r="H10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0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09" s="35" t="str">
        <f ca="1">IF(AND(DATEDIF($B$5,$B$6,"D")&gt;=150,Upaya_Agunan[[#This Row],[Lelang 1?]]="Ya"),"Ya","Tidak")</f>
        <v>Tidak</v>
      </c>
      <c r="K109" s="35" t="str">
        <f ca="1">IF(AND(DATEDIF($B$5,$B$6,"D")&gt;=180,Upaya_Agunan[[#This Row],[Lelang 2?]]="Ya"),"Ya","Tidak")</f>
        <v>Tidak</v>
      </c>
      <c r="L109" s="18"/>
      <c r="M109" s="18"/>
      <c r="N109" s="18"/>
      <c r="O109" s="18"/>
      <c r="P109" s="18"/>
      <c r="Q109" s="35">
        <f ca="1">COUNTIF(Upaya_Agunan[[#This Row],[Blokir Agunan?]:[Penjualan Agunan?]],"Ya")</f>
        <v>0</v>
      </c>
      <c r="R109" s="35">
        <f ca="1">Upaya_Agunan[[#This Row],[Target Upaya]]-COUNTIFS(Upaya_Agunan[[#This Row],[Blokir Agunan?]:[Penjualan Agunan?]],"Ya",Upaya_Agunan[[#This Row],[Blokir Agunan]:[Penjualan Agunan]],"")</f>
        <v>0</v>
      </c>
      <c r="S109" s="36">
        <f ca="1">IF(ISNUMBER(Upaya_Agunan[[#This Row],[Realisasi]]/Upaya_Agunan[[#This Row],[Target Upaya]]),Upaya_Agunan[[#This Row],[Realisasi]]/Upaya_Agunan[[#This Row],[Target Upaya]],1)</f>
        <v>1</v>
      </c>
    </row>
    <row r="110" spans="1:19" x14ac:dyDescent="0.3">
      <c r="A110" s="16">
        <v>99</v>
      </c>
      <c r="B110" s="17" t="s">
        <v>360</v>
      </c>
      <c r="C110" s="16" t="s">
        <v>84</v>
      </c>
      <c r="D110" s="16" t="s">
        <v>77</v>
      </c>
      <c r="E110" s="16" t="s">
        <v>93</v>
      </c>
      <c r="F110" s="35" t="str">
        <f ca="1">INDEX(Upaya_Debitur[Lunas?],MATCH(Upaya_Agunan[[#This Row],[Nomor PK]],Upaya_Debitur[Nomor PK],0))</f>
        <v>Belum Lunas</v>
      </c>
      <c r="G110" s="35" t="str">
        <f>IF(OR(Upaya_Agunan[[#This Row],[Agunan]]="SHM",Upaya_Agunan[[#This Row],[Agunan]]="BPKB"),"Ya","Tidak")</f>
        <v>Ya</v>
      </c>
      <c r="H11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1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10" s="35" t="str">
        <f ca="1">IF(AND(DATEDIF($B$5,$B$6,"D")&gt;=150,Upaya_Agunan[[#This Row],[Lelang 1?]]="Ya"),"Ya","Tidak")</f>
        <v>Tidak</v>
      </c>
      <c r="K110" s="35" t="str">
        <f ca="1">IF(AND(DATEDIF($B$5,$B$6,"D")&gt;=180,Upaya_Agunan[[#This Row],[Lelang 2?]]="Ya"),"Ya","Tidak")</f>
        <v>Tidak</v>
      </c>
      <c r="L110" s="18">
        <v>44125</v>
      </c>
      <c r="M110" s="18"/>
      <c r="N110" s="18"/>
      <c r="O110" s="18"/>
      <c r="P110" s="18"/>
      <c r="Q110" s="35">
        <f ca="1">COUNTIF(Upaya_Agunan[[#This Row],[Blokir Agunan?]:[Penjualan Agunan?]],"Ya")</f>
        <v>1</v>
      </c>
      <c r="R110" s="35">
        <f ca="1">Upaya_Agunan[[#This Row],[Target Upaya]]-COUNTIFS(Upaya_Agunan[[#This Row],[Blokir Agunan?]:[Penjualan Agunan?]],"Ya",Upaya_Agunan[[#This Row],[Blokir Agunan]:[Penjualan Agunan]],"")</f>
        <v>1</v>
      </c>
      <c r="S110" s="36">
        <f ca="1">IF(ISNUMBER(Upaya_Agunan[[#This Row],[Realisasi]]/Upaya_Agunan[[#This Row],[Target Upaya]]),Upaya_Agunan[[#This Row],[Realisasi]]/Upaya_Agunan[[#This Row],[Target Upaya]],1)</f>
        <v>1</v>
      </c>
    </row>
    <row r="111" spans="1:19" x14ac:dyDescent="0.3">
      <c r="A111" s="16">
        <v>100</v>
      </c>
      <c r="B111" s="17" t="s">
        <v>360</v>
      </c>
      <c r="C111" s="16" t="s">
        <v>84</v>
      </c>
      <c r="D111" s="16" t="s">
        <v>77</v>
      </c>
      <c r="E111" s="16" t="s">
        <v>93</v>
      </c>
      <c r="F111" s="35" t="str">
        <f ca="1">INDEX(Upaya_Debitur[Lunas?],MATCH(Upaya_Agunan[[#This Row],[Nomor PK]],Upaya_Debitur[Nomor PK],0))</f>
        <v>Belum Lunas</v>
      </c>
      <c r="G111" s="35" t="str">
        <f>IF(OR(Upaya_Agunan[[#This Row],[Agunan]]="SHM",Upaya_Agunan[[#This Row],[Agunan]]="BPKB"),"Ya","Tidak")</f>
        <v>Ya</v>
      </c>
      <c r="H11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1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11" s="35" t="str">
        <f ca="1">IF(AND(DATEDIF($B$5,$B$6,"D")&gt;=150,Upaya_Agunan[[#This Row],[Lelang 1?]]="Ya"),"Ya","Tidak")</f>
        <v>Tidak</v>
      </c>
      <c r="K111" s="35" t="str">
        <f ca="1">IF(AND(DATEDIF($B$5,$B$6,"D")&gt;=180,Upaya_Agunan[[#This Row],[Lelang 2?]]="Ya"),"Ya","Tidak")</f>
        <v>Tidak</v>
      </c>
      <c r="L111" s="18">
        <v>44125</v>
      </c>
      <c r="M111" s="18"/>
      <c r="N111" s="18"/>
      <c r="O111" s="18"/>
      <c r="P111" s="18"/>
      <c r="Q111" s="35">
        <f ca="1">COUNTIF(Upaya_Agunan[[#This Row],[Blokir Agunan?]:[Penjualan Agunan?]],"Ya")</f>
        <v>1</v>
      </c>
      <c r="R111" s="35">
        <f ca="1">Upaya_Agunan[[#This Row],[Target Upaya]]-COUNTIFS(Upaya_Agunan[[#This Row],[Blokir Agunan?]:[Penjualan Agunan?]],"Ya",Upaya_Agunan[[#This Row],[Blokir Agunan]:[Penjualan Agunan]],"")</f>
        <v>1</v>
      </c>
      <c r="S111" s="36">
        <f ca="1">IF(ISNUMBER(Upaya_Agunan[[#This Row],[Realisasi]]/Upaya_Agunan[[#This Row],[Target Upaya]]),Upaya_Agunan[[#This Row],[Realisasi]]/Upaya_Agunan[[#This Row],[Target Upaya]],1)</f>
        <v>1</v>
      </c>
    </row>
    <row r="112" spans="1:19" x14ac:dyDescent="0.3">
      <c r="A112" s="16">
        <v>101</v>
      </c>
      <c r="B112" s="17" t="s">
        <v>362</v>
      </c>
      <c r="C112" s="16" t="s">
        <v>95</v>
      </c>
      <c r="D112" s="16" t="s">
        <v>638</v>
      </c>
      <c r="E112" s="16" t="s">
        <v>93</v>
      </c>
      <c r="F112" s="35" t="str">
        <f ca="1">INDEX(Upaya_Debitur[Lunas?],MATCH(Upaya_Agunan[[#This Row],[Nomor PK]],Upaya_Debitur[Nomor PK],0))</f>
        <v>Belum Lunas</v>
      </c>
      <c r="G112" s="35" t="str">
        <f>IF(OR(Upaya_Agunan[[#This Row],[Agunan]]="SHM",Upaya_Agunan[[#This Row],[Agunan]]="BPKB"),"Ya","Tidak")</f>
        <v>Tidak</v>
      </c>
      <c r="H11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1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12" s="35" t="str">
        <f ca="1">IF(AND(DATEDIF($B$5,$B$6,"D")&gt;=150,Upaya_Agunan[[#This Row],[Lelang 1?]]="Ya"),"Ya","Tidak")</f>
        <v>Tidak</v>
      </c>
      <c r="K112" s="35" t="str">
        <f ca="1">IF(AND(DATEDIF($B$5,$B$6,"D")&gt;=180,Upaya_Agunan[[#This Row],[Lelang 2?]]="Ya"),"Ya","Tidak")</f>
        <v>Tidak</v>
      </c>
      <c r="L112" s="18"/>
      <c r="M112" s="18"/>
      <c r="N112" s="18"/>
      <c r="O112" s="18"/>
      <c r="P112" s="18"/>
      <c r="Q112" s="35">
        <f ca="1">COUNTIF(Upaya_Agunan[[#This Row],[Blokir Agunan?]:[Penjualan Agunan?]],"Ya")</f>
        <v>0</v>
      </c>
      <c r="R112" s="35">
        <f ca="1">Upaya_Agunan[[#This Row],[Target Upaya]]-COUNTIFS(Upaya_Agunan[[#This Row],[Blokir Agunan?]:[Penjualan Agunan?]],"Ya",Upaya_Agunan[[#This Row],[Blokir Agunan]:[Penjualan Agunan]],"")</f>
        <v>0</v>
      </c>
      <c r="S112" s="36">
        <f ca="1">IF(ISNUMBER(Upaya_Agunan[[#This Row],[Realisasi]]/Upaya_Agunan[[#This Row],[Target Upaya]]),Upaya_Agunan[[#This Row],[Realisasi]]/Upaya_Agunan[[#This Row],[Target Upaya]],1)</f>
        <v>1</v>
      </c>
    </row>
    <row r="113" spans="1:19" x14ac:dyDescent="0.3">
      <c r="A113" s="16">
        <v>102</v>
      </c>
      <c r="B113" s="17" t="s">
        <v>364</v>
      </c>
      <c r="C113" s="16" t="s">
        <v>85</v>
      </c>
      <c r="D113" s="16" t="s">
        <v>78</v>
      </c>
      <c r="E113" s="16" t="s">
        <v>93</v>
      </c>
      <c r="F113" s="35" t="str">
        <f ca="1">INDEX(Upaya_Debitur[Lunas?],MATCH(Upaya_Agunan[[#This Row],[Nomor PK]],Upaya_Debitur[Nomor PK],0))</f>
        <v>Belum Lunas</v>
      </c>
      <c r="G113" s="35" t="str">
        <f>IF(OR(Upaya_Agunan[[#This Row],[Agunan]]="SHM",Upaya_Agunan[[#This Row],[Agunan]]="BPKB"),"Ya","Tidak")</f>
        <v>Ya</v>
      </c>
      <c r="H11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1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13" s="35" t="str">
        <f ca="1">IF(AND(DATEDIF($B$5,$B$6,"D")&gt;=150,Upaya_Agunan[[#This Row],[Lelang 1?]]="Ya"),"Ya","Tidak")</f>
        <v>Tidak</v>
      </c>
      <c r="K113" s="35" t="str">
        <f ca="1">IF(AND(DATEDIF($B$5,$B$6,"D")&gt;=180,Upaya_Agunan[[#This Row],[Lelang 2?]]="Ya"),"Ya","Tidak")</f>
        <v>Tidak</v>
      </c>
      <c r="L113" s="18" t="s">
        <v>642</v>
      </c>
      <c r="M113" s="18"/>
      <c r="N113" s="18"/>
      <c r="O113" s="18"/>
      <c r="P113" s="18"/>
      <c r="Q113" s="35">
        <f ca="1">COUNTIF(Upaya_Agunan[[#This Row],[Blokir Agunan?]:[Penjualan Agunan?]],"Ya")</f>
        <v>1</v>
      </c>
      <c r="R113" s="35">
        <f ca="1">Upaya_Agunan[[#This Row],[Target Upaya]]-COUNTIFS(Upaya_Agunan[[#This Row],[Blokir Agunan?]:[Penjualan Agunan?]],"Ya",Upaya_Agunan[[#This Row],[Blokir Agunan]:[Penjualan Agunan]],"")</f>
        <v>1</v>
      </c>
      <c r="S113" s="36">
        <f ca="1">IF(ISNUMBER(Upaya_Agunan[[#This Row],[Realisasi]]/Upaya_Agunan[[#This Row],[Target Upaya]]),Upaya_Agunan[[#This Row],[Realisasi]]/Upaya_Agunan[[#This Row],[Target Upaya]],1)</f>
        <v>1</v>
      </c>
    </row>
    <row r="114" spans="1:19" x14ac:dyDescent="0.3">
      <c r="A114" s="16">
        <v>103</v>
      </c>
      <c r="B114" s="17" t="s">
        <v>366</v>
      </c>
      <c r="C114" s="16" t="s">
        <v>85</v>
      </c>
      <c r="D114" s="16" t="s">
        <v>78</v>
      </c>
      <c r="E114" s="16" t="s">
        <v>93</v>
      </c>
      <c r="F114" s="35" t="str">
        <f ca="1">INDEX(Upaya_Debitur[Lunas?],MATCH(Upaya_Agunan[[#This Row],[Nomor PK]],Upaya_Debitur[Nomor PK],0))</f>
        <v>Belum Lunas</v>
      </c>
      <c r="G114" s="35" t="str">
        <f>IF(OR(Upaya_Agunan[[#This Row],[Agunan]]="SHM",Upaya_Agunan[[#This Row],[Agunan]]="BPKB"),"Ya","Tidak")</f>
        <v>Ya</v>
      </c>
      <c r="H11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1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14" s="35" t="str">
        <f ca="1">IF(AND(DATEDIF($B$5,$B$6,"D")&gt;=150,Upaya_Agunan[[#This Row],[Lelang 1?]]="Ya"),"Ya","Tidak")</f>
        <v>Tidak</v>
      </c>
      <c r="K114" s="35" t="str">
        <f ca="1">IF(AND(DATEDIF($B$5,$B$6,"D")&gt;=180,Upaya_Agunan[[#This Row],[Lelang 2?]]="Ya"),"Ya","Tidak")</f>
        <v>Tidak</v>
      </c>
      <c r="L114" s="18" t="s">
        <v>640</v>
      </c>
      <c r="M114" s="18"/>
      <c r="N114" s="18"/>
      <c r="O114" s="18"/>
      <c r="P114" s="18"/>
      <c r="Q114" s="35">
        <f ca="1">COUNTIF(Upaya_Agunan[[#This Row],[Blokir Agunan?]:[Penjualan Agunan?]],"Ya")</f>
        <v>1</v>
      </c>
      <c r="R114" s="35">
        <f ca="1">Upaya_Agunan[[#This Row],[Target Upaya]]-COUNTIFS(Upaya_Agunan[[#This Row],[Blokir Agunan?]:[Penjualan Agunan?]],"Ya",Upaya_Agunan[[#This Row],[Blokir Agunan]:[Penjualan Agunan]],"")</f>
        <v>1</v>
      </c>
      <c r="S114" s="36">
        <f ca="1">IF(ISNUMBER(Upaya_Agunan[[#This Row],[Realisasi]]/Upaya_Agunan[[#This Row],[Target Upaya]]),Upaya_Agunan[[#This Row],[Realisasi]]/Upaya_Agunan[[#This Row],[Target Upaya]],1)</f>
        <v>1</v>
      </c>
    </row>
    <row r="115" spans="1:19" x14ac:dyDescent="0.3">
      <c r="A115" s="16">
        <v>104</v>
      </c>
      <c r="B115" s="17" t="s">
        <v>368</v>
      </c>
      <c r="C115" s="16" t="s">
        <v>85</v>
      </c>
      <c r="D115" s="16" t="s">
        <v>78</v>
      </c>
      <c r="E115" s="16" t="s">
        <v>93</v>
      </c>
      <c r="F115" s="35" t="str">
        <f ca="1">INDEX(Upaya_Debitur[Lunas?],MATCH(Upaya_Agunan[[#This Row],[Nomor PK]],Upaya_Debitur[Nomor PK],0))</f>
        <v>Belum Lunas</v>
      </c>
      <c r="G115" s="35" t="str">
        <f>IF(OR(Upaya_Agunan[[#This Row],[Agunan]]="SHM",Upaya_Agunan[[#This Row],[Agunan]]="BPKB"),"Ya","Tidak")</f>
        <v>Ya</v>
      </c>
      <c r="H11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1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15" s="35" t="str">
        <f ca="1">IF(AND(DATEDIF($B$5,$B$6,"D")&gt;=150,Upaya_Agunan[[#This Row],[Lelang 1?]]="Ya"),"Ya","Tidak")</f>
        <v>Tidak</v>
      </c>
      <c r="K115" s="35" t="str">
        <f ca="1">IF(AND(DATEDIF($B$5,$B$6,"D")&gt;=180,Upaya_Agunan[[#This Row],[Lelang 2?]]="Ya"),"Ya","Tidak")</f>
        <v>Tidak</v>
      </c>
      <c r="L115" s="18" t="s">
        <v>640</v>
      </c>
      <c r="M115" s="18"/>
      <c r="N115" s="18"/>
      <c r="O115" s="18"/>
      <c r="P115" s="18"/>
      <c r="Q115" s="35">
        <f ca="1">COUNTIF(Upaya_Agunan[[#This Row],[Blokir Agunan?]:[Penjualan Agunan?]],"Ya")</f>
        <v>1</v>
      </c>
      <c r="R115" s="35">
        <f ca="1">Upaya_Agunan[[#This Row],[Target Upaya]]-COUNTIFS(Upaya_Agunan[[#This Row],[Blokir Agunan?]:[Penjualan Agunan?]],"Ya",Upaya_Agunan[[#This Row],[Blokir Agunan]:[Penjualan Agunan]],"")</f>
        <v>1</v>
      </c>
      <c r="S115" s="36">
        <f ca="1">IF(ISNUMBER(Upaya_Agunan[[#This Row],[Realisasi]]/Upaya_Agunan[[#This Row],[Target Upaya]]),Upaya_Agunan[[#This Row],[Realisasi]]/Upaya_Agunan[[#This Row],[Target Upaya]],1)</f>
        <v>1</v>
      </c>
    </row>
    <row r="116" spans="1:19" x14ac:dyDescent="0.3">
      <c r="A116" s="16">
        <v>105</v>
      </c>
      <c r="B116" s="17" t="s">
        <v>370</v>
      </c>
      <c r="C116" s="16" t="s">
        <v>84</v>
      </c>
      <c r="D116" s="16" t="s">
        <v>98</v>
      </c>
      <c r="E116" s="16" t="s">
        <v>93</v>
      </c>
      <c r="F116" s="35" t="str">
        <f ca="1">INDEX(Upaya_Debitur[Lunas?],MATCH(Upaya_Agunan[[#This Row],[Nomor PK]],Upaya_Debitur[Nomor PK],0))</f>
        <v>Lunas</v>
      </c>
      <c r="G116" s="35" t="str">
        <f>IF(OR(Upaya_Agunan[[#This Row],[Agunan]]="SHM",Upaya_Agunan[[#This Row],[Agunan]]="BPKB"),"Ya","Tidak")</f>
        <v>Tidak</v>
      </c>
      <c r="H11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1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16" s="35" t="str">
        <f ca="1">IF(AND(DATEDIF($B$5,$B$6,"D")&gt;=150,Upaya_Agunan[[#This Row],[Lelang 1?]]="Ya"),"Ya","Tidak")</f>
        <v>Tidak</v>
      </c>
      <c r="K116" s="35" t="str">
        <f ca="1">IF(AND(DATEDIF($B$5,$B$6,"D")&gt;=180,Upaya_Agunan[[#This Row],[Lelang 2?]]="Ya"),"Ya","Tidak")</f>
        <v>Tidak</v>
      </c>
      <c r="L116" s="18"/>
      <c r="M116" s="18"/>
      <c r="N116" s="18"/>
      <c r="O116" s="18"/>
      <c r="P116" s="18"/>
      <c r="Q116" s="35">
        <f ca="1">COUNTIF(Upaya_Agunan[[#This Row],[Blokir Agunan?]:[Penjualan Agunan?]],"Ya")</f>
        <v>0</v>
      </c>
      <c r="R116" s="35">
        <f ca="1">Upaya_Agunan[[#This Row],[Target Upaya]]-COUNTIFS(Upaya_Agunan[[#This Row],[Blokir Agunan?]:[Penjualan Agunan?]],"Ya",Upaya_Agunan[[#This Row],[Blokir Agunan]:[Penjualan Agunan]],"")</f>
        <v>0</v>
      </c>
      <c r="S116" s="36">
        <f ca="1">IF(ISNUMBER(Upaya_Agunan[[#This Row],[Realisasi]]/Upaya_Agunan[[#This Row],[Target Upaya]]),Upaya_Agunan[[#This Row],[Realisasi]]/Upaya_Agunan[[#This Row],[Target Upaya]],1)</f>
        <v>1</v>
      </c>
    </row>
    <row r="117" spans="1:19" x14ac:dyDescent="0.3">
      <c r="A117" s="16">
        <v>106</v>
      </c>
      <c r="B117" s="17" t="s">
        <v>372</v>
      </c>
      <c r="C117" s="16" t="s">
        <v>84</v>
      </c>
      <c r="D117" s="16" t="s">
        <v>79</v>
      </c>
      <c r="E117" s="16" t="s">
        <v>93</v>
      </c>
      <c r="F117" s="35" t="str">
        <f ca="1">INDEX(Upaya_Debitur[Lunas?],MATCH(Upaya_Agunan[[#This Row],[Nomor PK]],Upaya_Debitur[Nomor PK],0))</f>
        <v>Lunas</v>
      </c>
      <c r="G117" s="35" t="str">
        <f>IF(OR(Upaya_Agunan[[#This Row],[Agunan]]="SHM",Upaya_Agunan[[#This Row],[Agunan]]="BPKB"),"Ya","Tidak")</f>
        <v>Tidak</v>
      </c>
      <c r="H11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1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17" s="35" t="str">
        <f ca="1">IF(AND(DATEDIF($B$5,$B$6,"D")&gt;=150,Upaya_Agunan[[#This Row],[Lelang 1?]]="Ya"),"Ya","Tidak")</f>
        <v>Tidak</v>
      </c>
      <c r="K117" s="35" t="str">
        <f ca="1">IF(AND(DATEDIF($B$5,$B$6,"D")&gt;=180,Upaya_Agunan[[#This Row],[Lelang 2?]]="Ya"),"Ya","Tidak")</f>
        <v>Tidak</v>
      </c>
      <c r="L117" s="18"/>
      <c r="M117" s="18"/>
      <c r="N117" s="18"/>
      <c r="O117" s="18"/>
      <c r="P117" s="18"/>
      <c r="Q117" s="35">
        <f ca="1">COUNTIF(Upaya_Agunan[[#This Row],[Blokir Agunan?]:[Penjualan Agunan?]],"Ya")</f>
        <v>0</v>
      </c>
      <c r="R117" s="35">
        <f ca="1">Upaya_Agunan[[#This Row],[Target Upaya]]-COUNTIFS(Upaya_Agunan[[#This Row],[Blokir Agunan?]:[Penjualan Agunan?]],"Ya",Upaya_Agunan[[#This Row],[Blokir Agunan]:[Penjualan Agunan]],"")</f>
        <v>0</v>
      </c>
      <c r="S117" s="36">
        <f ca="1">IF(ISNUMBER(Upaya_Agunan[[#This Row],[Realisasi]]/Upaya_Agunan[[#This Row],[Target Upaya]]),Upaya_Agunan[[#This Row],[Realisasi]]/Upaya_Agunan[[#This Row],[Target Upaya]],1)</f>
        <v>1</v>
      </c>
    </row>
    <row r="118" spans="1:19" x14ac:dyDescent="0.3">
      <c r="A118" s="16">
        <v>107</v>
      </c>
      <c r="B118" s="17" t="s">
        <v>374</v>
      </c>
      <c r="C118" s="16" t="s">
        <v>85</v>
      </c>
      <c r="D118" s="16" t="s">
        <v>78</v>
      </c>
      <c r="E118" s="16" t="s">
        <v>106</v>
      </c>
      <c r="F118" s="35" t="str">
        <f ca="1">INDEX(Upaya_Debitur[Lunas?],MATCH(Upaya_Agunan[[#This Row],[Nomor PK]],Upaya_Debitur[Nomor PK],0))</f>
        <v>Belum Lunas</v>
      </c>
      <c r="G118" s="35" t="str">
        <f>IF(OR(Upaya_Agunan[[#This Row],[Agunan]]="SHM",Upaya_Agunan[[#This Row],[Agunan]]="BPKB"),"Ya","Tidak")</f>
        <v>Ya</v>
      </c>
      <c r="H11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1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18" s="35" t="str">
        <f ca="1">IF(AND(DATEDIF($B$5,$B$6,"D")&gt;=150,Upaya_Agunan[[#This Row],[Lelang 1?]]="Ya"),"Ya","Tidak")</f>
        <v>Tidak</v>
      </c>
      <c r="K118" s="35" t="str">
        <f ca="1">IF(AND(DATEDIF($B$5,$B$6,"D")&gt;=180,Upaya_Agunan[[#This Row],[Lelang 2?]]="Ya"),"Ya","Tidak")</f>
        <v>Tidak</v>
      </c>
      <c r="L118" s="18">
        <v>44123</v>
      </c>
      <c r="M118" s="18"/>
      <c r="N118" s="18"/>
      <c r="O118" s="18"/>
      <c r="P118" s="18"/>
      <c r="Q118" s="35">
        <f ca="1">COUNTIF(Upaya_Agunan[[#This Row],[Blokir Agunan?]:[Penjualan Agunan?]],"Ya")</f>
        <v>1</v>
      </c>
      <c r="R118" s="35">
        <f ca="1">Upaya_Agunan[[#This Row],[Target Upaya]]-COUNTIFS(Upaya_Agunan[[#This Row],[Blokir Agunan?]:[Penjualan Agunan?]],"Ya",Upaya_Agunan[[#This Row],[Blokir Agunan]:[Penjualan Agunan]],"")</f>
        <v>1</v>
      </c>
      <c r="S118" s="36">
        <f ca="1">IF(ISNUMBER(Upaya_Agunan[[#This Row],[Realisasi]]/Upaya_Agunan[[#This Row],[Target Upaya]]),Upaya_Agunan[[#This Row],[Realisasi]]/Upaya_Agunan[[#This Row],[Target Upaya]],1)</f>
        <v>1</v>
      </c>
    </row>
    <row r="119" spans="1:19" x14ac:dyDescent="0.3">
      <c r="A119" s="16">
        <v>108</v>
      </c>
      <c r="B119" s="17" t="s">
        <v>375</v>
      </c>
      <c r="C119" s="16" t="s">
        <v>85</v>
      </c>
      <c r="D119" s="16" t="s">
        <v>78</v>
      </c>
      <c r="E119" s="16" t="s">
        <v>93</v>
      </c>
      <c r="F119" s="35" t="str">
        <f ca="1">INDEX(Upaya_Debitur[Lunas?],MATCH(Upaya_Agunan[[#This Row],[Nomor PK]],Upaya_Debitur[Nomor PK],0))</f>
        <v>Lunas</v>
      </c>
      <c r="G119" s="35" t="str">
        <f>IF(OR(Upaya_Agunan[[#This Row],[Agunan]]="SHM",Upaya_Agunan[[#This Row],[Agunan]]="BPKB"),"Ya","Tidak")</f>
        <v>Ya</v>
      </c>
      <c r="H11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1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19" s="35" t="str">
        <f ca="1">IF(AND(DATEDIF($B$5,$B$6,"D")&gt;=150,Upaya_Agunan[[#This Row],[Lelang 1?]]="Ya"),"Ya","Tidak")</f>
        <v>Tidak</v>
      </c>
      <c r="K119" s="35" t="str">
        <f ca="1">IF(AND(DATEDIF($B$5,$B$6,"D")&gt;=180,Upaya_Agunan[[#This Row],[Lelang 2?]]="Ya"),"Ya","Tidak")</f>
        <v>Tidak</v>
      </c>
      <c r="L119" s="18" t="s">
        <v>641</v>
      </c>
      <c r="M119" s="18"/>
      <c r="N119" s="18"/>
      <c r="O119" s="18"/>
      <c r="P119" s="18"/>
      <c r="Q119" s="35">
        <f ca="1">COUNTIF(Upaya_Agunan[[#This Row],[Blokir Agunan?]:[Penjualan Agunan?]],"Ya")</f>
        <v>1</v>
      </c>
      <c r="R119" s="35">
        <f ca="1">Upaya_Agunan[[#This Row],[Target Upaya]]-COUNTIFS(Upaya_Agunan[[#This Row],[Blokir Agunan?]:[Penjualan Agunan?]],"Ya",Upaya_Agunan[[#This Row],[Blokir Agunan]:[Penjualan Agunan]],"")</f>
        <v>1</v>
      </c>
      <c r="S119" s="36">
        <f ca="1">IF(ISNUMBER(Upaya_Agunan[[#This Row],[Realisasi]]/Upaya_Agunan[[#This Row],[Target Upaya]]),Upaya_Agunan[[#This Row],[Realisasi]]/Upaya_Agunan[[#This Row],[Target Upaya]],1)</f>
        <v>1</v>
      </c>
    </row>
    <row r="120" spans="1:19" x14ac:dyDescent="0.3">
      <c r="A120" s="16">
        <v>109</v>
      </c>
      <c r="B120" s="17" t="s">
        <v>377</v>
      </c>
      <c r="C120" s="16" t="s">
        <v>85</v>
      </c>
      <c r="D120" s="16" t="s">
        <v>78</v>
      </c>
      <c r="E120" s="16" t="s">
        <v>93</v>
      </c>
      <c r="F120" s="35" t="str">
        <f ca="1">INDEX(Upaya_Debitur[Lunas?],MATCH(Upaya_Agunan[[#This Row],[Nomor PK]],Upaya_Debitur[Nomor PK],0))</f>
        <v>Belum Lunas</v>
      </c>
      <c r="G120" s="35" t="str">
        <f>IF(OR(Upaya_Agunan[[#This Row],[Agunan]]="SHM",Upaya_Agunan[[#This Row],[Agunan]]="BPKB"),"Ya","Tidak")</f>
        <v>Ya</v>
      </c>
      <c r="H12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2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20" s="35" t="str">
        <f ca="1">IF(AND(DATEDIF($B$5,$B$6,"D")&gt;=150,Upaya_Agunan[[#This Row],[Lelang 1?]]="Ya"),"Ya","Tidak")</f>
        <v>Tidak</v>
      </c>
      <c r="K120" s="35" t="str">
        <f ca="1">IF(AND(DATEDIF($B$5,$B$6,"D")&gt;=180,Upaya_Agunan[[#This Row],[Lelang 2?]]="Ya"),"Ya","Tidak")</f>
        <v>Tidak</v>
      </c>
      <c r="L120" s="18" t="s">
        <v>640</v>
      </c>
      <c r="M120" s="18"/>
      <c r="N120" s="18"/>
      <c r="O120" s="18"/>
      <c r="P120" s="18"/>
      <c r="Q120" s="35">
        <f ca="1">COUNTIF(Upaya_Agunan[[#This Row],[Blokir Agunan?]:[Penjualan Agunan?]],"Ya")</f>
        <v>1</v>
      </c>
      <c r="R120" s="35">
        <f ca="1">Upaya_Agunan[[#This Row],[Target Upaya]]-COUNTIFS(Upaya_Agunan[[#This Row],[Blokir Agunan?]:[Penjualan Agunan?]],"Ya",Upaya_Agunan[[#This Row],[Blokir Agunan]:[Penjualan Agunan]],"")</f>
        <v>1</v>
      </c>
      <c r="S120" s="36">
        <f ca="1">IF(ISNUMBER(Upaya_Agunan[[#This Row],[Realisasi]]/Upaya_Agunan[[#This Row],[Target Upaya]]),Upaya_Agunan[[#This Row],[Realisasi]]/Upaya_Agunan[[#This Row],[Target Upaya]],1)</f>
        <v>1</v>
      </c>
    </row>
    <row r="121" spans="1:19" x14ac:dyDescent="0.3">
      <c r="A121" s="16">
        <v>110</v>
      </c>
      <c r="B121" s="17" t="s">
        <v>379</v>
      </c>
      <c r="C121" s="16" t="s">
        <v>95</v>
      </c>
      <c r="D121" s="16" t="s">
        <v>638</v>
      </c>
      <c r="E121" s="16" t="s">
        <v>93</v>
      </c>
      <c r="F121" s="35" t="str">
        <f ca="1">INDEX(Upaya_Debitur[Lunas?],MATCH(Upaya_Agunan[[#This Row],[Nomor PK]],Upaya_Debitur[Nomor PK],0))</f>
        <v>Belum Lunas</v>
      </c>
      <c r="G121" s="35" t="str">
        <f>IF(OR(Upaya_Agunan[[#This Row],[Agunan]]="SHM",Upaya_Agunan[[#This Row],[Agunan]]="BPKB"),"Ya","Tidak")</f>
        <v>Tidak</v>
      </c>
      <c r="H12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2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21" s="35" t="str">
        <f ca="1">IF(AND(DATEDIF($B$5,$B$6,"D")&gt;=150,Upaya_Agunan[[#This Row],[Lelang 1?]]="Ya"),"Ya","Tidak")</f>
        <v>Tidak</v>
      </c>
      <c r="K121" s="35" t="str">
        <f ca="1">IF(AND(DATEDIF($B$5,$B$6,"D")&gt;=180,Upaya_Agunan[[#This Row],[Lelang 2?]]="Ya"),"Ya","Tidak")</f>
        <v>Tidak</v>
      </c>
      <c r="L121" s="18"/>
      <c r="M121" s="18"/>
      <c r="N121" s="18"/>
      <c r="O121" s="18"/>
      <c r="P121" s="18"/>
      <c r="Q121" s="35">
        <f ca="1">COUNTIF(Upaya_Agunan[[#This Row],[Blokir Agunan?]:[Penjualan Agunan?]],"Ya")</f>
        <v>0</v>
      </c>
      <c r="R121" s="35">
        <f ca="1">Upaya_Agunan[[#This Row],[Target Upaya]]-COUNTIFS(Upaya_Agunan[[#This Row],[Blokir Agunan?]:[Penjualan Agunan?]],"Ya",Upaya_Agunan[[#This Row],[Blokir Agunan]:[Penjualan Agunan]],"")</f>
        <v>0</v>
      </c>
      <c r="S121" s="36">
        <f ca="1">IF(ISNUMBER(Upaya_Agunan[[#This Row],[Realisasi]]/Upaya_Agunan[[#This Row],[Target Upaya]]),Upaya_Agunan[[#This Row],[Realisasi]]/Upaya_Agunan[[#This Row],[Target Upaya]],1)</f>
        <v>1</v>
      </c>
    </row>
    <row r="122" spans="1:19" x14ac:dyDescent="0.3">
      <c r="A122" s="16">
        <v>111</v>
      </c>
      <c r="B122" s="17" t="s">
        <v>381</v>
      </c>
      <c r="C122" s="16" t="s">
        <v>84</v>
      </c>
      <c r="D122" s="16" t="s">
        <v>639</v>
      </c>
      <c r="E122" s="16" t="s">
        <v>93</v>
      </c>
      <c r="F122" s="35" t="str">
        <f ca="1">INDEX(Upaya_Debitur[Lunas?],MATCH(Upaya_Agunan[[#This Row],[Nomor PK]],Upaya_Debitur[Nomor PK],0))</f>
        <v>Belum Lunas</v>
      </c>
      <c r="G122" s="35" t="str">
        <f>IF(OR(Upaya_Agunan[[#This Row],[Agunan]]="SHM",Upaya_Agunan[[#This Row],[Agunan]]="BPKB"),"Ya","Tidak")</f>
        <v>Tidak</v>
      </c>
      <c r="H12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2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22" s="35" t="str">
        <f ca="1">IF(AND(DATEDIF($B$5,$B$6,"D")&gt;=150,Upaya_Agunan[[#This Row],[Lelang 1?]]="Ya"),"Ya","Tidak")</f>
        <v>Tidak</v>
      </c>
      <c r="K122" s="35" t="str">
        <f ca="1">IF(AND(DATEDIF($B$5,$B$6,"D")&gt;=180,Upaya_Agunan[[#This Row],[Lelang 2?]]="Ya"),"Ya","Tidak")</f>
        <v>Tidak</v>
      </c>
      <c r="L122" s="18"/>
      <c r="M122" s="18"/>
      <c r="N122" s="18"/>
      <c r="O122" s="18"/>
      <c r="P122" s="18"/>
      <c r="Q122" s="35">
        <f ca="1">COUNTIF(Upaya_Agunan[[#This Row],[Blokir Agunan?]:[Penjualan Agunan?]],"Ya")</f>
        <v>0</v>
      </c>
      <c r="R122" s="35">
        <f ca="1">Upaya_Agunan[[#This Row],[Target Upaya]]-COUNTIFS(Upaya_Agunan[[#This Row],[Blokir Agunan?]:[Penjualan Agunan?]],"Ya",Upaya_Agunan[[#This Row],[Blokir Agunan]:[Penjualan Agunan]],"")</f>
        <v>0</v>
      </c>
      <c r="S122" s="36">
        <f ca="1">IF(ISNUMBER(Upaya_Agunan[[#This Row],[Realisasi]]/Upaya_Agunan[[#This Row],[Target Upaya]]),Upaya_Agunan[[#This Row],[Realisasi]]/Upaya_Agunan[[#This Row],[Target Upaya]],1)</f>
        <v>1</v>
      </c>
    </row>
    <row r="123" spans="1:19" x14ac:dyDescent="0.3">
      <c r="A123" s="16">
        <v>112</v>
      </c>
      <c r="B123" s="17" t="s">
        <v>383</v>
      </c>
      <c r="C123" s="16" t="s">
        <v>85</v>
      </c>
      <c r="D123" s="16" t="s">
        <v>78</v>
      </c>
      <c r="E123" s="16" t="s">
        <v>106</v>
      </c>
      <c r="F123" s="35" t="str">
        <f ca="1">INDEX(Upaya_Debitur[Lunas?],MATCH(Upaya_Agunan[[#This Row],[Nomor PK]],Upaya_Debitur[Nomor PK],0))</f>
        <v>Belum Lunas</v>
      </c>
      <c r="G123" s="35" t="str">
        <f>IF(OR(Upaya_Agunan[[#This Row],[Agunan]]="SHM",Upaya_Agunan[[#This Row],[Agunan]]="BPKB"),"Ya","Tidak")</f>
        <v>Ya</v>
      </c>
      <c r="H12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2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23" s="35" t="str">
        <f ca="1">IF(AND(DATEDIF($B$5,$B$6,"D")&gt;=150,Upaya_Agunan[[#This Row],[Lelang 1?]]="Ya"),"Ya","Tidak")</f>
        <v>Tidak</v>
      </c>
      <c r="K123" s="35" t="str">
        <f ca="1">IF(AND(DATEDIF($B$5,$B$6,"D")&gt;=180,Upaya_Agunan[[#This Row],[Lelang 2?]]="Ya"),"Ya","Tidak")</f>
        <v>Tidak</v>
      </c>
      <c r="L123" s="18" t="s">
        <v>640</v>
      </c>
      <c r="M123" s="18"/>
      <c r="N123" s="18"/>
      <c r="O123" s="18"/>
      <c r="P123" s="18"/>
      <c r="Q123" s="35">
        <f ca="1">COUNTIF(Upaya_Agunan[[#This Row],[Blokir Agunan?]:[Penjualan Agunan?]],"Ya")</f>
        <v>1</v>
      </c>
      <c r="R123" s="35">
        <f ca="1">Upaya_Agunan[[#This Row],[Target Upaya]]-COUNTIFS(Upaya_Agunan[[#This Row],[Blokir Agunan?]:[Penjualan Agunan?]],"Ya",Upaya_Agunan[[#This Row],[Blokir Agunan]:[Penjualan Agunan]],"")</f>
        <v>1</v>
      </c>
      <c r="S123" s="36">
        <f ca="1">IF(ISNUMBER(Upaya_Agunan[[#This Row],[Realisasi]]/Upaya_Agunan[[#This Row],[Target Upaya]]),Upaya_Agunan[[#This Row],[Realisasi]]/Upaya_Agunan[[#This Row],[Target Upaya]],1)</f>
        <v>1</v>
      </c>
    </row>
    <row r="124" spans="1:19" x14ac:dyDescent="0.3">
      <c r="A124" s="16">
        <v>113</v>
      </c>
      <c r="B124" s="17" t="s">
        <v>384</v>
      </c>
      <c r="C124" s="16" t="s">
        <v>85</v>
      </c>
      <c r="D124" s="16" t="s">
        <v>78</v>
      </c>
      <c r="E124" s="16" t="s">
        <v>93</v>
      </c>
      <c r="F124" s="35" t="str">
        <f ca="1">INDEX(Upaya_Debitur[Lunas?],MATCH(Upaya_Agunan[[#This Row],[Nomor PK]],Upaya_Debitur[Nomor PK],0))</f>
        <v>Belum Lunas</v>
      </c>
      <c r="G124" s="35" t="str">
        <f>IF(OR(Upaya_Agunan[[#This Row],[Agunan]]="SHM",Upaya_Agunan[[#This Row],[Agunan]]="BPKB"),"Ya","Tidak")</f>
        <v>Ya</v>
      </c>
      <c r="H12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2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24" s="35" t="str">
        <f ca="1">IF(AND(DATEDIF($B$5,$B$6,"D")&gt;=150,Upaya_Agunan[[#This Row],[Lelang 1?]]="Ya"),"Ya","Tidak")</f>
        <v>Tidak</v>
      </c>
      <c r="K124" s="35" t="str">
        <f ca="1">IF(AND(DATEDIF($B$5,$B$6,"D")&gt;=180,Upaya_Agunan[[#This Row],[Lelang 2?]]="Ya"),"Ya","Tidak")</f>
        <v>Tidak</v>
      </c>
      <c r="L124" s="18">
        <v>44123</v>
      </c>
      <c r="M124" s="18"/>
      <c r="N124" s="18"/>
      <c r="O124" s="18"/>
      <c r="P124" s="18"/>
      <c r="Q124" s="35">
        <f ca="1">COUNTIF(Upaya_Agunan[[#This Row],[Blokir Agunan?]:[Penjualan Agunan?]],"Ya")</f>
        <v>1</v>
      </c>
      <c r="R124" s="35">
        <f ca="1">Upaya_Agunan[[#This Row],[Target Upaya]]-COUNTIFS(Upaya_Agunan[[#This Row],[Blokir Agunan?]:[Penjualan Agunan?]],"Ya",Upaya_Agunan[[#This Row],[Blokir Agunan]:[Penjualan Agunan]],"")</f>
        <v>1</v>
      </c>
      <c r="S124" s="36">
        <f ca="1">IF(ISNUMBER(Upaya_Agunan[[#This Row],[Realisasi]]/Upaya_Agunan[[#This Row],[Target Upaya]]),Upaya_Agunan[[#This Row],[Realisasi]]/Upaya_Agunan[[#This Row],[Target Upaya]],1)</f>
        <v>1</v>
      </c>
    </row>
    <row r="125" spans="1:19" x14ac:dyDescent="0.3">
      <c r="A125" s="16">
        <v>114</v>
      </c>
      <c r="B125" s="17" t="s">
        <v>384</v>
      </c>
      <c r="C125" s="16" t="s">
        <v>85</v>
      </c>
      <c r="D125" s="16" t="s">
        <v>78</v>
      </c>
      <c r="E125" s="16" t="s">
        <v>93</v>
      </c>
      <c r="F125" s="35" t="str">
        <f ca="1">INDEX(Upaya_Debitur[Lunas?],MATCH(Upaya_Agunan[[#This Row],[Nomor PK]],Upaya_Debitur[Nomor PK],0))</f>
        <v>Belum Lunas</v>
      </c>
      <c r="G125" s="35" t="str">
        <f>IF(OR(Upaya_Agunan[[#This Row],[Agunan]]="SHM",Upaya_Agunan[[#This Row],[Agunan]]="BPKB"),"Ya","Tidak")</f>
        <v>Ya</v>
      </c>
      <c r="H12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2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25" s="35" t="str">
        <f ca="1">IF(AND(DATEDIF($B$5,$B$6,"D")&gt;=150,Upaya_Agunan[[#This Row],[Lelang 1?]]="Ya"),"Ya","Tidak")</f>
        <v>Tidak</v>
      </c>
      <c r="K125" s="35" t="str">
        <f ca="1">IF(AND(DATEDIF($B$5,$B$6,"D")&gt;=180,Upaya_Agunan[[#This Row],[Lelang 2?]]="Ya"),"Ya","Tidak")</f>
        <v>Tidak</v>
      </c>
      <c r="L125" s="18" t="s">
        <v>643</v>
      </c>
      <c r="M125" s="18"/>
      <c r="N125" s="18"/>
      <c r="O125" s="18"/>
      <c r="P125" s="18"/>
      <c r="Q125" s="35">
        <f ca="1">COUNTIF(Upaya_Agunan[[#This Row],[Blokir Agunan?]:[Penjualan Agunan?]],"Ya")</f>
        <v>1</v>
      </c>
      <c r="R125" s="35">
        <f ca="1">Upaya_Agunan[[#This Row],[Target Upaya]]-COUNTIFS(Upaya_Agunan[[#This Row],[Blokir Agunan?]:[Penjualan Agunan?]],"Ya",Upaya_Agunan[[#This Row],[Blokir Agunan]:[Penjualan Agunan]],"")</f>
        <v>1</v>
      </c>
      <c r="S125" s="36">
        <f ca="1">IF(ISNUMBER(Upaya_Agunan[[#This Row],[Realisasi]]/Upaya_Agunan[[#This Row],[Target Upaya]]),Upaya_Agunan[[#This Row],[Realisasi]]/Upaya_Agunan[[#This Row],[Target Upaya]],1)</f>
        <v>1</v>
      </c>
    </row>
    <row r="126" spans="1:19" x14ac:dyDescent="0.3">
      <c r="A126" s="16">
        <v>115</v>
      </c>
      <c r="B126" s="17" t="s">
        <v>384</v>
      </c>
      <c r="C126" s="16" t="s">
        <v>85</v>
      </c>
      <c r="D126" s="16" t="s">
        <v>78</v>
      </c>
      <c r="E126" s="16" t="s">
        <v>93</v>
      </c>
      <c r="F126" s="35" t="str">
        <f ca="1">INDEX(Upaya_Debitur[Lunas?],MATCH(Upaya_Agunan[[#This Row],[Nomor PK]],Upaya_Debitur[Nomor PK],0))</f>
        <v>Belum Lunas</v>
      </c>
      <c r="G126" s="35" t="str">
        <f>IF(OR(Upaya_Agunan[[#This Row],[Agunan]]="SHM",Upaya_Agunan[[#This Row],[Agunan]]="BPKB"),"Ya","Tidak")</f>
        <v>Ya</v>
      </c>
      <c r="H12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2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26" s="35" t="str">
        <f ca="1">IF(AND(DATEDIF($B$5,$B$6,"D")&gt;=150,Upaya_Agunan[[#This Row],[Lelang 1?]]="Ya"),"Ya","Tidak")</f>
        <v>Tidak</v>
      </c>
      <c r="K126" s="35" t="str">
        <f ca="1">IF(AND(DATEDIF($B$5,$B$6,"D")&gt;=180,Upaya_Agunan[[#This Row],[Lelang 2?]]="Ya"),"Ya","Tidak")</f>
        <v>Tidak</v>
      </c>
      <c r="L126" s="18" t="s">
        <v>642</v>
      </c>
      <c r="M126" s="18"/>
      <c r="N126" s="18"/>
      <c r="O126" s="18"/>
      <c r="P126" s="18"/>
      <c r="Q126" s="35">
        <f ca="1">COUNTIF(Upaya_Agunan[[#This Row],[Blokir Agunan?]:[Penjualan Agunan?]],"Ya")</f>
        <v>1</v>
      </c>
      <c r="R126" s="35">
        <f ca="1">Upaya_Agunan[[#This Row],[Target Upaya]]-COUNTIFS(Upaya_Agunan[[#This Row],[Blokir Agunan?]:[Penjualan Agunan?]],"Ya",Upaya_Agunan[[#This Row],[Blokir Agunan]:[Penjualan Agunan]],"")</f>
        <v>1</v>
      </c>
      <c r="S126" s="36">
        <f ca="1">IF(ISNUMBER(Upaya_Agunan[[#This Row],[Realisasi]]/Upaya_Agunan[[#This Row],[Target Upaya]]),Upaya_Agunan[[#This Row],[Realisasi]]/Upaya_Agunan[[#This Row],[Target Upaya]],1)</f>
        <v>1</v>
      </c>
    </row>
    <row r="127" spans="1:19" x14ac:dyDescent="0.3">
      <c r="A127" s="16">
        <v>116</v>
      </c>
      <c r="B127" s="17" t="s">
        <v>386</v>
      </c>
      <c r="C127" s="16" t="s">
        <v>85</v>
      </c>
      <c r="D127" s="16" t="s">
        <v>78</v>
      </c>
      <c r="E127" s="16" t="s">
        <v>93</v>
      </c>
      <c r="F127" s="35" t="str">
        <f ca="1">INDEX(Upaya_Debitur[Lunas?],MATCH(Upaya_Agunan[[#This Row],[Nomor PK]],Upaya_Debitur[Nomor PK],0))</f>
        <v>Belum Lunas</v>
      </c>
      <c r="G127" s="35" t="str">
        <f>IF(OR(Upaya_Agunan[[#This Row],[Agunan]]="SHM",Upaya_Agunan[[#This Row],[Agunan]]="BPKB"),"Ya","Tidak")</f>
        <v>Ya</v>
      </c>
      <c r="H12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2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27" s="35" t="str">
        <f ca="1">IF(AND(DATEDIF($B$5,$B$6,"D")&gt;=150,Upaya_Agunan[[#This Row],[Lelang 1?]]="Ya"),"Ya","Tidak")</f>
        <v>Tidak</v>
      </c>
      <c r="K127" s="35" t="str">
        <f ca="1">IF(AND(DATEDIF($B$5,$B$6,"D")&gt;=180,Upaya_Agunan[[#This Row],[Lelang 2?]]="Ya"),"Ya","Tidak")</f>
        <v>Tidak</v>
      </c>
      <c r="L127" s="18" t="s">
        <v>640</v>
      </c>
      <c r="M127" s="18"/>
      <c r="N127" s="18"/>
      <c r="O127" s="18"/>
      <c r="P127" s="18"/>
      <c r="Q127" s="35">
        <f ca="1">COUNTIF(Upaya_Agunan[[#This Row],[Blokir Agunan?]:[Penjualan Agunan?]],"Ya")</f>
        <v>1</v>
      </c>
      <c r="R127" s="35">
        <f ca="1">Upaya_Agunan[[#This Row],[Target Upaya]]-COUNTIFS(Upaya_Agunan[[#This Row],[Blokir Agunan?]:[Penjualan Agunan?]],"Ya",Upaya_Agunan[[#This Row],[Blokir Agunan]:[Penjualan Agunan]],"")</f>
        <v>1</v>
      </c>
      <c r="S127" s="36">
        <f ca="1">IF(ISNUMBER(Upaya_Agunan[[#This Row],[Realisasi]]/Upaya_Agunan[[#This Row],[Target Upaya]]),Upaya_Agunan[[#This Row],[Realisasi]]/Upaya_Agunan[[#This Row],[Target Upaya]],1)</f>
        <v>1</v>
      </c>
    </row>
    <row r="128" spans="1:19" x14ac:dyDescent="0.3">
      <c r="A128" s="16">
        <v>117</v>
      </c>
      <c r="B128" s="17" t="s">
        <v>388</v>
      </c>
      <c r="C128" s="16" t="s">
        <v>85</v>
      </c>
      <c r="D128" s="16" t="s">
        <v>78</v>
      </c>
      <c r="E128" s="16" t="s">
        <v>106</v>
      </c>
      <c r="F128" s="35" t="str">
        <f ca="1">INDEX(Upaya_Debitur[Lunas?],MATCH(Upaya_Agunan[[#This Row],[Nomor PK]],Upaya_Debitur[Nomor PK],0))</f>
        <v>Belum Lunas</v>
      </c>
      <c r="G128" s="35" t="str">
        <f>IF(OR(Upaya_Agunan[[#This Row],[Agunan]]="SHM",Upaya_Agunan[[#This Row],[Agunan]]="BPKB"),"Ya","Tidak")</f>
        <v>Ya</v>
      </c>
      <c r="H12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2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28" s="35" t="str">
        <f ca="1">IF(AND(DATEDIF($B$5,$B$6,"D")&gt;=150,Upaya_Agunan[[#This Row],[Lelang 1?]]="Ya"),"Ya","Tidak")</f>
        <v>Tidak</v>
      </c>
      <c r="K128" s="35" t="str">
        <f ca="1">IF(AND(DATEDIF($B$5,$B$6,"D")&gt;=180,Upaya_Agunan[[#This Row],[Lelang 2?]]="Ya"),"Ya","Tidak")</f>
        <v>Tidak</v>
      </c>
      <c r="L128" s="18" t="s">
        <v>640</v>
      </c>
      <c r="M128" s="18"/>
      <c r="N128" s="18"/>
      <c r="O128" s="18"/>
      <c r="P128" s="18"/>
      <c r="Q128" s="35">
        <f ca="1">COUNTIF(Upaya_Agunan[[#This Row],[Blokir Agunan?]:[Penjualan Agunan?]],"Ya")</f>
        <v>1</v>
      </c>
      <c r="R128" s="35">
        <f ca="1">Upaya_Agunan[[#This Row],[Target Upaya]]-COUNTIFS(Upaya_Agunan[[#This Row],[Blokir Agunan?]:[Penjualan Agunan?]],"Ya",Upaya_Agunan[[#This Row],[Blokir Agunan]:[Penjualan Agunan]],"")</f>
        <v>1</v>
      </c>
      <c r="S128" s="36">
        <f ca="1">IF(ISNUMBER(Upaya_Agunan[[#This Row],[Realisasi]]/Upaya_Agunan[[#This Row],[Target Upaya]]),Upaya_Agunan[[#This Row],[Realisasi]]/Upaya_Agunan[[#This Row],[Target Upaya]],1)</f>
        <v>1</v>
      </c>
    </row>
    <row r="129" spans="1:19" x14ac:dyDescent="0.3">
      <c r="A129" s="16">
        <v>118</v>
      </c>
      <c r="B129" s="17" t="s">
        <v>390</v>
      </c>
      <c r="C129" s="16" t="s">
        <v>95</v>
      </c>
      <c r="D129" s="16" t="s">
        <v>638</v>
      </c>
      <c r="E129" s="16" t="s">
        <v>93</v>
      </c>
      <c r="F129" s="35" t="str">
        <f ca="1">INDEX(Upaya_Debitur[Lunas?],MATCH(Upaya_Agunan[[#This Row],[Nomor PK]],Upaya_Debitur[Nomor PK],0))</f>
        <v>Belum Lunas</v>
      </c>
      <c r="G129" s="35" t="str">
        <f>IF(OR(Upaya_Agunan[[#This Row],[Agunan]]="SHM",Upaya_Agunan[[#This Row],[Agunan]]="BPKB"),"Ya","Tidak")</f>
        <v>Tidak</v>
      </c>
      <c r="H12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2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29" s="35" t="str">
        <f ca="1">IF(AND(DATEDIF($B$5,$B$6,"D")&gt;=150,Upaya_Agunan[[#This Row],[Lelang 1?]]="Ya"),"Ya","Tidak")</f>
        <v>Tidak</v>
      </c>
      <c r="K129" s="35" t="str">
        <f ca="1">IF(AND(DATEDIF($B$5,$B$6,"D")&gt;=180,Upaya_Agunan[[#This Row],[Lelang 2?]]="Ya"),"Ya","Tidak")</f>
        <v>Tidak</v>
      </c>
      <c r="L129" s="18"/>
      <c r="M129" s="18"/>
      <c r="N129" s="18"/>
      <c r="O129" s="18"/>
      <c r="P129" s="18"/>
      <c r="Q129" s="35">
        <f ca="1">COUNTIF(Upaya_Agunan[[#This Row],[Blokir Agunan?]:[Penjualan Agunan?]],"Ya")</f>
        <v>0</v>
      </c>
      <c r="R129" s="35">
        <f ca="1">Upaya_Agunan[[#This Row],[Target Upaya]]-COUNTIFS(Upaya_Agunan[[#This Row],[Blokir Agunan?]:[Penjualan Agunan?]],"Ya",Upaya_Agunan[[#This Row],[Blokir Agunan]:[Penjualan Agunan]],"")</f>
        <v>0</v>
      </c>
      <c r="S129" s="36">
        <f ca="1">IF(ISNUMBER(Upaya_Agunan[[#This Row],[Realisasi]]/Upaya_Agunan[[#This Row],[Target Upaya]]),Upaya_Agunan[[#This Row],[Realisasi]]/Upaya_Agunan[[#This Row],[Target Upaya]],1)</f>
        <v>1</v>
      </c>
    </row>
    <row r="130" spans="1:19" x14ac:dyDescent="0.3">
      <c r="A130" s="16">
        <v>119</v>
      </c>
      <c r="B130" s="17" t="s">
        <v>392</v>
      </c>
      <c r="C130" s="16" t="s">
        <v>95</v>
      </c>
      <c r="D130" s="16" t="s">
        <v>638</v>
      </c>
      <c r="E130" s="16" t="s">
        <v>93</v>
      </c>
      <c r="F130" s="35" t="str">
        <f ca="1">INDEX(Upaya_Debitur[Lunas?],MATCH(Upaya_Agunan[[#This Row],[Nomor PK]],Upaya_Debitur[Nomor PK],0))</f>
        <v>Belum Lunas</v>
      </c>
      <c r="G130" s="35" t="str">
        <f>IF(OR(Upaya_Agunan[[#This Row],[Agunan]]="SHM",Upaya_Agunan[[#This Row],[Agunan]]="BPKB"),"Ya","Tidak")</f>
        <v>Tidak</v>
      </c>
      <c r="H13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3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30" s="35" t="str">
        <f ca="1">IF(AND(DATEDIF($B$5,$B$6,"D")&gt;=150,Upaya_Agunan[[#This Row],[Lelang 1?]]="Ya"),"Ya","Tidak")</f>
        <v>Tidak</v>
      </c>
      <c r="K130" s="35" t="str">
        <f ca="1">IF(AND(DATEDIF($B$5,$B$6,"D")&gt;=180,Upaya_Agunan[[#This Row],[Lelang 2?]]="Ya"),"Ya","Tidak")</f>
        <v>Tidak</v>
      </c>
      <c r="L130" s="18"/>
      <c r="M130" s="18"/>
      <c r="N130" s="18"/>
      <c r="O130" s="18"/>
      <c r="P130" s="18"/>
      <c r="Q130" s="35">
        <f ca="1">COUNTIF(Upaya_Agunan[[#This Row],[Blokir Agunan?]:[Penjualan Agunan?]],"Ya")</f>
        <v>0</v>
      </c>
      <c r="R130" s="35">
        <f ca="1">Upaya_Agunan[[#This Row],[Target Upaya]]-COUNTIFS(Upaya_Agunan[[#This Row],[Blokir Agunan?]:[Penjualan Agunan?]],"Ya",Upaya_Agunan[[#This Row],[Blokir Agunan]:[Penjualan Agunan]],"")</f>
        <v>0</v>
      </c>
      <c r="S130" s="36">
        <f ca="1">IF(ISNUMBER(Upaya_Agunan[[#This Row],[Realisasi]]/Upaya_Agunan[[#This Row],[Target Upaya]]),Upaya_Agunan[[#This Row],[Realisasi]]/Upaya_Agunan[[#This Row],[Target Upaya]],1)</f>
        <v>1</v>
      </c>
    </row>
    <row r="131" spans="1:19" x14ac:dyDescent="0.3">
      <c r="A131" s="16">
        <v>120</v>
      </c>
      <c r="B131" s="17" t="s">
        <v>394</v>
      </c>
      <c r="C131" s="16" t="s">
        <v>85</v>
      </c>
      <c r="D131" s="16" t="s">
        <v>78</v>
      </c>
      <c r="E131" s="16" t="s">
        <v>93</v>
      </c>
      <c r="F131" s="35" t="str">
        <f ca="1">INDEX(Upaya_Debitur[Lunas?],MATCH(Upaya_Agunan[[#This Row],[Nomor PK]],Upaya_Debitur[Nomor PK],0))</f>
        <v>Belum Lunas</v>
      </c>
      <c r="G131" s="35" t="str">
        <f>IF(OR(Upaya_Agunan[[#This Row],[Agunan]]="SHM",Upaya_Agunan[[#This Row],[Agunan]]="BPKB"),"Ya","Tidak")</f>
        <v>Ya</v>
      </c>
      <c r="H13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3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31" s="35" t="str">
        <f ca="1">IF(AND(DATEDIF($B$5,$B$6,"D")&gt;=150,Upaya_Agunan[[#This Row],[Lelang 1?]]="Ya"),"Ya","Tidak")</f>
        <v>Tidak</v>
      </c>
      <c r="K131" s="35" t="str">
        <f ca="1">IF(AND(DATEDIF($B$5,$B$6,"D")&gt;=180,Upaya_Agunan[[#This Row],[Lelang 2?]]="Ya"),"Ya","Tidak")</f>
        <v>Tidak</v>
      </c>
      <c r="L131" s="18" t="s">
        <v>640</v>
      </c>
      <c r="M131" s="18"/>
      <c r="N131" s="18"/>
      <c r="O131" s="18"/>
      <c r="P131" s="18"/>
      <c r="Q131" s="35">
        <f ca="1">COUNTIF(Upaya_Agunan[[#This Row],[Blokir Agunan?]:[Penjualan Agunan?]],"Ya")</f>
        <v>1</v>
      </c>
      <c r="R131" s="35">
        <f ca="1">Upaya_Agunan[[#This Row],[Target Upaya]]-COUNTIFS(Upaya_Agunan[[#This Row],[Blokir Agunan?]:[Penjualan Agunan?]],"Ya",Upaya_Agunan[[#This Row],[Blokir Agunan]:[Penjualan Agunan]],"")</f>
        <v>1</v>
      </c>
      <c r="S131" s="36">
        <f ca="1">IF(ISNUMBER(Upaya_Agunan[[#This Row],[Realisasi]]/Upaya_Agunan[[#This Row],[Target Upaya]]),Upaya_Agunan[[#This Row],[Realisasi]]/Upaya_Agunan[[#This Row],[Target Upaya]],1)</f>
        <v>1</v>
      </c>
    </row>
    <row r="132" spans="1:19" x14ac:dyDescent="0.3">
      <c r="A132" s="16">
        <v>121</v>
      </c>
      <c r="B132" s="17" t="s">
        <v>396</v>
      </c>
      <c r="C132" s="16" t="s">
        <v>84</v>
      </c>
      <c r="D132" s="16" t="s">
        <v>79</v>
      </c>
      <c r="E132" s="16" t="s">
        <v>93</v>
      </c>
      <c r="F132" s="35" t="str">
        <f ca="1">INDEX(Upaya_Debitur[Lunas?],MATCH(Upaya_Agunan[[#This Row],[Nomor PK]],Upaya_Debitur[Nomor PK],0))</f>
        <v>Belum Lunas</v>
      </c>
      <c r="G132" s="35" t="str">
        <f>IF(OR(Upaya_Agunan[[#This Row],[Agunan]]="SHM",Upaya_Agunan[[#This Row],[Agunan]]="BPKB"),"Ya","Tidak")</f>
        <v>Tidak</v>
      </c>
      <c r="H13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3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32" s="35" t="str">
        <f ca="1">IF(AND(DATEDIF($B$5,$B$6,"D")&gt;=150,Upaya_Agunan[[#This Row],[Lelang 1?]]="Ya"),"Ya","Tidak")</f>
        <v>Tidak</v>
      </c>
      <c r="K132" s="35" t="str">
        <f ca="1">IF(AND(DATEDIF($B$5,$B$6,"D")&gt;=180,Upaya_Agunan[[#This Row],[Lelang 2?]]="Ya"),"Ya","Tidak")</f>
        <v>Tidak</v>
      </c>
      <c r="L132" s="18"/>
      <c r="M132" s="18"/>
      <c r="N132" s="18"/>
      <c r="O132" s="18"/>
      <c r="P132" s="18"/>
      <c r="Q132" s="35">
        <f ca="1">COUNTIF(Upaya_Agunan[[#This Row],[Blokir Agunan?]:[Penjualan Agunan?]],"Ya")</f>
        <v>0</v>
      </c>
      <c r="R132" s="35">
        <f ca="1">Upaya_Agunan[[#This Row],[Target Upaya]]-COUNTIFS(Upaya_Agunan[[#This Row],[Blokir Agunan?]:[Penjualan Agunan?]],"Ya",Upaya_Agunan[[#This Row],[Blokir Agunan]:[Penjualan Agunan]],"")</f>
        <v>0</v>
      </c>
      <c r="S132" s="36">
        <f ca="1">IF(ISNUMBER(Upaya_Agunan[[#This Row],[Realisasi]]/Upaya_Agunan[[#This Row],[Target Upaya]]),Upaya_Agunan[[#This Row],[Realisasi]]/Upaya_Agunan[[#This Row],[Target Upaya]],1)</f>
        <v>1</v>
      </c>
    </row>
    <row r="133" spans="1:19" x14ac:dyDescent="0.3">
      <c r="A133" s="16">
        <v>122</v>
      </c>
      <c r="B133" s="17" t="s">
        <v>398</v>
      </c>
      <c r="C133" s="16" t="s">
        <v>85</v>
      </c>
      <c r="D133" s="16" t="s">
        <v>78</v>
      </c>
      <c r="E133" s="16" t="s">
        <v>93</v>
      </c>
      <c r="F133" s="35" t="str">
        <f ca="1">INDEX(Upaya_Debitur[Lunas?],MATCH(Upaya_Agunan[[#This Row],[Nomor PK]],Upaya_Debitur[Nomor PK],0))</f>
        <v>Lunas</v>
      </c>
      <c r="G133" s="35" t="str">
        <f>IF(OR(Upaya_Agunan[[#This Row],[Agunan]]="SHM",Upaya_Agunan[[#This Row],[Agunan]]="BPKB"),"Ya","Tidak")</f>
        <v>Ya</v>
      </c>
      <c r="H13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3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33" s="35" t="str">
        <f ca="1">IF(AND(DATEDIF($B$5,$B$6,"D")&gt;=150,Upaya_Agunan[[#This Row],[Lelang 1?]]="Ya"),"Ya","Tidak")</f>
        <v>Tidak</v>
      </c>
      <c r="K133" s="35" t="str">
        <f ca="1">IF(AND(DATEDIF($B$5,$B$6,"D")&gt;=180,Upaya_Agunan[[#This Row],[Lelang 2?]]="Ya"),"Ya","Tidak")</f>
        <v>Tidak</v>
      </c>
      <c r="L133" s="18" t="s">
        <v>641</v>
      </c>
      <c r="M133" s="18"/>
      <c r="N133" s="18"/>
      <c r="O133" s="18"/>
      <c r="P133" s="18"/>
      <c r="Q133" s="35">
        <f ca="1">COUNTIF(Upaya_Agunan[[#This Row],[Blokir Agunan?]:[Penjualan Agunan?]],"Ya")</f>
        <v>1</v>
      </c>
      <c r="R133" s="35">
        <f ca="1">Upaya_Agunan[[#This Row],[Target Upaya]]-COUNTIFS(Upaya_Agunan[[#This Row],[Blokir Agunan?]:[Penjualan Agunan?]],"Ya",Upaya_Agunan[[#This Row],[Blokir Agunan]:[Penjualan Agunan]],"")</f>
        <v>1</v>
      </c>
      <c r="S133" s="36">
        <f ca="1">IF(ISNUMBER(Upaya_Agunan[[#This Row],[Realisasi]]/Upaya_Agunan[[#This Row],[Target Upaya]]),Upaya_Agunan[[#This Row],[Realisasi]]/Upaya_Agunan[[#This Row],[Target Upaya]],1)</f>
        <v>1</v>
      </c>
    </row>
    <row r="134" spans="1:19" x14ac:dyDescent="0.3">
      <c r="A134" s="16">
        <v>123</v>
      </c>
      <c r="B134" s="17" t="s">
        <v>400</v>
      </c>
      <c r="C134" s="16" t="s">
        <v>95</v>
      </c>
      <c r="D134" s="16" t="s">
        <v>638</v>
      </c>
      <c r="E134" s="16" t="s">
        <v>93</v>
      </c>
      <c r="F134" s="35" t="str">
        <f ca="1">INDEX(Upaya_Debitur[Lunas?],MATCH(Upaya_Agunan[[#This Row],[Nomor PK]],Upaya_Debitur[Nomor PK],0))</f>
        <v>Belum Lunas</v>
      </c>
      <c r="G134" s="35" t="str">
        <f>IF(OR(Upaya_Agunan[[#This Row],[Agunan]]="SHM",Upaya_Agunan[[#This Row],[Agunan]]="BPKB"),"Ya","Tidak")</f>
        <v>Tidak</v>
      </c>
      <c r="H13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3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34" s="35" t="str">
        <f ca="1">IF(AND(DATEDIF($B$5,$B$6,"D")&gt;=150,Upaya_Agunan[[#This Row],[Lelang 1?]]="Ya"),"Ya","Tidak")</f>
        <v>Tidak</v>
      </c>
      <c r="K134" s="35" t="str">
        <f ca="1">IF(AND(DATEDIF($B$5,$B$6,"D")&gt;=180,Upaya_Agunan[[#This Row],[Lelang 2?]]="Ya"),"Ya","Tidak")</f>
        <v>Tidak</v>
      </c>
      <c r="L134" s="18"/>
      <c r="M134" s="18"/>
      <c r="N134" s="18"/>
      <c r="O134" s="18"/>
      <c r="P134" s="18"/>
      <c r="Q134" s="35">
        <f ca="1">COUNTIF(Upaya_Agunan[[#This Row],[Blokir Agunan?]:[Penjualan Agunan?]],"Ya")</f>
        <v>0</v>
      </c>
      <c r="R134" s="35">
        <f ca="1">Upaya_Agunan[[#This Row],[Target Upaya]]-COUNTIFS(Upaya_Agunan[[#This Row],[Blokir Agunan?]:[Penjualan Agunan?]],"Ya",Upaya_Agunan[[#This Row],[Blokir Agunan]:[Penjualan Agunan]],"")</f>
        <v>0</v>
      </c>
      <c r="S134" s="36">
        <f ca="1">IF(ISNUMBER(Upaya_Agunan[[#This Row],[Realisasi]]/Upaya_Agunan[[#This Row],[Target Upaya]]),Upaya_Agunan[[#This Row],[Realisasi]]/Upaya_Agunan[[#This Row],[Target Upaya]],1)</f>
        <v>1</v>
      </c>
    </row>
    <row r="135" spans="1:19" x14ac:dyDescent="0.3">
      <c r="A135" s="16">
        <v>124</v>
      </c>
      <c r="B135" s="17" t="s">
        <v>402</v>
      </c>
      <c r="C135" s="16" t="s">
        <v>84</v>
      </c>
      <c r="D135" s="16" t="s">
        <v>98</v>
      </c>
      <c r="E135" s="16" t="s">
        <v>93</v>
      </c>
      <c r="F135" s="35" t="str">
        <f ca="1">INDEX(Upaya_Debitur[Lunas?],MATCH(Upaya_Agunan[[#This Row],[Nomor PK]],Upaya_Debitur[Nomor PK],0))</f>
        <v>Belum Lunas</v>
      </c>
      <c r="G135" s="35" t="str">
        <f>IF(OR(Upaya_Agunan[[#This Row],[Agunan]]="SHM",Upaya_Agunan[[#This Row],[Agunan]]="BPKB"),"Ya","Tidak")</f>
        <v>Tidak</v>
      </c>
      <c r="H13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3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35" s="35" t="str">
        <f ca="1">IF(AND(DATEDIF($B$5,$B$6,"D")&gt;=150,Upaya_Agunan[[#This Row],[Lelang 1?]]="Ya"),"Ya","Tidak")</f>
        <v>Tidak</v>
      </c>
      <c r="K135" s="35" t="str">
        <f ca="1">IF(AND(DATEDIF($B$5,$B$6,"D")&gt;=180,Upaya_Agunan[[#This Row],[Lelang 2?]]="Ya"),"Ya","Tidak")</f>
        <v>Tidak</v>
      </c>
      <c r="L135" s="18"/>
      <c r="M135" s="18"/>
      <c r="N135" s="18"/>
      <c r="O135" s="18"/>
      <c r="P135" s="18"/>
      <c r="Q135" s="35">
        <f ca="1">COUNTIF(Upaya_Agunan[[#This Row],[Blokir Agunan?]:[Penjualan Agunan?]],"Ya")</f>
        <v>0</v>
      </c>
      <c r="R135" s="35">
        <f ca="1">Upaya_Agunan[[#This Row],[Target Upaya]]-COUNTIFS(Upaya_Agunan[[#This Row],[Blokir Agunan?]:[Penjualan Agunan?]],"Ya",Upaya_Agunan[[#This Row],[Blokir Agunan]:[Penjualan Agunan]],"")</f>
        <v>0</v>
      </c>
      <c r="S135" s="36">
        <f ca="1">IF(ISNUMBER(Upaya_Agunan[[#This Row],[Realisasi]]/Upaya_Agunan[[#This Row],[Target Upaya]]),Upaya_Agunan[[#This Row],[Realisasi]]/Upaya_Agunan[[#This Row],[Target Upaya]],1)</f>
        <v>1</v>
      </c>
    </row>
    <row r="136" spans="1:19" x14ac:dyDescent="0.3">
      <c r="A136" s="16">
        <v>125</v>
      </c>
      <c r="B136" s="17" t="s">
        <v>404</v>
      </c>
      <c r="C136" s="16" t="s">
        <v>85</v>
      </c>
      <c r="D136" s="16" t="s">
        <v>78</v>
      </c>
      <c r="E136" s="16" t="s">
        <v>106</v>
      </c>
      <c r="F136" s="35" t="str">
        <f ca="1">INDEX(Upaya_Debitur[Lunas?],MATCH(Upaya_Agunan[[#This Row],[Nomor PK]],Upaya_Debitur[Nomor PK],0))</f>
        <v>Belum Lunas</v>
      </c>
      <c r="G136" s="35" t="str">
        <f>IF(OR(Upaya_Agunan[[#This Row],[Agunan]]="SHM",Upaya_Agunan[[#This Row],[Agunan]]="BPKB"),"Ya","Tidak")</f>
        <v>Ya</v>
      </c>
      <c r="H13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3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36" s="35" t="str">
        <f ca="1">IF(AND(DATEDIF($B$5,$B$6,"D")&gt;=150,Upaya_Agunan[[#This Row],[Lelang 1?]]="Ya"),"Ya","Tidak")</f>
        <v>Tidak</v>
      </c>
      <c r="K136" s="35" t="str">
        <f ca="1">IF(AND(DATEDIF($B$5,$B$6,"D")&gt;=180,Upaya_Agunan[[#This Row],[Lelang 2?]]="Ya"),"Ya","Tidak")</f>
        <v>Tidak</v>
      </c>
      <c r="L136" s="18">
        <v>44123</v>
      </c>
      <c r="M136" s="18"/>
      <c r="N136" s="18"/>
      <c r="O136" s="18"/>
      <c r="P136" s="18"/>
      <c r="Q136" s="35">
        <f ca="1">COUNTIF(Upaya_Agunan[[#This Row],[Blokir Agunan?]:[Penjualan Agunan?]],"Ya")</f>
        <v>1</v>
      </c>
      <c r="R136" s="35">
        <f ca="1">Upaya_Agunan[[#This Row],[Target Upaya]]-COUNTIFS(Upaya_Agunan[[#This Row],[Blokir Agunan?]:[Penjualan Agunan?]],"Ya",Upaya_Agunan[[#This Row],[Blokir Agunan]:[Penjualan Agunan]],"")</f>
        <v>1</v>
      </c>
      <c r="S136" s="36">
        <f ca="1">IF(ISNUMBER(Upaya_Agunan[[#This Row],[Realisasi]]/Upaya_Agunan[[#This Row],[Target Upaya]]),Upaya_Agunan[[#This Row],[Realisasi]]/Upaya_Agunan[[#This Row],[Target Upaya]],1)</f>
        <v>1</v>
      </c>
    </row>
    <row r="137" spans="1:19" x14ac:dyDescent="0.3">
      <c r="A137" s="16">
        <v>126</v>
      </c>
      <c r="B137" s="17" t="s">
        <v>405</v>
      </c>
      <c r="C137" s="16" t="s">
        <v>85</v>
      </c>
      <c r="D137" s="16" t="s">
        <v>78</v>
      </c>
      <c r="E137" s="16" t="s">
        <v>93</v>
      </c>
      <c r="F137" s="35" t="str">
        <f ca="1">INDEX(Upaya_Debitur[Lunas?],MATCH(Upaya_Agunan[[#This Row],[Nomor PK]],Upaya_Debitur[Nomor PK],0))</f>
        <v>Belum Lunas</v>
      </c>
      <c r="G137" s="35" t="str">
        <f>IF(OR(Upaya_Agunan[[#This Row],[Agunan]]="SHM",Upaya_Agunan[[#This Row],[Agunan]]="BPKB"),"Ya","Tidak")</f>
        <v>Ya</v>
      </c>
      <c r="H13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3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37" s="35" t="str">
        <f ca="1">IF(AND(DATEDIF($B$5,$B$6,"D")&gt;=150,Upaya_Agunan[[#This Row],[Lelang 1?]]="Ya"),"Ya","Tidak")</f>
        <v>Tidak</v>
      </c>
      <c r="K137" s="35" t="str">
        <f ca="1">IF(AND(DATEDIF($B$5,$B$6,"D")&gt;=180,Upaya_Agunan[[#This Row],[Lelang 2?]]="Ya"),"Ya","Tidak")</f>
        <v>Tidak</v>
      </c>
      <c r="L137" s="18" t="s">
        <v>640</v>
      </c>
      <c r="M137" s="18"/>
      <c r="N137" s="18"/>
      <c r="O137" s="18"/>
      <c r="P137" s="18"/>
      <c r="Q137" s="35">
        <f ca="1">COUNTIF(Upaya_Agunan[[#This Row],[Blokir Agunan?]:[Penjualan Agunan?]],"Ya")</f>
        <v>1</v>
      </c>
      <c r="R137" s="35">
        <f ca="1">Upaya_Agunan[[#This Row],[Target Upaya]]-COUNTIFS(Upaya_Agunan[[#This Row],[Blokir Agunan?]:[Penjualan Agunan?]],"Ya",Upaya_Agunan[[#This Row],[Blokir Agunan]:[Penjualan Agunan]],"")</f>
        <v>1</v>
      </c>
      <c r="S137" s="36">
        <f ca="1">IF(ISNUMBER(Upaya_Agunan[[#This Row],[Realisasi]]/Upaya_Agunan[[#This Row],[Target Upaya]]),Upaya_Agunan[[#This Row],[Realisasi]]/Upaya_Agunan[[#This Row],[Target Upaya]],1)</f>
        <v>1</v>
      </c>
    </row>
    <row r="138" spans="1:19" x14ac:dyDescent="0.3">
      <c r="A138" s="16">
        <v>127</v>
      </c>
      <c r="B138" s="17" t="s">
        <v>407</v>
      </c>
      <c r="C138" s="16" t="s">
        <v>85</v>
      </c>
      <c r="D138" s="16" t="s">
        <v>78</v>
      </c>
      <c r="E138" s="16" t="s">
        <v>93</v>
      </c>
      <c r="F138" s="35" t="str">
        <f ca="1">INDEX(Upaya_Debitur[Lunas?],MATCH(Upaya_Agunan[[#This Row],[Nomor PK]],Upaya_Debitur[Nomor PK],0))</f>
        <v>Belum Lunas</v>
      </c>
      <c r="G138" s="35" t="str">
        <f>IF(OR(Upaya_Agunan[[#This Row],[Agunan]]="SHM",Upaya_Agunan[[#This Row],[Agunan]]="BPKB"),"Ya","Tidak")</f>
        <v>Ya</v>
      </c>
      <c r="H13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3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38" s="35" t="str">
        <f ca="1">IF(AND(DATEDIF($B$5,$B$6,"D")&gt;=150,Upaya_Agunan[[#This Row],[Lelang 1?]]="Ya"),"Ya","Tidak")</f>
        <v>Tidak</v>
      </c>
      <c r="K138" s="35" t="str">
        <f ca="1">IF(AND(DATEDIF($B$5,$B$6,"D")&gt;=180,Upaya_Agunan[[#This Row],[Lelang 2?]]="Ya"),"Ya","Tidak")</f>
        <v>Tidak</v>
      </c>
      <c r="L138" s="18">
        <v>44123</v>
      </c>
      <c r="M138" s="18"/>
      <c r="N138" s="18"/>
      <c r="O138" s="18"/>
      <c r="P138" s="18"/>
      <c r="Q138" s="35">
        <f ca="1">COUNTIF(Upaya_Agunan[[#This Row],[Blokir Agunan?]:[Penjualan Agunan?]],"Ya")</f>
        <v>1</v>
      </c>
      <c r="R138" s="35">
        <f ca="1">Upaya_Agunan[[#This Row],[Target Upaya]]-COUNTIFS(Upaya_Agunan[[#This Row],[Blokir Agunan?]:[Penjualan Agunan?]],"Ya",Upaya_Agunan[[#This Row],[Blokir Agunan]:[Penjualan Agunan]],"")</f>
        <v>1</v>
      </c>
      <c r="S138" s="36">
        <f ca="1">IF(ISNUMBER(Upaya_Agunan[[#This Row],[Realisasi]]/Upaya_Agunan[[#This Row],[Target Upaya]]),Upaya_Agunan[[#This Row],[Realisasi]]/Upaya_Agunan[[#This Row],[Target Upaya]],1)</f>
        <v>1</v>
      </c>
    </row>
    <row r="139" spans="1:19" x14ac:dyDescent="0.3">
      <c r="A139" s="16">
        <v>128</v>
      </c>
      <c r="B139" s="17" t="s">
        <v>409</v>
      </c>
      <c r="C139" s="16" t="s">
        <v>85</v>
      </c>
      <c r="D139" s="16" t="s">
        <v>78</v>
      </c>
      <c r="E139" s="16" t="s">
        <v>93</v>
      </c>
      <c r="F139" s="35" t="str">
        <f ca="1">INDEX(Upaya_Debitur[Lunas?],MATCH(Upaya_Agunan[[#This Row],[Nomor PK]],Upaya_Debitur[Nomor PK],0))</f>
        <v>Belum Lunas</v>
      </c>
      <c r="G139" s="35" t="str">
        <f>IF(OR(Upaya_Agunan[[#This Row],[Agunan]]="SHM",Upaya_Agunan[[#This Row],[Agunan]]="BPKB"),"Ya","Tidak")</f>
        <v>Ya</v>
      </c>
      <c r="H13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3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39" s="35" t="str">
        <f ca="1">IF(AND(DATEDIF($B$5,$B$6,"D")&gt;=150,Upaya_Agunan[[#This Row],[Lelang 1?]]="Ya"),"Ya","Tidak")</f>
        <v>Tidak</v>
      </c>
      <c r="K139" s="35" t="str">
        <f ca="1">IF(AND(DATEDIF($B$5,$B$6,"D")&gt;=180,Upaya_Agunan[[#This Row],[Lelang 2?]]="Ya"),"Ya","Tidak")</f>
        <v>Tidak</v>
      </c>
      <c r="L139" s="18" t="s">
        <v>643</v>
      </c>
      <c r="M139" s="18"/>
      <c r="N139" s="18"/>
      <c r="O139" s="18"/>
      <c r="P139" s="18"/>
      <c r="Q139" s="35">
        <f ca="1">COUNTIF(Upaya_Agunan[[#This Row],[Blokir Agunan?]:[Penjualan Agunan?]],"Ya")</f>
        <v>1</v>
      </c>
      <c r="R139" s="35">
        <f ca="1">Upaya_Agunan[[#This Row],[Target Upaya]]-COUNTIFS(Upaya_Agunan[[#This Row],[Blokir Agunan?]:[Penjualan Agunan?]],"Ya",Upaya_Agunan[[#This Row],[Blokir Agunan]:[Penjualan Agunan]],"")</f>
        <v>1</v>
      </c>
      <c r="S139" s="36">
        <f ca="1">IF(ISNUMBER(Upaya_Agunan[[#This Row],[Realisasi]]/Upaya_Agunan[[#This Row],[Target Upaya]]),Upaya_Agunan[[#This Row],[Realisasi]]/Upaya_Agunan[[#This Row],[Target Upaya]],1)</f>
        <v>1</v>
      </c>
    </row>
    <row r="140" spans="1:19" x14ac:dyDescent="0.3">
      <c r="A140" s="16">
        <v>129</v>
      </c>
      <c r="B140" s="17" t="s">
        <v>411</v>
      </c>
      <c r="C140" s="16" t="s">
        <v>84</v>
      </c>
      <c r="D140" s="16" t="s">
        <v>79</v>
      </c>
      <c r="E140" s="16" t="s">
        <v>93</v>
      </c>
      <c r="F140" s="35" t="str">
        <f ca="1">INDEX(Upaya_Debitur[Lunas?],MATCH(Upaya_Agunan[[#This Row],[Nomor PK]],Upaya_Debitur[Nomor PK],0))</f>
        <v>Belum Lunas</v>
      </c>
      <c r="G140" s="35" t="str">
        <f>IF(OR(Upaya_Agunan[[#This Row],[Agunan]]="SHM",Upaya_Agunan[[#This Row],[Agunan]]="BPKB"),"Ya","Tidak")</f>
        <v>Tidak</v>
      </c>
      <c r="H14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4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40" s="35" t="str">
        <f ca="1">IF(AND(DATEDIF($B$5,$B$6,"D")&gt;=150,Upaya_Agunan[[#This Row],[Lelang 1?]]="Ya"),"Ya","Tidak")</f>
        <v>Tidak</v>
      </c>
      <c r="K140" s="35" t="str">
        <f ca="1">IF(AND(DATEDIF($B$5,$B$6,"D")&gt;=180,Upaya_Agunan[[#This Row],[Lelang 2?]]="Ya"),"Ya","Tidak")</f>
        <v>Tidak</v>
      </c>
      <c r="L140" s="18"/>
      <c r="M140" s="18"/>
      <c r="N140" s="18"/>
      <c r="O140" s="18"/>
      <c r="P140" s="18"/>
      <c r="Q140" s="35">
        <f ca="1">COUNTIF(Upaya_Agunan[[#This Row],[Blokir Agunan?]:[Penjualan Agunan?]],"Ya")</f>
        <v>0</v>
      </c>
      <c r="R140" s="35">
        <f ca="1">Upaya_Agunan[[#This Row],[Target Upaya]]-COUNTIFS(Upaya_Agunan[[#This Row],[Blokir Agunan?]:[Penjualan Agunan?]],"Ya",Upaya_Agunan[[#This Row],[Blokir Agunan]:[Penjualan Agunan]],"")</f>
        <v>0</v>
      </c>
      <c r="S140" s="36">
        <f ca="1">IF(ISNUMBER(Upaya_Agunan[[#This Row],[Realisasi]]/Upaya_Agunan[[#This Row],[Target Upaya]]),Upaya_Agunan[[#This Row],[Realisasi]]/Upaya_Agunan[[#This Row],[Target Upaya]],1)</f>
        <v>1</v>
      </c>
    </row>
    <row r="141" spans="1:19" x14ac:dyDescent="0.3">
      <c r="A141" s="16">
        <v>130</v>
      </c>
      <c r="B141" s="17" t="s">
        <v>413</v>
      </c>
      <c r="C141" s="16" t="s">
        <v>85</v>
      </c>
      <c r="D141" s="16" t="s">
        <v>78</v>
      </c>
      <c r="E141" s="16" t="s">
        <v>93</v>
      </c>
      <c r="F141" s="35" t="str">
        <f ca="1">INDEX(Upaya_Debitur[Lunas?],MATCH(Upaya_Agunan[[#This Row],[Nomor PK]],Upaya_Debitur[Nomor PK],0))</f>
        <v>Belum Lunas</v>
      </c>
      <c r="G141" s="35" t="str">
        <f>IF(OR(Upaya_Agunan[[#This Row],[Agunan]]="SHM",Upaya_Agunan[[#This Row],[Agunan]]="BPKB"),"Ya","Tidak")</f>
        <v>Ya</v>
      </c>
      <c r="H14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4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41" s="35" t="str">
        <f ca="1">IF(AND(DATEDIF($B$5,$B$6,"D")&gt;=150,Upaya_Agunan[[#This Row],[Lelang 1?]]="Ya"),"Ya","Tidak")</f>
        <v>Tidak</v>
      </c>
      <c r="K141" s="35" t="str">
        <f ca="1">IF(AND(DATEDIF($B$5,$B$6,"D")&gt;=180,Upaya_Agunan[[#This Row],[Lelang 2?]]="Ya"),"Ya","Tidak")</f>
        <v>Tidak</v>
      </c>
      <c r="L141" s="18" t="s">
        <v>640</v>
      </c>
      <c r="M141" s="18"/>
      <c r="N141" s="18"/>
      <c r="O141" s="18"/>
      <c r="P141" s="18"/>
      <c r="Q141" s="35">
        <f ca="1">COUNTIF(Upaya_Agunan[[#This Row],[Blokir Agunan?]:[Penjualan Agunan?]],"Ya")</f>
        <v>1</v>
      </c>
      <c r="R141" s="35">
        <f ca="1">Upaya_Agunan[[#This Row],[Target Upaya]]-COUNTIFS(Upaya_Agunan[[#This Row],[Blokir Agunan?]:[Penjualan Agunan?]],"Ya",Upaya_Agunan[[#This Row],[Blokir Agunan]:[Penjualan Agunan]],"")</f>
        <v>1</v>
      </c>
      <c r="S141" s="36">
        <f ca="1">IF(ISNUMBER(Upaya_Agunan[[#This Row],[Realisasi]]/Upaya_Agunan[[#This Row],[Target Upaya]]),Upaya_Agunan[[#This Row],[Realisasi]]/Upaya_Agunan[[#This Row],[Target Upaya]],1)</f>
        <v>1</v>
      </c>
    </row>
    <row r="142" spans="1:19" x14ac:dyDescent="0.3">
      <c r="A142" s="16">
        <v>131</v>
      </c>
      <c r="B142" s="17" t="s">
        <v>415</v>
      </c>
      <c r="C142" s="16" t="s">
        <v>85</v>
      </c>
      <c r="D142" s="16" t="s">
        <v>78</v>
      </c>
      <c r="E142" s="16" t="s">
        <v>93</v>
      </c>
      <c r="F142" s="35" t="str">
        <f ca="1">INDEX(Upaya_Debitur[Lunas?],MATCH(Upaya_Agunan[[#This Row],[Nomor PK]],Upaya_Debitur[Nomor PK],0))</f>
        <v>Belum Lunas</v>
      </c>
      <c r="G142" s="35" t="str">
        <f>IF(OR(Upaya_Agunan[[#This Row],[Agunan]]="SHM",Upaya_Agunan[[#This Row],[Agunan]]="BPKB"),"Ya","Tidak")</f>
        <v>Ya</v>
      </c>
      <c r="H14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4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42" s="35" t="str">
        <f ca="1">IF(AND(DATEDIF($B$5,$B$6,"D")&gt;=150,Upaya_Agunan[[#This Row],[Lelang 1?]]="Ya"),"Ya","Tidak")</f>
        <v>Tidak</v>
      </c>
      <c r="K142" s="35" t="str">
        <f ca="1">IF(AND(DATEDIF($B$5,$B$6,"D")&gt;=180,Upaya_Agunan[[#This Row],[Lelang 2?]]="Ya"),"Ya","Tidak")</f>
        <v>Tidak</v>
      </c>
      <c r="L142" s="18" t="s">
        <v>640</v>
      </c>
      <c r="M142" s="18"/>
      <c r="N142" s="18"/>
      <c r="O142" s="18"/>
      <c r="P142" s="18"/>
      <c r="Q142" s="35">
        <f ca="1">COUNTIF(Upaya_Agunan[[#This Row],[Blokir Agunan?]:[Penjualan Agunan?]],"Ya")</f>
        <v>1</v>
      </c>
      <c r="R142" s="35">
        <f ca="1">Upaya_Agunan[[#This Row],[Target Upaya]]-COUNTIFS(Upaya_Agunan[[#This Row],[Blokir Agunan?]:[Penjualan Agunan?]],"Ya",Upaya_Agunan[[#This Row],[Blokir Agunan]:[Penjualan Agunan]],"")</f>
        <v>1</v>
      </c>
      <c r="S142" s="36">
        <f ca="1">IF(ISNUMBER(Upaya_Agunan[[#This Row],[Realisasi]]/Upaya_Agunan[[#This Row],[Target Upaya]]),Upaya_Agunan[[#This Row],[Realisasi]]/Upaya_Agunan[[#This Row],[Target Upaya]],1)</f>
        <v>1</v>
      </c>
    </row>
    <row r="143" spans="1:19" x14ac:dyDescent="0.3">
      <c r="A143" s="16">
        <v>132</v>
      </c>
      <c r="B143" s="17" t="s">
        <v>417</v>
      </c>
      <c r="C143" s="16" t="s">
        <v>84</v>
      </c>
      <c r="D143" s="16" t="s">
        <v>98</v>
      </c>
      <c r="E143" s="16" t="s">
        <v>93</v>
      </c>
      <c r="F143" s="35" t="str">
        <f ca="1">INDEX(Upaya_Debitur[Lunas?],MATCH(Upaya_Agunan[[#This Row],[Nomor PK]],Upaya_Debitur[Nomor PK],0))</f>
        <v>Belum Lunas</v>
      </c>
      <c r="G143" s="35" t="str">
        <f>IF(OR(Upaya_Agunan[[#This Row],[Agunan]]="SHM",Upaya_Agunan[[#This Row],[Agunan]]="BPKB"),"Ya","Tidak")</f>
        <v>Tidak</v>
      </c>
      <c r="H14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4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43" s="35" t="str">
        <f ca="1">IF(AND(DATEDIF($B$5,$B$6,"D")&gt;=150,Upaya_Agunan[[#This Row],[Lelang 1?]]="Ya"),"Ya","Tidak")</f>
        <v>Tidak</v>
      </c>
      <c r="K143" s="35" t="str">
        <f ca="1">IF(AND(DATEDIF($B$5,$B$6,"D")&gt;=180,Upaya_Agunan[[#This Row],[Lelang 2?]]="Ya"),"Ya","Tidak")</f>
        <v>Tidak</v>
      </c>
      <c r="L143" s="18"/>
      <c r="M143" s="18"/>
      <c r="N143" s="18"/>
      <c r="O143" s="18"/>
      <c r="P143" s="18"/>
      <c r="Q143" s="35">
        <f ca="1">COUNTIF(Upaya_Agunan[[#This Row],[Blokir Agunan?]:[Penjualan Agunan?]],"Ya")</f>
        <v>0</v>
      </c>
      <c r="R143" s="35">
        <f ca="1">Upaya_Agunan[[#This Row],[Target Upaya]]-COUNTIFS(Upaya_Agunan[[#This Row],[Blokir Agunan?]:[Penjualan Agunan?]],"Ya",Upaya_Agunan[[#This Row],[Blokir Agunan]:[Penjualan Agunan]],"")</f>
        <v>0</v>
      </c>
      <c r="S143" s="36">
        <f ca="1">IF(ISNUMBER(Upaya_Agunan[[#This Row],[Realisasi]]/Upaya_Agunan[[#This Row],[Target Upaya]]),Upaya_Agunan[[#This Row],[Realisasi]]/Upaya_Agunan[[#This Row],[Target Upaya]],1)</f>
        <v>1</v>
      </c>
    </row>
    <row r="144" spans="1:19" x14ac:dyDescent="0.3">
      <c r="A144" s="16">
        <v>133</v>
      </c>
      <c r="B144" s="17" t="s">
        <v>419</v>
      </c>
      <c r="C144" s="16" t="s">
        <v>85</v>
      </c>
      <c r="D144" s="16" t="s">
        <v>78</v>
      </c>
      <c r="E144" s="16" t="s">
        <v>93</v>
      </c>
      <c r="F144" s="35" t="str">
        <f ca="1">INDEX(Upaya_Debitur[Lunas?],MATCH(Upaya_Agunan[[#This Row],[Nomor PK]],Upaya_Debitur[Nomor PK],0))</f>
        <v>Belum Lunas</v>
      </c>
      <c r="G144" s="35" t="str">
        <f>IF(OR(Upaya_Agunan[[#This Row],[Agunan]]="SHM",Upaya_Agunan[[#This Row],[Agunan]]="BPKB"),"Ya","Tidak")</f>
        <v>Ya</v>
      </c>
      <c r="H14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4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44" s="35" t="str">
        <f ca="1">IF(AND(DATEDIF($B$5,$B$6,"D")&gt;=150,Upaya_Agunan[[#This Row],[Lelang 1?]]="Ya"),"Ya","Tidak")</f>
        <v>Tidak</v>
      </c>
      <c r="K144" s="35" t="str">
        <f ca="1">IF(AND(DATEDIF($B$5,$B$6,"D")&gt;=180,Upaya_Agunan[[#This Row],[Lelang 2?]]="Ya"),"Ya","Tidak")</f>
        <v>Tidak</v>
      </c>
      <c r="L144" s="18" t="s">
        <v>640</v>
      </c>
      <c r="M144" s="18"/>
      <c r="N144" s="18"/>
      <c r="O144" s="18"/>
      <c r="P144" s="18"/>
      <c r="Q144" s="35">
        <f ca="1">COUNTIF(Upaya_Agunan[[#This Row],[Blokir Agunan?]:[Penjualan Agunan?]],"Ya")</f>
        <v>1</v>
      </c>
      <c r="R144" s="35">
        <f ca="1">Upaya_Agunan[[#This Row],[Target Upaya]]-COUNTIFS(Upaya_Agunan[[#This Row],[Blokir Agunan?]:[Penjualan Agunan?]],"Ya",Upaya_Agunan[[#This Row],[Blokir Agunan]:[Penjualan Agunan]],"")</f>
        <v>1</v>
      </c>
      <c r="S144" s="36">
        <f ca="1">IF(ISNUMBER(Upaya_Agunan[[#This Row],[Realisasi]]/Upaya_Agunan[[#This Row],[Target Upaya]]),Upaya_Agunan[[#This Row],[Realisasi]]/Upaya_Agunan[[#This Row],[Target Upaya]],1)</f>
        <v>1</v>
      </c>
    </row>
    <row r="145" spans="1:19" x14ac:dyDescent="0.3">
      <c r="A145" s="16">
        <v>134</v>
      </c>
      <c r="B145" s="17" t="s">
        <v>421</v>
      </c>
      <c r="C145" s="16" t="s">
        <v>85</v>
      </c>
      <c r="D145" s="16" t="s">
        <v>78</v>
      </c>
      <c r="E145" s="16" t="s">
        <v>106</v>
      </c>
      <c r="F145" s="35" t="str">
        <f ca="1">INDEX(Upaya_Debitur[Lunas?],MATCH(Upaya_Agunan[[#This Row],[Nomor PK]],Upaya_Debitur[Nomor PK],0))</f>
        <v>Belum Lunas</v>
      </c>
      <c r="G145" s="35" t="str">
        <f>IF(OR(Upaya_Agunan[[#This Row],[Agunan]]="SHM",Upaya_Agunan[[#This Row],[Agunan]]="BPKB"),"Ya","Tidak")</f>
        <v>Ya</v>
      </c>
      <c r="H14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4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45" s="35" t="str">
        <f ca="1">IF(AND(DATEDIF($B$5,$B$6,"D")&gt;=150,Upaya_Agunan[[#This Row],[Lelang 1?]]="Ya"),"Ya","Tidak")</f>
        <v>Tidak</v>
      </c>
      <c r="K145" s="35" t="str">
        <f ca="1">IF(AND(DATEDIF($B$5,$B$6,"D")&gt;=180,Upaya_Agunan[[#This Row],[Lelang 2?]]="Ya"),"Ya","Tidak")</f>
        <v>Tidak</v>
      </c>
      <c r="L145" s="18">
        <v>44123</v>
      </c>
      <c r="M145" s="18"/>
      <c r="N145" s="18"/>
      <c r="O145" s="18"/>
      <c r="P145" s="18"/>
      <c r="Q145" s="35">
        <f ca="1">COUNTIF(Upaya_Agunan[[#This Row],[Blokir Agunan?]:[Penjualan Agunan?]],"Ya")</f>
        <v>1</v>
      </c>
      <c r="R145" s="35">
        <f ca="1">Upaya_Agunan[[#This Row],[Target Upaya]]-COUNTIFS(Upaya_Agunan[[#This Row],[Blokir Agunan?]:[Penjualan Agunan?]],"Ya",Upaya_Agunan[[#This Row],[Blokir Agunan]:[Penjualan Agunan]],"")</f>
        <v>1</v>
      </c>
      <c r="S145" s="36">
        <f ca="1">IF(ISNUMBER(Upaya_Agunan[[#This Row],[Realisasi]]/Upaya_Agunan[[#This Row],[Target Upaya]]),Upaya_Agunan[[#This Row],[Realisasi]]/Upaya_Agunan[[#This Row],[Target Upaya]],1)</f>
        <v>1</v>
      </c>
    </row>
    <row r="146" spans="1:19" x14ac:dyDescent="0.3">
      <c r="A146" s="16">
        <v>135</v>
      </c>
      <c r="B146" s="17" t="s">
        <v>422</v>
      </c>
      <c r="C146" s="16" t="s">
        <v>85</v>
      </c>
      <c r="D146" s="16" t="s">
        <v>78</v>
      </c>
      <c r="E146" s="16" t="s">
        <v>93</v>
      </c>
      <c r="F146" s="35" t="str">
        <f ca="1">INDEX(Upaya_Debitur[Lunas?],MATCH(Upaya_Agunan[[#This Row],[Nomor PK]],Upaya_Debitur[Nomor PK],0))</f>
        <v>Belum Lunas</v>
      </c>
      <c r="G146" s="35" t="str">
        <f>IF(OR(Upaya_Agunan[[#This Row],[Agunan]]="SHM",Upaya_Agunan[[#This Row],[Agunan]]="BPKB"),"Ya","Tidak")</f>
        <v>Ya</v>
      </c>
      <c r="H14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4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46" s="35" t="str">
        <f ca="1">IF(AND(DATEDIF($B$5,$B$6,"D")&gt;=150,Upaya_Agunan[[#This Row],[Lelang 1?]]="Ya"),"Ya","Tidak")</f>
        <v>Tidak</v>
      </c>
      <c r="K146" s="35" t="str">
        <f ca="1">IF(AND(DATEDIF($B$5,$B$6,"D")&gt;=180,Upaya_Agunan[[#This Row],[Lelang 2?]]="Ya"),"Ya","Tidak")</f>
        <v>Tidak</v>
      </c>
      <c r="L146" s="18" t="s">
        <v>640</v>
      </c>
      <c r="M146" s="18"/>
      <c r="N146" s="18"/>
      <c r="O146" s="18"/>
      <c r="P146" s="18"/>
      <c r="Q146" s="35">
        <f ca="1">COUNTIF(Upaya_Agunan[[#This Row],[Blokir Agunan?]:[Penjualan Agunan?]],"Ya")</f>
        <v>1</v>
      </c>
      <c r="R146" s="35">
        <f ca="1">Upaya_Agunan[[#This Row],[Target Upaya]]-COUNTIFS(Upaya_Agunan[[#This Row],[Blokir Agunan?]:[Penjualan Agunan?]],"Ya",Upaya_Agunan[[#This Row],[Blokir Agunan]:[Penjualan Agunan]],"")</f>
        <v>1</v>
      </c>
      <c r="S146" s="36">
        <f ca="1">IF(ISNUMBER(Upaya_Agunan[[#This Row],[Realisasi]]/Upaya_Agunan[[#This Row],[Target Upaya]]),Upaya_Agunan[[#This Row],[Realisasi]]/Upaya_Agunan[[#This Row],[Target Upaya]],1)</f>
        <v>1</v>
      </c>
    </row>
    <row r="147" spans="1:19" x14ac:dyDescent="0.3">
      <c r="A147" s="16">
        <v>136</v>
      </c>
      <c r="B147" s="17" t="s">
        <v>424</v>
      </c>
      <c r="C147" s="16" t="s">
        <v>85</v>
      </c>
      <c r="D147" s="16" t="s">
        <v>78</v>
      </c>
      <c r="E147" s="16" t="s">
        <v>93</v>
      </c>
      <c r="F147" s="35" t="str">
        <f ca="1">INDEX(Upaya_Debitur[Lunas?],MATCH(Upaya_Agunan[[#This Row],[Nomor PK]],Upaya_Debitur[Nomor PK],0))</f>
        <v>Belum Lunas</v>
      </c>
      <c r="G147" s="35" t="str">
        <f>IF(OR(Upaya_Agunan[[#This Row],[Agunan]]="SHM",Upaya_Agunan[[#This Row],[Agunan]]="BPKB"),"Ya","Tidak")</f>
        <v>Ya</v>
      </c>
      <c r="H14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4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47" s="35" t="str">
        <f ca="1">IF(AND(DATEDIF($B$5,$B$6,"D")&gt;=150,Upaya_Agunan[[#This Row],[Lelang 1?]]="Ya"),"Ya","Tidak")</f>
        <v>Tidak</v>
      </c>
      <c r="K147" s="35" t="str">
        <f ca="1">IF(AND(DATEDIF($B$5,$B$6,"D")&gt;=180,Upaya_Agunan[[#This Row],[Lelang 2?]]="Ya"),"Ya","Tidak")</f>
        <v>Tidak</v>
      </c>
      <c r="L147" s="18" t="s">
        <v>640</v>
      </c>
      <c r="M147" s="18"/>
      <c r="N147" s="18"/>
      <c r="O147" s="18"/>
      <c r="P147" s="18"/>
      <c r="Q147" s="35">
        <f ca="1">COUNTIF(Upaya_Agunan[[#This Row],[Blokir Agunan?]:[Penjualan Agunan?]],"Ya")</f>
        <v>1</v>
      </c>
      <c r="R147" s="35">
        <f ca="1">Upaya_Agunan[[#This Row],[Target Upaya]]-COUNTIFS(Upaya_Agunan[[#This Row],[Blokir Agunan?]:[Penjualan Agunan?]],"Ya",Upaya_Agunan[[#This Row],[Blokir Agunan]:[Penjualan Agunan]],"")</f>
        <v>1</v>
      </c>
      <c r="S147" s="36">
        <f ca="1">IF(ISNUMBER(Upaya_Agunan[[#This Row],[Realisasi]]/Upaya_Agunan[[#This Row],[Target Upaya]]),Upaya_Agunan[[#This Row],[Realisasi]]/Upaya_Agunan[[#This Row],[Target Upaya]],1)</f>
        <v>1</v>
      </c>
    </row>
    <row r="148" spans="1:19" x14ac:dyDescent="0.3">
      <c r="A148" s="16">
        <v>137</v>
      </c>
      <c r="B148" s="17" t="s">
        <v>426</v>
      </c>
      <c r="C148" s="16" t="s">
        <v>85</v>
      </c>
      <c r="D148" s="16" t="s">
        <v>78</v>
      </c>
      <c r="E148" s="16" t="s">
        <v>93</v>
      </c>
      <c r="F148" s="35" t="str">
        <f ca="1">INDEX(Upaya_Debitur[Lunas?],MATCH(Upaya_Agunan[[#This Row],[Nomor PK]],Upaya_Debitur[Nomor PK],0))</f>
        <v>Belum Lunas</v>
      </c>
      <c r="G148" s="35" t="str">
        <f>IF(OR(Upaya_Agunan[[#This Row],[Agunan]]="SHM",Upaya_Agunan[[#This Row],[Agunan]]="BPKB"),"Ya","Tidak")</f>
        <v>Ya</v>
      </c>
      <c r="H14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4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48" s="35" t="str">
        <f ca="1">IF(AND(DATEDIF($B$5,$B$6,"D")&gt;=150,Upaya_Agunan[[#This Row],[Lelang 1?]]="Ya"),"Ya","Tidak")</f>
        <v>Tidak</v>
      </c>
      <c r="K148" s="35" t="str">
        <f ca="1">IF(AND(DATEDIF($B$5,$B$6,"D")&gt;=180,Upaya_Agunan[[#This Row],[Lelang 2?]]="Ya"),"Ya","Tidak")</f>
        <v>Tidak</v>
      </c>
      <c r="L148" s="18">
        <v>44126</v>
      </c>
      <c r="M148" s="18"/>
      <c r="N148" s="18"/>
      <c r="O148" s="18"/>
      <c r="P148" s="18"/>
      <c r="Q148" s="35">
        <f ca="1">COUNTIF(Upaya_Agunan[[#This Row],[Blokir Agunan?]:[Penjualan Agunan?]],"Ya")</f>
        <v>1</v>
      </c>
      <c r="R148" s="35">
        <f ca="1">Upaya_Agunan[[#This Row],[Target Upaya]]-COUNTIFS(Upaya_Agunan[[#This Row],[Blokir Agunan?]:[Penjualan Agunan?]],"Ya",Upaya_Agunan[[#This Row],[Blokir Agunan]:[Penjualan Agunan]],"")</f>
        <v>1</v>
      </c>
      <c r="S148" s="36">
        <f ca="1">IF(ISNUMBER(Upaya_Agunan[[#This Row],[Realisasi]]/Upaya_Agunan[[#This Row],[Target Upaya]]),Upaya_Agunan[[#This Row],[Realisasi]]/Upaya_Agunan[[#This Row],[Target Upaya]],1)</f>
        <v>1</v>
      </c>
    </row>
    <row r="149" spans="1:19" x14ac:dyDescent="0.3">
      <c r="A149" s="16">
        <v>138</v>
      </c>
      <c r="B149" s="17" t="s">
        <v>426</v>
      </c>
      <c r="C149" s="16" t="s">
        <v>85</v>
      </c>
      <c r="D149" s="16" t="s">
        <v>78</v>
      </c>
      <c r="E149" s="16" t="s">
        <v>93</v>
      </c>
      <c r="F149" s="35" t="str">
        <f ca="1">INDEX(Upaya_Debitur[Lunas?],MATCH(Upaya_Agunan[[#This Row],[Nomor PK]],Upaya_Debitur[Nomor PK],0))</f>
        <v>Belum Lunas</v>
      </c>
      <c r="G149" s="35" t="str">
        <f>IF(OR(Upaya_Agunan[[#This Row],[Agunan]]="SHM",Upaya_Agunan[[#This Row],[Agunan]]="BPKB"),"Ya","Tidak")</f>
        <v>Ya</v>
      </c>
      <c r="H14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4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49" s="35" t="str">
        <f ca="1">IF(AND(DATEDIF($B$5,$B$6,"D")&gt;=150,Upaya_Agunan[[#This Row],[Lelang 1?]]="Ya"),"Ya","Tidak")</f>
        <v>Tidak</v>
      </c>
      <c r="K149" s="35" t="str">
        <f ca="1">IF(AND(DATEDIF($B$5,$B$6,"D")&gt;=180,Upaya_Agunan[[#This Row],[Lelang 2?]]="Ya"),"Ya","Tidak")</f>
        <v>Tidak</v>
      </c>
      <c r="L149" s="18" t="s">
        <v>640</v>
      </c>
      <c r="M149" s="18"/>
      <c r="N149" s="18"/>
      <c r="O149" s="18"/>
      <c r="P149" s="18"/>
      <c r="Q149" s="35">
        <f ca="1">COUNTIF(Upaya_Agunan[[#This Row],[Blokir Agunan?]:[Penjualan Agunan?]],"Ya")</f>
        <v>1</v>
      </c>
      <c r="R149" s="35">
        <f ca="1">Upaya_Agunan[[#This Row],[Target Upaya]]-COUNTIFS(Upaya_Agunan[[#This Row],[Blokir Agunan?]:[Penjualan Agunan?]],"Ya",Upaya_Agunan[[#This Row],[Blokir Agunan]:[Penjualan Agunan]],"")</f>
        <v>1</v>
      </c>
      <c r="S149" s="36">
        <f ca="1">IF(ISNUMBER(Upaya_Agunan[[#This Row],[Realisasi]]/Upaya_Agunan[[#This Row],[Target Upaya]]),Upaya_Agunan[[#This Row],[Realisasi]]/Upaya_Agunan[[#This Row],[Target Upaya]],1)</f>
        <v>1</v>
      </c>
    </row>
    <row r="150" spans="1:19" x14ac:dyDescent="0.3">
      <c r="A150" s="16">
        <v>139</v>
      </c>
      <c r="B150" s="17" t="s">
        <v>428</v>
      </c>
      <c r="C150" s="16" t="s">
        <v>85</v>
      </c>
      <c r="D150" s="16" t="s">
        <v>78</v>
      </c>
      <c r="E150" s="16" t="s">
        <v>93</v>
      </c>
      <c r="F150" s="35" t="str">
        <f ca="1">INDEX(Upaya_Debitur[Lunas?],MATCH(Upaya_Agunan[[#This Row],[Nomor PK]],Upaya_Debitur[Nomor PK],0))</f>
        <v>Belum Lunas</v>
      </c>
      <c r="G150" s="35" t="str">
        <f>IF(OR(Upaya_Agunan[[#This Row],[Agunan]]="SHM",Upaya_Agunan[[#This Row],[Agunan]]="BPKB"),"Ya","Tidak")</f>
        <v>Ya</v>
      </c>
      <c r="H15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5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50" s="35" t="str">
        <f ca="1">IF(AND(DATEDIF($B$5,$B$6,"D")&gt;=150,Upaya_Agunan[[#This Row],[Lelang 1?]]="Ya"),"Ya","Tidak")</f>
        <v>Tidak</v>
      </c>
      <c r="K150" s="35" t="str">
        <f ca="1">IF(AND(DATEDIF($B$5,$B$6,"D")&gt;=180,Upaya_Agunan[[#This Row],[Lelang 2?]]="Ya"),"Ya","Tidak")</f>
        <v>Tidak</v>
      </c>
      <c r="L150" s="18" t="s">
        <v>640</v>
      </c>
      <c r="M150" s="18"/>
      <c r="N150" s="18"/>
      <c r="O150" s="18"/>
      <c r="P150" s="18"/>
      <c r="Q150" s="35">
        <f ca="1">COUNTIF(Upaya_Agunan[[#This Row],[Blokir Agunan?]:[Penjualan Agunan?]],"Ya")</f>
        <v>1</v>
      </c>
      <c r="R150" s="35">
        <f ca="1">Upaya_Agunan[[#This Row],[Target Upaya]]-COUNTIFS(Upaya_Agunan[[#This Row],[Blokir Agunan?]:[Penjualan Agunan?]],"Ya",Upaya_Agunan[[#This Row],[Blokir Agunan]:[Penjualan Agunan]],"")</f>
        <v>1</v>
      </c>
      <c r="S150" s="36">
        <f ca="1">IF(ISNUMBER(Upaya_Agunan[[#This Row],[Realisasi]]/Upaya_Agunan[[#This Row],[Target Upaya]]),Upaya_Agunan[[#This Row],[Realisasi]]/Upaya_Agunan[[#This Row],[Target Upaya]],1)</f>
        <v>1</v>
      </c>
    </row>
    <row r="151" spans="1:19" x14ac:dyDescent="0.3">
      <c r="A151" s="16">
        <v>140</v>
      </c>
      <c r="B151" s="17" t="s">
        <v>430</v>
      </c>
      <c r="C151" s="16" t="s">
        <v>85</v>
      </c>
      <c r="D151" s="16" t="s">
        <v>78</v>
      </c>
      <c r="E151" s="16" t="s">
        <v>93</v>
      </c>
      <c r="F151" s="35" t="str">
        <f ca="1">INDEX(Upaya_Debitur[Lunas?],MATCH(Upaya_Agunan[[#This Row],[Nomor PK]],Upaya_Debitur[Nomor PK],0))</f>
        <v>Belum Lunas</v>
      </c>
      <c r="G151" s="35" t="str">
        <f>IF(OR(Upaya_Agunan[[#This Row],[Agunan]]="SHM",Upaya_Agunan[[#This Row],[Agunan]]="BPKB"),"Ya","Tidak")</f>
        <v>Ya</v>
      </c>
      <c r="H15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5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51" s="35" t="str">
        <f ca="1">IF(AND(DATEDIF($B$5,$B$6,"D")&gt;=150,Upaya_Agunan[[#This Row],[Lelang 1?]]="Ya"),"Ya","Tidak")</f>
        <v>Tidak</v>
      </c>
      <c r="K151" s="35" t="str">
        <f ca="1">IF(AND(DATEDIF($B$5,$B$6,"D")&gt;=180,Upaya_Agunan[[#This Row],[Lelang 2?]]="Ya"),"Ya","Tidak")</f>
        <v>Tidak</v>
      </c>
      <c r="L151" s="18" t="s">
        <v>640</v>
      </c>
      <c r="M151" s="18"/>
      <c r="N151" s="18"/>
      <c r="O151" s="18"/>
      <c r="P151" s="18"/>
      <c r="Q151" s="35">
        <f ca="1">COUNTIF(Upaya_Agunan[[#This Row],[Blokir Agunan?]:[Penjualan Agunan?]],"Ya")</f>
        <v>1</v>
      </c>
      <c r="R151" s="35">
        <f ca="1">Upaya_Agunan[[#This Row],[Target Upaya]]-COUNTIFS(Upaya_Agunan[[#This Row],[Blokir Agunan?]:[Penjualan Agunan?]],"Ya",Upaya_Agunan[[#This Row],[Blokir Agunan]:[Penjualan Agunan]],"")</f>
        <v>1</v>
      </c>
      <c r="S151" s="36">
        <f ca="1">IF(ISNUMBER(Upaya_Agunan[[#This Row],[Realisasi]]/Upaya_Agunan[[#This Row],[Target Upaya]]),Upaya_Agunan[[#This Row],[Realisasi]]/Upaya_Agunan[[#This Row],[Target Upaya]],1)</f>
        <v>1</v>
      </c>
    </row>
    <row r="152" spans="1:19" x14ac:dyDescent="0.3">
      <c r="A152" s="16">
        <v>141</v>
      </c>
      <c r="B152" s="17" t="s">
        <v>432</v>
      </c>
      <c r="C152" s="16" t="s">
        <v>95</v>
      </c>
      <c r="D152" s="16" t="s">
        <v>638</v>
      </c>
      <c r="E152" s="16" t="s">
        <v>93</v>
      </c>
      <c r="F152" s="35" t="str">
        <f ca="1">INDEX(Upaya_Debitur[Lunas?],MATCH(Upaya_Agunan[[#This Row],[Nomor PK]],Upaya_Debitur[Nomor PK],0))</f>
        <v>Belum Lunas</v>
      </c>
      <c r="G152" s="35" t="str">
        <f>IF(OR(Upaya_Agunan[[#This Row],[Agunan]]="SHM",Upaya_Agunan[[#This Row],[Agunan]]="BPKB"),"Ya","Tidak")</f>
        <v>Tidak</v>
      </c>
      <c r="H15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5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52" s="35" t="str">
        <f ca="1">IF(AND(DATEDIF($B$5,$B$6,"D")&gt;=150,Upaya_Agunan[[#This Row],[Lelang 1?]]="Ya"),"Ya","Tidak")</f>
        <v>Tidak</v>
      </c>
      <c r="K152" s="35" t="str">
        <f ca="1">IF(AND(DATEDIF($B$5,$B$6,"D")&gt;=180,Upaya_Agunan[[#This Row],[Lelang 2?]]="Ya"),"Ya","Tidak")</f>
        <v>Tidak</v>
      </c>
      <c r="L152" s="18"/>
      <c r="M152" s="18"/>
      <c r="N152" s="18"/>
      <c r="O152" s="18"/>
      <c r="P152" s="18"/>
      <c r="Q152" s="35">
        <f ca="1">COUNTIF(Upaya_Agunan[[#This Row],[Blokir Agunan?]:[Penjualan Agunan?]],"Ya")</f>
        <v>0</v>
      </c>
      <c r="R152" s="35">
        <f ca="1">Upaya_Agunan[[#This Row],[Target Upaya]]-COUNTIFS(Upaya_Agunan[[#This Row],[Blokir Agunan?]:[Penjualan Agunan?]],"Ya",Upaya_Agunan[[#This Row],[Blokir Agunan]:[Penjualan Agunan]],"")</f>
        <v>0</v>
      </c>
      <c r="S152" s="36">
        <f ca="1">IF(ISNUMBER(Upaya_Agunan[[#This Row],[Realisasi]]/Upaya_Agunan[[#This Row],[Target Upaya]]),Upaya_Agunan[[#This Row],[Realisasi]]/Upaya_Agunan[[#This Row],[Target Upaya]],1)</f>
        <v>1</v>
      </c>
    </row>
    <row r="153" spans="1:19" x14ac:dyDescent="0.3">
      <c r="A153" s="16">
        <v>142</v>
      </c>
      <c r="B153" s="17" t="s">
        <v>434</v>
      </c>
      <c r="C153" s="16" t="s">
        <v>85</v>
      </c>
      <c r="D153" s="16" t="s">
        <v>78</v>
      </c>
      <c r="E153" s="16" t="s">
        <v>93</v>
      </c>
      <c r="F153" s="35" t="str">
        <f ca="1">INDEX(Upaya_Debitur[Lunas?],MATCH(Upaya_Agunan[[#This Row],[Nomor PK]],Upaya_Debitur[Nomor PK],0))</f>
        <v>Lunas</v>
      </c>
      <c r="G153" s="35" t="str">
        <f>IF(OR(Upaya_Agunan[[#This Row],[Agunan]]="SHM",Upaya_Agunan[[#This Row],[Agunan]]="BPKB"),"Ya","Tidak")</f>
        <v>Ya</v>
      </c>
      <c r="H15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5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53" s="35" t="str">
        <f ca="1">IF(AND(DATEDIF($B$5,$B$6,"D")&gt;=150,Upaya_Agunan[[#This Row],[Lelang 1?]]="Ya"),"Ya","Tidak")</f>
        <v>Tidak</v>
      </c>
      <c r="K153" s="35" t="str">
        <f ca="1">IF(AND(DATEDIF($B$5,$B$6,"D")&gt;=180,Upaya_Agunan[[#This Row],[Lelang 2?]]="Ya"),"Ya","Tidak")</f>
        <v>Tidak</v>
      </c>
      <c r="L153" s="18" t="s">
        <v>641</v>
      </c>
      <c r="M153" s="18"/>
      <c r="N153" s="18"/>
      <c r="O153" s="18"/>
      <c r="P153" s="18"/>
      <c r="Q153" s="35">
        <f ca="1">COUNTIF(Upaya_Agunan[[#This Row],[Blokir Agunan?]:[Penjualan Agunan?]],"Ya")</f>
        <v>1</v>
      </c>
      <c r="R153" s="35">
        <f ca="1">Upaya_Agunan[[#This Row],[Target Upaya]]-COUNTIFS(Upaya_Agunan[[#This Row],[Blokir Agunan?]:[Penjualan Agunan?]],"Ya",Upaya_Agunan[[#This Row],[Blokir Agunan]:[Penjualan Agunan]],"")</f>
        <v>1</v>
      </c>
      <c r="S153" s="36">
        <f ca="1">IF(ISNUMBER(Upaya_Agunan[[#This Row],[Realisasi]]/Upaya_Agunan[[#This Row],[Target Upaya]]),Upaya_Agunan[[#This Row],[Realisasi]]/Upaya_Agunan[[#This Row],[Target Upaya]],1)</f>
        <v>1</v>
      </c>
    </row>
    <row r="154" spans="1:19" x14ac:dyDescent="0.3">
      <c r="A154" s="16">
        <v>143</v>
      </c>
      <c r="B154" s="17" t="s">
        <v>436</v>
      </c>
      <c r="C154" s="16" t="s">
        <v>95</v>
      </c>
      <c r="D154" s="16" t="s">
        <v>638</v>
      </c>
      <c r="E154" s="16" t="s">
        <v>93</v>
      </c>
      <c r="F154" s="35" t="str">
        <f ca="1">INDEX(Upaya_Debitur[Lunas?],MATCH(Upaya_Agunan[[#This Row],[Nomor PK]],Upaya_Debitur[Nomor PK],0))</f>
        <v>Lunas</v>
      </c>
      <c r="G154" s="35" t="str">
        <f>IF(OR(Upaya_Agunan[[#This Row],[Agunan]]="SHM",Upaya_Agunan[[#This Row],[Agunan]]="BPKB"),"Ya","Tidak")</f>
        <v>Tidak</v>
      </c>
      <c r="H15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5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54" s="35" t="str">
        <f ca="1">IF(AND(DATEDIF($B$5,$B$6,"D")&gt;=150,Upaya_Agunan[[#This Row],[Lelang 1?]]="Ya"),"Ya","Tidak")</f>
        <v>Tidak</v>
      </c>
      <c r="K154" s="35" t="str">
        <f ca="1">IF(AND(DATEDIF($B$5,$B$6,"D")&gt;=180,Upaya_Agunan[[#This Row],[Lelang 2?]]="Ya"),"Ya","Tidak")</f>
        <v>Tidak</v>
      </c>
      <c r="L154" s="18"/>
      <c r="M154" s="18"/>
      <c r="N154" s="18"/>
      <c r="O154" s="18"/>
      <c r="P154" s="18"/>
      <c r="Q154" s="35">
        <f ca="1">COUNTIF(Upaya_Agunan[[#This Row],[Blokir Agunan?]:[Penjualan Agunan?]],"Ya")</f>
        <v>0</v>
      </c>
      <c r="R154" s="35">
        <f ca="1">Upaya_Agunan[[#This Row],[Target Upaya]]-COUNTIFS(Upaya_Agunan[[#This Row],[Blokir Agunan?]:[Penjualan Agunan?]],"Ya",Upaya_Agunan[[#This Row],[Blokir Agunan]:[Penjualan Agunan]],"")</f>
        <v>0</v>
      </c>
      <c r="S154" s="36">
        <f ca="1">IF(ISNUMBER(Upaya_Agunan[[#This Row],[Realisasi]]/Upaya_Agunan[[#This Row],[Target Upaya]]),Upaya_Agunan[[#This Row],[Realisasi]]/Upaya_Agunan[[#This Row],[Target Upaya]],1)</f>
        <v>1</v>
      </c>
    </row>
    <row r="155" spans="1:19" x14ac:dyDescent="0.3">
      <c r="A155" s="16">
        <v>144</v>
      </c>
      <c r="B155" s="17" t="s">
        <v>438</v>
      </c>
      <c r="C155" s="16" t="s">
        <v>95</v>
      </c>
      <c r="D155" s="16" t="s">
        <v>638</v>
      </c>
      <c r="E155" s="16" t="s">
        <v>93</v>
      </c>
      <c r="F155" s="35" t="str">
        <f ca="1">INDEX(Upaya_Debitur[Lunas?],MATCH(Upaya_Agunan[[#This Row],[Nomor PK]],Upaya_Debitur[Nomor PK],0))</f>
        <v>Belum Lunas</v>
      </c>
      <c r="G155" s="35" t="str">
        <f>IF(OR(Upaya_Agunan[[#This Row],[Agunan]]="SHM",Upaya_Agunan[[#This Row],[Agunan]]="BPKB"),"Ya","Tidak")</f>
        <v>Tidak</v>
      </c>
      <c r="H15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5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55" s="35" t="str">
        <f ca="1">IF(AND(DATEDIF($B$5,$B$6,"D")&gt;=150,Upaya_Agunan[[#This Row],[Lelang 1?]]="Ya"),"Ya","Tidak")</f>
        <v>Tidak</v>
      </c>
      <c r="K155" s="35" t="str">
        <f ca="1">IF(AND(DATEDIF($B$5,$B$6,"D")&gt;=180,Upaya_Agunan[[#This Row],[Lelang 2?]]="Ya"),"Ya","Tidak")</f>
        <v>Tidak</v>
      </c>
      <c r="L155" s="18"/>
      <c r="M155" s="18"/>
      <c r="N155" s="18"/>
      <c r="O155" s="18"/>
      <c r="P155" s="18"/>
      <c r="Q155" s="35">
        <f ca="1">COUNTIF(Upaya_Agunan[[#This Row],[Blokir Agunan?]:[Penjualan Agunan?]],"Ya")</f>
        <v>0</v>
      </c>
      <c r="R155" s="35">
        <f ca="1">Upaya_Agunan[[#This Row],[Target Upaya]]-COUNTIFS(Upaya_Agunan[[#This Row],[Blokir Agunan?]:[Penjualan Agunan?]],"Ya",Upaya_Agunan[[#This Row],[Blokir Agunan]:[Penjualan Agunan]],"")</f>
        <v>0</v>
      </c>
      <c r="S155" s="36">
        <f ca="1">IF(ISNUMBER(Upaya_Agunan[[#This Row],[Realisasi]]/Upaya_Agunan[[#This Row],[Target Upaya]]),Upaya_Agunan[[#This Row],[Realisasi]]/Upaya_Agunan[[#This Row],[Target Upaya]],1)</f>
        <v>1</v>
      </c>
    </row>
    <row r="156" spans="1:19" x14ac:dyDescent="0.3">
      <c r="A156" s="16">
        <v>145</v>
      </c>
      <c r="B156" s="17" t="s">
        <v>440</v>
      </c>
      <c r="C156" s="16" t="s">
        <v>84</v>
      </c>
      <c r="D156" s="16" t="s">
        <v>79</v>
      </c>
      <c r="E156" s="16" t="s">
        <v>93</v>
      </c>
      <c r="F156" s="35" t="str">
        <f ca="1">INDEX(Upaya_Debitur[Lunas?],MATCH(Upaya_Agunan[[#This Row],[Nomor PK]],Upaya_Debitur[Nomor PK],0))</f>
        <v>Belum Lunas</v>
      </c>
      <c r="G156" s="35" t="str">
        <f>IF(OR(Upaya_Agunan[[#This Row],[Agunan]]="SHM",Upaya_Agunan[[#This Row],[Agunan]]="BPKB"),"Ya","Tidak")</f>
        <v>Tidak</v>
      </c>
      <c r="H15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5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56" s="35" t="str">
        <f ca="1">IF(AND(DATEDIF($B$5,$B$6,"D")&gt;=150,Upaya_Agunan[[#This Row],[Lelang 1?]]="Ya"),"Ya","Tidak")</f>
        <v>Tidak</v>
      </c>
      <c r="K156" s="35" t="str">
        <f ca="1">IF(AND(DATEDIF($B$5,$B$6,"D")&gt;=180,Upaya_Agunan[[#This Row],[Lelang 2?]]="Ya"),"Ya","Tidak")</f>
        <v>Tidak</v>
      </c>
      <c r="L156" s="18"/>
      <c r="M156" s="18"/>
      <c r="N156" s="18"/>
      <c r="O156" s="18"/>
      <c r="P156" s="18"/>
      <c r="Q156" s="35">
        <f ca="1">COUNTIF(Upaya_Agunan[[#This Row],[Blokir Agunan?]:[Penjualan Agunan?]],"Ya")</f>
        <v>0</v>
      </c>
      <c r="R156" s="35">
        <f ca="1">Upaya_Agunan[[#This Row],[Target Upaya]]-COUNTIFS(Upaya_Agunan[[#This Row],[Blokir Agunan?]:[Penjualan Agunan?]],"Ya",Upaya_Agunan[[#This Row],[Blokir Agunan]:[Penjualan Agunan]],"")</f>
        <v>0</v>
      </c>
      <c r="S156" s="36">
        <f ca="1">IF(ISNUMBER(Upaya_Agunan[[#This Row],[Realisasi]]/Upaya_Agunan[[#This Row],[Target Upaya]]),Upaya_Agunan[[#This Row],[Realisasi]]/Upaya_Agunan[[#This Row],[Target Upaya]],1)</f>
        <v>1</v>
      </c>
    </row>
    <row r="157" spans="1:19" x14ac:dyDescent="0.3">
      <c r="A157" s="16">
        <v>146</v>
      </c>
      <c r="B157" s="17" t="s">
        <v>442</v>
      </c>
      <c r="C157" s="16" t="s">
        <v>95</v>
      </c>
      <c r="D157" s="16" t="s">
        <v>638</v>
      </c>
      <c r="E157" s="16" t="s">
        <v>93</v>
      </c>
      <c r="F157" s="35" t="str">
        <f ca="1">INDEX(Upaya_Debitur[Lunas?],MATCH(Upaya_Agunan[[#This Row],[Nomor PK]],Upaya_Debitur[Nomor PK],0))</f>
        <v>Belum Lunas</v>
      </c>
      <c r="G157" s="35" t="str">
        <f>IF(OR(Upaya_Agunan[[#This Row],[Agunan]]="SHM",Upaya_Agunan[[#This Row],[Agunan]]="BPKB"),"Ya","Tidak")</f>
        <v>Tidak</v>
      </c>
      <c r="H15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5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57" s="35" t="str">
        <f ca="1">IF(AND(DATEDIF($B$5,$B$6,"D")&gt;=150,Upaya_Agunan[[#This Row],[Lelang 1?]]="Ya"),"Ya","Tidak")</f>
        <v>Tidak</v>
      </c>
      <c r="K157" s="35" t="str">
        <f ca="1">IF(AND(DATEDIF($B$5,$B$6,"D")&gt;=180,Upaya_Agunan[[#This Row],[Lelang 2?]]="Ya"),"Ya","Tidak")</f>
        <v>Tidak</v>
      </c>
      <c r="L157" s="18"/>
      <c r="M157" s="18"/>
      <c r="N157" s="18"/>
      <c r="O157" s="18"/>
      <c r="P157" s="18"/>
      <c r="Q157" s="35">
        <f ca="1">COUNTIF(Upaya_Agunan[[#This Row],[Blokir Agunan?]:[Penjualan Agunan?]],"Ya")</f>
        <v>0</v>
      </c>
      <c r="R157" s="35">
        <f ca="1">Upaya_Agunan[[#This Row],[Target Upaya]]-COUNTIFS(Upaya_Agunan[[#This Row],[Blokir Agunan?]:[Penjualan Agunan?]],"Ya",Upaya_Agunan[[#This Row],[Blokir Agunan]:[Penjualan Agunan]],"")</f>
        <v>0</v>
      </c>
      <c r="S157" s="36">
        <f ca="1">IF(ISNUMBER(Upaya_Agunan[[#This Row],[Realisasi]]/Upaya_Agunan[[#This Row],[Target Upaya]]),Upaya_Agunan[[#This Row],[Realisasi]]/Upaya_Agunan[[#This Row],[Target Upaya]],1)</f>
        <v>1</v>
      </c>
    </row>
    <row r="158" spans="1:19" x14ac:dyDescent="0.3">
      <c r="A158" s="16">
        <v>147</v>
      </c>
      <c r="B158" s="17" t="s">
        <v>444</v>
      </c>
      <c r="C158" s="16" t="s">
        <v>84</v>
      </c>
      <c r="D158" s="16" t="s">
        <v>79</v>
      </c>
      <c r="E158" s="16" t="s">
        <v>93</v>
      </c>
      <c r="F158" s="35" t="str">
        <f ca="1">INDEX(Upaya_Debitur[Lunas?],MATCH(Upaya_Agunan[[#This Row],[Nomor PK]],Upaya_Debitur[Nomor PK],0))</f>
        <v>Lunas</v>
      </c>
      <c r="G158" s="35" t="str">
        <f>IF(OR(Upaya_Agunan[[#This Row],[Agunan]]="SHM",Upaya_Agunan[[#This Row],[Agunan]]="BPKB"),"Ya","Tidak")</f>
        <v>Tidak</v>
      </c>
      <c r="H15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5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58" s="35" t="str">
        <f ca="1">IF(AND(DATEDIF($B$5,$B$6,"D")&gt;=150,Upaya_Agunan[[#This Row],[Lelang 1?]]="Ya"),"Ya","Tidak")</f>
        <v>Tidak</v>
      </c>
      <c r="K158" s="35" t="str">
        <f ca="1">IF(AND(DATEDIF($B$5,$B$6,"D")&gt;=180,Upaya_Agunan[[#This Row],[Lelang 2?]]="Ya"),"Ya","Tidak")</f>
        <v>Tidak</v>
      </c>
      <c r="L158" s="18"/>
      <c r="M158" s="18"/>
      <c r="N158" s="18"/>
      <c r="O158" s="18"/>
      <c r="P158" s="18"/>
      <c r="Q158" s="35">
        <f ca="1">COUNTIF(Upaya_Agunan[[#This Row],[Blokir Agunan?]:[Penjualan Agunan?]],"Ya")</f>
        <v>0</v>
      </c>
      <c r="R158" s="35">
        <f ca="1">Upaya_Agunan[[#This Row],[Target Upaya]]-COUNTIFS(Upaya_Agunan[[#This Row],[Blokir Agunan?]:[Penjualan Agunan?]],"Ya",Upaya_Agunan[[#This Row],[Blokir Agunan]:[Penjualan Agunan]],"")</f>
        <v>0</v>
      </c>
      <c r="S158" s="36">
        <f ca="1">IF(ISNUMBER(Upaya_Agunan[[#This Row],[Realisasi]]/Upaya_Agunan[[#This Row],[Target Upaya]]),Upaya_Agunan[[#This Row],[Realisasi]]/Upaya_Agunan[[#This Row],[Target Upaya]],1)</f>
        <v>1</v>
      </c>
    </row>
    <row r="159" spans="1:19" x14ac:dyDescent="0.3">
      <c r="A159" s="16">
        <v>148</v>
      </c>
      <c r="B159" s="17" t="s">
        <v>446</v>
      </c>
      <c r="C159" s="16" t="s">
        <v>95</v>
      </c>
      <c r="D159" s="16" t="s">
        <v>638</v>
      </c>
      <c r="E159" s="16" t="s">
        <v>93</v>
      </c>
      <c r="F159" s="35" t="str">
        <f ca="1">INDEX(Upaya_Debitur[Lunas?],MATCH(Upaya_Agunan[[#This Row],[Nomor PK]],Upaya_Debitur[Nomor PK],0))</f>
        <v>Belum Lunas</v>
      </c>
      <c r="G159" s="35" t="str">
        <f>IF(OR(Upaya_Agunan[[#This Row],[Agunan]]="SHM",Upaya_Agunan[[#This Row],[Agunan]]="BPKB"),"Ya","Tidak")</f>
        <v>Tidak</v>
      </c>
      <c r="H15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5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59" s="35" t="str">
        <f ca="1">IF(AND(DATEDIF($B$5,$B$6,"D")&gt;=150,Upaya_Agunan[[#This Row],[Lelang 1?]]="Ya"),"Ya","Tidak")</f>
        <v>Tidak</v>
      </c>
      <c r="K159" s="35" t="str">
        <f ca="1">IF(AND(DATEDIF($B$5,$B$6,"D")&gt;=180,Upaya_Agunan[[#This Row],[Lelang 2?]]="Ya"),"Ya","Tidak")</f>
        <v>Tidak</v>
      </c>
      <c r="L159" s="18"/>
      <c r="M159" s="18"/>
      <c r="N159" s="18"/>
      <c r="O159" s="18"/>
      <c r="P159" s="18"/>
      <c r="Q159" s="35">
        <f ca="1">COUNTIF(Upaya_Agunan[[#This Row],[Blokir Agunan?]:[Penjualan Agunan?]],"Ya")</f>
        <v>0</v>
      </c>
      <c r="R159" s="35">
        <f ca="1">Upaya_Agunan[[#This Row],[Target Upaya]]-COUNTIFS(Upaya_Agunan[[#This Row],[Blokir Agunan?]:[Penjualan Agunan?]],"Ya",Upaya_Agunan[[#This Row],[Blokir Agunan]:[Penjualan Agunan]],"")</f>
        <v>0</v>
      </c>
      <c r="S159" s="36">
        <f ca="1">IF(ISNUMBER(Upaya_Agunan[[#This Row],[Realisasi]]/Upaya_Agunan[[#This Row],[Target Upaya]]),Upaya_Agunan[[#This Row],[Realisasi]]/Upaya_Agunan[[#This Row],[Target Upaya]],1)</f>
        <v>1</v>
      </c>
    </row>
    <row r="160" spans="1:19" x14ac:dyDescent="0.3">
      <c r="A160" s="16">
        <v>149</v>
      </c>
      <c r="B160" s="17" t="s">
        <v>448</v>
      </c>
      <c r="C160" s="16" t="s">
        <v>85</v>
      </c>
      <c r="D160" s="16" t="s">
        <v>78</v>
      </c>
      <c r="E160" s="16" t="s">
        <v>93</v>
      </c>
      <c r="F160" s="35" t="str">
        <f ca="1">INDEX(Upaya_Debitur[Lunas?],MATCH(Upaya_Agunan[[#This Row],[Nomor PK]],Upaya_Debitur[Nomor PK],0))</f>
        <v>Belum Lunas</v>
      </c>
      <c r="G160" s="35" t="str">
        <f>IF(OR(Upaya_Agunan[[#This Row],[Agunan]]="SHM",Upaya_Agunan[[#This Row],[Agunan]]="BPKB"),"Ya","Tidak")</f>
        <v>Ya</v>
      </c>
      <c r="H16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6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60" s="35" t="str">
        <f ca="1">IF(AND(DATEDIF($B$5,$B$6,"D")&gt;=150,Upaya_Agunan[[#This Row],[Lelang 1?]]="Ya"),"Ya","Tidak")</f>
        <v>Tidak</v>
      </c>
      <c r="K160" s="35" t="str">
        <f ca="1">IF(AND(DATEDIF($B$5,$B$6,"D")&gt;=180,Upaya_Agunan[[#This Row],[Lelang 2?]]="Ya"),"Ya","Tidak")</f>
        <v>Tidak</v>
      </c>
      <c r="L160" s="18" t="s">
        <v>640</v>
      </c>
      <c r="M160" s="18"/>
      <c r="N160" s="18"/>
      <c r="O160" s="18"/>
      <c r="P160" s="18"/>
      <c r="Q160" s="35">
        <f ca="1">COUNTIF(Upaya_Agunan[[#This Row],[Blokir Agunan?]:[Penjualan Agunan?]],"Ya")</f>
        <v>1</v>
      </c>
      <c r="R160" s="35">
        <f ca="1">Upaya_Agunan[[#This Row],[Target Upaya]]-COUNTIFS(Upaya_Agunan[[#This Row],[Blokir Agunan?]:[Penjualan Agunan?]],"Ya",Upaya_Agunan[[#This Row],[Blokir Agunan]:[Penjualan Agunan]],"")</f>
        <v>1</v>
      </c>
      <c r="S160" s="36">
        <f ca="1">IF(ISNUMBER(Upaya_Agunan[[#This Row],[Realisasi]]/Upaya_Agunan[[#This Row],[Target Upaya]]),Upaya_Agunan[[#This Row],[Realisasi]]/Upaya_Agunan[[#This Row],[Target Upaya]],1)</f>
        <v>1</v>
      </c>
    </row>
    <row r="161" spans="1:19" x14ac:dyDescent="0.3">
      <c r="A161" s="16">
        <v>150</v>
      </c>
      <c r="B161" s="17" t="s">
        <v>450</v>
      </c>
      <c r="C161" s="16" t="s">
        <v>85</v>
      </c>
      <c r="D161" s="16" t="s">
        <v>78</v>
      </c>
      <c r="E161" s="16" t="s">
        <v>106</v>
      </c>
      <c r="F161" s="35" t="str">
        <f ca="1">INDEX(Upaya_Debitur[Lunas?],MATCH(Upaya_Agunan[[#This Row],[Nomor PK]],Upaya_Debitur[Nomor PK],0))</f>
        <v>Belum Lunas</v>
      </c>
      <c r="G161" s="35" t="str">
        <f>IF(OR(Upaya_Agunan[[#This Row],[Agunan]]="SHM",Upaya_Agunan[[#This Row],[Agunan]]="BPKB"),"Ya","Tidak")</f>
        <v>Ya</v>
      </c>
      <c r="H16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6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61" s="35" t="str">
        <f ca="1">IF(AND(DATEDIF($B$5,$B$6,"D")&gt;=150,Upaya_Agunan[[#This Row],[Lelang 1?]]="Ya"),"Ya","Tidak")</f>
        <v>Tidak</v>
      </c>
      <c r="K161" s="35" t="str">
        <f ca="1">IF(AND(DATEDIF($B$5,$B$6,"D")&gt;=180,Upaya_Agunan[[#This Row],[Lelang 2?]]="Ya"),"Ya","Tidak")</f>
        <v>Tidak</v>
      </c>
      <c r="L161" s="18">
        <v>44123</v>
      </c>
      <c r="M161" s="18"/>
      <c r="N161" s="18"/>
      <c r="O161" s="18"/>
      <c r="P161" s="18"/>
      <c r="Q161" s="35">
        <f ca="1">COUNTIF(Upaya_Agunan[[#This Row],[Blokir Agunan?]:[Penjualan Agunan?]],"Ya")</f>
        <v>1</v>
      </c>
      <c r="R161" s="35">
        <f ca="1">Upaya_Agunan[[#This Row],[Target Upaya]]-COUNTIFS(Upaya_Agunan[[#This Row],[Blokir Agunan?]:[Penjualan Agunan?]],"Ya",Upaya_Agunan[[#This Row],[Blokir Agunan]:[Penjualan Agunan]],"")</f>
        <v>1</v>
      </c>
      <c r="S161" s="36">
        <f ca="1">IF(ISNUMBER(Upaya_Agunan[[#This Row],[Realisasi]]/Upaya_Agunan[[#This Row],[Target Upaya]]),Upaya_Agunan[[#This Row],[Realisasi]]/Upaya_Agunan[[#This Row],[Target Upaya]],1)</f>
        <v>1</v>
      </c>
    </row>
    <row r="162" spans="1:19" x14ac:dyDescent="0.3">
      <c r="A162" s="16">
        <v>151</v>
      </c>
      <c r="B162" s="17" t="s">
        <v>452</v>
      </c>
      <c r="C162" s="16" t="s">
        <v>84</v>
      </c>
      <c r="D162" s="16" t="s">
        <v>79</v>
      </c>
      <c r="E162" s="16" t="s">
        <v>93</v>
      </c>
      <c r="F162" s="35" t="str">
        <f ca="1">INDEX(Upaya_Debitur[Lunas?],MATCH(Upaya_Agunan[[#This Row],[Nomor PK]],Upaya_Debitur[Nomor PK],0))</f>
        <v>Belum Lunas</v>
      </c>
      <c r="G162" s="35" t="str">
        <f>IF(OR(Upaya_Agunan[[#This Row],[Agunan]]="SHM",Upaya_Agunan[[#This Row],[Agunan]]="BPKB"),"Ya","Tidak")</f>
        <v>Tidak</v>
      </c>
      <c r="H16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6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62" s="35" t="str">
        <f ca="1">IF(AND(DATEDIF($B$5,$B$6,"D")&gt;=150,Upaya_Agunan[[#This Row],[Lelang 1?]]="Ya"),"Ya","Tidak")</f>
        <v>Tidak</v>
      </c>
      <c r="K162" s="35" t="str">
        <f ca="1">IF(AND(DATEDIF($B$5,$B$6,"D")&gt;=180,Upaya_Agunan[[#This Row],[Lelang 2?]]="Ya"),"Ya","Tidak")</f>
        <v>Tidak</v>
      </c>
      <c r="L162" s="18"/>
      <c r="M162" s="18"/>
      <c r="N162" s="18"/>
      <c r="O162" s="18"/>
      <c r="P162" s="18"/>
      <c r="Q162" s="35">
        <f ca="1">COUNTIF(Upaya_Agunan[[#This Row],[Blokir Agunan?]:[Penjualan Agunan?]],"Ya")</f>
        <v>0</v>
      </c>
      <c r="R162" s="35">
        <f ca="1">Upaya_Agunan[[#This Row],[Target Upaya]]-COUNTIFS(Upaya_Agunan[[#This Row],[Blokir Agunan?]:[Penjualan Agunan?]],"Ya",Upaya_Agunan[[#This Row],[Blokir Agunan]:[Penjualan Agunan]],"")</f>
        <v>0</v>
      </c>
      <c r="S162" s="36">
        <f ca="1">IF(ISNUMBER(Upaya_Agunan[[#This Row],[Realisasi]]/Upaya_Agunan[[#This Row],[Target Upaya]]),Upaya_Agunan[[#This Row],[Realisasi]]/Upaya_Agunan[[#This Row],[Target Upaya]],1)</f>
        <v>1</v>
      </c>
    </row>
    <row r="163" spans="1:19" x14ac:dyDescent="0.3">
      <c r="A163" s="16">
        <v>152</v>
      </c>
      <c r="B163" s="17" t="s">
        <v>454</v>
      </c>
      <c r="C163" s="16" t="s">
        <v>95</v>
      </c>
      <c r="D163" s="16" t="s">
        <v>638</v>
      </c>
      <c r="E163" s="16" t="s">
        <v>93</v>
      </c>
      <c r="F163" s="35" t="str">
        <f ca="1">INDEX(Upaya_Debitur[Lunas?],MATCH(Upaya_Agunan[[#This Row],[Nomor PK]],Upaya_Debitur[Nomor PK],0))</f>
        <v>Belum Lunas</v>
      </c>
      <c r="G163" s="35" t="str">
        <f>IF(OR(Upaya_Agunan[[#This Row],[Agunan]]="SHM",Upaya_Agunan[[#This Row],[Agunan]]="BPKB"),"Ya","Tidak")</f>
        <v>Tidak</v>
      </c>
      <c r="H16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6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63" s="35" t="str">
        <f ca="1">IF(AND(DATEDIF($B$5,$B$6,"D")&gt;=150,Upaya_Agunan[[#This Row],[Lelang 1?]]="Ya"),"Ya","Tidak")</f>
        <v>Tidak</v>
      </c>
      <c r="K163" s="35" t="str">
        <f ca="1">IF(AND(DATEDIF($B$5,$B$6,"D")&gt;=180,Upaya_Agunan[[#This Row],[Lelang 2?]]="Ya"),"Ya","Tidak")</f>
        <v>Tidak</v>
      </c>
      <c r="L163" s="18"/>
      <c r="M163" s="18"/>
      <c r="N163" s="18"/>
      <c r="O163" s="18"/>
      <c r="P163" s="18"/>
      <c r="Q163" s="35">
        <f ca="1">COUNTIF(Upaya_Agunan[[#This Row],[Blokir Agunan?]:[Penjualan Agunan?]],"Ya")</f>
        <v>0</v>
      </c>
      <c r="R163" s="35">
        <f ca="1">Upaya_Agunan[[#This Row],[Target Upaya]]-COUNTIFS(Upaya_Agunan[[#This Row],[Blokir Agunan?]:[Penjualan Agunan?]],"Ya",Upaya_Agunan[[#This Row],[Blokir Agunan]:[Penjualan Agunan]],"")</f>
        <v>0</v>
      </c>
      <c r="S163" s="36">
        <f ca="1">IF(ISNUMBER(Upaya_Agunan[[#This Row],[Realisasi]]/Upaya_Agunan[[#This Row],[Target Upaya]]),Upaya_Agunan[[#This Row],[Realisasi]]/Upaya_Agunan[[#This Row],[Target Upaya]],1)</f>
        <v>1</v>
      </c>
    </row>
    <row r="164" spans="1:19" x14ac:dyDescent="0.3">
      <c r="A164" s="16">
        <v>153</v>
      </c>
      <c r="B164" s="17" t="s">
        <v>456</v>
      </c>
      <c r="C164" s="16" t="s">
        <v>85</v>
      </c>
      <c r="D164" s="16" t="s">
        <v>78</v>
      </c>
      <c r="E164" s="16" t="s">
        <v>93</v>
      </c>
      <c r="F164" s="35" t="str">
        <f ca="1">INDEX(Upaya_Debitur[Lunas?],MATCH(Upaya_Agunan[[#This Row],[Nomor PK]],Upaya_Debitur[Nomor PK],0))</f>
        <v>Belum Lunas</v>
      </c>
      <c r="G164" s="35" t="str">
        <f>IF(OR(Upaya_Agunan[[#This Row],[Agunan]]="SHM",Upaya_Agunan[[#This Row],[Agunan]]="BPKB"),"Ya","Tidak")</f>
        <v>Ya</v>
      </c>
      <c r="H16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6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64" s="35" t="str">
        <f ca="1">IF(AND(DATEDIF($B$5,$B$6,"D")&gt;=150,Upaya_Agunan[[#This Row],[Lelang 1?]]="Ya"),"Ya","Tidak")</f>
        <v>Tidak</v>
      </c>
      <c r="K164" s="35" t="str">
        <f ca="1">IF(AND(DATEDIF($B$5,$B$6,"D")&gt;=180,Upaya_Agunan[[#This Row],[Lelang 2?]]="Ya"),"Ya","Tidak")</f>
        <v>Tidak</v>
      </c>
      <c r="L164" s="18" t="s">
        <v>640</v>
      </c>
      <c r="M164" s="18"/>
      <c r="N164" s="18"/>
      <c r="O164" s="18"/>
      <c r="P164" s="18"/>
      <c r="Q164" s="35">
        <f ca="1">COUNTIF(Upaya_Agunan[[#This Row],[Blokir Agunan?]:[Penjualan Agunan?]],"Ya")</f>
        <v>1</v>
      </c>
      <c r="R164" s="35">
        <f ca="1">Upaya_Agunan[[#This Row],[Target Upaya]]-COUNTIFS(Upaya_Agunan[[#This Row],[Blokir Agunan?]:[Penjualan Agunan?]],"Ya",Upaya_Agunan[[#This Row],[Blokir Agunan]:[Penjualan Agunan]],"")</f>
        <v>1</v>
      </c>
      <c r="S164" s="36">
        <f ca="1">IF(ISNUMBER(Upaya_Agunan[[#This Row],[Realisasi]]/Upaya_Agunan[[#This Row],[Target Upaya]]),Upaya_Agunan[[#This Row],[Realisasi]]/Upaya_Agunan[[#This Row],[Target Upaya]],1)</f>
        <v>1</v>
      </c>
    </row>
    <row r="165" spans="1:19" x14ac:dyDescent="0.3">
      <c r="A165" s="16">
        <v>154</v>
      </c>
      <c r="B165" s="17" t="s">
        <v>458</v>
      </c>
      <c r="C165" s="16" t="s">
        <v>85</v>
      </c>
      <c r="D165" s="16" t="s">
        <v>78</v>
      </c>
      <c r="E165" s="16" t="s">
        <v>93</v>
      </c>
      <c r="F165" s="35" t="str">
        <f ca="1">INDEX(Upaya_Debitur[Lunas?],MATCH(Upaya_Agunan[[#This Row],[Nomor PK]],Upaya_Debitur[Nomor PK],0))</f>
        <v>Belum Lunas</v>
      </c>
      <c r="G165" s="35" t="str">
        <f>IF(OR(Upaya_Agunan[[#This Row],[Agunan]]="SHM",Upaya_Agunan[[#This Row],[Agunan]]="BPKB"),"Ya","Tidak")</f>
        <v>Ya</v>
      </c>
      <c r="H16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6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65" s="35" t="str">
        <f ca="1">IF(AND(DATEDIF($B$5,$B$6,"D")&gt;=150,Upaya_Agunan[[#This Row],[Lelang 1?]]="Ya"),"Ya","Tidak")</f>
        <v>Tidak</v>
      </c>
      <c r="K165" s="35" t="str">
        <f ca="1">IF(AND(DATEDIF($B$5,$B$6,"D")&gt;=180,Upaya_Agunan[[#This Row],[Lelang 2?]]="Ya"),"Ya","Tidak")</f>
        <v>Tidak</v>
      </c>
      <c r="L165" s="18" t="s">
        <v>640</v>
      </c>
      <c r="M165" s="18"/>
      <c r="N165" s="18"/>
      <c r="O165" s="18"/>
      <c r="P165" s="18"/>
      <c r="Q165" s="35">
        <f ca="1">COUNTIF(Upaya_Agunan[[#This Row],[Blokir Agunan?]:[Penjualan Agunan?]],"Ya")</f>
        <v>1</v>
      </c>
      <c r="R165" s="35">
        <f ca="1">Upaya_Agunan[[#This Row],[Target Upaya]]-COUNTIFS(Upaya_Agunan[[#This Row],[Blokir Agunan?]:[Penjualan Agunan?]],"Ya",Upaya_Agunan[[#This Row],[Blokir Agunan]:[Penjualan Agunan]],"")</f>
        <v>1</v>
      </c>
      <c r="S165" s="36">
        <f ca="1">IF(ISNUMBER(Upaya_Agunan[[#This Row],[Realisasi]]/Upaya_Agunan[[#This Row],[Target Upaya]]),Upaya_Agunan[[#This Row],[Realisasi]]/Upaya_Agunan[[#This Row],[Target Upaya]],1)</f>
        <v>1</v>
      </c>
    </row>
    <row r="166" spans="1:19" x14ac:dyDescent="0.3">
      <c r="A166" s="16">
        <v>155</v>
      </c>
      <c r="B166" s="17" t="s">
        <v>458</v>
      </c>
      <c r="C166" s="16" t="s">
        <v>85</v>
      </c>
      <c r="D166" s="16" t="s">
        <v>78</v>
      </c>
      <c r="E166" s="16" t="s">
        <v>93</v>
      </c>
      <c r="F166" s="35" t="str">
        <f ca="1">INDEX(Upaya_Debitur[Lunas?],MATCH(Upaya_Agunan[[#This Row],[Nomor PK]],Upaya_Debitur[Nomor PK],0))</f>
        <v>Belum Lunas</v>
      </c>
      <c r="G166" s="35" t="str">
        <f>IF(OR(Upaya_Agunan[[#This Row],[Agunan]]="SHM",Upaya_Agunan[[#This Row],[Agunan]]="BPKB"),"Ya","Tidak")</f>
        <v>Ya</v>
      </c>
      <c r="H16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6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66" s="35" t="str">
        <f ca="1">IF(AND(DATEDIF($B$5,$B$6,"D")&gt;=150,Upaya_Agunan[[#This Row],[Lelang 1?]]="Ya"),"Ya","Tidak")</f>
        <v>Tidak</v>
      </c>
      <c r="K166" s="35" t="str">
        <f ca="1">IF(AND(DATEDIF($B$5,$B$6,"D")&gt;=180,Upaya_Agunan[[#This Row],[Lelang 2?]]="Ya"),"Ya","Tidak")</f>
        <v>Tidak</v>
      </c>
      <c r="L166" s="18" t="s">
        <v>642</v>
      </c>
      <c r="M166" s="18"/>
      <c r="N166" s="18"/>
      <c r="O166" s="18"/>
      <c r="P166" s="18"/>
      <c r="Q166" s="35">
        <f ca="1">COUNTIF(Upaya_Agunan[[#This Row],[Blokir Agunan?]:[Penjualan Agunan?]],"Ya")</f>
        <v>1</v>
      </c>
      <c r="R166" s="35">
        <f ca="1">Upaya_Agunan[[#This Row],[Target Upaya]]-COUNTIFS(Upaya_Agunan[[#This Row],[Blokir Agunan?]:[Penjualan Agunan?]],"Ya",Upaya_Agunan[[#This Row],[Blokir Agunan]:[Penjualan Agunan]],"")</f>
        <v>1</v>
      </c>
      <c r="S166" s="36">
        <f ca="1">IF(ISNUMBER(Upaya_Agunan[[#This Row],[Realisasi]]/Upaya_Agunan[[#This Row],[Target Upaya]]),Upaya_Agunan[[#This Row],[Realisasi]]/Upaya_Agunan[[#This Row],[Target Upaya]],1)</f>
        <v>1</v>
      </c>
    </row>
    <row r="167" spans="1:19" x14ac:dyDescent="0.3">
      <c r="A167" s="16">
        <v>156</v>
      </c>
      <c r="B167" s="17" t="s">
        <v>459</v>
      </c>
      <c r="C167" s="16" t="s">
        <v>95</v>
      </c>
      <c r="D167" s="16" t="s">
        <v>638</v>
      </c>
      <c r="E167" s="16" t="s">
        <v>93</v>
      </c>
      <c r="F167" s="35" t="str">
        <f ca="1">INDEX(Upaya_Debitur[Lunas?],MATCH(Upaya_Agunan[[#This Row],[Nomor PK]],Upaya_Debitur[Nomor PK],0))</f>
        <v>Belum Lunas</v>
      </c>
      <c r="G167" s="35" t="str">
        <f>IF(OR(Upaya_Agunan[[#This Row],[Agunan]]="SHM",Upaya_Agunan[[#This Row],[Agunan]]="BPKB"),"Ya","Tidak")</f>
        <v>Tidak</v>
      </c>
      <c r="H16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6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67" s="35" t="str">
        <f ca="1">IF(AND(DATEDIF($B$5,$B$6,"D")&gt;=150,Upaya_Agunan[[#This Row],[Lelang 1?]]="Ya"),"Ya","Tidak")</f>
        <v>Tidak</v>
      </c>
      <c r="K167" s="35" t="str">
        <f ca="1">IF(AND(DATEDIF($B$5,$B$6,"D")&gt;=180,Upaya_Agunan[[#This Row],[Lelang 2?]]="Ya"),"Ya","Tidak")</f>
        <v>Tidak</v>
      </c>
      <c r="L167" s="18"/>
      <c r="M167" s="18"/>
      <c r="N167" s="18"/>
      <c r="O167" s="18"/>
      <c r="P167" s="18"/>
      <c r="Q167" s="35">
        <f ca="1">COUNTIF(Upaya_Agunan[[#This Row],[Blokir Agunan?]:[Penjualan Agunan?]],"Ya")</f>
        <v>0</v>
      </c>
      <c r="R167" s="35">
        <f ca="1">Upaya_Agunan[[#This Row],[Target Upaya]]-COUNTIFS(Upaya_Agunan[[#This Row],[Blokir Agunan?]:[Penjualan Agunan?]],"Ya",Upaya_Agunan[[#This Row],[Blokir Agunan]:[Penjualan Agunan]],"")</f>
        <v>0</v>
      </c>
      <c r="S167" s="36">
        <f ca="1">IF(ISNUMBER(Upaya_Agunan[[#This Row],[Realisasi]]/Upaya_Agunan[[#This Row],[Target Upaya]]),Upaya_Agunan[[#This Row],[Realisasi]]/Upaya_Agunan[[#This Row],[Target Upaya]],1)</f>
        <v>1</v>
      </c>
    </row>
    <row r="168" spans="1:19" x14ac:dyDescent="0.3">
      <c r="A168" s="16">
        <v>157</v>
      </c>
      <c r="B168" s="17" t="s">
        <v>461</v>
      </c>
      <c r="C168" s="16" t="s">
        <v>85</v>
      </c>
      <c r="D168" s="16" t="s">
        <v>78</v>
      </c>
      <c r="E168" s="16" t="s">
        <v>93</v>
      </c>
      <c r="F168" s="35" t="str">
        <f ca="1">INDEX(Upaya_Debitur[Lunas?],MATCH(Upaya_Agunan[[#This Row],[Nomor PK]],Upaya_Debitur[Nomor PK],0))</f>
        <v>Belum Lunas</v>
      </c>
      <c r="G168" s="35" t="str">
        <f>IF(OR(Upaya_Agunan[[#This Row],[Agunan]]="SHM",Upaya_Agunan[[#This Row],[Agunan]]="BPKB"),"Ya","Tidak")</f>
        <v>Ya</v>
      </c>
      <c r="H16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6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68" s="35" t="str">
        <f ca="1">IF(AND(DATEDIF($B$5,$B$6,"D")&gt;=150,Upaya_Agunan[[#This Row],[Lelang 1?]]="Ya"),"Ya","Tidak")</f>
        <v>Tidak</v>
      </c>
      <c r="K168" s="35" t="str">
        <f ca="1">IF(AND(DATEDIF($B$5,$B$6,"D")&gt;=180,Upaya_Agunan[[#This Row],[Lelang 2?]]="Ya"),"Ya","Tidak")</f>
        <v>Tidak</v>
      </c>
      <c r="L168" s="18" t="s">
        <v>640</v>
      </c>
      <c r="M168" s="18"/>
      <c r="N168" s="18"/>
      <c r="O168" s="18"/>
      <c r="P168" s="18"/>
      <c r="Q168" s="35">
        <f ca="1">COUNTIF(Upaya_Agunan[[#This Row],[Blokir Agunan?]:[Penjualan Agunan?]],"Ya")</f>
        <v>1</v>
      </c>
      <c r="R168" s="35">
        <f ca="1">Upaya_Agunan[[#This Row],[Target Upaya]]-COUNTIFS(Upaya_Agunan[[#This Row],[Blokir Agunan?]:[Penjualan Agunan?]],"Ya",Upaya_Agunan[[#This Row],[Blokir Agunan]:[Penjualan Agunan]],"")</f>
        <v>1</v>
      </c>
      <c r="S168" s="36">
        <f ca="1">IF(ISNUMBER(Upaya_Agunan[[#This Row],[Realisasi]]/Upaya_Agunan[[#This Row],[Target Upaya]]),Upaya_Agunan[[#This Row],[Realisasi]]/Upaya_Agunan[[#This Row],[Target Upaya]],1)</f>
        <v>1</v>
      </c>
    </row>
    <row r="169" spans="1:19" x14ac:dyDescent="0.3">
      <c r="A169" s="16">
        <v>158</v>
      </c>
      <c r="B169" s="17" t="s">
        <v>461</v>
      </c>
      <c r="C169" s="16" t="s">
        <v>85</v>
      </c>
      <c r="D169" s="16" t="s">
        <v>78</v>
      </c>
      <c r="E169" s="16" t="s">
        <v>93</v>
      </c>
      <c r="F169" s="35" t="str">
        <f ca="1">INDEX(Upaya_Debitur[Lunas?],MATCH(Upaya_Agunan[[#This Row],[Nomor PK]],Upaya_Debitur[Nomor PK],0))</f>
        <v>Belum Lunas</v>
      </c>
      <c r="G169" s="35" t="str">
        <f>IF(OR(Upaya_Agunan[[#This Row],[Agunan]]="SHM",Upaya_Agunan[[#This Row],[Agunan]]="BPKB"),"Ya","Tidak")</f>
        <v>Ya</v>
      </c>
      <c r="H16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6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69" s="35" t="str">
        <f ca="1">IF(AND(DATEDIF($B$5,$B$6,"D")&gt;=150,Upaya_Agunan[[#This Row],[Lelang 1?]]="Ya"),"Ya","Tidak")</f>
        <v>Tidak</v>
      </c>
      <c r="K169" s="35" t="str">
        <f ca="1">IF(AND(DATEDIF($B$5,$B$6,"D")&gt;=180,Upaya_Agunan[[#This Row],[Lelang 2?]]="Ya"),"Ya","Tidak")</f>
        <v>Tidak</v>
      </c>
      <c r="L169" s="18" t="s">
        <v>640</v>
      </c>
      <c r="M169" s="18"/>
      <c r="N169" s="18"/>
      <c r="O169" s="18"/>
      <c r="P169" s="18"/>
      <c r="Q169" s="35">
        <f ca="1">COUNTIF(Upaya_Agunan[[#This Row],[Blokir Agunan?]:[Penjualan Agunan?]],"Ya")</f>
        <v>1</v>
      </c>
      <c r="R169" s="35">
        <f ca="1">Upaya_Agunan[[#This Row],[Target Upaya]]-COUNTIFS(Upaya_Agunan[[#This Row],[Blokir Agunan?]:[Penjualan Agunan?]],"Ya",Upaya_Agunan[[#This Row],[Blokir Agunan]:[Penjualan Agunan]],"")</f>
        <v>1</v>
      </c>
      <c r="S169" s="36">
        <f ca="1">IF(ISNUMBER(Upaya_Agunan[[#This Row],[Realisasi]]/Upaya_Agunan[[#This Row],[Target Upaya]]),Upaya_Agunan[[#This Row],[Realisasi]]/Upaya_Agunan[[#This Row],[Target Upaya]],1)</f>
        <v>1</v>
      </c>
    </row>
    <row r="170" spans="1:19" x14ac:dyDescent="0.3">
      <c r="A170" s="16">
        <v>159</v>
      </c>
      <c r="B170" s="17" t="s">
        <v>463</v>
      </c>
      <c r="C170" s="16" t="s">
        <v>85</v>
      </c>
      <c r="D170" s="16" t="s">
        <v>78</v>
      </c>
      <c r="E170" s="16" t="s">
        <v>106</v>
      </c>
      <c r="F170" s="35" t="str">
        <f ca="1">INDEX(Upaya_Debitur[Lunas?],MATCH(Upaya_Agunan[[#This Row],[Nomor PK]],Upaya_Debitur[Nomor PK],0))</f>
        <v>Belum Lunas</v>
      </c>
      <c r="G170" s="35" t="str">
        <f>IF(OR(Upaya_Agunan[[#This Row],[Agunan]]="SHM",Upaya_Agunan[[#This Row],[Agunan]]="BPKB"),"Ya","Tidak")</f>
        <v>Ya</v>
      </c>
      <c r="H17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7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70" s="35" t="str">
        <f ca="1">IF(AND(DATEDIF($B$5,$B$6,"D")&gt;=150,Upaya_Agunan[[#This Row],[Lelang 1?]]="Ya"),"Ya","Tidak")</f>
        <v>Tidak</v>
      </c>
      <c r="K170" s="35" t="str">
        <f ca="1">IF(AND(DATEDIF($B$5,$B$6,"D")&gt;=180,Upaya_Agunan[[#This Row],[Lelang 2?]]="Ya"),"Ya","Tidak")</f>
        <v>Tidak</v>
      </c>
      <c r="L170" s="18">
        <v>44126</v>
      </c>
      <c r="M170" s="18"/>
      <c r="N170" s="18"/>
      <c r="O170" s="18"/>
      <c r="P170" s="18"/>
      <c r="Q170" s="35">
        <f ca="1">COUNTIF(Upaya_Agunan[[#This Row],[Blokir Agunan?]:[Penjualan Agunan?]],"Ya")</f>
        <v>1</v>
      </c>
      <c r="R170" s="35">
        <f ca="1">Upaya_Agunan[[#This Row],[Target Upaya]]-COUNTIFS(Upaya_Agunan[[#This Row],[Blokir Agunan?]:[Penjualan Agunan?]],"Ya",Upaya_Agunan[[#This Row],[Blokir Agunan]:[Penjualan Agunan]],"")</f>
        <v>1</v>
      </c>
      <c r="S170" s="36">
        <f ca="1">IF(ISNUMBER(Upaya_Agunan[[#This Row],[Realisasi]]/Upaya_Agunan[[#This Row],[Target Upaya]]),Upaya_Agunan[[#This Row],[Realisasi]]/Upaya_Agunan[[#This Row],[Target Upaya]],1)</f>
        <v>1</v>
      </c>
    </row>
    <row r="171" spans="1:19" x14ac:dyDescent="0.3">
      <c r="A171" s="16">
        <v>160</v>
      </c>
      <c r="B171" s="17" t="s">
        <v>465</v>
      </c>
      <c r="C171" s="16" t="s">
        <v>95</v>
      </c>
      <c r="D171" s="16" t="s">
        <v>638</v>
      </c>
      <c r="E171" s="16" t="s">
        <v>93</v>
      </c>
      <c r="F171" s="35" t="str">
        <f ca="1">INDEX(Upaya_Debitur[Lunas?],MATCH(Upaya_Agunan[[#This Row],[Nomor PK]],Upaya_Debitur[Nomor PK],0))</f>
        <v>Belum Lunas</v>
      </c>
      <c r="G171" s="35" t="str">
        <f>IF(OR(Upaya_Agunan[[#This Row],[Agunan]]="SHM",Upaya_Agunan[[#This Row],[Agunan]]="BPKB"),"Ya","Tidak")</f>
        <v>Tidak</v>
      </c>
      <c r="H17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7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71" s="35" t="str">
        <f ca="1">IF(AND(DATEDIF($B$5,$B$6,"D")&gt;=150,Upaya_Agunan[[#This Row],[Lelang 1?]]="Ya"),"Ya","Tidak")</f>
        <v>Tidak</v>
      </c>
      <c r="K171" s="35" t="str">
        <f ca="1">IF(AND(DATEDIF($B$5,$B$6,"D")&gt;=180,Upaya_Agunan[[#This Row],[Lelang 2?]]="Ya"),"Ya","Tidak")</f>
        <v>Tidak</v>
      </c>
      <c r="L171" s="18"/>
      <c r="M171" s="18"/>
      <c r="N171" s="18"/>
      <c r="O171" s="18"/>
      <c r="P171" s="18"/>
      <c r="Q171" s="35">
        <f ca="1">COUNTIF(Upaya_Agunan[[#This Row],[Blokir Agunan?]:[Penjualan Agunan?]],"Ya")</f>
        <v>0</v>
      </c>
      <c r="R171" s="35">
        <f ca="1">Upaya_Agunan[[#This Row],[Target Upaya]]-COUNTIFS(Upaya_Agunan[[#This Row],[Blokir Agunan?]:[Penjualan Agunan?]],"Ya",Upaya_Agunan[[#This Row],[Blokir Agunan]:[Penjualan Agunan]],"")</f>
        <v>0</v>
      </c>
      <c r="S171" s="36">
        <f ca="1">IF(ISNUMBER(Upaya_Agunan[[#This Row],[Realisasi]]/Upaya_Agunan[[#This Row],[Target Upaya]]),Upaya_Agunan[[#This Row],[Realisasi]]/Upaya_Agunan[[#This Row],[Target Upaya]],1)</f>
        <v>1</v>
      </c>
    </row>
    <row r="172" spans="1:19" x14ac:dyDescent="0.3">
      <c r="A172" s="16">
        <v>161</v>
      </c>
      <c r="B172" s="17" t="s">
        <v>467</v>
      </c>
      <c r="C172" s="16" t="s">
        <v>85</v>
      </c>
      <c r="D172" s="16" t="s">
        <v>78</v>
      </c>
      <c r="E172" s="16" t="s">
        <v>106</v>
      </c>
      <c r="F172" s="35" t="str">
        <f ca="1">INDEX(Upaya_Debitur[Lunas?],MATCH(Upaya_Agunan[[#This Row],[Nomor PK]],Upaya_Debitur[Nomor PK],0))</f>
        <v>Belum Lunas</v>
      </c>
      <c r="G172" s="35" t="str">
        <f>IF(OR(Upaya_Agunan[[#This Row],[Agunan]]="SHM",Upaya_Agunan[[#This Row],[Agunan]]="BPKB"),"Ya","Tidak")</f>
        <v>Ya</v>
      </c>
      <c r="H17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7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72" s="35" t="str">
        <f ca="1">IF(AND(DATEDIF($B$5,$B$6,"D")&gt;=150,Upaya_Agunan[[#This Row],[Lelang 1?]]="Ya"),"Ya","Tidak")</f>
        <v>Tidak</v>
      </c>
      <c r="K172" s="35" t="str">
        <f ca="1">IF(AND(DATEDIF($B$5,$B$6,"D")&gt;=180,Upaya_Agunan[[#This Row],[Lelang 2?]]="Ya"),"Ya","Tidak")</f>
        <v>Tidak</v>
      </c>
      <c r="L172" s="18" t="s">
        <v>640</v>
      </c>
      <c r="M172" s="18"/>
      <c r="N172" s="18"/>
      <c r="O172" s="18"/>
      <c r="P172" s="18"/>
      <c r="Q172" s="35">
        <f ca="1">COUNTIF(Upaya_Agunan[[#This Row],[Blokir Agunan?]:[Penjualan Agunan?]],"Ya")</f>
        <v>1</v>
      </c>
      <c r="R172" s="35">
        <f ca="1">Upaya_Agunan[[#This Row],[Target Upaya]]-COUNTIFS(Upaya_Agunan[[#This Row],[Blokir Agunan?]:[Penjualan Agunan?]],"Ya",Upaya_Agunan[[#This Row],[Blokir Agunan]:[Penjualan Agunan]],"")</f>
        <v>1</v>
      </c>
      <c r="S172" s="36">
        <f ca="1">IF(ISNUMBER(Upaya_Agunan[[#This Row],[Realisasi]]/Upaya_Agunan[[#This Row],[Target Upaya]]),Upaya_Agunan[[#This Row],[Realisasi]]/Upaya_Agunan[[#This Row],[Target Upaya]],1)</f>
        <v>1</v>
      </c>
    </row>
    <row r="173" spans="1:19" x14ac:dyDescent="0.3">
      <c r="A173" s="16">
        <v>162</v>
      </c>
      <c r="B173" s="17" t="s">
        <v>469</v>
      </c>
      <c r="C173" s="16" t="s">
        <v>95</v>
      </c>
      <c r="D173" s="16" t="s">
        <v>638</v>
      </c>
      <c r="E173" s="16" t="s">
        <v>93</v>
      </c>
      <c r="F173" s="35" t="str">
        <f ca="1">INDEX(Upaya_Debitur[Lunas?],MATCH(Upaya_Agunan[[#This Row],[Nomor PK]],Upaya_Debitur[Nomor PK],0))</f>
        <v>Belum Lunas</v>
      </c>
      <c r="G173" s="35" t="str">
        <f>IF(OR(Upaya_Agunan[[#This Row],[Agunan]]="SHM",Upaya_Agunan[[#This Row],[Agunan]]="BPKB"),"Ya","Tidak")</f>
        <v>Tidak</v>
      </c>
      <c r="H17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7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73" s="35" t="str">
        <f ca="1">IF(AND(DATEDIF($B$5,$B$6,"D")&gt;=150,Upaya_Agunan[[#This Row],[Lelang 1?]]="Ya"),"Ya","Tidak")</f>
        <v>Tidak</v>
      </c>
      <c r="K173" s="35" t="str">
        <f ca="1">IF(AND(DATEDIF($B$5,$B$6,"D")&gt;=180,Upaya_Agunan[[#This Row],[Lelang 2?]]="Ya"),"Ya","Tidak")</f>
        <v>Tidak</v>
      </c>
      <c r="L173" s="18"/>
      <c r="M173" s="18"/>
      <c r="N173" s="18"/>
      <c r="O173" s="18"/>
      <c r="P173" s="18"/>
      <c r="Q173" s="35">
        <f ca="1">COUNTIF(Upaya_Agunan[[#This Row],[Blokir Agunan?]:[Penjualan Agunan?]],"Ya")</f>
        <v>0</v>
      </c>
      <c r="R173" s="35">
        <f ca="1">Upaya_Agunan[[#This Row],[Target Upaya]]-COUNTIFS(Upaya_Agunan[[#This Row],[Blokir Agunan?]:[Penjualan Agunan?]],"Ya",Upaya_Agunan[[#This Row],[Blokir Agunan]:[Penjualan Agunan]],"")</f>
        <v>0</v>
      </c>
      <c r="S173" s="36">
        <f ca="1">IF(ISNUMBER(Upaya_Agunan[[#This Row],[Realisasi]]/Upaya_Agunan[[#This Row],[Target Upaya]]),Upaya_Agunan[[#This Row],[Realisasi]]/Upaya_Agunan[[#This Row],[Target Upaya]],1)</f>
        <v>1</v>
      </c>
    </row>
    <row r="174" spans="1:19" x14ac:dyDescent="0.3">
      <c r="A174" s="16">
        <v>163</v>
      </c>
      <c r="B174" s="17" t="s">
        <v>471</v>
      </c>
      <c r="C174" s="16" t="s">
        <v>95</v>
      </c>
      <c r="D174" s="16" t="s">
        <v>638</v>
      </c>
      <c r="E174" s="16" t="s">
        <v>93</v>
      </c>
      <c r="F174" s="35" t="str">
        <f ca="1">INDEX(Upaya_Debitur[Lunas?],MATCH(Upaya_Agunan[[#This Row],[Nomor PK]],Upaya_Debitur[Nomor PK],0))</f>
        <v>Belum Lunas</v>
      </c>
      <c r="G174" s="35" t="str">
        <f>IF(OR(Upaya_Agunan[[#This Row],[Agunan]]="SHM",Upaya_Agunan[[#This Row],[Agunan]]="BPKB"),"Ya","Tidak")</f>
        <v>Tidak</v>
      </c>
      <c r="H17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7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74" s="35" t="str">
        <f ca="1">IF(AND(DATEDIF($B$5,$B$6,"D")&gt;=150,Upaya_Agunan[[#This Row],[Lelang 1?]]="Ya"),"Ya","Tidak")</f>
        <v>Tidak</v>
      </c>
      <c r="K174" s="35" t="str">
        <f ca="1">IF(AND(DATEDIF($B$5,$B$6,"D")&gt;=180,Upaya_Agunan[[#This Row],[Lelang 2?]]="Ya"),"Ya","Tidak")</f>
        <v>Tidak</v>
      </c>
      <c r="L174" s="18"/>
      <c r="M174" s="18"/>
      <c r="N174" s="18"/>
      <c r="O174" s="18"/>
      <c r="P174" s="18"/>
      <c r="Q174" s="35">
        <f ca="1">COUNTIF(Upaya_Agunan[[#This Row],[Blokir Agunan?]:[Penjualan Agunan?]],"Ya")</f>
        <v>0</v>
      </c>
      <c r="R174" s="35">
        <f ca="1">Upaya_Agunan[[#This Row],[Target Upaya]]-COUNTIFS(Upaya_Agunan[[#This Row],[Blokir Agunan?]:[Penjualan Agunan?]],"Ya",Upaya_Agunan[[#This Row],[Blokir Agunan]:[Penjualan Agunan]],"")</f>
        <v>0</v>
      </c>
      <c r="S174" s="36">
        <f ca="1">IF(ISNUMBER(Upaya_Agunan[[#This Row],[Realisasi]]/Upaya_Agunan[[#This Row],[Target Upaya]]),Upaya_Agunan[[#This Row],[Realisasi]]/Upaya_Agunan[[#This Row],[Target Upaya]],1)</f>
        <v>1</v>
      </c>
    </row>
    <row r="175" spans="1:19" x14ac:dyDescent="0.3">
      <c r="A175" s="16">
        <v>164</v>
      </c>
      <c r="B175" s="17" t="s">
        <v>473</v>
      </c>
      <c r="C175" s="16" t="s">
        <v>95</v>
      </c>
      <c r="D175" s="16" t="s">
        <v>638</v>
      </c>
      <c r="E175" s="16" t="s">
        <v>93</v>
      </c>
      <c r="F175" s="35" t="str">
        <f ca="1">INDEX(Upaya_Debitur[Lunas?],MATCH(Upaya_Agunan[[#This Row],[Nomor PK]],Upaya_Debitur[Nomor PK],0))</f>
        <v>Belum Lunas</v>
      </c>
      <c r="G175" s="35" t="str">
        <f>IF(OR(Upaya_Agunan[[#This Row],[Agunan]]="SHM",Upaya_Agunan[[#This Row],[Agunan]]="BPKB"),"Ya","Tidak")</f>
        <v>Tidak</v>
      </c>
      <c r="H17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7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75" s="35" t="str">
        <f ca="1">IF(AND(DATEDIF($B$5,$B$6,"D")&gt;=150,Upaya_Agunan[[#This Row],[Lelang 1?]]="Ya"),"Ya","Tidak")</f>
        <v>Tidak</v>
      </c>
      <c r="K175" s="35" t="str">
        <f ca="1">IF(AND(DATEDIF($B$5,$B$6,"D")&gt;=180,Upaya_Agunan[[#This Row],[Lelang 2?]]="Ya"),"Ya","Tidak")</f>
        <v>Tidak</v>
      </c>
      <c r="L175" s="18"/>
      <c r="M175" s="18"/>
      <c r="N175" s="18"/>
      <c r="O175" s="18"/>
      <c r="P175" s="18"/>
      <c r="Q175" s="35">
        <f ca="1">COUNTIF(Upaya_Agunan[[#This Row],[Blokir Agunan?]:[Penjualan Agunan?]],"Ya")</f>
        <v>0</v>
      </c>
      <c r="R175" s="35">
        <f ca="1">Upaya_Agunan[[#This Row],[Target Upaya]]-COUNTIFS(Upaya_Agunan[[#This Row],[Blokir Agunan?]:[Penjualan Agunan?]],"Ya",Upaya_Agunan[[#This Row],[Blokir Agunan]:[Penjualan Agunan]],"")</f>
        <v>0</v>
      </c>
      <c r="S175" s="36">
        <f ca="1">IF(ISNUMBER(Upaya_Agunan[[#This Row],[Realisasi]]/Upaya_Agunan[[#This Row],[Target Upaya]]),Upaya_Agunan[[#This Row],[Realisasi]]/Upaya_Agunan[[#This Row],[Target Upaya]],1)</f>
        <v>1</v>
      </c>
    </row>
    <row r="176" spans="1:19" x14ac:dyDescent="0.3">
      <c r="A176" s="16">
        <v>165</v>
      </c>
      <c r="B176" s="17" t="s">
        <v>475</v>
      </c>
      <c r="C176" s="16" t="s">
        <v>95</v>
      </c>
      <c r="D176" s="16" t="s">
        <v>638</v>
      </c>
      <c r="E176" s="16" t="s">
        <v>93</v>
      </c>
      <c r="F176" s="35" t="str">
        <f ca="1">INDEX(Upaya_Debitur[Lunas?],MATCH(Upaya_Agunan[[#This Row],[Nomor PK]],Upaya_Debitur[Nomor PK],0))</f>
        <v>Lunas</v>
      </c>
      <c r="G176" s="35" t="str">
        <f>IF(OR(Upaya_Agunan[[#This Row],[Agunan]]="SHM",Upaya_Agunan[[#This Row],[Agunan]]="BPKB"),"Ya","Tidak")</f>
        <v>Tidak</v>
      </c>
      <c r="H17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7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76" s="35" t="str">
        <f ca="1">IF(AND(DATEDIF($B$5,$B$6,"D")&gt;=150,Upaya_Agunan[[#This Row],[Lelang 1?]]="Ya"),"Ya","Tidak")</f>
        <v>Tidak</v>
      </c>
      <c r="K176" s="35" t="str">
        <f ca="1">IF(AND(DATEDIF($B$5,$B$6,"D")&gt;=180,Upaya_Agunan[[#This Row],[Lelang 2?]]="Ya"),"Ya","Tidak")</f>
        <v>Tidak</v>
      </c>
      <c r="L176" s="18"/>
      <c r="M176" s="18"/>
      <c r="N176" s="18"/>
      <c r="O176" s="18"/>
      <c r="P176" s="18"/>
      <c r="Q176" s="35">
        <f ca="1">COUNTIF(Upaya_Agunan[[#This Row],[Blokir Agunan?]:[Penjualan Agunan?]],"Ya")</f>
        <v>0</v>
      </c>
      <c r="R176" s="35">
        <f ca="1">Upaya_Agunan[[#This Row],[Target Upaya]]-COUNTIFS(Upaya_Agunan[[#This Row],[Blokir Agunan?]:[Penjualan Agunan?]],"Ya",Upaya_Agunan[[#This Row],[Blokir Agunan]:[Penjualan Agunan]],"")</f>
        <v>0</v>
      </c>
      <c r="S176" s="36">
        <f ca="1">IF(ISNUMBER(Upaya_Agunan[[#This Row],[Realisasi]]/Upaya_Agunan[[#This Row],[Target Upaya]]),Upaya_Agunan[[#This Row],[Realisasi]]/Upaya_Agunan[[#This Row],[Target Upaya]],1)</f>
        <v>1</v>
      </c>
    </row>
    <row r="177" spans="1:19" x14ac:dyDescent="0.3">
      <c r="A177" s="16">
        <v>166</v>
      </c>
      <c r="B177" s="17" t="s">
        <v>477</v>
      </c>
      <c r="C177" s="16" t="s">
        <v>95</v>
      </c>
      <c r="D177" s="16" t="s">
        <v>638</v>
      </c>
      <c r="E177" s="16" t="s">
        <v>93</v>
      </c>
      <c r="F177" s="35" t="str">
        <f ca="1">INDEX(Upaya_Debitur[Lunas?],MATCH(Upaya_Agunan[[#This Row],[Nomor PK]],Upaya_Debitur[Nomor PK],0))</f>
        <v>Lunas</v>
      </c>
      <c r="G177" s="35" t="str">
        <f>IF(OR(Upaya_Agunan[[#This Row],[Agunan]]="SHM",Upaya_Agunan[[#This Row],[Agunan]]="BPKB"),"Ya","Tidak")</f>
        <v>Tidak</v>
      </c>
      <c r="H17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7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77" s="35" t="str">
        <f ca="1">IF(AND(DATEDIF($B$5,$B$6,"D")&gt;=150,Upaya_Agunan[[#This Row],[Lelang 1?]]="Ya"),"Ya","Tidak")</f>
        <v>Tidak</v>
      </c>
      <c r="K177" s="35" t="str">
        <f ca="1">IF(AND(DATEDIF($B$5,$B$6,"D")&gt;=180,Upaya_Agunan[[#This Row],[Lelang 2?]]="Ya"),"Ya","Tidak")</f>
        <v>Tidak</v>
      </c>
      <c r="L177" s="18"/>
      <c r="M177" s="18"/>
      <c r="N177" s="18"/>
      <c r="O177" s="18"/>
      <c r="P177" s="18"/>
      <c r="Q177" s="35">
        <f ca="1">COUNTIF(Upaya_Agunan[[#This Row],[Blokir Agunan?]:[Penjualan Agunan?]],"Ya")</f>
        <v>0</v>
      </c>
      <c r="R177" s="35">
        <f ca="1">Upaya_Agunan[[#This Row],[Target Upaya]]-COUNTIFS(Upaya_Agunan[[#This Row],[Blokir Agunan?]:[Penjualan Agunan?]],"Ya",Upaya_Agunan[[#This Row],[Blokir Agunan]:[Penjualan Agunan]],"")</f>
        <v>0</v>
      </c>
      <c r="S177" s="36">
        <f ca="1">IF(ISNUMBER(Upaya_Agunan[[#This Row],[Realisasi]]/Upaya_Agunan[[#This Row],[Target Upaya]]),Upaya_Agunan[[#This Row],[Realisasi]]/Upaya_Agunan[[#This Row],[Target Upaya]],1)</f>
        <v>1</v>
      </c>
    </row>
    <row r="178" spans="1:19" x14ac:dyDescent="0.3">
      <c r="A178" s="16">
        <v>167</v>
      </c>
      <c r="B178" s="17" t="s">
        <v>479</v>
      </c>
      <c r="C178" s="16" t="s">
        <v>95</v>
      </c>
      <c r="D178" s="16" t="s">
        <v>638</v>
      </c>
      <c r="E178" s="16" t="s">
        <v>93</v>
      </c>
      <c r="F178" s="35" t="str">
        <f ca="1">INDEX(Upaya_Debitur[Lunas?],MATCH(Upaya_Agunan[[#This Row],[Nomor PK]],Upaya_Debitur[Nomor PK],0))</f>
        <v>Belum Lunas</v>
      </c>
      <c r="G178" s="35" t="str">
        <f>IF(OR(Upaya_Agunan[[#This Row],[Agunan]]="SHM",Upaya_Agunan[[#This Row],[Agunan]]="BPKB"),"Ya","Tidak")</f>
        <v>Tidak</v>
      </c>
      <c r="H17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7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78" s="35" t="str">
        <f ca="1">IF(AND(DATEDIF($B$5,$B$6,"D")&gt;=150,Upaya_Agunan[[#This Row],[Lelang 1?]]="Ya"),"Ya","Tidak")</f>
        <v>Tidak</v>
      </c>
      <c r="K178" s="35" t="str">
        <f ca="1">IF(AND(DATEDIF($B$5,$B$6,"D")&gt;=180,Upaya_Agunan[[#This Row],[Lelang 2?]]="Ya"),"Ya","Tidak")</f>
        <v>Tidak</v>
      </c>
      <c r="L178" s="18"/>
      <c r="M178" s="18"/>
      <c r="N178" s="18"/>
      <c r="O178" s="18"/>
      <c r="P178" s="18"/>
      <c r="Q178" s="35">
        <f ca="1">COUNTIF(Upaya_Agunan[[#This Row],[Blokir Agunan?]:[Penjualan Agunan?]],"Ya")</f>
        <v>0</v>
      </c>
      <c r="R178" s="35">
        <f ca="1">Upaya_Agunan[[#This Row],[Target Upaya]]-COUNTIFS(Upaya_Agunan[[#This Row],[Blokir Agunan?]:[Penjualan Agunan?]],"Ya",Upaya_Agunan[[#This Row],[Blokir Agunan]:[Penjualan Agunan]],"")</f>
        <v>0</v>
      </c>
      <c r="S178" s="36">
        <f ca="1">IF(ISNUMBER(Upaya_Agunan[[#This Row],[Realisasi]]/Upaya_Agunan[[#This Row],[Target Upaya]]),Upaya_Agunan[[#This Row],[Realisasi]]/Upaya_Agunan[[#This Row],[Target Upaya]],1)</f>
        <v>1</v>
      </c>
    </row>
    <row r="179" spans="1:19" x14ac:dyDescent="0.3">
      <c r="A179" s="16">
        <v>168</v>
      </c>
      <c r="B179" s="17" t="s">
        <v>481</v>
      </c>
      <c r="C179" s="16" t="s">
        <v>95</v>
      </c>
      <c r="D179" s="16" t="s">
        <v>638</v>
      </c>
      <c r="E179" s="16" t="s">
        <v>93</v>
      </c>
      <c r="F179" s="35" t="str">
        <f ca="1">INDEX(Upaya_Debitur[Lunas?],MATCH(Upaya_Agunan[[#This Row],[Nomor PK]],Upaya_Debitur[Nomor PK],0))</f>
        <v>Belum Lunas</v>
      </c>
      <c r="G179" s="35" t="str">
        <f>IF(OR(Upaya_Agunan[[#This Row],[Agunan]]="SHM",Upaya_Agunan[[#This Row],[Agunan]]="BPKB"),"Ya","Tidak")</f>
        <v>Tidak</v>
      </c>
      <c r="H17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7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79" s="35" t="str">
        <f ca="1">IF(AND(DATEDIF($B$5,$B$6,"D")&gt;=150,Upaya_Agunan[[#This Row],[Lelang 1?]]="Ya"),"Ya","Tidak")</f>
        <v>Tidak</v>
      </c>
      <c r="K179" s="35" t="str">
        <f ca="1">IF(AND(DATEDIF($B$5,$B$6,"D")&gt;=180,Upaya_Agunan[[#This Row],[Lelang 2?]]="Ya"),"Ya","Tidak")</f>
        <v>Tidak</v>
      </c>
      <c r="L179" s="18"/>
      <c r="M179" s="18"/>
      <c r="N179" s="18"/>
      <c r="O179" s="18"/>
      <c r="P179" s="18"/>
      <c r="Q179" s="35">
        <f ca="1">COUNTIF(Upaya_Agunan[[#This Row],[Blokir Agunan?]:[Penjualan Agunan?]],"Ya")</f>
        <v>0</v>
      </c>
      <c r="R179" s="35">
        <f ca="1">Upaya_Agunan[[#This Row],[Target Upaya]]-COUNTIFS(Upaya_Agunan[[#This Row],[Blokir Agunan?]:[Penjualan Agunan?]],"Ya",Upaya_Agunan[[#This Row],[Blokir Agunan]:[Penjualan Agunan]],"")</f>
        <v>0</v>
      </c>
      <c r="S179" s="36">
        <f ca="1">IF(ISNUMBER(Upaya_Agunan[[#This Row],[Realisasi]]/Upaya_Agunan[[#This Row],[Target Upaya]]),Upaya_Agunan[[#This Row],[Realisasi]]/Upaya_Agunan[[#This Row],[Target Upaya]],1)</f>
        <v>1</v>
      </c>
    </row>
    <row r="180" spans="1:19" x14ac:dyDescent="0.3">
      <c r="A180" s="16">
        <v>169</v>
      </c>
      <c r="B180" s="17" t="s">
        <v>483</v>
      </c>
      <c r="C180" s="16" t="s">
        <v>95</v>
      </c>
      <c r="D180" s="16" t="s">
        <v>638</v>
      </c>
      <c r="E180" s="16" t="s">
        <v>93</v>
      </c>
      <c r="F180" s="35" t="str">
        <f ca="1">INDEX(Upaya_Debitur[Lunas?],MATCH(Upaya_Agunan[[#This Row],[Nomor PK]],Upaya_Debitur[Nomor PK],0))</f>
        <v>Belum Lunas</v>
      </c>
      <c r="G180" s="35" t="str">
        <f>IF(OR(Upaya_Agunan[[#This Row],[Agunan]]="SHM",Upaya_Agunan[[#This Row],[Agunan]]="BPKB"),"Ya","Tidak")</f>
        <v>Tidak</v>
      </c>
      <c r="H18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8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80" s="35" t="str">
        <f ca="1">IF(AND(DATEDIF($B$5,$B$6,"D")&gt;=150,Upaya_Agunan[[#This Row],[Lelang 1?]]="Ya"),"Ya","Tidak")</f>
        <v>Tidak</v>
      </c>
      <c r="K180" s="35" t="str">
        <f ca="1">IF(AND(DATEDIF($B$5,$B$6,"D")&gt;=180,Upaya_Agunan[[#This Row],[Lelang 2?]]="Ya"),"Ya","Tidak")</f>
        <v>Tidak</v>
      </c>
      <c r="L180" s="18"/>
      <c r="M180" s="18"/>
      <c r="N180" s="18"/>
      <c r="O180" s="18"/>
      <c r="P180" s="18"/>
      <c r="Q180" s="35">
        <f ca="1">COUNTIF(Upaya_Agunan[[#This Row],[Blokir Agunan?]:[Penjualan Agunan?]],"Ya")</f>
        <v>0</v>
      </c>
      <c r="R180" s="35">
        <f ca="1">Upaya_Agunan[[#This Row],[Target Upaya]]-COUNTIFS(Upaya_Agunan[[#This Row],[Blokir Agunan?]:[Penjualan Agunan?]],"Ya",Upaya_Agunan[[#This Row],[Blokir Agunan]:[Penjualan Agunan]],"")</f>
        <v>0</v>
      </c>
      <c r="S180" s="36">
        <f ca="1">IF(ISNUMBER(Upaya_Agunan[[#This Row],[Realisasi]]/Upaya_Agunan[[#This Row],[Target Upaya]]),Upaya_Agunan[[#This Row],[Realisasi]]/Upaya_Agunan[[#This Row],[Target Upaya]],1)</f>
        <v>1</v>
      </c>
    </row>
    <row r="181" spans="1:19" x14ac:dyDescent="0.3">
      <c r="A181" s="16">
        <v>170</v>
      </c>
      <c r="B181" s="17" t="s">
        <v>485</v>
      </c>
      <c r="C181" s="16" t="s">
        <v>95</v>
      </c>
      <c r="D181" s="16" t="s">
        <v>638</v>
      </c>
      <c r="E181" s="16" t="s">
        <v>93</v>
      </c>
      <c r="F181" s="35" t="str">
        <f ca="1">INDEX(Upaya_Debitur[Lunas?],MATCH(Upaya_Agunan[[#This Row],[Nomor PK]],Upaya_Debitur[Nomor PK],0))</f>
        <v>Belum Lunas</v>
      </c>
      <c r="G181" s="35" t="str">
        <f>IF(OR(Upaya_Agunan[[#This Row],[Agunan]]="SHM",Upaya_Agunan[[#This Row],[Agunan]]="BPKB"),"Ya","Tidak")</f>
        <v>Tidak</v>
      </c>
      <c r="H18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8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81" s="35" t="str">
        <f ca="1">IF(AND(DATEDIF($B$5,$B$6,"D")&gt;=150,Upaya_Agunan[[#This Row],[Lelang 1?]]="Ya"),"Ya","Tidak")</f>
        <v>Tidak</v>
      </c>
      <c r="K181" s="35" t="str">
        <f ca="1">IF(AND(DATEDIF($B$5,$B$6,"D")&gt;=180,Upaya_Agunan[[#This Row],[Lelang 2?]]="Ya"),"Ya","Tidak")</f>
        <v>Tidak</v>
      </c>
      <c r="L181" s="18"/>
      <c r="M181" s="18"/>
      <c r="N181" s="18"/>
      <c r="O181" s="18"/>
      <c r="P181" s="18"/>
      <c r="Q181" s="35">
        <f ca="1">COUNTIF(Upaya_Agunan[[#This Row],[Blokir Agunan?]:[Penjualan Agunan?]],"Ya")</f>
        <v>0</v>
      </c>
      <c r="R181" s="35">
        <f ca="1">Upaya_Agunan[[#This Row],[Target Upaya]]-COUNTIFS(Upaya_Agunan[[#This Row],[Blokir Agunan?]:[Penjualan Agunan?]],"Ya",Upaya_Agunan[[#This Row],[Blokir Agunan]:[Penjualan Agunan]],"")</f>
        <v>0</v>
      </c>
      <c r="S181" s="36">
        <f ca="1">IF(ISNUMBER(Upaya_Agunan[[#This Row],[Realisasi]]/Upaya_Agunan[[#This Row],[Target Upaya]]),Upaya_Agunan[[#This Row],[Realisasi]]/Upaya_Agunan[[#This Row],[Target Upaya]],1)</f>
        <v>1</v>
      </c>
    </row>
    <row r="182" spans="1:19" x14ac:dyDescent="0.3">
      <c r="A182" s="16">
        <v>171</v>
      </c>
      <c r="B182" s="17" t="s">
        <v>487</v>
      </c>
      <c r="C182" s="16" t="s">
        <v>84</v>
      </c>
      <c r="D182" s="16" t="s">
        <v>98</v>
      </c>
      <c r="E182" s="16" t="s">
        <v>93</v>
      </c>
      <c r="F182" s="35" t="str">
        <f ca="1">INDEX(Upaya_Debitur[Lunas?],MATCH(Upaya_Agunan[[#This Row],[Nomor PK]],Upaya_Debitur[Nomor PK],0))</f>
        <v>Lunas</v>
      </c>
      <c r="G182" s="35" t="str">
        <f>IF(OR(Upaya_Agunan[[#This Row],[Agunan]]="SHM",Upaya_Agunan[[#This Row],[Agunan]]="BPKB"),"Ya","Tidak")</f>
        <v>Tidak</v>
      </c>
      <c r="H18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8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82" s="35" t="str">
        <f ca="1">IF(AND(DATEDIF($B$5,$B$6,"D")&gt;=150,Upaya_Agunan[[#This Row],[Lelang 1?]]="Ya"),"Ya","Tidak")</f>
        <v>Tidak</v>
      </c>
      <c r="K182" s="35" t="str">
        <f ca="1">IF(AND(DATEDIF($B$5,$B$6,"D")&gt;=180,Upaya_Agunan[[#This Row],[Lelang 2?]]="Ya"),"Ya","Tidak")</f>
        <v>Tidak</v>
      </c>
      <c r="L182" s="18"/>
      <c r="M182" s="18"/>
      <c r="N182" s="18"/>
      <c r="O182" s="18"/>
      <c r="P182" s="18"/>
      <c r="Q182" s="35">
        <f ca="1">COUNTIF(Upaya_Agunan[[#This Row],[Blokir Agunan?]:[Penjualan Agunan?]],"Ya")</f>
        <v>0</v>
      </c>
      <c r="R182" s="35">
        <f ca="1">Upaya_Agunan[[#This Row],[Target Upaya]]-COUNTIFS(Upaya_Agunan[[#This Row],[Blokir Agunan?]:[Penjualan Agunan?]],"Ya",Upaya_Agunan[[#This Row],[Blokir Agunan]:[Penjualan Agunan]],"")</f>
        <v>0</v>
      </c>
      <c r="S182" s="36">
        <f ca="1">IF(ISNUMBER(Upaya_Agunan[[#This Row],[Realisasi]]/Upaya_Agunan[[#This Row],[Target Upaya]]),Upaya_Agunan[[#This Row],[Realisasi]]/Upaya_Agunan[[#This Row],[Target Upaya]],1)</f>
        <v>1</v>
      </c>
    </row>
    <row r="183" spans="1:19" x14ac:dyDescent="0.3">
      <c r="A183" s="16">
        <v>172</v>
      </c>
      <c r="B183" s="17" t="s">
        <v>489</v>
      </c>
      <c r="C183" s="16" t="s">
        <v>85</v>
      </c>
      <c r="D183" s="16" t="s">
        <v>78</v>
      </c>
      <c r="E183" s="16" t="s">
        <v>93</v>
      </c>
      <c r="F183" s="35" t="str">
        <f ca="1">INDEX(Upaya_Debitur[Lunas?],MATCH(Upaya_Agunan[[#This Row],[Nomor PK]],Upaya_Debitur[Nomor PK],0))</f>
        <v>Lunas</v>
      </c>
      <c r="G183" s="35" t="str">
        <f>IF(OR(Upaya_Agunan[[#This Row],[Agunan]]="SHM",Upaya_Agunan[[#This Row],[Agunan]]="BPKB"),"Ya","Tidak")</f>
        <v>Ya</v>
      </c>
      <c r="H18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8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83" s="35" t="str">
        <f ca="1">IF(AND(DATEDIF($B$5,$B$6,"D")&gt;=150,Upaya_Agunan[[#This Row],[Lelang 1?]]="Ya"),"Ya","Tidak")</f>
        <v>Tidak</v>
      </c>
      <c r="K183" s="35" t="str">
        <f ca="1">IF(AND(DATEDIF($B$5,$B$6,"D")&gt;=180,Upaya_Agunan[[#This Row],[Lelang 2?]]="Ya"),"Ya","Tidak")</f>
        <v>Tidak</v>
      </c>
      <c r="L183" s="18" t="s">
        <v>641</v>
      </c>
      <c r="M183" s="18"/>
      <c r="N183" s="18"/>
      <c r="O183" s="18"/>
      <c r="P183" s="18"/>
      <c r="Q183" s="35">
        <f ca="1">COUNTIF(Upaya_Agunan[[#This Row],[Blokir Agunan?]:[Penjualan Agunan?]],"Ya")</f>
        <v>1</v>
      </c>
      <c r="R183" s="35">
        <f ca="1">Upaya_Agunan[[#This Row],[Target Upaya]]-COUNTIFS(Upaya_Agunan[[#This Row],[Blokir Agunan?]:[Penjualan Agunan?]],"Ya",Upaya_Agunan[[#This Row],[Blokir Agunan]:[Penjualan Agunan]],"")</f>
        <v>1</v>
      </c>
      <c r="S183" s="36">
        <f ca="1">IF(ISNUMBER(Upaya_Agunan[[#This Row],[Realisasi]]/Upaya_Agunan[[#This Row],[Target Upaya]]),Upaya_Agunan[[#This Row],[Realisasi]]/Upaya_Agunan[[#This Row],[Target Upaya]],1)</f>
        <v>1</v>
      </c>
    </row>
    <row r="184" spans="1:19" x14ac:dyDescent="0.3">
      <c r="A184" s="16">
        <v>173</v>
      </c>
      <c r="B184" s="17" t="s">
        <v>491</v>
      </c>
      <c r="C184" s="16" t="s">
        <v>85</v>
      </c>
      <c r="D184" s="16" t="s">
        <v>78</v>
      </c>
      <c r="E184" s="16" t="s">
        <v>93</v>
      </c>
      <c r="F184" s="35" t="str">
        <f ca="1">INDEX(Upaya_Debitur[Lunas?],MATCH(Upaya_Agunan[[#This Row],[Nomor PK]],Upaya_Debitur[Nomor PK],0))</f>
        <v>Belum Lunas</v>
      </c>
      <c r="G184" s="35" t="str">
        <f>IF(OR(Upaya_Agunan[[#This Row],[Agunan]]="SHM",Upaya_Agunan[[#This Row],[Agunan]]="BPKB"),"Ya","Tidak")</f>
        <v>Ya</v>
      </c>
      <c r="H18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8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84" s="35" t="str">
        <f ca="1">IF(AND(DATEDIF($B$5,$B$6,"D")&gt;=150,Upaya_Agunan[[#This Row],[Lelang 1?]]="Ya"),"Ya","Tidak")</f>
        <v>Tidak</v>
      </c>
      <c r="K184" s="35" t="str">
        <f ca="1">IF(AND(DATEDIF($B$5,$B$6,"D")&gt;=180,Upaya_Agunan[[#This Row],[Lelang 2?]]="Ya"),"Ya","Tidak")</f>
        <v>Tidak</v>
      </c>
      <c r="L184" s="18" t="s">
        <v>640</v>
      </c>
      <c r="M184" s="18"/>
      <c r="N184" s="18"/>
      <c r="O184" s="18"/>
      <c r="P184" s="18"/>
      <c r="Q184" s="35">
        <f ca="1">COUNTIF(Upaya_Agunan[[#This Row],[Blokir Agunan?]:[Penjualan Agunan?]],"Ya")</f>
        <v>1</v>
      </c>
      <c r="R184" s="35">
        <f ca="1">Upaya_Agunan[[#This Row],[Target Upaya]]-COUNTIFS(Upaya_Agunan[[#This Row],[Blokir Agunan?]:[Penjualan Agunan?]],"Ya",Upaya_Agunan[[#This Row],[Blokir Agunan]:[Penjualan Agunan]],"")</f>
        <v>1</v>
      </c>
      <c r="S184" s="36">
        <f ca="1">IF(ISNUMBER(Upaya_Agunan[[#This Row],[Realisasi]]/Upaya_Agunan[[#This Row],[Target Upaya]]),Upaya_Agunan[[#This Row],[Realisasi]]/Upaya_Agunan[[#This Row],[Target Upaya]],1)</f>
        <v>1</v>
      </c>
    </row>
    <row r="185" spans="1:19" x14ac:dyDescent="0.3">
      <c r="A185" s="16">
        <v>174</v>
      </c>
      <c r="B185" s="17" t="s">
        <v>493</v>
      </c>
      <c r="C185" s="16" t="s">
        <v>85</v>
      </c>
      <c r="D185" s="16" t="s">
        <v>78</v>
      </c>
      <c r="E185" s="16" t="s">
        <v>93</v>
      </c>
      <c r="F185" s="35" t="str">
        <f ca="1">INDEX(Upaya_Debitur[Lunas?],MATCH(Upaya_Agunan[[#This Row],[Nomor PK]],Upaya_Debitur[Nomor PK],0))</f>
        <v>Belum Lunas</v>
      </c>
      <c r="G185" s="35" t="str">
        <f>IF(OR(Upaya_Agunan[[#This Row],[Agunan]]="SHM",Upaya_Agunan[[#This Row],[Agunan]]="BPKB"),"Ya","Tidak")</f>
        <v>Ya</v>
      </c>
      <c r="H18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8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85" s="35" t="str">
        <f ca="1">IF(AND(DATEDIF($B$5,$B$6,"D")&gt;=150,Upaya_Agunan[[#This Row],[Lelang 1?]]="Ya"),"Ya","Tidak")</f>
        <v>Tidak</v>
      </c>
      <c r="K185" s="35" t="str">
        <f ca="1">IF(AND(DATEDIF($B$5,$B$6,"D")&gt;=180,Upaya_Agunan[[#This Row],[Lelang 2?]]="Ya"),"Ya","Tidak")</f>
        <v>Tidak</v>
      </c>
      <c r="L185" s="18" t="s">
        <v>640</v>
      </c>
      <c r="M185" s="18"/>
      <c r="N185" s="18"/>
      <c r="O185" s="18"/>
      <c r="P185" s="18"/>
      <c r="Q185" s="35">
        <f ca="1">COUNTIF(Upaya_Agunan[[#This Row],[Blokir Agunan?]:[Penjualan Agunan?]],"Ya")</f>
        <v>1</v>
      </c>
      <c r="R185" s="35">
        <f ca="1">Upaya_Agunan[[#This Row],[Target Upaya]]-COUNTIFS(Upaya_Agunan[[#This Row],[Blokir Agunan?]:[Penjualan Agunan?]],"Ya",Upaya_Agunan[[#This Row],[Blokir Agunan]:[Penjualan Agunan]],"")</f>
        <v>1</v>
      </c>
      <c r="S185" s="36">
        <f ca="1">IF(ISNUMBER(Upaya_Agunan[[#This Row],[Realisasi]]/Upaya_Agunan[[#This Row],[Target Upaya]]),Upaya_Agunan[[#This Row],[Realisasi]]/Upaya_Agunan[[#This Row],[Target Upaya]],1)</f>
        <v>1</v>
      </c>
    </row>
    <row r="186" spans="1:19" x14ac:dyDescent="0.3">
      <c r="A186" s="16">
        <v>175</v>
      </c>
      <c r="B186" s="17" t="s">
        <v>495</v>
      </c>
      <c r="C186" s="16" t="s">
        <v>95</v>
      </c>
      <c r="D186" s="16" t="s">
        <v>638</v>
      </c>
      <c r="E186" s="16" t="s">
        <v>93</v>
      </c>
      <c r="F186" s="35" t="str">
        <f ca="1">INDEX(Upaya_Debitur[Lunas?],MATCH(Upaya_Agunan[[#This Row],[Nomor PK]],Upaya_Debitur[Nomor PK],0))</f>
        <v>Belum Lunas</v>
      </c>
      <c r="G186" s="35" t="str">
        <f>IF(OR(Upaya_Agunan[[#This Row],[Agunan]]="SHM",Upaya_Agunan[[#This Row],[Agunan]]="BPKB"),"Ya","Tidak")</f>
        <v>Tidak</v>
      </c>
      <c r="H18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8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86" s="35" t="str">
        <f ca="1">IF(AND(DATEDIF($B$5,$B$6,"D")&gt;=150,Upaya_Agunan[[#This Row],[Lelang 1?]]="Ya"),"Ya","Tidak")</f>
        <v>Tidak</v>
      </c>
      <c r="K186" s="35" t="str">
        <f ca="1">IF(AND(DATEDIF($B$5,$B$6,"D")&gt;=180,Upaya_Agunan[[#This Row],[Lelang 2?]]="Ya"),"Ya","Tidak")</f>
        <v>Tidak</v>
      </c>
      <c r="L186" s="18"/>
      <c r="M186" s="18"/>
      <c r="N186" s="18"/>
      <c r="O186" s="18"/>
      <c r="P186" s="18"/>
      <c r="Q186" s="35">
        <f ca="1">COUNTIF(Upaya_Agunan[[#This Row],[Blokir Agunan?]:[Penjualan Agunan?]],"Ya")</f>
        <v>0</v>
      </c>
      <c r="R186" s="35">
        <f ca="1">Upaya_Agunan[[#This Row],[Target Upaya]]-COUNTIFS(Upaya_Agunan[[#This Row],[Blokir Agunan?]:[Penjualan Agunan?]],"Ya",Upaya_Agunan[[#This Row],[Blokir Agunan]:[Penjualan Agunan]],"")</f>
        <v>0</v>
      </c>
      <c r="S186" s="36">
        <f ca="1">IF(ISNUMBER(Upaya_Agunan[[#This Row],[Realisasi]]/Upaya_Agunan[[#This Row],[Target Upaya]]),Upaya_Agunan[[#This Row],[Realisasi]]/Upaya_Agunan[[#This Row],[Target Upaya]],1)</f>
        <v>1</v>
      </c>
    </row>
    <row r="187" spans="1:19" x14ac:dyDescent="0.3">
      <c r="A187" s="16">
        <v>176</v>
      </c>
      <c r="B187" s="17" t="s">
        <v>497</v>
      </c>
      <c r="C187" s="16" t="s">
        <v>85</v>
      </c>
      <c r="D187" s="16" t="s">
        <v>78</v>
      </c>
      <c r="E187" s="16" t="s">
        <v>93</v>
      </c>
      <c r="F187" s="35" t="str">
        <f ca="1">INDEX(Upaya_Debitur[Lunas?],MATCH(Upaya_Agunan[[#This Row],[Nomor PK]],Upaya_Debitur[Nomor PK],0))</f>
        <v>Belum Lunas</v>
      </c>
      <c r="G187" s="35" t="str">
        <f>IF(OR(Upaya_Agunan[[#This Row],[Agunan]]="SHM",Upaya_Agunan[[#This Row],[Agunan]]="BPKB"),"Ya","Tidak")</f>
        <v>Ya</v>
      </c>
      <c r="H18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8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87" s="35" t="str">
        <f ca="1">IF(AND(DATEDIF($B$5,$B$6,"D")&gt;=150,Upaya_Agunan[[#This Row],[Lelang 1?]]="Ya"),"Ya","Tidak")</f>
        <v>Tidak</v>
      </c>
      <c r="K187" s="35" t="str">
        <f ca="1">IF(AND(DATEDIF($B$5,$B$6,"D")&gt;=180,Upaya_Agunan[[#This Row],[Lelang 2?]]="Ya"),"Ya","Tidak")</f>
        <v>Tidak</v>
      </c>
      <c r="L187" s="18" t="s">
        <v>640</v>
      </c>
      <c r="M187" s="18"/>
      <c r="N187" s="18"/>
      <c r="O187" s="18"/>
      <c r="P187" s="18"/>
      <c r="Q187" s="35">
        <f ca="1">COUNTIF(Upaya_Agunan[[#This Row],[Blokir Agunan?]:[Penjualan Agunan?]],"Ya")</f>
        <v>1</v>
      </c>
      <c r="R187" s="35">
        <f ca="1">Upaya_Agunan[[#This Row],[Target Upaya]]-COUNTIFS(Upaya_Agunan[[#This Row],[Blokir Agunan?]:[Penjualan Agunan?]],"Ya",Upaya_Agunan[[#This Row],[Blokir Agunan]:[Penjualan Agunan]],"")</f>
        <v>1</v>
      </c>
      <c r="S187" s="36">
        <f ca="1">IF(ISNUMBER(Upaya_Agunan[[#This Row],[Realisasi]]/Upaya_Agunan[[#This Row],[Target Upaya]]),Upaya_Agunan[[#This Row],[Realisasi]]/Upaya_Agunan[[#This Row],[Target Upaya]],1)</f>
        <v>1</v>
      </c>
    </row>
    <row r="188" spans="1:19" x14ac:dyDescent="0.3">
      <c r="A188" s="16">
        <v>177</v>
      </c>
      <c r="B188" s="17" t="s">
        <v>499</v>
      </c>
      <c r="C188" s="16" t="s">
        <v>84</v>
      </c>
      <c r="D188" s="16" t="s">
        <v>77</v>
      </c>
      <c r="E188" s="16" t="s">
        <v>93</v>
      </c>
      <c r="F188" s="35" t="str">
        <f ca="1">INDEX(Upaya_Debitur[Lunas?],MATCH(Upaya_Agunan[[#This Row],[Nomor PK]],Upaya_Debitur[Nomor PK],0))</f>
        <v>Belum Lunas</v>
      </c>
      <c r="G188" s="35" t="str">
        <f>IF(OR(Upaya_Agunan[[#This Row],[Agunan]]="SHM",Upaya_Agunan[[#This Row],[Agunan]]="BPKB"),"Ya","Tidak")</f>
        <v>Ya</v>
      </c>
      <c r="H18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8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88" s="35" t="str">
        <f ca="1">IF(AND(DATEDIF($B$5,$B$6,"D")&gt;=150,Upaya_Agunan[[#This Row],[Lelang 1?]]="Ya"),"Ya","Tidak")</f>
        <v>Tidak</v>
      </c>
      <c r="K188" s="35" t="str">
        <f ca="1">IF(AND(DATEDIF($B$5,$B$6,"D")&gt;=180,Upaya_Agunan[[#This Row],[Lelang 2?]]="Ya"),"Ya","Tidak")</f>
        <v>Tidak</v>
      </c>
      <c r="L188" s="18">
        <v>44125</v>
      </c>
      <c r="M188" s="18"/>
      <c r="N188" s="18"/>
      <c r="O188" s="18"/>
      <c r="P188" s="18"/>
      <c r="Q188" s="35">
        <f ca="1">COUNTIF(Upaya_Agunan[[#This Row],[Blokir Agunan?]:[Penjualan Agunan?]],"Ya")</f>
        <v>1</v>
      </c>
      <c r="R188" s="35">
        <f ca="1">Upaya_Agunan[[#This Row],[Target Upaya]]-COUNTIFS(Upaya_Agunan[[#This Row],[Blokir Agunan?]:[Penjualan Agunan?]],"Ya",Upaya_Agunan[[#This Row],[Blokir Agunan]:[Penjualan Agunan]],"")</f>
        <v>1</v>
      </c>
      <c r="S188" s="36">
        <f ca="1">IF(ISNUMBER(Upaya_Agunan[[#This Row],[Realisasi]]/Upaya_Agunan[[#This Row],[Target Upaya]]),Upaya_Agunan[[#This Row],[Realisasi]]/Upaya_Agunan[[#This Row],[Target Upaya]],1)</f>
        <v>1</v>
      </c>
    </row>
    <row r="189" spans="1:19" x14ac:dyDescent="0.3">
      <c r="A189" s="16">
        <v>178</v>
      </c>
      <c r="B189" s="17" t="s">
        <v>501</v>
      </c>
      <c r="C189" s="16" t="s">
        <v>95</v>
      </c>
      <c r="D189" s="16" t="s">
        <v>638</v>
      </c>
      <c r="E189" s="16" t="s">
        <v>93</v>
      </c>
      <c r="F189" s="35" t="str">
        <f ca="1">INDEX(Upaya_Debitur[Lunas?],MATCH(Upaya_Agunan[[#This Row],[Nomor PK]],Upaya_Debitur[Nomor PK],0))</f>
        <v>Belum Lunas</v>
      </c>
      <c r="G189" s="35" t="str">
        <f>IF(OR(Upaya_Agunan[[#This Row],[Agunan]]="SHM",Upaya_Agunan[[#This Row],[Agunan]]="BPKB"),"Ya","Tidak")</f>
        <v>Tidak</v>
      </c>
      <c r="H18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8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89" s="35" t="str">
        <f ca="1">IF(AND(DATEDIF($B$5,$B$6,"D")&gt;=150,Upaya_Agunan[[#This Row],[Lelang 1?]]="Ya"),"Ya","Tidak")</f>
        <v>Tidak</v>
      </c>
      <c r="K189" s="35" t="str">
        <f ca="1">IF(AND(DATEDIF($B$5,$B$6,"D")&gt;=180,Upaya_Agunan[[#This Row],[Lelang 2?]]="Ya"),"Ya","Tidak")</f>
        <v>Tidak</v>
      </c>
      <c r="L189" s="18"/>
      <c r="M189" s="18"/>
      <c r="N189" s="18"/>
      <c r="O189" s="18"/>
      <c r="P189" s="18"/>
      <c r="Q189" s="35">
        <f ca="1">COUNTIF(Upaya_Agunan[[#This Row],[Blokir Agunan?]:[Penjualan Agunan?]],"Ya")</f>
        <v>0</v>
      </c>
      <c r="R189" s="35">
        <f ca="1">Upaya_Agunan[[#This Row],[Target Upaya]]-COUNTIFS(Upaya_Agunan[[#This Row],[Blokir Agunan?]:[Penjualan Agunan?]],"Ya",Upaya_Agunan[[#This Row],[Blokir Agunan]:[Penjualan Agunan]],"")</f>
        <v>0</v>
      </c>
      <c r="S189" s="36">
        <f ca="1">IF(ISNUMBER(Upaya_Agunan[[#This Row],[Realisasi]]/Upaya_Agunan[[#This Row],[Target Upaya]]),Upaya_Agunan[[#This Row],[Realisasi]]/Upaya_Agunan[[#This Row],[Target Upaya]],1)</f>
        <v>1</v>
      </c>
    </row>
    <row r="190" spans="1:19" x14ac:dyDescent="0.3">
      <c r="A190" s="16">
        <v>179</v>
      </c>
      <c r="B190" s="17" t="s">
        <v>503</v>
      </c>
      <c r="C190" s="16" t="s">
        <v>85</v>
      </c>
      <c r="D190" s="16" t="s">
        <v>78</v>
      </c>
      <c r="E190" s="16" t="s">
        <v>93</v>
      </c>
      <c r="F190" s="35" t="str">
        <f ca="1">INDEX(Upaya_Debitur[Lunas?],MATCH(Upaya_Agunan[[#This Row],[Nomor PK]],Upaya_Debitur[Nomor PK],0))</f>
        <v>Belum Lunas</v>
      </c>
      <c r="G190" s="35" t="str">
        <f>IF(OR(Upaya_Agunan[[#This Row],[Agunan]]="SHM",Upaya_Agunan[[#This Row],[Agunan]]="BPKB"),"Ya","Tidak")</f>
        <v>Ya</v>
      </c>
      <c r="H19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9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90" s="35" t="str">
        <f ca="1">IF(AND(DATEDIF($B$5,$B$6,"D")&gt;=150,Upaya_Agunan[[#This Row],[Lelang 1?]]="Ya"),"Ya","Tidak")</f>
        <v>Tidak</v>
      </c>
      <c r="K190" s="35" t="str">
        <f ca="1">IF(AND(DATEDIF($B$5,$B$6,"D")&gt;=180,Upaya_Agunan[[#This Row],[Lelang 2?]]="Ya"),"Ya","Tidak")</f>
        <v>Tidak</v>
      </c>
      <c r="L190" s="18" t="s">
        <v>640</v>
      </c>
      <c r="M190" s="18"/>
      <c r="N190" s="18"/>
      <c r="O190" s="18"/>
      <c r="P190" s="18"/>
      <c r="Q190" s="35">
        <f ca="1">COUNTIF(Upaya_Agunan[[#This Row],[Blokir Agunan?]:[Penjualan Agunan?]],"Ya")</f>
        <v>1</v>
      </c>
      <c r="R190" s="35">
        <f ca="1">Upaya_Agunan[[#This Row],[Target Upaya]]-COUNTIFS(Upaya_Agunan[[#This Row],[Blokir Agunan?]:[Penjualan Agunan?]],"Ya",Upaya_Agunan[[#This Row],[Blokir Agunan]:[Penjualan Agunan]],"")</f>
        <v>1</v>
      </c>
      <c r="S190" s="36">
        <f ca="1">IF(ISNUMBER(Upaya_Agunan[[#This Row],[Realisasi]]/Upaya_Agunan[[#This Row],[Target Upaya]]),Upaya_Agunan[[#This Row],[Realisasi]]/Upaya_Agunan[[#This Row],[Target Upaya]],1)</f>
        <v>1</v>
      </c>
    </row>
    <row r="191" spans="1:19" x14ac:dyDescent="0.3">
      <c r="A191" s="16">
        <v>180</v>
      </c>
      <c r="B191" s="17" t="s">
        <v>505</v>
      </c>
      <c r="C191" s="16" t="s">
        <v>85</v>
      </c>
      <c r="D191" s="16" t="s">
        <v>78</v>
      </c>
      <c r="E191" s="16" t="s">
        <v>93</v>
      </c>
      <c r="F191" s="35" t="str">
        <f ca="1">INDEX(Upaya_Debitur[Lunas?],MATCH(Upaya_Agunan[[#This Row],[Nomor PK]],Upaya_Debitur[Nomor PK],0))</f>
        <v>Belum Lunas</v>
      </c>
      <c r="G191" s="35" t="str">
        <f>IF(OR(Upaya_Agunan[[#This Row],[Agunan]]="SHM",Upaya_Agunan[[#This Row],[Agunan]]="BPKB"),"Ya","Tidak")</f>
        <v>Ya</v>
      </c>
      <c r="H19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9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91" s="35" t="str">
        <f ca="1">IF(AND(DATEDIF($B$5,$B$6,"D")&gt;=150,Upaya_Agunan[[#This Row],[Lelang 1?]]="Ya"),"Ya","Tidak")</f>
        <v>Tidak</v>
      </c>
      <c r="K191" s="35" t="str">
        <f ca="1">IF(AND(DATEDIF($B$5,$B$6,"D")&gt;=180,Upaya_Agunan[[#This Row],[Lelang 2?]]="Ya"),"Ya","Tidak")</f>
        <v>Tidak</v>
      </c>
      <c r="L191" s="18" t="s">
        <v>642</v>
      </c>
      <c r="M191" s="18"/>
      <c r="N191" s="18"/>
      <c r="O191" s="18"/>
      <c r="P191" s="18"/>
      <c r="Q191" s="35">
        <f ca="1">COUNTIF(Upaya_Agunan[[#This Row],[Blokir Agunan?]:[Penjualan Agunan?]],"Ya")</f>
        <v>1</v>
      </c>
      <c r="R191" s="35">
        <f ca="1">Upaya_Agunan[[#This Row],[Target Upaya]]-COUNTIFS(Upaya_Agunan[[#This Row],[Blokir Agunan?]:[Penjualan Agunan?]],"Ya",Upaya_Agunan[[#This Row],[Blokir Agunan]:[Penjualan Agunan]],"")</f>
        <v>1</v>
      </c>
      <c r="S191" s="36">
        <f ca="1">IF(ISNUMBER(Upaya_Agunan[[#This Row],[Realisasi]]/Upaya_Agunan[[#This Row],[Target Upaya]]),Upaya_Agunan[[#This Row],[Realisasi]]/Upaya_Agunan[[#This Row],[Target Upaya]],1)</f>
        <v>1</v>
      </c>
    </row>
    <row r="192" spans="1:19" x14ac:dyDescent="0.3">
      <c r="A192" s="16">
        <v>181</v>
      </c>
      <c r="B192" s="17" t="s">
        <v>507</v>
      </c>
      <c r="C192" s="16" t="s">
        <v>95</v>
      </c>
      <c r="D192" s="16" t="s">
        <v>638</v>
      </c>
      <c r="E192" s="16" t="s">
        <v>93</v>
      </c>
      <c r="F192" s="35" t="str">
        <f ca="1">INDEX(Upaya_Debitur[Lunas?],MATCH(Upaya_Agunan[[#This Row],[Nomor PK]],Upaya_Debitur[Nomor PK],0))</f>
        <v>Belum Lunas</v>
      </c>
      <c r="G192" s="35" t="str">
        <f>IF(OR(Upaya_Agunan[[#This Row],[Agunan]]="SHM",Upaya_Agunan[[#This Row],[Agunan]]="BPKB"),"Ya","Tidak")</f>
        <v>Tidak</v>
      </c>
      <c r="H19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9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92" s="35" t="str">
        <f ca="1">IF(AND(DATEDIF($B$5,$B$6,"D")&gt;=150,Upaya_Agunan[[#This Row],[Lelang 1?]]="Ya"),"Ya","Tidak")</f>
        <v>Tidak</v>
      </c>
      <c r="K192" s="35" t="str">
        <f ca="1">IF(AND(DATEDIF($B$5,$B$6,"D")&gt;=180,Upaya_Agunan[[#This Row],[Lelang 2?]]="Ya"),"Ya","Tidak")</f>
        <v>Tidak</v>
      </c>
      <c r="L192" s="18"/>
      <c r="M192" s="18"/>
      <c r="N192" s="18"/>
      <c r="O192" s="18"/>
      <c r="P192" s="18"/>
      <c r="Q192" s="35">
        <f ca="1">COUNTIF(Upaya_Agunan[[#This Row],[Blokir Agunan?]:[Penjualan Agunan?]],"Ya")</f>
        <v>0</v>
      </c>
      <c r="R192" s="35">
        <f ca="1">Upaya_Agunan[[#This Row],[Target Upaya]]-COUNTIFS(Upaya_Agunan[[#This Row],[Blokir Agunan?]:[Penjualan Agunan?]],"Ya",Upaya_Agunan[[#This Row],[Blokir Agunan]:[Penjualan Agunan]],"")</f>
        <v>0</v>
      </c>
      <c r="S192" s="36">
        <f ca="1">IF(ISNUMBER(Upaya_Agunan[[#This Row],[Realisasi]]/Upaya_Agunan[[#This Row],[Target Upaya]]),Upaya_Agunan[[#This Row],[Realisasi]]/Upaya_Agunan[[#This Row],[Target Upaya]],1)</f>
        <v>1</v>
      </c>
    </row>
    <row r="193" spans="1:19" x14ac:dyDescent="0.3">
      <c r="A193" s="16">
        <v>182</v>
      </c>
      <c r="B193" s="17" t="s">
        <v>509</v>
      </c>
      <c r="C193" s="16" t="s">
        <v>85</v>
      </c>
      <c r="D193" s="16" t="s">
        <v>78</v>
      </c>
      <c r="E193" s="16" t="s">
        <v>93</v>
      </c>
      <c r="F193" s="35" t="str">
        <f ca="1">INDEX(Upaya_Debitur[Lunas?],MATCH(Upaya_Agunan[[#This Row],[Nomor PK]],Upaya_Debitur[Nomor PK],0))</f>
        <v>Belum Lunas</v>
      </c>
      <c r="G193" s="35" t="str">
        <f>IF(OR(Upaya_Agunan[[#This Row],[Agunan]]="SHM",Upaya_Agunan[[#This Row],[Agunan]]="BPKB"),"Ya","Tidak")</f>
        <v>Ya</v>
      </c>
      <c r="H19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9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93" s="35" t="str">
        <f ca="1">IF(AND(DATEDIF($B$5,$B$6,"D")&gt;=150,Upaya_Agunan[[#This Row],[Lelang 1?]]="Ya"),"Ya","Tidak")</f>
        <v>Tidak</v>
      </c>
      <c r="K193" s="35" t="str">
        <f ca="1">IF(AND(DATEDIF($B$5,$B$6,"D")&gt;=180,Upaya_Agunan[[#This Row],[Lelang 2?]]="Ya"),"Ya","Tidak")</f>
        <v>Tidak</v>
      </c>
      <c r="L193" s="18" t="s">
        <v>640</v>
      </c>
      <c r="M193" s="18"/>
      <c r="N193" s="18"/>
      <c r="O193" s="18"/>
      <c r="P193" s="18"/>
      <c r="Q193" s="35">
        <f ca="1">COUNTIF(Upaya_Agunan[[#This Row],[Blokir Agunan?]:[Penjualan Agunan?]],"Ya")</f>
        <v>1</v>
      </c>
      <c r="R193" s="35">
        <f ca="1">Upaya_Agunan[[#This Row],[Target Upaya]]-COUNTIFS(Upaya_Agunan[[#This Row],[Blokir Agunan?]:[Penjualan Agunan?]],"Ya",Upaya_Agunan[[#This Row],[Blokir Agunan]:[Penjualan Agunan]],"")</f>
        <v>1</v>
      </c>
      <c r="S193" s="36">
        <f ca="1">IF(ISNUMBER(Upaya_Agunan[[#This Row],[Realisasi]]/Upaya_Agunan[[#This Row],[Target Upaya]]),Upaya_Agunan[[#This Row],[Realisasi]]/Upaya_Agunan[[#This Row],[Target Upaya]],1)</f>
        <v>1</v>
      </c>
    </row>
    <row r="194" spans="1:19" x14ac:dyDescent="0.3">
      <c r="A194" s="16">
        <v>183</v>
      </c>
      <c r="B194" s="17" t="s">
        <v>510</v>
      </c>
      <c r="C194" s="16" t="s">
        <v>84</v>
      </c>
      <c r="D194" s="16" t="s">
        <v>79</v>
      </c>
      <c r="E194" s="16" t="s">
        <v>93</v>
      </c>
      <c r="F194" s="35" t="str">
        <f ca="1">INDEX(Upaya_Debitur[Lunas?],MATCH(Upaya_Agunan[[#This Row],[Nomor PK]],Upaya_Debitur[Nomor PK],0))</f>
        <v>Belum Lunas</v>
      </c>
      <c r="G194" s="35" t="str">
        <f>IF(OR(Upaya_Agunan[[#This Row],[Agunan]]="SHM",Upaya_Agunan[[#This Row],[Agunan]]="BPKB"),"Ya","Tidak")</f>
        <v>Tidak</v>
      </c>
      <c r="H19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9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94" s="35" t="str">
        <f ca="1">IF(AND(DATEDIF($B$5,$B$6,"D")&gt;=150,Upaya_Agunan[[#This Row],[Lelang 1?]]="Ya"),"Ya","Tidak")</f>
        <v>Tidak</v>
      </c>
      <c r="K194" s="35" t="str">
        <f ca="1">IF(AND(DATEDIF($B$5,$B$6,"D")&gt;=180,Upaya_Agunan[[#This Row],[Lelang 2?]]="Ya"),"Ya","Tidak")</f>
        <v>Tidak</v>
      </c>
      <c r="L194" s="18"/>
      <c r="M194" s="18"/>
      <c r="N194" s="18"/>
      <c r="O194" s="18"/>
      <c r="P194" s="18"/>
      <c r="Q194" s="35">
        <f ca="1">COUNTIF(Upaya_Agunan[[#This Row],[Blokir Agunan?]:[Penjualan Agunan?]],"Ya")</f>
        <v>0</v>
      </c>
      <c r="R194" s="35">
        <f ca="1">Upaya_Agunan[[#This Row],[Target Upaya]]-COUNTIFS(Upaya_Agunan[[#This Row],[Blokir Agunan?]:[Penjualan Agunan?]],"Ya",Upaya_Agunan[[#This Row],[Blokir Agunan]:[Penjualan Agunan]],"")</f>
        <v>0</v>
      </c>
      <c r="S194" s="36">
        <f ca="1">IF(ISNUMBER(Upaya_Agunan[[#This Row],[Realisasi]]/Upaya_Agunan[[#This Row],[Target Upaya]]),Upaya_Agunan[[#This Row],[Realisasi]]/Upaya_Agunan[[#This Row],[Target Upaya]],1)</f>
        <v>1</v>
      </c>
    </row>
    <row r="195" spans="1:19" x14ac:dyDescent="0.3">
      <c r="A195" s="16">
        <v>184</v>
      </c>
      <c r="B195" s="17" t="s">
        <v>512</v>
      </c>
      <c r="C195" s="16" t="s">
        <v>85</v>
      </c>
      <c r="D195" s="16" t="s">
        <v>78</v>
      </c>
      <c r="E195" s="16" t="s">
        <v>93</v>
      </c>
      <c r="F195" s="35" t="str">
        <f ca="1">INDEX(Upaya_Debitur[Lunas?],MATCH(Upaya_Agunan[[#This Row],[Nomor PK]],Upaya_Debitur[Nomor PK],0))</f>
        <v>Belum Lunas</v>
      </c>
      <c r="G195" s="35" t="str">
        <f>IF(OR(Upaya_Agunan[[#This Row],[Agunan]]="SHM",Upaya_Agunan[[#This Row],[Agunan]]="BPKB"),"Ya","Tidak")</f>
        <v>Ya</v>
      </c>
      <c r="H19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9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95" s="35" t="str">
        <f ca="1">IF(AND(DATEDIF($B$5,$B$6,"D")&gt;=150,Upaya_Agunan[[#This Row],[Lelang 1?]]="Ya"),"Ya","Tidak")</f>
        <v>Tidak</v>
      </c>
      <c r="K195" s="35" t="str">
        <f ca="1">IF(AND(DATEDIF($B$5,$B$6,"D")&gt;=180,Upaya_Agunan[[#This Row],[Lelang 2?]]="Ya"),"Ya","Tidak")</f>
        <v>Tidak</v>
      </c>
      <c r="L195" s="18" t="s">
        <v>640</v>
      </c>
      <c r="M195" s="18"/>
      <c r="N195" s="18"/>
      <c r="O195" s="18"/>
      <c r="P195" s="18"/>
      <c r="Q195" s="35">
        <f ca="1">COUNTIF(Upaya_Agunan[[#This Row],[Blokir Agunan?]:[Penjualan Agunan?]],"Ya")</f>
        <v>1</v>
      </c>
      <c r="R195" s="35">
        <f ca="1">Upaya_Agunan[[#This Row],[Target Upaya]]-COUNTIFS(Upaya_Agunan[[#This Row],[Blokir Agunan?]:[Penjualan Agunan?]],"Ya",Upaya_Agunan[[#This Row],[Blokir Agunan]:[Penjualan Agunan]],"")</f>
        <v>1</v>
      </c>
      <c r="S195" s="36">
        <f ca="1">IF(ISNUMBER(Upaya_Agunan[[#This Row],[Realisasi]]/Upaya_Agunan[[#This Row],[Target Upaya]]),Upaya_Agunan[[#This Row],[Realisasi]]/Upaya_Agunan[[#This Row],[Target Upaya]],1)</f>
        <v>1</v>
      </c>
    </row>
    <row r="196" spans="1:19" x14ac:dyDescent="0.3">
      <c r="A196" s="16">
        <v>185</v>
      </c>
      <c r="B196" s="17" t="s">
        <v>512</v>
      </c>
      <c r="C196" s="16" t="s">
        <v>85</v>
      </c>
      <c r="D196" s="16" t="s">
        <v>78</v>
      </c>
      <c r="E196" s="16" t="s">
        <v>93</v>
      </c>
      <c r="F196" s="35" t="str">
        <f ca="1">INDEX(Upaya_Debitur[Lunas?],MATCH(Upaya_Agunan[[#This Row],[Nomor PK]],Upaya_Debitur[Nomor PK],0))</f>
        <v>Belum Lunas</v>
      </c>
      <c r="G196" s="35" t="str">
        <f>IF(OR(Upaya_Agunan[[#This Row],[Agunan]]="SHM",Upaya_Agunan[[#This Row],[Agunan]]="BPKB"),"Ya","Tidak")</f>
        <v>Ya</v>
      </c>
      <c r="H19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9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96" s="35" t="str">
        <f ca="1">IF(AND(DATEDIF($B$5,$B$6,"D")&gt;=150,Upaya_Agunan[[#This Row],[Lelang 1?]]="Ya"),"Ya","Tidak")</f>
        <v>Tidak</v>
      </c>
      <c r="K196" s="35" t="str">
        <f ca="1">IF(AND(DATEDIF($B$5,$B$6,"D")&gt;=180,Upaya_Agunan[[#This Row],[Lelang 2?]]="Ya"),"Ya","Tidak")</f>
        <v>Tidak</v>
      </c>
      <c r="L196" s="18" t="s">
        <v>640</v>
      </c>
      <c r="M196" s="18"/>
      <c r="N196" s="18"/>
      <c r="O196" s="18"/>
      <c r="P196" s="18"/>
      <c r="Q196" s="35">
        <f ca="1">COUNTIF(Upaya_Agunan[[#This Row],[Blokir Agunan?]:[Penjualan Agunan?]],"Ya")</f>
        <v>1</v>
      </c>
      <c r="R196" s="35">
        <f ca="1">Upaya_Agunan[[#This Row],[Target Upaya]]-COUNTIFS(Upaya_Agunan[[#This Row],[Blokir Agunan?]:[Penjualan Agunan?]],"Ya",Upaya_Agunan[[#This Row],[Blokir Agunan]:[Penjualan Agunan]],"")</f>
        <v>1</v>
      </c>
      <c r="S196" s="36">
        <f ca="1">IF(ISNUMBER(Upaya_Agunan[[#This Row],[Realisasi]]/Upaya_Agunan[[#This Row],[Target Upaya]]),Upaya_Agunan[[#This Row],[Realisasi]]/Upaya_Agunan[[#This Row],[Target Upaya]],1)</f>
        <v>1</v>
      </c>
    </row>
    <row r="197" spans="1:19" x14ac:dyDescent="0.3">
      <c r="A197" s="16">
        <v>186</v>
      </c>
      <c r="B197" s="17" t="s">
        <v>514</v>
      </c>
      <c r="C197" s="16" t="s">
        <v>85</v>
      </c>
      <c r="D197" s="16" t="s">
        <v>78</v>
      </c>
      <c r="E197" s="16" t="s">
        <v>93</v>
      </c>
      <c r="F197" s="35" t="str">
        <f ca="1">INDEX(Upaya_Debitur[Lunas?],MATCH(Upaya_Agunan[[#This Row],[Nomor PK]],Upaya_Debitur[Nomor PK],0))</f>
        <v>Belum Lunas</v>
      </c>
      <c r="G197" s="35" t="str">
        <f>IF(OR(Upaya_Agunan[[#This Row],[Agunan]]="SHM",Upaya_Agunan[[#This Row],[Agunan]]="BPKB"),"Ya","Tidak")</f>
        <v>Ya</v>
      </c>
      <c r="H19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9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97" s="35" t="str">
        <f ca="1">IF(AND(DATEDIF($B$5,$B$6,"D")&gt;=150,Upaya_Agunan[[#This Row],[Lelang 1?]]="Ya"),"Ya","Tidak")</f>
        <v>Tidak</v>
      </c>
      <c r="K197" s="35" t="str">
        <f ca="1">IF(AND(DATEDIF($B$5,$B$6,"D")&gt;=180,Upaya_Agunan[[#This Row],[Lelang 2?]]="Ya"),"Ya","Tidak")</f>
        <v>Tidak</v>
      </c>
      <c r="L197" s="18" t="s">
        <v>640</v>
      </c>
      <c r="M197" s="18"/>
      <c r="N197" s="18"/>
      <c r="O197" s="18"/>
      <c r="P197" s="18"/>
      <c r="Q197" s="35">
        <f ca="1">COUNTIF(Upaya_Agunan[[#This Row],[Blokir Agunan?]:[Penjualan Agunan?]],"Ya")</f>
        <v>1</v>
      </c>
      <c r="R197" s="35">
        <f ca="1">Upaya_Agunan[[#This Row],[Target Upaya]]-COUNTIFS(Upaya_Agunan[[#This Row],[Blokir Agunan?]:[Penjualan Agunan?]],"Ya",Upaya_Agunan[[#This Row],[Blokir Agunan]:[Penjualan Agunan]],"")</f>
        <v>1</v>
      </c>
      <c r="S197" s="36">
        <f ca="1">IF(ISNUMBER(Upaya_Agunan[[#This Row],[Realisasi]]/Upaya_Agunan[[#This Row],[Target Upaya]]),Upaya_Agunan[[#This Row],[Realisasi]]/Upaya_Agunan[[#This Row],[Target Upaya]],1)</f>
        <v>1</v>
      </c>
    </row>
    <row r="198" spans="1:19" x14ac:dyDescent="0.3">
      <c r="A198" s="16">
        <v>187</v>
      </c>
      <c r="B198" s="17" t="s">
        <v>514</v>
      </c>
      <c r="C198" s="16" t="s">
        <v>85</v>
      </c>
      <c r="D198" s="16" t="s">
        <v>78</v>
      </c>
      <c r="E198" s="16" t="s">
        <v>93</v>
      </c>
      <c r="F198" s="35" t="str">
        <f ca="1">INDEX(Upaya_Debitur[Lunas?],MATCH(Upaya_Agunan[[#This Row],[Nomor PK]],Upaya_Debitur[Nomor PK],0))</f>
        <v>Belum Lunas</v>
      </c>
      <c r="G198" s="35" t="str">
        <f>IF(OR(Upaya_Agunan[[#This Row],[Agunan]]="SHM",Upaya_Agunan[[#This Row],[Agunan]]="BPKB"),"Ya","Tidak")</f>
        <v>Ya</v>
      </c>
      <c r="H19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9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98" s="35" t="str">
        <f ca="1">IF(AND(DATEDIF($B$5,$B$6,"D")&gt;=150,Upaya_Agunan[[#This Row],[Lelang 1?]]="Ya"),"Ya","Tidak")</f>
        <v>Tidak</v>
      </c>
      <c r="K198" s="35" t="str">
        <f ca="1">IF(AND(DATEDIF($B$5,$B$6,"D")&gt;=180,Upaya_Agunan[[#This Row],[Lelang 2?]]="Ya"),"Ya","Tidak")</f>
        <v>Tidak</v>
      </c>
      <c r="L198" s="18" t="s">
        <v>640</v>
      </c>
      <c r="M198" s="18"/>
      <c r="N198" s="18"/>
      <c r="O198" s="18"/>
      <c r="P198" s="18"/>
      <c r="Q198" s="35">
        <f ca="1">COUNTIF(Upaya_Agunan[[#This Row],[Blokir Agunan?]:[Penjualan Agunan?]],"Ya")</f>
        <v>1</v>
      </c>
      <c r="R198" s="35">
        <f ca="1">Upaya_Agunan[[#This Row],[Target Upaya]]-COUNTIFS(Upaya_Agunan[[#This Row],[Blokir Agunan?]:[Penjualan Agunan?]],"Ya",Upaya_Agunan[[#This Row],[Blokir Agunan]:[Penjualan Agunan]],"")</f>
        <v>1</v>
      </c>
      <c r="S198" s="36">
        <f ca="1">IF(ISNUMBER(Upaya_Agunan[[#This Row],[Realisasi]]/Upaya_Agunan[[#This Row],[Target Upaya]]),Upaya_Agunan[[#This Row],[Realisasi]]/Upaya_Agunan[[#This Row],[Target Upaya]],1)</f>
        <v>1</v>
      </c>
    </row>
    <row r="199" spans="1:19" x14ac:dyDescent="0.3">
      <c r="A199" s="16">
        <v>188</v>
      </c>
      <c r="B199" s="17" t="s">
        <v>516</v>
      </c>
      <c r="C199" s="16" t="s">
        <v>85</v>
      </c>
      <c r="D199" s="16" t="s">
        <v>78</v>
      </c>
      <c r="E199" s="16" t="s">
        <v>93</v>
      </c>
      <c r="F199" s="35" t="str">
        <f ca="1">INDEX(Upaya_Debitur[Lunas?],MATCH(Upaya_Agunan[[#This Row],[Nomor PK]],Upaya_Debitur[Nomor PK],0))</f>
        <v>Belum Lunas</v>
      </c>
      <c r="G199" s="35" t="str">
        <f>IF(OR(Upaya_Agunan[[#This Row],[Agunan]]="SHM",Upaya_Agunan[[#This Row],[Agunan]]="BPKB"),"Ya","Tidak")</f>
        <v>Ya</v>
      </c>
      <c r="H19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19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199" s="35" t="str">
        <f ca="1">IF(AND(DATEDIF($B$5,$B$6,"D")&gt;=150,Upaya_Agunan[[#This Row],[Lelang 1?]]="Ya"),"Ya","Tidak")</f>
        <v>Tidak</v>
      </c>
      <c r="K199" s="35" t="str">
        <f ca="1">IF(AND(DATEDIF($B$5,$B$6,"D")&gt;=180,Upaya_Agunan[[#This Row],[Lelang 2?]]="Ya"),"Ya","Tidak")</f>
        <v>Tidak</v>
      </c>
      <c r="L199" s="18" t="s">
        <v>640</v>
      </c>
      <c r="M199" s="18"/>
      <c r="N199" s="18"/>
      <c r="O199" s="18"/>
      <c r="P199" s="18"/>
      <c r="Q199" s="35">
        <f ca="1">COUNTIF(Upaya_Agunan[[#This Row],[Blokir Agunan?]:[Penjualan Agunan?]],"Ya")</f>
        <v>1</v>
      </c>
      <c r="R199" s="35">
        <f ca="1">Upaya_Agunan[[#This Row],[Target Upaya]]-COUNTIFS(Upaya_Agunan[[#This Row],[Blokir Agunan?]:[Penjualan Agunan?]],"Ya",Upaya_Agunan[[#This Row],[Blokir Agunan]:[Penjualan Agunan]],"")</f>
        <v>1</v>
      </c>
      <c r="S199" s="36">
        <f ca="1">IF(ISNUMBER(Upaya_Agunan[[#This Row],[Realisasi]]/Upaya_Agunan[[#This Row],[Target Upaya]]),Upaya_Agunan[[#This Row],[Realisasi]]/Upaya_Agunan[[#This Row],[Target Upaya]],1)</f>
        <v>1</v>
      </c>
    </row>
    <row r="200" spans="1:19" x14ac:dyDescent="0.3">
      <c r="A200" s="16">
        <v>189</v>
      </c>
      <c r="B200" s="17" t="s">
        <v>518</v>
      </c>
      <c r="C200" s="16" t="s">
        <v>85</v>
      </c>
      <c r="D200" s="16" t="s">
        <v>78</v>
      </c>
      <c r="E200" s="16" t="s">
        <v>93</v>
      </c>
      <c r="F200" s="35" t="str">
        <f ca="1">INDEX(Upaya_Debitur[Lunas?],MATCH(Upaya_Agunan[[#This Row],[Nomor PK]],Upaya_Debitur[Nomor PK],0))</f>
        <v>Belum Lunas</v>
      </c>
      <c r="G200" s="35" t="str">
        <f>IF(OR(Upaya_Agunan[[#This Row],[Agunan]]="SHM",Upaya_Agunan[[#This Row],[Agunan]]="BPKB"),"Ya","Tidak")</f>
        <v>Ya</v>
      </c>
      <c r="H20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0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00" s="35" t="str">
        <f ca="1">IF(AND(DATEDIF($B$5,$B$6,"D")&gt;=150,Upaya_Agunan[[#This Row],[Lelang 1?]]="Ya"),"Ya","Tidak")</f>
        <v>Tidak</v>
      </c>
      <c r="K200" s="35" t="str">
        <f ca="1">IF(AND(DATEDIF($B$5,$B$6,"D")&gt;=180,Upaya_Agunan[[#This Row],[Lelang 2?]]="Ya"),"Ya","Tidak")</f>
        <v>Tidak</v>
      </c>
      <c r="L200" s="18" t="s">
        <v>640</v>
      </c>
      <c r="M200" s="18"/>
      <c r="N200" s="18"/>
      <c r="O200" s="18"/>
      <c r="P200" s="18"/>
      <c r="Q200" s="35">
        <f ca="1">COUNTIF(Upaya_Agunan[[#This Row],[Blokir Agunan?]:[Penjualan Agunan?]],"Ya")</f>
        <v>1</v>
      </c>
      <c r="R200" s="35">
        <f ca="1">Upaya_Agunan[[#This Row],[Target Upaya]]-COUNTIFS(Upaya_Agunan[[#This Row],[Blokir Agunan?]:[Penjualan Agunan?]],"Ya",Upaya_Agunan[[#This Row],[Blokir Agunan]:[Penjualan Agunan]],"")</f>
        <v>1</v>
      </c>
      <c r="S200" s="36">
        <f ca="1">IF(ISNUMBER(Upaya_Agunan[[#This Row],[Realisasi]]/Upaya_Agunan[[#This Row],[Target Upaya]]),Upaya_Agunan[[#This Row],[Realisasi]]/Upaya_Agunan[[#This Row],[Target Upaya]],1)</f>
        <v>1</v>
      </c>
    </row>
    <row r="201" spans="1:19" x14ac:dyDescent="0.3">
      <c r="A201" s="16">
        <v>190</v>
      </c>
      <c r="B201" s="17" t="s">
        <v>520</v>
      </c>
      <c r="C201" s="16" t="s">
        <v>85</v>
      </c>
      <c r="D201" s="16" t="s">
        <v>78</v>
      </c>
      <c r="E201" s="16" t="s">
        <v>93</v>
      </c>
      <c r="F201" s="35" t="str">
        <f ca="1">INDEX(Upaya_Debitur[Lunas?],MATCH(Upaya_Agunan[[#This Row],[Nomor PK]],Upaya_Debitur[Nomor PK],0))</f>
        <v>Belum Lunas</v>
      </c>
      <c r="G201" s="35" t="str">
        <f>IF(OR(Upaya_Agunan[[#This Row],[Agunan]]="SHM",Upaya_Agunan[[#This Row],[Agunan]]="BPKB"),"Ya","Tidak")</f>
        <v>Ya</v>
      </c>
      <c r="H20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0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01" s="35" t="str">
        <f ca="1">IF(AND(DATEDIF($B$5,$B$6,"D")&gt;=150,Upaya_Agunan[[#This Row],[Lelang 1?]]="Ya"),"Ya","Tidak")</f>
        <v>Tidak</v>
      </c>
      <c r="K201" s="35" t="str">
        <f ca="1">IF(AND(DATEDIF($B$5,$B$6,"D")&gt;=180,Upaya_Agunan[[#This Row],[Lelang 2?]]="Ya"),"Ya","Tidak")</f>
        <v>Tidak</v>
      </c>
      <c r="L201" s="18" t="s">
        <v>640</v>
      </c>
      <c r="M201" s="18"/>
      <c r="N201" s="18"/>
      <c r="O201" s="18"/>
      <c r="P201" s="18"/>
      <c r="Q201" s="35">
        <f ca="1">COUNTIF(Upaya_Agunan[[#This Row],[Blokir Agunan?]:[Penjualan Agunan?]],"Ya")</f>
        <v>1</v>
      </c>
      <c r="R201" s="35">
        <f ca="1">Upaya_Agunan[[#This Row],[Target Upaya]]-COUNTIFS(Upaya_Agunan[[#This Row],[Blokir Agunan?]:[Penjualan Agunan?]],"Ya",Upaya_Agunan[[#This Row],[Blokir Agunan]:[Penjualan Agunan]],"")</f>
        <v>1</v>
      </c>
      <c r="S201" s="36">
        <f ca="1">IF(ISNUMBER(Upaya_Agunan[[#This Row],[Realisasi]]/Upaya_Agunan[[#This Row],[Target Upaya]]),Upaya_Agunan[[#This Row],[Realisasi]]/Upaya_Agunan[[#This Row],[Target Upaya]],1)</f>
        <v>1</v>
      </c>
    </row>
    <row r="202" spans="1:19" x14ac:dyDescent="0.3">
      <c r="A202" s="16">
        <v>191</v>
      </c>
      <c r="B202" s="17" t="s">
        <v>522</v>
      </c>
      <c r="C202" s="16" t="s">
        <v>85</v>
      </c>
      <c r="D202" s="16" t="s">
        <v>78</v>
      </c>
      <c r="E202" s="16" t="s">
        <v>93</v>
      </c>
      <c r="F202" s="35" t="str">
        <f ca="1">INDEX(Upaya_Debitur[Lunas?],MATCH(Upaya_Agunan[[#This Row],[Nomor PK]],Upaya_Debitur[Nomor PK],0))</f>
        <v>Belum Lunas</v>
      </c>
      <c r="G202" s="35" t="str">
        <f>IF(OR(Upaya_Agunan[[#This Row],[Agunan]]="SHM",Upaya_Agunan[[#This Row],[Agunan]]="BPKB"),"Ya","Tidak")</f>
        <v>Ya</v>
      </c>
      <c r="H20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0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02" s="35" t="str">
        <f ca="1">IF(AND(DATEDIF($B$5,$B$6,"D")&gt;=150,Upaya_Agunan[[#This Row],[Lelang 1?]]="Ya"),"Ya","Tidak")</f>
        <v>Tidak</v>
      </c>
      <c r="K202" s="35" t="str">
        <f ca="1">IF(AND(DATEDIF($B$5,$B$6,"D")&gt;=180,Upaya_Agunan[[#This Row],[Lelang 2?]]="Ya"),"Ya","Tidak")</f>
        <v>Tidak</v>
      </c>
      <c r="L202" s="18" t="s">
        <v>640</v>
      </c>
      <c r="M202" s="18"/>
      <c r="N202" s="18"/>
      <c r="O202" s="18"/>
      <c r="P202" s="18"/>
      <c r="Q202" s="35">
        <f ca="1">COUNTIF(Upaya_Agunan[[#This Row],[Blokir Agunan?]:[Penjualan Agunan?]],"Ya")</f>
        <v>1</v>
      </c>
      <c r="R202" s="35">
        <f ca="1">Upaya_Agunan[[#This Row],[Target Upaya]]-COUNTIFS(Upaya_Agunan[[#This Row],[Blokir Agunan?]:[Penjualan Agunan?]],"Ya",Upaya_Agunan[[#This Row],[Blokir Agunan]:[Penjualan Agunan]],"")</f>
        <v>1</v>
      </c>
      <c r="S202" s="36">
        <f ca="1">IF(ISNUMBER(Upaya_Agunan[[#This Row],[Realisasi]]/Upaya_Agunan[[#This Row],[Target Upaya]]),Upaya_Agunan[[#This Row],[Realisasi]]/Upaya_Agunan[[#This Row],[Target Upaya]],1)</f>
        <v>1</v>
      </c>
    </row>
    <row r="203" spans="1:19" x14ac:dyDescent="0.3">
      <c r="A203" s="16">
        <v>192</v>
      </c>
      <c r="B203" s="17" t="s">
        <v>524</v>
      </c>
      <c r="C203" s="16" t="s">
        <v>85</v>
      </c>
      <c r="D203" s="16" t="s">
        <v>78</v>
      </c>
      <c r="E203" s="16" t="s">
        <v>106</v>
      </c>
      <c r="F203" s="35" t="str">
        <f ca="1">INDEX(Upaya_Debitur[Lunas?],MATCH(Upaya_Agunan[[#This Row],[Nomor PK]],Upaya_Debitur[Nomor PK],0))</f>
        <v>Belum Lunas</v>
      </c>
      <c r="G203" s="35" t="str">
        <f>IF(OR(Upaya_Agunan[[#This Row],[Agunan]]="SHM",Upaya_Agunan[[#This Row],[Agunan]]="BPKB"),"Ya","Tidak")</f>
        <v>Ya</v>
      </c>
      <c r="H20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0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03" s="35" t="str">
        <f ca="1">IF(AND(DATEDIF($B$5,$B$6,"D")&gt;=150,Upaya_Agunan[[#This Row],[Lelang 1?]]="Ya"),"Ya","Tidak")</f>
        <v>Tidak</v>
      </c>
      <c r="K203" s="35" t="str">
        <f ca="1">IF(AND(DATEDIF($B$5,$B$6,"D")&gt;=180,Upaya_Agunan[[#This Row],[Lelang 2?]]="Ya"),"Ya","Tidak")</f>
        <v>Tidak</v>
      </c>
      <c r="L203" s="18" t="s">
        <v>640</v>
      </c>
      <c r="M203" s="18"/>
      <c r="N203" s="18"/>
      <c r="O203" s="18"/>
      <c r="P203" s="18"/>
      <c r="Q203" s="35">
        <f ca="1">COUNTIF(Upaya_Agunan[[#This Row],[Blokir Agunan?]:[Penjualan Agunan?]],"Ya")</f>
        <v>1</v>
      </c>
      <c r="R203" s="35">
        <f ca="1">Upaya_Agunan[[#This Row],[Target Upaya]]-COUNTIFS(Upaya_Agunan[[#This Row],[Blokir Agunan?]:[Penjualan Agunan?]],"Ya",Upaya_Agunan[[#This Row],[Blokir Agunan]:[Penjualan Agunan]],"")</f>
        <v>1</v>
      </c>
      <c r="S203" s="36">
        <f ca="1">IF(ISNUMBER(Upaya_Agunan[[#This Row],[Realisasi]]/Upaya_Agunan[[#This Row],[Target Upaya]]),Upaya_Agunan[[#This Row],[Realisasi]]/Upaya_Agunan[[#This Row],[Target Upaya]],1)</f>
        <v>1</v>
      </c>
    </row>
    <row r="204" spans="1:19" x14ac:dyDescent="0.3">
      <c r="A204" s="16">
        <v>193</v>
      </c>
      <c r="B204" s="17" t="s">
        <v>526</v>
      </c>
      <c r="C204" s="16" t="s">
        <v>85</v>
      </c>
      <c r="D204" s="16" t="s">
        <v>78</v>
      </c>
      <c r="E204" s="16" t="s">
        <v>93</v>
      </c>
      <c r="F204" s="35" t="str">
        <f ca="1">INDEX(Upaya_Debitur[Lunas?],MATCH(Upaya_Agunan[[#This Row],[Nomor PK]],Upaya_Debitur[Nomor PK],0))</f>
        <v>Belum Lunas</v>
      </c>
      <c r="G204" s="35" t="str">
        <f>IF(OR(Upaya_Agunan[[#This Row],[Agunan]]="SHM",Upaya_Agunan[[#This Row],[Agunan]]="BPKB"),"Ya","Tidak")</f>
        <v>Ya</v>
      </c>
      <c r="H20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0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04" s="35" t="str">
        <f ca="1">IF(AND(DATEDIF($B$5,$B$6,"D")&gt;=150,Upaya_Agunan[[#This Row],[Lelang 1?]]="Ya"),"Ya","Tidak")</f>
        <v>Tidak</v>
      </c>
      <c r="K204" s="35" t="str">
        <f ca="1">IF(AND(DATEDIF($B$5,$B$6,"D")&gt;=180,Upaya_Agunan[[#This Row],[Lelang 2?]]="Ya"),"Ya","Tidak")</f>
        <v>Tidak</v>
      </c>
      <c r="L204" s="18" t="s">
        <v>640</v>
      </c>
      <c r="M204" s="18"/>
      <c r="N204" s="18"/>
      <c r="O204" s="18"/>
      <c r="P204" s="18"/>
      <c r="Q204" s="35">
        <f ca="1">COUNTIF(Upaya_Agunan[[#This Row],[Blokir Agunan?]:[Penjualan Agunan?]],"Ya")</f>
        <v>1</v>
      </c>
      <c r="R204" s="35">
        <f ca="1">Upaya_Agunan[[#This Row],[Target Upaya]]-COUNTIFS(Upaya_Agunan[[#This Row],[Blokir Agunan?]:[Penjualan Agunan?]],"Ya",Upaya_Agunan[[#This Row],[Blokir Agunan]:[Penjualan Agunan]],"")</f>
        <v>1</v>
      </c>
      <c r="S204" s="36">
        <f ca="1">IF(ISNUMBER(Upaya_Agunan[[#This Row],[Realisasi]]/Upaya_Agunan[[#This Row],[Target Upaya]]),Upaya_Agunan[[#This Row],[Realisasi]]/Upaya_Agunan[[#This Row],[Target Upaya]],1)</f>
        <v>1</v>
      </c>
    </row>
    <row r="205" spans="1:19" x14ac:dyDescent="0.3">
      <c r="A205" s="16">
        <v>194</v>
      </c>
      <c r="B205" s="17" t="s">
        <v>528</v>
      </c>
      <c r="C205" s="16" t="s">
        <v>84</v>
      </c>
      <c r="D205" s="16" t="s">
        <v>79</v>
      </c>
      <c r="E205" s="16" t="s">
        <v>93</v>
      </c>
      <c r="F205" s="35" t="str">
        <f ca="1">INDEX(Upaya_Debitur[Lunas?],MATCH(Upaya_Agunan[[#This Row],[Nomor PK]],Upaya_Debitur[Nomor PK],0))</f>
        <v>Belum Lunas</v>
      </c>
      <c r="G205" s="35" t="str">
        <f>IF(OR(Upaya_Agunan[[#This Row],[Agunan]]="SHM",Upaya_Agunan[[#This Row],[Agunan]]="BPKB"),"Ya","Tidak")</f>
        <v>Tidak</v>
      </c>
      <c r="H20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0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05" s="35" t="str">
        <f ca="1">IF(AND(DATEDIF($B$5,$B$6,"D")&gt;=150,Upaya_Agunan[[#This Row],[Lelang 1?]]="Ya"),"Ya","Tidak")</f>
        <v>Tidak</v>
      </c>
      <c r="K205" s="35" t="str">
        <f ca="1">IF(AND(DATEDIF($B$5,$B$6,"D")&gt;=180,Upaya_Agunan[[#This Row],[Lelang 2?]]="Ya"),"Ya","Tidak")</f>
        <v>Tidak</v>
      </c>
      <c r="L205" s="18"/>
      <c r="M205" s="18"/>
      <c r="N205" s="18"/>
      <c r="O205" s="18"/>
      <c r="P205" s="18"/>
      <c r="Q205" s="35">
        <f ca="1">COUNTIF(Upaya_Agunan[[#This Row],[Blokir Agunan?]:[Penjualan Agunan?]],"Ya")</f>
        <v>0</v>
      </c>
      <c r="R205" s="35">
        <f ca="1">Upaya_Agunan[[#This Row],[Target Upaya]]-COUNTIFS(Upaya_Agunan[[#This Row],[Blokir Agunan?]:[Penjualan Agunan?]],"Ya",Upaya_Agunan[[#This Row],[Blokir Agunan]:[Penjualan Agunan]],"")</f>
        <v>0</v>
      </c>
      <c r="S205" s="36">
        <f ca="1">IF(ISNUMBER(Upaya_Agunan[[#This Row],[Realisasi]]/Upaya_Agunan[[#This Row],[Target Upaya]]),Upaya_Agunan[[#This Row],[Realisasi]]/Upaya_Agunan[[#This Row],[Target Upaya]],1)</f>
        <v>1</v>
      </c>
    </row>
    <row r="206" spans="1:19" x14ac:dyDescent="0.3">
      <c r="A206" s="16">
        <v>195</v>
      </c>
      <c r="B206" s="17" t="s">
        <v>528</v>
      </c>
      <c r="C206" s="16" t="s">
        <v>84</v>
      </c>
      <c r="D206" s="16" t="s">
        <v>79</v>
      </c>
      <c r="E206" s="16" t="s">
        <v>93</v>
      </c>
      <c r="F206" s="35" t="str">
        <f ca="1">INDEX(Upaya_Debitur[Lunas?],MATCH(Upaya_Agunan[[#This Row],[Nomor PK]],Upaya_Debitur[Nomor PK],0))</f>
        <v>Belum Lunas</v>
      </c>
      <c r="G206" s="35" t="str">
        <f>IF(OR(Upaya_Agunan[[#This Row],[Agunan]]="SHM",Upaya_Agunan[[#This Row],[Agunan]]="BPKB"),"Ya","Tidak")</f>
        <v>Tidak</v>
      </c>
      <c r="H20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0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06" s="35" t="str">
        <f ca="1">IF(AND(DATEDIF($B$5,$B$6,"D")&gt;=150,Upaya_Agunan[[#This Row],[Lelang 1?]]="Ya"),"Ya","Tidak")</f>
        <v>Tidak</v>
      </c>
      <c r="K206" s="35" t="str">
        <f ca="1">IF(AND(DATEDIF($B$5,$B$6,"D")&gt;=180,Upaya_Agunan[[#This Row],[Lelang 2?]]="Ya"),"Ya","Tidak")</f>
        <v>Tidak</v>
      </c>
      <c r="L206" s="18"/>
      <c r="M206" s="18"/>
      <c r="N206" s="18"/>
      <c r="O206" s="18"/>
      <c r="P206" s="18"/>
      <c r="Q206" s="35">
        <f ca="1">COUNTIF(Upaya_Agunan[[#This Row],[Blokir Agunan?]:[Penjualan Agunan?]],"Ya")</f>
        <v>0</v>
      </c>
      <c r="R206" s="35">
        <f ca="1">Upaya_Agunan[[#This Row],[Target Upaya]]-COUNTIFS(Upaya_Agunan[[#This Row],[Blokir Agunan?]:[Penjualan Agunan?]],"Ya",Upaya_Agunan[[#This Row],[Blokir Agunan]:[Penjualan Agunan]],"")</f>
        <v>0</v>
      </c>
      <c r="S206" s="36">
        <f ca="1">IF(ISNUMBER(Upaya_Agunan[[#This Row],[Realisasi]]/Upaya_Agunan[[#This Row],[Target Upaya]]),Upaya_Agunan[[#This Row],[Realisasi]]/Upaya_Agunan[[#This Row],[Target Upaya]],1)</f>
        <v>1</v>
      </c>
    </row>
    <row r="207" spans="1:19" x14ac:dyDescent="0.3">
      <c r="A207" s="16">
        <v>196</v>
      </c>
      <c r="B207" s="17" t="s">
        <v>528</v>
      </c>
      <c r="C207" s="16" t="s">
        <v>84</v>
      </c>
      <c r="D207" s="16" t="s">
        <v>79</v>
      </c>
      <c r="E207" s="16" t="s">
        <v>93</v>
      </c>
      <c r="F207" s="35" t="str">
        <f ca="1">INDEX(Upaya_Debitur[Lunas?],MATCH(Upaya_Agunan[[#This Row],[Nomor PK]],Upaya_Debitur[Nomor PK],0))</f>
        <v>Belum Lunas</v>
      </c>
      <c r="G207" s="35" t="str">
        <f>IF(OR(Upaya_Agunan[[#This Row],[Agunan]]="SHM",Upaya_Agunan[[#This Row],[Agunan]]="BPKB"),"Ya","Tidak")</f>
        <v>Tidak</v>
      </c>
      <c r="H20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0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07" s="35" t="str">
        <f ca="1">IF(AND(DATEDIF($B$5,$B$6,"D")&gt;=150,Upaya_Agunan[[#This Row],[Lelang 1?]]="Ya"),"Ya","Tidak")</f>
        <v>Tidak</v>
      </c>
      <c r="K207" s="35" t="str">
        <f ca="1">IF(AND(DATEDIF($B$5,$B$6,"D")&gt;=180,Upaya_Agunan[[#This Row],[Lelang 2?]]="Ya"),"Ya","Tidak")</f>
        <v>Tidak</v>
      </c>
      <c r="L207" s="18"/>
      <c r="M207" s="18"/>
      <c r="N207" s="18"/>
      <c r="O207" s="18"/>
      <c r="P207" s="18"/>
      <c r="Q207" s="35">
        <f ca="1">COUNTIF(Upaya_Agunan[[#This Row],[Blokir Agunan?]:[Penjualan Agunan?]],"Ya")</f>
        <v>0</v>
      </c>
      <c r="R207" s="35">
        <f ca="1">Upaya_Agunan[[#This Row],[Target Upaya]]-COUNTIFS(Upaya_Agunan[[#This Row],[Blokir Agunan?]:[Penjualan Agunan?]],"Ya",Upaya_Agunan[[#This Row],[Blokir Agunan]:[Penjualan Agunan]],"")</f>
        <v>0</v>
      </c>
      <c r="S207" s="36">
        <f ca="1">IF(ISNUMBER(Upaya_Agunan[[#This Row],[Realisasi]]/Upaya_Agunan[[#This Row],[Target Upaya]]),Upaya_Agunan[[#This Row],[Realisasi]]/Upaya_Agunan[[#This Row],[Target Upaya]],1)</f>
        <v>1</v>
      </c>
    </row>
    <row r="208" spans="1:19" x14ac:dyDescent="0.3">
      <c r="A208" s="16">
        <v>197</v>
      </c>
      <c r="B208" s="17" t="s">
        <v>530</v>
      </c>
      <c r="C208" s="16" t="s">
        <v>95</v>
      </c>
      <c r="D208" s="16" t="s">
        <v>638</v>
      </c>
      <c r="E208" s="16" t="s">
        <v>93</v>
      </c>
      <c r="F208" s="35" t="str">
        <f ca="1">INDEX(Upaya_Debitur[Lunas?],MATCH(Upaya_Agunan[[#This Row],[Nomor PK]],Upaya_Debitur[Nomor PK],0))</f>
        <v>Belum Lunas</v>
      </c>
      <c r="G208" s="35" t="str">
        <f>IF(OR(Upaya_Agunan[[#This Row],[Agunan]]="SHM",Upaya_Agunan[[#This Row],[Agunan]]="BPKB"),"Ya","Tidak")</f>
        <v>Tidak</v>
      </c>
      <c r="H20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0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08" s="35" t="str">
        <f ca="1">IF(AND(DATEDIF($B$5,$B$6,"D")&gt;=150,Upaya_Agunan[[#This Row],[Lelang 1?]]="Ya"),"Ya","Tidak")</f>
        <v>Tidak</v>
      </c>
      <c r="K208" s="35" t="str">
        <f ca="1">IF(AND(DATEDIF($B$5,$B$6,"D")&gt;=180,Upaya_Agunan[[#This Row],[Lelang 2?]]="Ya"),"Ya","Tidak")</f>
        <v>Tidak</v>
      </c>
      <c r="L208" s="18"/>
      <c r="M208" s="18"/>
      <c r="N208" s="18"/>
      <c r="O208" s="18"/>
      <c r="P208" s="18"/>
      <c r="Q208" s="35">
        <f ca="1">COUNTIF(Upaya_Agunan[[#This Row],[Blokir Agunan?]:[Penjualan Agunan?]],"Ya")</f>
        <v>0</v>
      </c>
      <c r="R208" s="35">
        <f ca="1">Upaya_Agunan[[#This Row],[Target Upaya]]-COUNTIFS(Upaya_Agunan[[#This Row],[Blokir Agunan?]:[Penjualan Agunan?]],"Ya",Upaya_Agunan[[#This Row],[Blokir Agunan]:[Penjualan Agunan]],"")</f>
        <v>0</v>
      </c>
      <c r="S208" s="36">
        <f ca="1">IF(ISNUMBER(Upaya_Agunan[[#This Row],[Realisasi]]/Upaya_Agunan[[#This Row],[Target Upaya]]),Upaya_Agunan[[#This Row],[Realisasi]]/Upaya_Agunan[[#This Row],[Target Upaya]],1)</f>
        <v>1</v>
      </c>
    </row>
    <row r="209" spans="1:19" x14ac:dyDescent="0.3">
      <c r="A209" s="16">
        <v>198</v>
      </c>
      <c r="B209" s="17" t="s">
        <v>532</v>
      </c>
      <c r="C209" s="16" t="s">
        <v>95</v>
      </c>
      <c r="D209" s="16" t="s">
        <v>638</v>
      </c>
      <c r="E209" s="16" t="s">
        <v>93</v>
      </c>
      <c r="F209" s="35" t="str">
        <f ca="1">INDEX(Upaya_Debitur[Lunas?],MATCH(Upaya_Agunan[[#This Row],[Nomor PK]],Upaya_Debitur[Nomor PK],0))</f>
        <v>Belum Lunas</v>
      </c>
      <c r="G209" s="35" t="str">
        <f>IF(OR(Upaya_Agunan[[#This Row],[Agunan]]="SHM",Upaya_Agunan[[#This Row],[Agunan]]="BPKB"),"Ya","Tidak")</f>
        <v>Tidak</v>
      </c>
      <c r="H20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0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09" s="35" t="str">
        <f ca="1">IF(AND(DATEDIF($B$5,$B$6,"D")&gt;=150,Upaya_Agunan[[#This Row],[Lelang 1?]]="Ya"),"Ya","Tidak")</f>
        <v>Tidak</v>
      </c>
      <c r="K209" s="35" t="str">
        <f ca="1">IF(AND(DATEDIF($B$5,$B$6,"D")&gt;=180,Upaya_Agunan[[#This Row],[Lelang 2?]]="Ya"),"Ya","Tidak")</f>
        <v>Tidak</v>
      </c>
      <c r="L209" s="18"/>
      <c r="M209" s="18"/>
      <c r="N209" s="18"/>
      <c r="O209" s="18"/>
      <c r="P209" s="18"/>
      <c r="Q209" s="35">
        <f ca="1">COUNTIF(Upaya_Agunan[[#This Row],[Blokir Agunan?]:[Penjualan Agunan?]],"Ya")</f>
        <v>0</v>
      </c>
      <c r="R209" s="35">
        <f ca="1">Upaya_Agunan[[#This Row],[Target Upaya]]-COUNTIFS(Upaya_Agunan[[#This Row],[Blokir Agunan?]:[Penjualan Agunan?]],"Ya",Upaya_Agunan[[#This Row],[Blokir Agunan]:[Penjualan Agunan]],"")</f>
        <v>0</v>
      </c>
      <c r="S209" s="36">
        <f ca="1">IF(ISNUMBER(Upaya_Agunan[[#This Row],[Realisasi]]/Upaya_Agunan[[#This Row],[Target Upaya]]),Upaya_Agunan[[#This Row],[Realisasi]]/Upaya_Agunan[[#This Row],[Target Upaya]],1)</f>
        <v>1</v>
      </c>
    </row>
    <row r="210" spans="1:19" x14ac:dyDescent="0.3">
      <c r="A210" s="16">
        <v>199</v>
      </c>
      <c r="B210" s="17" t="s">
        <v>534</v>
      </c>
      <c r="C210" s="16" t="s">
        <v>84</v>
      </c>
      <c r="D210" s="16" t="s">
        <v>77</v>
      </c>
      <c r="E210" s="16" t="s">
        <v>93</v>
      </c>
      <c r="F210" s="35" t="str">
        <f ca="1">INDEX(Upaya_Debitur[Lunas?],MATCH(Upaya_Agunan[[#This Row],[Nomor PK]],Upaya_Debitur[Nomor PK],0))</f>
        <v>Belum Lunas</v>
      </c>
      <c r="G210" s="35" t="str">
        <f>IF(OR(Upaya_Agunan[[#This Row],[Agunan]]="SHM",Upaya_Agunan[[#This Row],[Agunan]]="BPKB"),"Ya","Tidak")</f>
        <v>Ya</v>
      </c>
      <c r="H21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1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10" s="35" t="str">
        <f ca="1">IF(AND(DATEDIF($B$5,$B$6,"D")&gt;=150,Upaya_Agunan[[#This Row],[Lelang 1?]]="Ya"),"Ya","Tidak")</f>
        <v>Tidak</v>
      </c>
      <c r="K210" s="35" t="str">
        <f ca="1">IF(AND(DATEDIF($B$5,$B$6,"D")&gt;=180,Upaya_Agunan[[#This Row],[Lelang 2?]]="Ya"),"Ya","Tidak")</f>
        <v>Tidak</v>
      </c>
      <c r="L210" s="18">
        <v>44125</v>
      </c>
      <c r="M210" s="18"/>
      <c r="N210" s="18"/>
      <c r="O210" s="18"/>
      <c r="P210" s="18"/>
      <c r="Q210" s="35">
        <f ca="1">COUNTIF(Upaya_Agunan[[#This Row],[Blokir Agunan?]:[Penjualan Agunan?]],"Ya")</f>
        <v>1</v>
      </c>
      <c r="R210" s="35">
        <f ca="1">Upaya_Agunan[[#This Row],[Target Upaya]]-COUNTIFS(Upaya_Agunan[[#This Row],[Blokir Agunan?]:[Penjualan Agunan?]],"Ya",Upaya_Agunan[[#This Row],[Blokir Agunan]:[Penjualan Agunan]],"")</f>
        <v>1</v>
      </c>
      <c r="S210" s="36">
        <f ca="1">IF(ISNUMBER(Upaya_Agunan[[#This Row],[Realisasi]]/Upaya_Agunan[[#This Row],[Target Upaya]]),Upaya_Agunan[[#This Row],[Realisasi]]/Upaya_Agunan[[#This Row],[Target Upaya]],1)</f>
        <v>1</v>
      </c>
    </row>
    <row r="211" spans="1:19" x14ac:dyDescent="0.3">
      <c r="A211" s="16">
        <v>200</v>
      </c>
      <c r="B211" s="17" t="s">
        <v>536</v>
      </c>
      <c r="C211" s="16" t="s">
        <v>84</v>
      </c>
      <c r="D211" s="16" t="s">
        <v>79</v>
      </c>
      <c r="E211" s="16" t="s">
        <v>93</v>
      </c>
      <c r="F211" s="35" t="str">
        <f ca="1">INDEX(Upaya_Debitur[Lunas?],MATCH(Upaya_Agunan[[#This Row],[Nomor PK]],Upaya_Debitur[Nomor PK],0))</f>
        <v>Lunas</v>
      </c>
      <c r="G211" s="35" t="str">
        <f>IF(OR(Upaya_Agunan[[#This Row],[Agunan]]="SHM",Upaya_Agunan[[#This Row],[Agunan]]="BPKB"),"Ya","Tidak")</f>
        <v>Tidak</v>
      </c>
      <c r="H21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1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11" s="35" t="str">
        <f ca="1">IF(AND(DATEDIF($B$5,$B$6,"D")&gt;=150,Upaya_Agunan[[#This Row],[Lelang 1?]]="Ya"),"Ya","Tidak")</f>
        <v>Tidak</v>
      </c>
      <c r="K211" s="35" t="str">
        <f ca="1">IF(AND(DATEDIF($B$5,$B$6,"D")&gt;=180,Upaya_Agunan[[#This Row],[Lelang 2?]]="Ya"),"Ya","Tidak")</f>
        <v>Tidak</v>
      </c>
      <c r="L211" s="18"/>
      <c r="M211" s="18"/>
      <c r="N211" s="18"/>
      <c r="O211" s="18"/>
      <c r="P211" s="18"/>
      <c r="Q211" s="35">
        <f ca="1">COUNTIF(Upaya_Agunan[[#This Row],[Blokir Agunan?]:[Penjualan Agunan?]],"Ya")</f>
        <v>0</v>
      </c>
      <c r="R211" s="35">
        <f ca="1">Upaya_Agunan[[#This Row],[Target Upaya]]-COUNTIFS(Upaya_Agunan[[#This Row],[Blokir Agunan?]:[Penjualan Agunan?]],"Ya",Upaya_Agunan[[#This Row],[Blokir Agunan]:[Penjualan Agunan]],"")</f>
        <v>0</v>
      </c>
      <c r="S211" s="36">
        <f ca="1">IF(ISNUMBER(Upaya_Agunan[[#This Row],[Realisasi]]/Upaya_Agunan[[#This Row],[Target Upaya]]),Upaya_Agunan[[#This Row],[Realisasi]]/Upaya_Agunan[[#This Row],[Target Upaya]],1)</f>
        <v>1</v>
      </c>
    </row>
    <row r="212" spans="1:19" x14ac:dyDescent="0.3">
      <c r="A212" s="16">
        <v>201</v>
      </c>
      <c r="B212" s="17" t="s">
        <v>538</v>
      </c>
      <c r="C212" s="16" t="s">
        <v>84</v>
      </c>
      <c r="D212" s="16" t="s">
        <v>79</v>
      </c>
      <c r="E212" s="16" t="s">
        <v>93</v>
      </c>
      <c r="F212" s="35" t="str">
        <f ca="1">INDEX(Upaya_Debitur[Lunas?],MATCH(Upaya_Agunan[[#This Row],[Nomor PK]],Upaya_Debitur[Nomor PK],0))</f>
        <v>Belum Lunas</v>
      </c>
      <c r="G212" s="35" t="str">
        <f>IF(OR(Upaya_Agunan[[#This Row],[Agunan]]="SHM",Upaya_Agunan[[#This Row],[Agunan]]="BPKB"),"Ya","Tidak")</f>
        <v>Tidak</v>
      </c>
      <c r="H21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1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12" s="35" t="str">
        <f ca="1">IF(AND(DATEDIF($B$5,$B$6,"D")&gt;=150,Upaya_Agunan[[#This Row],[Lelang 1?]]="Ya"),"Ya","Tidak")</f>
        <v>Tidak</v>
      </c>
      <c r="K212" s="35" t="str">
        <f ca="1">IF(AND(DATEDIF($B$5,$B$6,"D")&gt;=180,Upaya_Agunan[[#This Row],[Lelang 2?]]="Ya"),"Ya","Tidak")</f>
        <v>Tidak</v>
      </c>
      <c r="L212" s="18"/>
      <c r="M212" s="18"/>
      <c r="N212" s="18"/>
      <c r="O212" s="18"/>
      <c r="P212" s="18"/>
      <c r="Q212" s="35">
        <f ca="1">COUNTIF(Upaya_Agunan[[#This Row],[Blokir Agunan?]:[Penjualan Agunan?]],"Ya")</f>
        <v>0</v>
      </c>
      <c r="R212" s="35">
        <f ca="1">Upaya_Agunan[[#This Row],[Target Upaya]]-COUNTIFS(Upaya_Agunan[[#This Row],[Blokir Agunan?]:[Penjualan Agunan?]],"Ya",Upaya_Agunan[[#This Row],[Blokir Agunan]:[Penjualan Agunan]],"")</f>
        <v>0</v>
      </c>
      <c r="S212" s="36">
        <f ca="1">IF(ISNUMBER(Upaya_Agunan[[#This Row],[Realisasi]]/Upaya_Agunan[[#This Row],[Target Upaya]]),Upaya_Agunan[[#This Row],[Realisasi]]/Upaya_Agunan[[#This Row],[Target Upaya]],1)</f>
        <v>1</v>
      </c>
    </row>
    <row r="213" spans="1:19" x14ac:dyDescent="0.3">
      <c r="A213" s="16">
        <v>202</v>
      </c>
      <c r="B213" s="17" t="s">
        <v>538</v>
      </c>
      <c r="C213" s="16" t="s">
        <v>84</v>
      </c>
      <c r="D213" s="16" t="s">
        <v>79</v>
      </c>
      <c r="E213" s="16" t="s">
        <v>93</v>
      </c>
      <c r="F213" s="35" t="str">
        <f ca="1">INDEX(Upaya_Debitur[Lunas?],MATCH(Upaya_Agunan[[#This Row],[Nomor PK]],Upaya_Debitur[Nomor PK],0))</f>
        <v>Belum Lunas</v>
      </c>
      <c r="G213" s="35" t="str">
        <f>IF(OR(Upaya_Agunan[[#This Row],[Agunan]]="SHM",Upaya_Agunan[[#This Row],[Agunan]]="BPKB"),"Ya","Tidak")</f>
        <v>Tidak</v>
      </c>
      <c r="H21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1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13" s="35" t="str">
        <f ca="1">IF(AND(DATEDIF($B$5,$B$6,"D")&gt;=150,Upaya_Agunan[[#This Row],[Lelang 1?]]="Ya"),"Ya","Tidak")</f>
        <v>Tidak</v>
      </c>
      <c r="K213" s="35" t="str">
        <f ca="1">IF(AND(DATEDIF($B$5,$B$6,"D")&gt;=180,Upaya_Agunan[[#This Row],[Lelang 2?]]="Ya"),"Ya","Tidak")</f>
        <v>Tidak</v>
      </c>
      <c r="L213" s="18"/>
      <c r="M213" s="18"/>
      <c r="N213" s="18"/>
      <c r="O213" s="18"/>
      <c r="P213" s="18"/>
      <c r="Q213" s="35">
        <f ca="1">COUNTIF(Upaya_Agunan[[#This Row],[Blokir Agunan?]:[Penjualan Agunan?]],"Ya")</f>
        <v>0</v>
      </c>
      <c r="R213" s="35">
        <f ca="1">Upaya_Agunan[[#This Row],[Target Upaya]]-COUNTIFS(Upaya_Agunan[[#This Row],[Blokir Agunan?]:[Penjualan Agunan?]],"Ya",Upaya_Agunan[[#This Row],[Blokir Agunan]:[Penjualan Agunan]],"")</f>
        <v>0</v>
      </c>
      <c r="S213" s="36">
        <f ca="1">IF(ISNUMBER(Upaya_Agunan[[#This Row],[Realisasi]]/Upaya_Agunan[[#This Row],[Target Upaya]]),Upaya_Agunan[[#This Row],[Realisasi]]/Upaya_Agunan[[#This Row],[Target Upaya]],1)</f>
        <v>1</v>
      </c>
    </row>
    <row r="214" spans="1:19" x14ac:dyDescent="0.3">
      <c r="A214" s="16">
        <v>203</v>
      </c>
      <c r="B214" s="17" t="s">
        <v>540</v>
      </c>
      <c r="C214" s="16" t="s">
        <v>95</v>
      </c>
      <c r="D214" s="16" t="s">
        <v>638</v>
      </c>
      <c r="E214" s="16" t="s">
        <v>93</v>
      </c>
      <c r="F214" s="35" t="str">
        <f ca="1">INDEX(Upaya_Debitur[Lunas?],MATCH(Upaya_Agunan[[#This Row],[Nomor PK]],Upaya_Debitur[Nomor PK],0))</f>
        <v>Belum Lunas</v>
      </c>
      <c r="G214" s="35" t="str">
        <f>IF(OR(Upaya_Agunan[[#This Row],[Agunan]]="SHM",Upaya_Agunan[[#This Row],[Agunan]]="BPKB"),"Ya","Tidak")</f>
        <v>Tidak</v>
      </c>
      <c r="H21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1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14" s="35" t="str">
        <f ca="1">IF(AND(DATEDIF($B$5,$B$6,"D")&gt;=150,Upaya_Agunan[[#This Row],[Lelang 1?]]="Ya"),"Ya","Tidak")</f>
        <v>Tidak</v>
      </c>
      <c r="K214" s="35" t="str">
        <f ca="1">IF(AND(DATEDIF($B$5,$B$6,"D")&gt;=180,Upaya_Agunan[[#This Row],[Lelang 2?]]="Ya"),"Ya","Tidak")</f>
        <v>Tidak</v>
      </c>
      <c r="L214" s="18"/>
      <c r="M214" s="18"/>
      <c r="N214" s="18"/>
      <c r="O214" s="18"/>
      <c r="P214" s="18"/>
      <c r="Q214" s="35">
        <f ca="1">COUNTIF(Upaya_Agunan[[#This Row],[Blokir Agunan?]:[Penjualan Agunan?]],"Ya")</f>
        <v>0</v>
      </c>
      <c r="R214" s="35">
        <f ca="1">Upaya_Agunan[[#This Row],[Target Upaya]]-COUNTIFS(Upaya_Agunan[[#This Row],[Blokir Agunan?]:[Penjualan Agunan?]],"Ya",Upaya_Agunan[[#This Row],[Blokir Agunan]:[Penjualan Agunan]],"")</f>
        <v>0</v>
      </c>
      <c r="S214" s="36">
        <f ca="1">IF(ISNUMBER(Upaya_Agunan[[#This Row],[Realisasi]]/Upaya_Agunan[[#This Row],[Target Upaya]]),Upaya_Agunan[[#This Row],[Realisasi]]/Upaya_Agunan[[#This Row],[Target Upaya]],1)</f>
        <v>1</v>
      </c>
    </row>
    <row r="215" spans="1:19" x14ac:dyDescent="0.3">
      <c r="A215" s="16">
        <v>204</v>
      </c>
      <c r="B215" s="17" t="s">
        <v>542</v>
      </c>
      <c r="C215" s="16" t="s">
        <v>95</v>
      </c>
      <c r="D215" s="16" t="s">
        <v>638</v>
      </c>
      <c r="E215" s="16" t="s">
        <v>93</v>
      </c>
      <c r="F215" s="35" t="str">
        <f ca="1">INDEX(Upaya_Debitur[Lunas?],MATCH(Upaya_Agunan[[#This Row],[Nomor PK]],Upaya_Debitur[Nomor PK],0))</f>
        <v>Belum Lunas</v>
      </c>
      <c r="G215" s="35" t="str">
        <f>IF(OR(Upaya_Agunan[[#This Row],[Agunan]]="SHM",Upaya_Agunan[[#This Row],[Agunan]]="BPKB"),"Ya","Tidak")</f>
        <v>Tidak</v>
      </c>
      <c r="H21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1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15" s="35" t="str">
        <f ca="1">IF(AND(DATEDIF($B$5,$B$6,"D")&gt;=150,Upaya_Agunan[[#This Row],[Lelang 1?]]="Ya"),"Ya","Tidak")</f>
        <v>Tidak</v>
      </c>
      <c r="K215" s="35" t="str">
        <f ca="1">IF(AND(DATEDIF($B$5,$B$6,"D")&gt;=180,Upaya_Agunan[[#This Row],[Lelang 2?]]="Ya"),"Ya","Tidak")</f>
        <v>Tidak</v>
      </c>
      <c r="L215" s="18"/>
      <c r="M215" s="18"/>
      <c r="N215" s="18"/>
      <c r="O215" s="18"/>
      <c r="P215" s="18"/>
      <c r="Q215" s="35">
        <f ca="1">COUNTIF(Upaya_Agunan[[#This Row],[Blokir Agunan?]:[Penjualan Agunan?]],"Ya")</f>
        <v>0</v>
      </c>
      <c r="R215" s="35">
        <f ca="1">Upaya_Agunan[[#This Row],[Target Upaya]]-COUNTIFS(Upaya_Agunan[[#This Row],[Blokir Agunan?]:[Penjualan Agunan?]],"Ya",Upaya_Agunan[[#This Row],[Blokir Agunan]:[Penjualan Agunan]],"")</f>
        <v>0</v>
      </c>
      <c r="S215" s="36">
        <f ca="1">IF(ISNUMBER(Upaya_Agunan[[#This Row],[Realisasi]]/Upaya_Agunan[[#This Row],[Target Upaya]]),Upaya_Agunan[[#This Row],[Realisasi]]/Upaya_Agunan[[#This Row],[Target Upaya]],1)</f>
        <v>1</v>
      </c>
    </row>
    <row r="216" spans="1:19" x14ac:dyDescent="0.3">
      <c r="A216" s="16">
        <v>205</v>
      </c>
      <c r="B216" s="17" t="s">
        <v>544</v>
      </c>
      <c r="C216" s="16" t="s">
        <v>84</v>
      </c>
      <c r="D216" s="16" t="s">
        <v>79</v>
      </c>
      <c r="E216" s="16" t="s">
        <v>93</v>
      </c>
      <c r="F216" s="35" t="str">
        <f ca="1">INDEX(Upaya_Debitur[Lunas?],MATCH(Upaya_Agunan[[#This Row],[Nomor PK]],Upaya_Debitur[Nomor PK],0))</f>
        <v>Belum Lunas</v>
      </c>
      <c r="G216" s="35" t="str">
        <f>IF(OR(Upaya_Agunan[[#This Row],[Agunan]]="SHM",Upaya_Agunan[[#This Row],[Agunan]]="BPKB"),"Ya","Tidak")</f>
        <v>Tidak</v>
      </c>
      <c r="H21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1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16" s="35" t="str">
        <f ca="1">IF(AND(DATEDIF($B$5,$B$6,"D")&gt;=150,Upaya_Agunan[[#This Row],[Lelang 1?]]="Ya"),"Ya","Tidak")</f>
        <v>Tidak</v>
      </c>
      <c r="K216" s="35" t="str">
        <f ca="1">IF(AND(DATEDIF($B$5,$B$6,"D")&gt;=180,Upaya_Agunan[[#This Row],[Lelang 2?]]="Ya"),"Ya","Tidak")</f>
        <v>Tidak</v>
      </c>
      <c r="L216" s="18"/>
      <c r="M216" s="18"/>
      <c r="N216" s="18"/>
      <c r="O216" s="18"/>
      <c r="P216" s="18"/>
      <c r="Q216" s="35">
        <f ca="1">COUNTIF(Upaya_Agunan[[#This Row],[Blokir Agunan?]:[Penjualan Agunan?]],"Ya")</f>
        <v>0</v>
      </c>
      <c r="R216" s="35">
        <f ca="1">Upaya_Agunan[[#This Row],[Target Upaya]]-COUNTIFS(Upaya_Agunan[[#This Row],[Blokir Agunan?]:[Penjualan Agunan?]],"Ya",Upaya_Agunan[[#This Row],[Blokir Agunan]:[Penjualan Agunan]],"")</f>
        <v>0</v>
      </c>
      <c r="S216" s="36">
        <f ca="1">IF(ISNUMBER(Upaya_Agunan[[#This Row],[Realisasi]]/Upaya_Agunan[[#This Row],[Target Upaya]]),Upaya_Agunan[[#This Row],[Realisasi]]/Upaya_Agunan[[#This Row],[Target Upaya]],1)</f>
        <v>1</v>
      </c>
    </row>
    <row r="217" spans="1:19" x14ac:dyDescent="0.3">
      <c r="A217" s="16">
        <v>206</v>
      </c>
      <c r="B217" s="17" t="s">
        <v>546</v>
      </c>
      <c r="C217" s="16" t="s">
        <v>95</v>
      </c>
      <c r="D217" s="16" t="s">
        <v>638</v>
      </c>
      <c r="E217" s="16" t="s">
        <v>93</v>
      </c>
      <c r="F217" s="35" t="str">
        <f ca="1">INDEX(Upaya_Debitur[Lunas?],MATCH(Upaya_Agunan[[#This Row],[Nomor PK]],Upaya_Debitur[Nomor PK],0))</f>
        <v>Belum Lunas</v>
      </c>
      <c r="G217" s="35" t="str">
        <f>IF(OR(Upaya_Agunan[[#This Row],[Agunan]]="SHM",Upaya_Agunan[[#This Row],[Agunan]]="BPKB"),"Ya","Tidak")</f>
        <v>Tidak</v>
      </c>
      <c r="H21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1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17" s="35" t="str">
        <f ca="1">IF(AND(DATEDIF($B$5,$B$6,"D")&gt;=150,Upaya_Agunan[[#This Row],[Lelang 1?]]="Ya"),"Ya","Tidak")</f>
        <v>Tidak</v>
      </c>
      <c r="K217" s="35" t="str">
        <f ca="1">IF(AND(DATEDIF($B$5,$B$6,"D")&gt;=180,Upaya_Agunan[[#This Row],[Lelang 2?]]="Ya"),"Ya","Tidak")</f>
        <v>Tidak</v>
      </c>
      <c r="L217" s="18"/>
      <c r="M217" s="18"/>
      <c r="N217" s="18"/>
      <c r="O217" s="18"/>
      <c r="P217" s="18"/>
      <c r="Q217" s="35">
        <f ca="1">COUNTIF(Upaya_Agunan[[#This Row],[Blokir Agunan?]:[Penjualan Agunan?]],"Ya")</f>
        <v>0</v>
      </c>
      <c r="R217" s="35">
        <f ca="1">Upaya_Agunan[[#This Row],[Target Upaya]]-COUNTIFS(Upaya_Agunan[[#This Row],[Blokir Agunan?]:[Penjualan Agunan?]],"Ya",Upaya_Agunan[[#This Row],[Blokir Agunan]:[Penjualan Agunan]],"")</f>
        <v>0</v>
      </c>
      <c r="S217" s="36">
        <f ca="1">IF(ISNUMBER(Upaya_Agunan[[#This Row],[Realisasi]]/Upaya_Agunan[[#This Row],[Target Upaya]]),Upaya_Agunan[[#This Row],[Realisasi]]/Upaya_Agunan[[#This Row],[Target Upaya]],1)</f>
        <v>1</v>
      </c>
    </row>
    <row r="218" spans="1:19" x14ac:dyDescent="0.3">
      <c r="A218" s="16">
        <v>207</v>
      </c>
      <c r="B218" s="17" t="s">
        <v>548</v>
      </c>
      <c r="C218" s="16" t="s">
        <v>85</v>
      </c>
      <c r="D218" s="16" t="s">
        <v>78</v>
      </c>
      <c r="E218" s="16" t="s">
        <v>93</v>
      </c>
      <c r="F218" s="35" t="str">
        <f ca="1">INDEX(Upaya_Debitur[Lunas?],MATCH(Upaya_Agunan[[#This Row],[Nomor PK]],Upaya_Debitur[Nomor PK],0))</f>
        <v>Belum Lunas</v>
      </c>
      <c r="G218" s="35" t="str">
        <f>IF(OR(Upaya_Agunan[[#This Row],[Agunan]]="SHM",Upaya_Agunan[[#This Row],[Agunan]]="BPKB"),"Ya","Tidak")</f>
        <v>Ya</v>
      </c>
      <c r="H21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1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18" s="35" t="str">
        <f ca="1">IF(AND(DATEDIF($B$5,$B$6,"D")&gt;=150,Upaya_Agunan[[#This Row],[Lelang 1?]]="Ya"),"Ya","Tidak")</f>
        <v>Tidak</v>
      </c>
      <c r="K218" s="35" t="str">
        <f ca="1">IF(AND(DATEDIF($B$5,$B$6,"D")&gt;=180,Upaya_Agunan[[#This Row],[Lelang 2?]]="Ya"),"Ya","Tidak")</f>
        <v>Tidak</v>
      </c>
      <c r="L218" s="18" t="s">
        <v>640</v>
      </c>
      <c r="M218" s="18"/>
      <c r="N218" s="18"/>
      <c r="O218" s="18"/>
      <c r="P218" s="18"/>
      <c r="Q218" s="35">
        <f ca="1">COUNTIF(Upaya_Agunan[[#This Row],[Blokir Agunan?]:[Penjualan Agunan?]],"Ya")</f>
        <v>1</v>
      </c>
      <c r="R218" s="35">
        <f ca="1">Upaya_Agunan[[#This Row],[Target Upaya]]-COUNTIFS(Upaya_Agunan[[#This Row],[Blokir Agunan?]:[Penjualan Agunan?]],"Ya",Upaya_Agunan[[#This Row],[Blokir Agunan]:[Penjualan Agunan]],"")</f>
        <v>1</v>
      </c>
      <c r="S218" s="36">
        <f ca="1">IF(ISNUMBER(Upaya_Agunan[[#This Row],[Realisasi]]/Upaya_Agunan[[#This Row],[Target Upaya]]),Upaya_Agunan[[#This Row],[Realisasi]]/Upaya_Agunan[[#This Row],[Target Upaya]],1)</f>
        <v>1</v>
      </c>
    </row>
    <row r="219" spans="1:19" x14ac:dyDescent="0.3">
      <c r="A219" s="16">
        <v>208</v>
      </c>
      <c r="B219" s="17" t="s">
        <v>550</v>
      </c>
      <c r="C219" s="16" t="s">
        <v>85</v>
      </c>
      <c r="D219" s="16" t="s">
        <v>78</v>
      </c>
      <c r="E219" s="16" t="s">
        <v>106</v>
      </c>
      <c r="F219" s="35" t="str">
        <f ca="1">INDEX(Upaya_Debitur[Lunas?],MATCH(Upaya_Agunan[[#This Row],[Nomor PK]],Upaya_Debitur[Nomor PK],0))</f>
        <v>Belum Lunas</v>
      </c>
      <c r="G219" s="35" t="str">
        <f>IF(OR(Upaya_Agunan[[#This Row],[Agunan]]="SHM",Upaya_Agunan[[#This Row],[Agunan]]="BPKB"),"Ya","Tidak")</f>
        <v>Ya</v>
      </c>
      <c r="H21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1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19" s="35" t="str">
        <f ca="1">IF(AND(DATEDIF($B$5,$B$6,"D")&gt;=150,Upaya_Agunan[[#This Row],[Lelang 1?]]="Ya"),"Ya","Tidak")</f>
        <v>Tidak</v>
      </c>
      <c r="K219" s="35" t="str">
        <f ca="1">IF(AND(DATEDIF($B$5,$B$6,"D")&gt;=180,Upaya_Agunan[[#This Row],[Lelang 2?]]="Ya"),"Ya","Tidak")</f>
        <v>Tidak</v>
      </c>
      <c r="L219" s="18">
        <v>44123</v>
      </c>
      <c r="M219" s="18"/>
      <c r="N219" s="18"/>
      <c r="O219" s="18"/>
      <c r="P219" s="18"/>
      <c r="Q219" s="35">
        <f ca="1">COUNTIF(Upaya_Agunan[[#This Row],[Blokir Agunan?]:[Penjualan Agunan?]],"Ya")</f>
        <v>1</v>
      </c>
      <c r="R219" s="35">
        <f ca="1">Upaya_Agunan[[#This Row],[Target Upaya]]-COUNTIFS(Upaya_Agunan[[#This Row],[Blokir Agunan?]:[Penjualan Agunan?]],"Ya",Upaya_Agunan[[#This Row],[Blokir Agunan]:[Penjualan Agunan]],"")</f>
        <v>1</v>
      </c>
      <c r="S219" s="36">
        <f ca="1">IF(ISNUMBER(Upaya_Agunan[[#This Row],[Realisasi]]/Upaya_Agunan[[#This Row],[Target Upaya]]),Upaya_Agunan[[#This Row],[Realisasi]]/Upaya_Agunan[[#This Row],[Target Upaya]],1)</f>
        <v>1</v>
      </c>
    </row>
    <row r="220" spans="1:19" x14ac:dyDescent="0.3">
      <c r="A220" s="16">
        <v>209</v>
      </c>
      <c r="B220" s="17" t="s">
        <v>551</v>
      </c>
      <c r="C220" s="16" t="s">
        <v>95</v>
      </c>
      <c r="D220" s="16" t="s">
        <v>638</v>
      </c>
      <c r="E220" s="16" t="s">
        <v>93</v>
      </c>
      <c r="F220" s="35" t="str">
        <f ca="1">INDEX(Upaya_Debitur[Lunas?],MATCH(Upaya_Agunan[[#This Row],[Nomor PK]],Upaya_Debitur[Nomor PK],0))</f>
        <v>Belum Lunas</v>
      </c>
      <c r="G220" s="35" t="str">
        <f>IF(OR(Upaya_Agunan[[#This Row],[Agunan]]="SHM",Upaya_Agunan[[#This Row],[Agunan]]="BPKB"),"Ya","Tidak")</f>
        <v>Tidak</v>
      </c>
      <c r="H22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2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20" s="35" t="str">
        <f ca="1">IF(AND(DATEDIF($B$5,$B$6,"D")&gt;=150,Upaya_Agunan[[#This Row],[Lelang 1?]]="Ya"),"Ya","Tidak")</f>
        <v>Tidak</v>
      </c>
      <c r="K220" s="35" t="str">
        <f ca="1">IF(AND(DATEDIF($B$5,$B$6,"D")&gt;=180,Upaya_Agunan[[#This Row],[Lelang 2?]]="Ya"),"Ya","Tidak")</f>
        <v>Tidak</v>
      </c>
      <c r="L220" s="18"/>
      <c r="M220" s="18"/>
      <c r="N220" s="18"/>
      <c r="O220" s="18"/>
      <c r="P220" s="18"/>
      <c r="Q220" s="35">
        <f ca="1">COUNTIF(Upaya_Agunan[[#This Row],[Blokir Agunan?]:[Penjualan Agunan?]],"Ya")</f>
        <v>0</v>
      </c>
      <c r="R220" s="35">
        <f ca="1">Upaya_Agunan[[#This Row],[Target Upaya]]-COUNTIFS(Upaya_Agunan[[#This Row],[Blokir Agunan?]:[Penjualan Agunan?]],"Ya",Upaya_Agunan[[#This Row],[Blokir Agunan]:[Penjualan Agunan]],"")</f>
        <v>0</v>
      </c>
      <c r="S220" s="36">
        <f ca="1">IF(ISNUMBER(Upaya_Agunan[[#This Row],[Realisasi]]/Upaya_Agunan[[#This Row],[Target Upaya]]),Upaya_Agunan[[#This Row],[Realisasi]]/Upaya_Agunan[[#This Row],[Target Upaya]],1)</f>
        <v>1</v>
      </c>
    </row>
    <row r="221" spans="1:19" x14ac:dyDescent="0.3">
      <c r="A221" s="16">
        <v>210</v>
      </c>
      <c r="B221" s="17" t="s">
        <v>553</v>
      </c>
      <c r="C221" s="16" t="s">
        <v>95</v>
      </c>
      <c r="D221" s="16" t="s">
        <v>638</v>
      </c>
      <c r="E221" s="16" t="s">
        <v>93</v>
      </c>
      <c r="F221" s="35" t="str">
        <f ca="1">INDEX(Upaya_Debitur[Lunas?],MATCH(Upaya_Agunan[[#This Row],[Nomor PK]],Upaya_Debitur[Nomor PK],0))</f>
        <v>Belum Lunas</v>
      </c>
      <c r="G221" s="35" t="str">
        <f>IF(OR(Upaya_Agunan[[#This Row],[Agunan]]="SHM",Upaya_Agunan[[#This Row],[Agunan]]="BPKB"),"Ya","Tidak")</f>
        <v>Tidak</v>
      </c>
      <c r="H22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2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21" s="35" t="str">
        <f ca="1">IF(AND(DATEDIF($B$5,$B$6,"D")&gt;=150,Upaya_Agunan[[#This Row],[Lelang 1?]]="Ya"),"Ya","Tidak")</f>
        <v>Tidak</v>
      </c>
      <c r="K221" s="35" t="str">
        <f ca="1">IF(AND(DATEDIF($B$5,$B$6,"D")&gt;=180,Upaya_Agunan[[#This Row],[Lelang 2?]]="Ya"),"Ya","Tidak")</f>
        <v>Tidak</v>
      </c>
      <c r="L221" s="18"/>
      <c r="M221" s="18"/>
      <c r="N221" s="18"/>
      <c r="O221" s="18"/>
      <c r="P221" s="18"/>
      <c r="Q221" s="35">
        <f ca="1">COUNTIF(Upaya_Agunan[[#This Row],[Blokir Agunan?]:[Penjualan Agunan?]],"Ya")</f>
        <v>0</v>
      </c>
      <c r="R221" s="35">
        <f ca="1">Upaya_Agunan[[#This Row],[Target Upaya]]-COUNTIFS(Upaya_Agunan[[#This Row],[Blokir Agunan?]:[Penjualan Agunan?]],"Ya",Upaya_Agunan[[#This Row],[Blokir Agunan]:[Penjualan Agunan]],"")</f>
        <v>0</v>
      </c>
      <c r="S221" s="36">
        <f ca="1">IF(ISNUMBER(Upaya_Agunan[[#This Row],[Realisasi]]/Upaya_Agunan[[#This Row],[Target Upaya]]),Upaya_Agunan[[#This Row],[Realisasi]]/Upaya_Agunan[[#This Row],[Target Upaya]],1)</f>
        <v>1</v>
      </c>
    </row>
    <row r="222" spans="1:19" x14ac:dyDescent="0.3">
      <c r="A222" s="16">
        <v>211</v>
      </c>
      <c r="B222" s="17" t="s">
        <v>555</v>
      </c>
      <c r="C222" s="16" t="s">
        <v>95</v>
      </c>
      <c r="D222" s="16" t="s">
        <v>638</v>
      </c>
      <c r="E222" s="16" t="s">
        <v>93</v>
      </c>
      <c r="F222" s="35" t="str">
        <f ca="1">INDEX(Upaya_Debitur[Lunas?],MATCH(Upaya_Agunan[[#This Row],[Nomor PK]],Upaya_Debitur[Nomor PK],0))</f>
        <v>Belum Lunas</v>
      </c>
      <c r="G222" s="35" t="str">
        <f>IF(OR(Upaya_Agunan[[#This Row],[Agunan]]="SHM",Upaya_Agunan[[#This Row],[Agunan]]="BPKB"),"Ya","Tidak")</f>
        <v>Tidak</v>
      </c>
      <c r="H22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2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22" s="35" t="str">
        <f ca="1">IF(AND(DATEDIF($B$5,$B$6,"D")&gt;=150,Upaya_Agunan[[#This Row],[Lelang 1?]]="Ya"),"Ya","Tidak")</f>
        <v>Tidak</v>
      </c>
      <c r="K222" s="35" t="str">
        <f ca="1">IF(AND(DATEDIF($B$5,$B$6,"D")&gt;=180,Upaya_Agunan[[#This Row],[Lelang 2?]]="Ya"),"Ya","Tidak")</f>
        <v>Tidak</v>
      </c>
      <c r="L222" s="18"/>
      <c r="M222" s="18"/>
      <c r="N222" s="18"/>
      <c r="O222" s="18"/>
      <c r="P222" s="18"/>
      <c r="Q222" s="35">
        <f ca="1">COUNTIF(Upaya_Agunan[[#This Row],[Blokir Agunan?]:[Penjualan Agunan?]],"Ya")</f>
        <v>0</v>
      </c>
      <c r="R222" s="35">
        <f ca="1">Upaya_Agunan[[#This Row],[Target Upaya]]-COUNTIFS(Upaya_Agunan[[#This Row],[Blokir Agunan?]:[Penjualan Agunan?]],"Ya",Upaya_Agunan[[#This Row],[Blokir Agunan]:[Penjualan Agunan]],"")</f>
        <v>0</v>
      </c>
      <c r="S222" s="36">
        <f ca="1">IF(ISNUMBER(Upaya_Agunan[[#This Row],[Realisasi]]/Upaya_Agunan[[#This Row],[Target Upaya]]),Upaya_Agunan[[#This Row],[Realisasi]]/Upaya_Agunan[[#This Row],[Target Upaya]],1)</f>
        <v>1</v>
      </c>
    </row>
    <row r="223" spans="1:19" x14ac:dyDescent="0.3">
      <c r="A223" s="16">
        <v>212</v>
      </c>
      <c r="B223" s="17" t="s">
        <v>557</v>
      </c>
      <c r="C223" s="16" t="s">
        <v>95</v>
      </c>
      <c r="D223" s="16" t="s">
        <v>638</v>
      </c>
      <c r="E223" s="16" t="s">
        <v>93</v>
      </c>
      <c r="F223" s="35" t="str">
        <f ca="1">INDEX(Upaya_Debitur[Lunas?],MATCH(Upaya_Agunan[[#This Row],[Nomor PK]],Upaya_Debitur[Nomor PK],0))</f>
        <v>Belum Lunas</v>
      </c>
      <c r="G223" s="35" t="str">
        <f>IF(OR(Upaya_Agunan[[#This Row],[Agunan]]="SHM",Upaya_Agunan[[#This Row],[Agunan]]="BPKB"),"Ya","Tidak")</f>
        <v>Tidak</v>
      </c>
      <c r="H22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2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23" s="35" t="str">
        <f ca="1">IF(AND(DATEDIF($B$5,$B$6,"D")&gt;=150,Upaya_Agunan[[#This Row],[Lelang 1?]]="Ya"),"Ya","Tidak")</f>
        <v>Tidak</v>
      </c>
      <c r="K223" s="35" t="str">
        <f ca="1">IF(AND(DATEDIF($B$5,$B$6,"D")&gt;=180,Upaya_Agunan[[#This Row],[Lelang 2?]]="Ya"),"Ya","Tidak")</f>
        <v>Tidak</v>
      </c>
      <c r="L223" s="18"/>
      <c r="M223" s="18"/>
      <c r="N223" s="18"/>
      <c r="O223" s="18"/>
      <c r="P223" s="18"/>
      <c r="Q223" s="35">
        <f ca="1">COUNTIF(Upaya_Agunan[[#This Row],[Blokir Agunan?]:[Penjualan Agunan?]],"Ya")</f>
        <v>0</v>
      </c>
      <c r="R223" s="35">
        <f ca="1">Upaya_Agunan[[#This Row],[Target Upaya]]-COUNTIFS(Upaya_Agunan[[#This Row],[Blokir Agunan?]:[Penjualan Agunan?]],"Ya",Upaya_Agunan[[#This Row],[Blokir Agunan]:[Penjualan Agunan]],"")</f>
        <v>0</v>
      </c>
      <c r="S223" s="36">
        <f ca="1">IF(ISNUMBER(Upaya_Agunan[[#This Row],[Realisasi]]/Upaya_Agunan[[#This Row],[Target Upaya]]),Upaya_Agunan[[#This Row],[Realisasi]]/Upaya_Agunan[[#This Row],[Target Upaya]],1)</f>
        <v>1</v>
      </c>
    </row>
    <row r="224" spans="1:19" x14ac:dyDescent="0.3">
      <c r="A224" s="16">
        <v>213</v>
      </c>
      <c r="B224" s="17" t="s">
        <v>559</v>
      </c>
      <c r="C224" s="16" t="s">
        <v>84</v>
      </c>
      <c r="D224" s="16" t="s">
        <v>77</v>
      </c>
      <c r="E224" s="16" t="s">
        <v>90</v>
      </c>
      <c r="F224" s="35" t="str">
        <f ca="1">INDEX(Upaya_Debitur[Lunas?],MATCH(Upaya_Agunan[[#This Row],[Nomor PK]],Upaya_Debitur[Nomor PK],0))</f>
        <v>Belum Lunas</v>
      </c>
      <c r="G224" s="35" t="str">
        <f>IF(OR(Upaya_Agunan[[#This Row],[Agunan]]="SHM",Upaya_Agunan[[#This Row],[Agunan]]="BPKB"),"Ya","Tidak")</f>
        <v>Ya</v>
      </c>
      <c r="H22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2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24" s="35" t="str">
        <f ca="1">IF(AND(DATEDIF($B$5,$B$6,"D")&gt;=150,Upaya_Agunan[[#This Row],[Lelang 1?]]="Ya"),"Ya","Tidak")</f>
        <v>Tidak</v>
      </c>
      <c r="K224" s="35" t="str">
        <f ca="1">IF(AND(DATEDIF($B$5,$B$6,"D")&gt;=180,Upaya_Agunan[[#This Row],[Lelang 2?]]="Ya"),"Ya","Tidak")</f>
        <v>Tidak</v>
      </c>
      <c r="L224" s="18" t="s">
        <v>642</v>
      </c>
      <c r="M224" s="18"/>
      <c r="N224" s="18"/>
      <c r="O224" s="18"/>
      <c r="P224" s="18"/>
      <c r="Q224" s="35">
        <f ca="1">COUNTIF(Upaya_Agunan[[#This Row],[Blokir Agunan?]:[Penjualan Agunan?]],"Ya")</f>
        <v>1</v>
      </c>
      <c r="R224" s="35">
        <f ca="1">Upaya_Agunan[[#This Row],[Target Upaya]]-COUNTIFS(Upaya_Agunan[[#This Row],[Blokir Agunan?]:[Penjualan Agunan?]],"Ya",Upaya_Agunan[[#This Row],[Blokir Agunan]:[Penjualan Agunan]],"")</f>
        <v>1</v>
      </c>
      <c r="S224" s="36">
        <f ca="1">IF(ISNUMBER(Upaya_Agunan[[#This Row],[Realisasi]]/Upaya_Agunan[[#This Row],[Target Upaya]]),Upaya_Agunan[[#This Row],[Realisasi]]/Upaya_Agunan[[#This Row],[Target Upaya]],1)</f>
        <v>1</v>
      </c>
    </row>
    <row r="225" spans="1:19" x14ac:dyDescent="0.3">
      <c r="A225" s="16">
        <v>214</v>
      </c>
      <c r="B225" s="17" t="s">
        <v>561</v>
      </c>
      <c r="C225" s="16" t="s">
        <v>84</v>
      </c>
      <c r="D225" s="16" t="s">
        <v>77</v>
      </c>
      <c r="E225" s="16" t="s">
        <v>93</v>
      </c>
      <c r="F225" s="35" t="str">
        <f ca="1">INDEX(Upaya_Debitur[Lunas?],MATCH(Upaya_Agunan[[#This Row],[Nomor PK]],Upaya_Debitur[Nomor PK],0))</f>
        <v>Belum Lunas</v>
      </c>
      <c r="G225" s="35" t="str">
        <f>IF(OR(Upaya_Agunan[[#This Row],[Agunan]]="SHM",Upaya_Agunan[[#This Row],[Agunan]]="BPKB"),"Ya","Tidak")</f>
        <v>Ya</v>
      </c>
      <c r="H22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2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25" s="35" t="str">
        <f ca="1">IF(AND(DATEDIF($B$5,$B$6,"D")&gt;=150,Upaya_Agunan[[#This Row],[Lelang 1?]]="Ya"),"Ya","Tidak")</f>
        <v>Tidak</v>
      </c>
      <c r="K225" s="35" t="str">
        <f ca="1">IF(AND(DATEDIF($B$5,$B$6,"D")&gt;=180,Upaya_Agunan[[#This Row],[Lelang 2?]]="Ya"),"Ya","Tidak")</f>
        <v>Tidak</v>
      </c>
      <c r="L225" s="18">
        <v>44125</v>
      </c>
      <c r="M225" s="18"/>
      <c r="N225" s="18"/>
      <c r="O225" s="18"/>
      <c r="P225" s="18"/>
      <c r="Q225" s="35">
        <f ca="1">COUNTIF(Upaya_Agunan[[#This Row],[Blokir Agunan?]:[Penjualan Agunan?]],"Ya")</f>
        <v>1</v>
      </c>
      <c r="R225" s="35">
        <f ca="1">Upaya_Agunan[[#This Row],[Target Upaya]]-COUNTIFS(Upaya_Agunan[[#This Row],[Blokir Agunan?]:[Penjualan Agunan?]],"Ya",Upaya_Agunan[[#This Row],[Blokir Agunan]:[Penjualan Agunan]],"")</f>
        <v>1</v>
      </c>
      <c r="S225" s="36">
        <f ca="1">IF(ISNUMBER(Upaya_Agunan[[#This Row],[Realisasi]]/Upaya_Agunan[[#This Row],[Target Upaya]]),Upaya_Agunan[[#This Row],[Realisasi]]/Upaya_Agunan[[#This Row],[Target Upaya]],1)</f>
        <v>1</v>
      </c>
    </row>
    <row r="226" spans="1:19" x14ac:dyDescent="0.3">
      <c r="A226" s="16">
        <v>215</v>
      </c>
      <c r="B226" s="17" t="s">
        <v>563</v>
      </c>
      <c r="C226" s="16" t="s">
        <v>85</v>
      </c>
      <c r="D226" s="16" t="s">
        <v>78</v>
      </c>
      <c r="E226" s="16" t="s">
        <v>93</v>
      </c>
      <c r="F226" s="35" t="str">
        <f ca="1">INDEX(Upaya_Debitur[Lunas?],MATCH(Upaya_Agunan[[#This Row],[Nomor PK]],Upaya_Debitur[Nomor PK],0))</f>
        <v>Belum Lunas</v>
      </c>
      <c r="G226" s="35" t="str">
        <f>IF(OR(Upaya_Agunan[[#This Row],[Agunan]]="SHM",Upaya_Agunan[[#This Row],[Agunan]]="BPKB"),"Ya","Tidak")</f>
        <v>Ya</v>
      </c>
      <c r="H22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2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26" s="35" t="str">
        <f ca="1">IF(AND(DATEDIF($B$5,$B$6,"D")&gt;=150,Upaya_Agunan[[#This Row],[Lelang 1?]]="Ya"),"Ya","Tidak")</f>
        <v>Tidak</v>
      </c>
      <c r="K226" s="35" t="str">
        <f ca="1">IF(AND(DATEDIF($B$5,$B$6,"D")&gt;=180,Upaya_Agunan[[#This Row],[Lelang 2?]]="Ya"),"Ya","Tidak")</f>
        <v>Tidak</v>
      </c>
      <c r="L226" s="18" t="s">
        <v>640</v>
      </c>
      <c r="M226" s="18"/>
      <c r="N226" s="18"/>
      <c r="O226" s="18"/>
      <c r="P226" s="18"/>
      <c r="Q226" s="35">
        <f ca="1">COUNTIF(Upaya_Agunan[[#This Row],[Blokir Agunan?]:[Penjualan Agunan?]],"Ya")</f>
        <v>1</v>
      </c>
      <c r="R226" s="35">
        <f ca="1">Upaya_Agunan[[#This Row],[Target Upaya]]-COUNTIFS(Upaya_Agunan[[#This Row],[Blokir Agunan?]:[Penjualan Agunan?]],"Ya",Upaya_Agunan[[#This Row],[Blokir Agunan]:[Penjualan Agunan]],"")</f>
        <v>1</v>
      </c>
      <c r="S226" s="36">
        <f ca="1">IF(ISNUMBER(Upaya_Agunan[[#This Row],[Realisasi]]/Upaya_Agunan[[#This Row],[Target Upaya]]),Upaya_Agunan[[#This Row],[Realisasi]]/Upaya_Agunan[[#This Row],[Target Upaya]],1)</f>
        <v>1</v>
      </c>
    </row>
    <row r="227" spans="1:19" x14ac:dyDescent="0.3">
      <c r="A227" s="16">
        <v>216</v>
      </c>
      <c r="B227" s="17" t="s">
        <v>565</v>
      </c>
      <c r="C227" s="16" t="s">
        <v>95</v>
      </c>
      <c r="D227" s="16" t="s">
        <v>638</v>
      </c>
      <c r="E227" s="16" t="s">
        <v>93</v>
      </c>
      <c r="F227" s="35" t="str">
        <f ca="1">INDEX(Upaya_Debitur[Lunas?],MATCH(Upaya_Agunan[[#This Row],[Nomor PK]],Upaya_Debitur[Nomor PK],0))</f>
        <v>Belum Lunas</v>
      </c>
      <c r="G227" s="35" t="str">
        <f>IF(OR(Upaya_Agunan[[#This Row],[Agunan]]="SHM",Upaya_Agunan[[#This Row],[Agunan]]="BPKB"),"Ya","Tidak")</f>
        <v>Tidak</v>
      </c>
      <c r="H22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2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27" s="35" t="str">
        <f ca="1">IF(AND(DATEDIF($B$5,$B$6,"D")&gt;=150,Upaya_Agunan[[#This Row],[Lelang 1?]]="Ya"),"Ya","Tidak")</f>
        <v>Tidak</v>
      </c>
      <c r="K227" s="35" t="str">
        <f ca="1">IF(AND(DATEDIF($B$5,$B$6,"D")&gt;=180,Upaya_Agunan[[#This Row],[Lelang 2?]]="Ya"),"Ya","Tidak")</f>
        <v>Tidak</v>
      </c>
      <c r="L227" s="18"/>
      <c r="M227" s="18"/>
      <c r="N227" s="18"/>
      <c r="O227" s="18"/>
      <c r="P227" s="18"/>
      <c r="Q227" s="35">
        <f ca="1">COUNTIF(Upaya_Agunan[[#This Row],[Blokir Agunan?]:[Penjualan Agunan?]],"Ya")</f>
        <v>0</v>
      </c>
      <c r="R227" s="35">
        <f ca="1">Upaya_Agunan[[#This Row],[Target Upaya]]-COUNTIFS(Upaya_Agunan[[#This Row],[Blokir Agunan?]:[Penjualan Agunan?]],"Ya",Upaya_Agunan[[#This Row],[Blokir Agunan]:[Penjualan Agunan]],"")</f>
        <v>0</v>
      </c>
      <c r="S227" s="36">
        <f ca="1">IF(ISNUMBER(Upaya_Agunan[[#This Row],[Realisasi]]/Upaya_Agunan[[#This Row],[Target Upaya]]),Upaya_Agunan[[#This Row],[Realisasi]]/Upaya_Agunan[[#This Row],[Target Upaya]],1)</f>
        <v>1</v>
      </c>
    </row>
    <row r="228" spans="1:19" x14ac:dyDescent="0.3">
      <c r="A228" s="16">
        <v>217</v>
      </c>
      <c r="B228" s="17" t="s">
        <v>567</v>
      </c>
      <c r="C228" s="16" t="s">
        <v>95</v>
      </c>
      <c r="D228" s="16" t="s">
        <v>638</v>
      </c>
      <c r="E228" s="16" t="s">
        <v>93</v>
      </c>
      <c r="F228" s="35" t="str">
        <f ca="1">INDEX(Upaya_Debitur[Lunas?],MATCH(Upaya_Agunan[[#This Row],[Nomor PK]],Upaya_Debitur[Nomor PK],0))</f>
        <v>Belum Lunas</v>
      </c>
      <c r="G228" s="35" t="str">
        <f>IF(OR(Upaya_Agunan[[#This Row],[Agunan]]="SHM",Upaya_Agunan[[#This Row],[Agunan]]="BPKB"),"Ya","Tidak")</f>
        <v>Tidak</v>
      </c>
      <c r="H22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2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28" s="35" t="str">
        <f ca="1">IF(AND(DATEDIF($B$5,$B$6,"D")&gt;=150,Upaya_Agunan[[#This Row],[Lelang 1?]]="Ya"),"Ya","Tidak")</f>
        <v>Tidak</v>
      </c>
      <c r="K228" s="35" t="str">
        <f ca="1">IF(AND(DATEDIF($B$5,$B$6,"D")&gt;=180,Upaya_Agunan[[#This Row],[Lelang 2?]]="Ya"),"Ya","Tidak")</f>
        <v>Tidak</v>
      </c>
      <c r="L228" s="18"/>
      <c r="M228" s="18"/>
      <c r="N228" s="18"/>
      <c r="O228" s="18"/>
      <c r="P228" s="18"/>
      <c r="Q228" s="35">
        <f ca="1">COUNTIF(Upaya_Agunan[[#This Row],[Blokir Agunan?]:[Penjualan Agunan?]],"Ya")</f>
        <v>0</v>
      </c>
      <c r="R228" s="35">
        <f ca="1">Upaya_Agunan[[#This Row],[Target Upaya]]-COUNTIFS(Upaya_Agunan[[#This Row],[Blokir Agunan?]:[Penjualan Agunan?]],"Ya",Upaya_Agunan[[#This Row],[Blokir Agunan]:[Penjualan Agunan]],"")</f>
        <v>0</v>
      </c>
      <c r="S228" s="36">
        <f ca="1">IF(ISNUMBER(Upaya_Agunan[[#This Row],[Realisasi]]/Upaya_Agunan[[#This Row],[Target Upaya]]),Upaya_Agunan[[#This Row],[Realisasi]]/Upaya_Agunan[[#This Row],[Target Upaya]],1)</f>
        <v>1</v>
      </c>
    </row>
    <row r="229" spans="1:19" x14ac:dyDescent="0.3">
      <c r="A229" s="16">
        <v>218</v>
      </c>
      <c r="B229" s="17" t="s">
        <v>569</v>
      </c>
      <c r="C229" s="16" t="s">
        <v>84</v>
      </c>
      <c r="D229" s="16" t="s">
        <v>79</v>
      </c>
      <c r="E229" s="16" t="s">
        <v>93</v>
      </c>
      <c r="F229" s="35" t="str">
        <f ca="1">INDEX(Upaya_Debitur[Lunas?],MATCH(Upaya_Agunan[[#This Row],[Nomor PK]],Upaya_Debitur[Nomor PK],0))</f>
        <v>Belum Lunas</v>
      </c>
      <c r="G229" s="35" t="str">
        <f>IF(OR(Upaya_Agunan[[#This Row],[Agunan]]="SHM",Upaya_Agunan[[#This Row],[Agunan]]="BPKB"),"Ya","Tidak")</f>
        <v>Tidak</v>
      </c>
      <c r="H22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2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29" s="35" t="str">
        <f ca="1">IF(AND(DATEDIF($B$5,$B$6,"D")&gt;=150,Upaya_Agunan[[#This Row],[Lelang 1?]]="Ya"),"Ya","Tidak")</f>
        <v>Tidak</v>
      </c>
      <c r="K229" s="35" t="str">
        <f ca="1">IF(AND(DATEDIF($B$5,$B$6,"D")&gt;=180,Upaya_Agunan[[#This Row],[Lelang 2?]]="Ya"),"Ya","Tidak")</f>
        <v>Tidak</v>
      </c>
      <c r="L229" s="18"/>
      <c r="M229" s="18"/>
      <c r="N229" s="18"/>
      <c r="O229" s="18"/>
      <c r="P229" s="18"/>
      <c r="Q229" s="35">
        <f ca="1">COUNTIF(Upaya_Agunan[[#This Row],[Blokir Agunan?]:[Penjualan Agunan?]],"Ya")</f>
        <v>0</v>
      </c>
      <c r="R229" s="35">
        <f ca="1">Upaya_Agunan[[#This Row],[Target Upaya]]-COUNTIFS(Upaya_Agunan[[#This Row],[Blokir Agunan?]:[Penjualan Agunan?]],"Ya",Upaya_Agunan[[#This Row],[Blokir Agunan]:[Penjualan Agunan]],"")</f>
        <v>0</v>
      </c>
      <c r="S229" s="36">
        <f ca="1">IF(ISNUMBER(Upaya_Agunan[[#This Row],[Realisasi]]/Upaya_Agunan[[#This Row],[Target Upaya]]),Upaya_Agunan[[#This Row],[Realisasi]]/Upaya_Agunan[[#This Row],[Target Upaya]],1)</f>
        <v>1</v>
      </c>
    </row>
    <row r="230" spans="1:19" x14ac:dyDescent="0.3">
      <c r="A230" s="16">
        <v>219</v>
      </c>
      <c r="B230" s="17" t="s">
        <v>571</v>
      </c>
      <c r="C230" s="16" t="s">
        <v>95</v>
      </c>
      <c r="D230" s="16" t="s">
        <v>638</v>
      </c>
      <c r="E230" s="16" t="s">
        <v>93</v>
      </c>
      <c r="F230" s="35" t="str">
        <f ca="1">INDEX(Upaya_Debitur[Lunas?],MATCH(Upaya_Agunan[[#This Row],[Nomor PK]],Upaya_Debitur[Nomor PK],0))</f>
        <v>Belum Lunas</v>
      </c>
      <c r="G230" s="35" t="str">
        <f>IF(OR(Upaya_Agunan[[#This Row],[Agunan]]="SHM",Upaya_Agunan[[#This Row],[Agunan]]="BPKB"),"Ya","Tidak")</f>
        <v>Tidak</v>
      </c>
      <c r="H23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3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30" s="35" t="str">
        <f ca="1">IF(AND(DATEDIF($B$5,$B$6,"D")&gt;=150,Upaya_Agunan[[#This Row],[Lelang 1?]]="Ya"),"Ya","Tidak")</f>
        <v>Tidak</v>
      </c>
      <c r="K230" s="35" t="str">
        <f ca="1">IF(AND(DATEDIF($B$5,$B$6,"D")&gt;=180,Upaya_Agunan[[#This Row],[Lelang 2?]]="Ya"),"Ya","Tidak")</f>
        <v>Tidak</v>
      </c>
      <c r="L230" s="18"/>
      <c r="M230" s="18"/>
      <c r="N230" s="18"/>
      <c r="O230" s="18"/>
      <c r="P230" s="18"/>
      <c r="Q230" s="35">
        <f ca="1">COUNTIF(Upaya_Agunan[[#This Row],[Blokir Agunan?]:[Penjualan Agunan?]],"Ya")</f>
        <v>0</v>
      </c>
      <c r="R230" s="35">
        <f ca="1">Upaya_Agunan[[#This Row],[Target Upaya]]-COUNTIFS(Upaya_Agunan[[#This Row],[Blokir Agunan?]:[Penjualan Agunan?]],"Ya",Upaya_Agunan[[#This Row],[Blokir Agunan]:[Penjualan Agunan]],"")</f>
        <v>0</v>
      </c>
      <c r="S230" s="36">
        <f ca="1">IF(ISNUMBER(Upaya_Agunan[[#This Row],[Realisasi]]/Upaya_Agunan[[#This Row],[Target Upaya]]),Upaya_Agunan[[#This Row],[Realisasi]]/Upaya_Agunan[[#This Row],[Target Upaya]],1)</f>
        <v>1</v>
      </c>
    </row>
    <row r="231" spans="1:19" x14ac:dyDescent="0.3">
      <c r="A231" s="16">
        <v>220</v>
      </c>
      <c r="B231" s="17" t="s">
        <v>573</v>
      </c>
      <c r="C231" s="16" t="s">
        <v>95</v>
      </c>
      <c r="D231" s="16" t="s">
        <v>638</v>
      </c>
      <c r="E231" s="16" t="s">
        <v>93</v>
      </c>
      <c r="F231" s="35" t="str">
        <f ca="1">INDEX(Upaya_Debitur[Lunas?],MATCH(Upaya_Agunan[[#This Row],[Nomor PK]],Upaya_Debitur[Nomor PK],0))</f>
        <v>Belum Lunas</v>
      </c>
      <c r="G231" s="35" t="str">
        <f>IF(OR(Upaya_Agunan[[#This Row],[Agunan]]="SHM",Upaya_Agunan[[#This Row],[Agunan]]="BPKB"),"Ya","Tidak")</f>
        <v>Tidak</v>
      </c>
      <c r="H23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3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31" s="35" t="str">
        <f ca="1">IF(AND(DATEDIF($B$5,$B$6,"D")&gt;=150,Upaya_Agunan[[#This Row],[Lelang 1?]]="Ya"),"Ya","Tidak")</f>
        <v>Tidak</v>
      </c>
      <c r="K231" s="35" t="str">
        <f ca="1">IF(AND(DATEDIF($B$5,$B$6,"D")&gt;=180,Upaya_Agunan[[#This Row],[Lelang 2?]]="Ya"),"Ya","Tidak")</f>
        <v>Tidak</v>
      </c>
      <c r="L231" s="18"/>
      <c r="M231" s="18"/>
      <c r="N231" s="18"/>
      <c r="O231" s="18"/>
      <c r="P231" s="18"/>
      <c r="Q231" s="35">
        <f ca="1">COUNTIF(Upaya_Agunan[[#This Row],[Blokir Agunan?]:[Penjualan Agunan?]],"Ya")</f>
        <v>0</v>
      </c>
      <c r="R231" s="35">
        <f ca="1">Upaya_Agunan[[#This Row],[Target Upaya]]-COUNTIFS(Upaya_Agunan[[#This Row],[Blokir Agunan?]:[Penjualan Agunan?]],"Ya",Upaya_Agunan[[#This Row],[Blokir Agunan]:[Penjualan Agunan]],"")</f>
        <v>0</v>
      </c>
      <c r="S231" s="36">
        <f ca="1">IF(ISNUMBER(Upaya_Agunan[[#This Row],[Realisasi]]/Upaya_Agunan[[#This Row],[Target Upaya]]),Upaya_Agunan[[#This Row],[Realisasi]]/Upaya_Agunan[[#This Row],[Target Upaya]],1)</f>
        <v>1</v>
      </c>
    </row>
    <row r="232" spans="1:19" x14ac:dyDescent="0.3">
      <c r="A232" s="16">
        <v>221</v>
      </c>
      <c r="B232" s="17" t="s">
        <v>575</v>
      </c>
      <c r="C232" s="16" t="s">
        <v>85</v>
      </c>
      <c r="D232" s="16" t="s">
        <v>78</v>
      </c>
      <c r="E232" s="16" t="s">
        <v>106</v>
      </c>
      <c r="F232" s="35" t="str">
        <f ca="1">INDEX(Upaya_Debitur[Lunas?],MATCH(Upaya_Agunan[[#This Row],[Nomor PK]],Upaya_Debitur[Nomor PK],0))</f>
        <v>Belum Lunas</v>
      </c>
      <c r="G232" s="35" t="str">
        <f>IF(OR(Upaya_Agunan[[#This Row],[Agunan]]="SHM",Upaya_Agunan[[#This Row],[Agunan]]="BPKB"),"Ya","Tidak")</f>
        <v>Ya</v>
      </c>
      <c r="H23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3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32" s="35" t="str">
        <f ca="1">IF(AND(DATEDIF($B$5,$B$6,"D")&gt;=150,Upaya_Agunan[[#This Row],[Lelang 1?]]="Ya"),"Ya","Tidak")</f>
        <v>Tidak</v>
      </c>
      <c r="K232" s="35" t="str">
        <f ca="1">IF(AND(DATEDIF($B$5,$B$6,"D")&gt;=180,Upaya_Agunan[[#This Row],[Lelang 2?]]="Ya"),"Ya","Tidak")</f>
        <v>Tidak</v>
      </c>
      <c r="L232" s="18">
        <v>44123</v>
      </c>
      <c r="M232" s="18"/>
      <c r="N232" s="18"/>
      <c r="O232" s="18"/>
      <c r="P232" s="18"/>
      <c r="Q232" s="35">
        <f ca="1">COUNTIF(Upaya_Agunan[[#This Row],[Blokir Agunan?]:[Penjualan Agunan?]],"Ya")</f>
        <v>1</v>
      </c>
      <c r="R232" s="35">
        <f ca="1">Upaya_Agunan[[#This Row],[Target Upaya]]-COUNTIFS(Upaya_Agunan[[#This Row],[Blokir Agunan?]:[Penjualan Agunan?]],"Ya",Upaya_Agunan[[#This Row],[Blokir Agunan]:[Penjualan Agunan]],"")</f>
        <v>1</v>
      </c>
      <c r="S232" s="36">
        <f ca="1">IF(ISNUMBER(Upaya_Agunan[[#This Row],[Realisasi]]/Upaya_Agunan[[#This Row],[Target Upaya]]),Upaya_Agunan[[#This Row],[Realisasi]]/Upaya_Agunan[[#This Row],[Target Upaya]],1)</f>
        <v>1</v>
      </c>
    </row>
    <row r="233" spans="1:19" x14ac:dyDescent="0.3">
      <c r="A233" s="16">
        <v>222</v>
      </c>
      <c r="B233" s="17" t="s">
        <v>577</v>
      </c>
      <c r="C233" s="16" t="s">
        <v>85</v>
      </c>
      <c r="D233" s="16" t="s">
        <v>78</v>
      </c>
      <c r="E233" s="16" t="s">
        <v>93</v>
      </c>
      <c r="F233" s="35" t="str">
        <f ca="1">INDEX(Upaya_Debitur[Lunas?],MATCH(Upaya_Agunan[[#This Row],[Nomor PK]],Upaya_Debitur[Nomor PK],0))</f>
        <v>Belum Lunas</v>
      </c>
      <c r="G233" s="35" t="str">
        <f>IF(OR(Upaya_Agunan[[#This Row],[Agunan]]="SHM",Upaya_Agunan[[#This Row],[Agunan]]="BPKB"),"Ya","Tidak")</f>
        <v>Ya</v>
      </c>
      <c r="H23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3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33" s="35" t="str">
        <f ca="1">IF(AND(DATEDIF($B$5,$B$6,"D")&gt;=150,Upaya_Agunan[[#This Row],[Lelang 1?]]="Ya"),"Ya","Tidak")</f>
        <v>Tidak</v>
      </c>
      <c r="K233" s="35" t="str">
        <f ca="1">IF(AND(DATEDIF($B$5,$B$6,"D")&gt;=180,Upaya_Agunan[[#This Row],[Lelang 2?]]="Ya"),"Ya","Tidak")</f>
        <v>Tidak</v>
      </c>
      <c r="L233" s="18">
        <v>44126</v>
      </c>
      <c r="M233" s="18"/>
      <c r="N233" s="18"/>
      <c r="O233" s="18"/>
      <c r="P233" s="18"/>
      <c r="Q233" s="35">
        <f ca="1">COUNTIF(Upaya_Agunan[[#This Row],[Blokir Agunan?]:[Penjualan Agunan?]],"Ya")</f>
        <v>1</v>
      </c>
      <c r="R233" s="35">
        <f ca="1">Upaya_Agunan[[#This Row],[Target Upaya]]-COUNTIFS(Upaya_Agunan[[#This Row],[Blokir Agunan?]:[Penjualan Agunan?]],"Ya",Upaya_Agunan[[#This Row],[Blokir Agunan]:[Penjualan Agunan]],"")</f>
        <v>1</v>
      </c>
      <c r="S233" s="36">
        <f ca="1">IF(ISNUMBER(Upaya_Agunan[[#This Row],[Realisasi]]/Upaya_Agunan[[#This Row],[Target Upaya]]),Upaya_Agunan[[#This Row],[Realisasi]]/Upaya_Agunan[[#This Row],[Target Upaya]],1)</f>
        <v>1</v>
      </c>
    </row>
    <row r="234" spans="1:19" x14ac:dyDescent="0.3">
      <c r="A234" s="16">
        <v>223</v>
      </c>
      <c r="B234" s="17" t="s">
        <v>579</v>
      </c>
      <c r="C234" s="16" t="s">
        <v>84</v>
      </c>
      <c r="D234" s="16" t="s">
        <v>77</v>
      </c>
      <c r="E234" s="16" t="s">
        <v>93</v>
      </c>
      <c r="F234" s="35" t="str">
        <f ca="1">INDEX(Upaya_Debitur[Lunas?],MATCH(Upaya_Agunan[[#This Row],[Nomor PK]],Upaya_Debitur[Nomor PK],0))</f>
        <v>Belum Lunas</v>
      </c>
      <c r="G234" s="35" t="str">
        <f>IF(OR(Upaya_Agunan[[#This Row],[Agunan]]="SHM",Upaya_Agunan[[#This Row],[Agunan]]="BPKB"),"Ya","Tidak")</f>
        <v>Ya</v>
      </c>
      <c r="H23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3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34" s="35" t="str">
        <f ca="1">IF(AND(DATEDIF($B$5,$B$6,"D")&gt;=150,Upaya_Agunan[[#This Row],[Lelang 1?]]="Ya"),"Ya","Tidak")</f>
        <v>Tidak</v>
      </c>
      <c r="K234" s="35" t="str">
        <f ca="1">IF(AND(DATEDIF($B$5,$B$6,"D")&gt;=180,Upaya_Agunan[[#This Row],[Lelang 2?]]="Ya"),"Ya","Tidak")</f>
        <v>Tidak</v>
      </c>
      <c r="L234" s="18">
        <v>44125</v>
      </c>
      <c r="M234" s="18"/>
      <c r="N234" s="18"/>
      <c r="O234" s="18"/>
      <c r="P234" s="18"/>
      <c r="Q234" s="35">
        <f ca="1">COUNTIF(Upaya_Agunan[[#This Row],[Blokir Agunan?]:[Penjualan Agunan?]],"Ya")</f>
        <v>1</v>
      </c>
      <c r="R234" s="35">
        <f ca="1">Upaya_Agunan[[#This Row],[Target Upaya]]-COUNTIFS(Upaya_Agunan[[#This Row],[Blokir Agunan?]:[Penjualan Agunan?]],"Ya",Upaya_Agunan[[#This Row],[Blokir Agunan]:[Penjualan Agunan]],"")</f>
        <v>1</v>
      </c>
      <c r="S234" s="36">
        <f ca="1">IF(ISNUMBER(Upaya_Agunan[[#This Row],[Realisasi]]/Upaya_Agunan[[#This Row],[Target Upaya]]),Upaya_Agunan[[#This Row],[Realisasi]]/Upaya_Agunan[[#This Row],[Target Upaya]],1)</f>
        <v>1</v>
      </c>
    </row>
    <row r="235" spans="1:19" x14ac:dyDescent="0.3">
      <c r="A235" s="16">
        <v>224</v>
      </c>
      <c r="B235" s="17" t="s">
        <v>581</v>
      </c>
      <c r="C235" s="16" t="s">
        <v>95</v>
      </c>
      <c r="D235" s="16" t="s">
        <v>638</v>
      </c>
      <c r="E235" s="16" t="s">
        <v>93</v>
      </c>
      <c r="F235" s="35" t="str">
        <f ca="1">INDEX(Upaya_Debitur[Lunas?],MATCH(Upaya_Agunan[[#This Row],[Nomor PK]],Upaya_Debitur[Nomor PK],0))</f>
        <v>Belum Lunas</v>
      </c>
      <c r="G235" s="35" t="str">
        <f>IF(OR(Upaya_Agunan[[#This Row],[Agunan]]="SHM",Upaya_Agunan[[#This Row],[Agunan]]="BPKB"),"Ya","Tidak")</f>
        <v>Tidak</v>
      </c>
      <c r="H23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3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35" s="35" t="str">
        <f ca="1">IF(AND(DATEDIF($B$5,$B$6,"D")&gt;=150,Upaya_Agunan[[#This Row],[Lelang 1?]]="Ya"),"Ya","Tidak")</f>
        <v>Tidak</v>
      </c>
      <c r="K235" s="35" t="str">
        <f ca="1">IF(AND(DATEDIF($B$5,$B$6,"D")&gt;=180,Upaya_Agunan[[#This Row],[Lelang 2?]]="Ya"),"Ya","Tidak")</f>
        <v>Tidak</v>
      </c>
      <c r="L235" s="18"/>
      <c r="M235" s="18"/>
      <c r="N235" s="18"/>
      <c r="O235" s="18"/>
      <c r="P235" s="18"/>
      <c r="Q235" s="35">
        <f ca="1">COUNTIF(Upaya_Agunan[[#This Row],[Blokir Agunan?]:[Penjualan Agunan?]],"Ya")</f>
        <v>0</v>
      </c>
      <c r="R235" s="35">
        <f ca="1">Upaya_Agunan[[#This Row],[Target Upaya]]-COUNTIFS(Upaya_Agunan[[#This Row],[Blokir Agunan?]:[Penjualan Agunan?]],"Ya",Upaya_Agunan[[#This Row],[Blokir Agunan]:[Penjualan Agunan]],"")</f>
        <v>0</v>
      </c>
      <c r="S235" s="36">
        <f ca="1">IF(ISNUMBER(Upaya_Agunan[[#This Row],[Realisasi]]/Upaya_Agunan[[#This Row],[Target Upaya]]),Upaya_Agunan[[#This Row],[Realisasi]]/Upaya_Agunan[[#This Row],[Target Upaya]],1)</f>
        <v>1</v>
      </c>
    </row>
    <row r="236" spans="1:19" x14ac:dyDescent="0.3">
      <c r="A236" s="16">
        <v>225</v>
      </c>
      <c r="B236" s="17" t="s">
        <v>583</v>
      </c>
      <c r="C236" s="16" t="s">
        <v>84</v>
      </c>
      <c r="D236" s="16" t="s">
        <v>79</v>
      </c>
      <c r="E236" s="16" t="s">
        <v>93</v>
      </c>
      <c r="F236" s="35" t="str">
        <f ca="1">INDEX(Upaya_Debitur[Lunas?],MATCH(Upaya_Agunan[[#This Row],[Nomor PK]],Upaya_Debitur[Nomor PK],0))</f>
        <v>Lunas</v>
      </c>
      <c r="G236" s="35" t="str">
        <f>IF(OR(Upaya_Agunan[[#This Row],[Agunan]]="SHM",Upaya_Agunan[[#This Row],[Agunan]]="BPKB"),"Ya","Tidak")</f>
        <v>Tidak</v>
      </c>
      <c r="H23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3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36" s="35" t="str">
        <f ca="1">IF(AND(DATEDIF($B$5,$B$6,"D")&gt;=150,Upaya_Agunan[[#This Row],[Lelang 1?]]="Ya"),"Ya","Tidak")</f>
        <v>Tidak</v>
      </c>
      <c r="K236" s="35" t="str">
        <f ca="1">IF(AND(DATEDIF($B$5,$B$6,"D")&gt;=180,Upaya_Agunan[[#This Row],[Lelang 2?]]="Ya"),"Ya","Tidak")</f>
        <v>Tidak</v>
      </c>
      <c r="L236" s="18"/>
      <c r="M236" s="18"/>
      <c r="N236" s="18"/>
      <c r="O236" s="18"/>
      <c r="P236" s="18"/>
      <c r="Q236" s="35">
        <f ca="1">COUNTIF(Upaya_Agunan[[#This Row],[Blokir Agunan?]:[Penjualan Agunan?]],"Ya")</f>
        <v>0</v>
      </c>
      <c r="R236" s="35">
        <f ca="1">Upaya_Agunan[[#This Row],[Target Upaya]]-COUNTIFS(Upaya_Agunan[[#This Row],[Blokir Agunan?]:[Penjualan Agunan?]],"Ya",Upaya_Agunan[[#This Row],[Blokir Agunan]:[Penjualan Agunan]],"")</f>
        <v>0</v>
      </c>
      <c r="S236" s="36">
        <f ca="1">IF(ISNUMBER(Upaya_Agunan[[#This Row],[Realisasi]]/Upaya_Agunan[[#This Row],[Target Upaya]]),Upaya_Agunan[[#This Row],[Realisasi]]/Upaya_Agunan[[#This Row],[Target Upaya]],1)</f>
        <v>1</v>
      </c>
    </row>
    <row r="237" spans="1:19" x14ac:dyDescent="0.3">
      <c r="A237" s="16">
        <v>226</v>
      </c>
      <c r="B237" s="17" t="s">
        <v>585</v>
      </c>
      <c r="C237" s="16" t="s">
        <v>95</v>
      </c>
      <c r="D237" s="16" t="s">
        <v>638</v>
      </c>
      <c r="E237" s="16" t="s">
        <v>93</v>
      </c>
      <c r="F237" s="35" t="str">
        <f ca="1">INDEX(Upaya_Debitur[Lunas?],MATCH(Upaya_Agunan[[#This Row],[Nomor PK]],Upaya_Debitur[Nomor PK],0))</f>
        <v>Belum Lunas</v>
      </c>
      <c r="G237" s="35" t="str">
        <f>IF(OR(Upaya_Agunan[[#This Row],[Agunan]]="SHM",Upaya_Agunan[[#This Row],[Agunan]]="BPKB"),"Ya","Tidak")</f>
        <v>Tidak</v>
      </c>
      <c r="H23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3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37" s="35" t="str">
        <f ca="1">IF(AND(DATEDIF($B$5,$B$6,"D")&gt;=150,Upaya_Agunan[[#This Row],[Lelang 1?]]="Ya"),"Ya","Tidak")</f>
        <v>Tidak</v>
      </c>
      <c r="K237" s="35" t="str">
        <f ca="1">IF(AND(DATEDIF($B$5,$B$6,"D")&gt;=180,Upaya_Agunan[[#This Row],[Lelang 2?]]="Ya"),"Ya","Tidak")</f>
        <v>Tidak</v>
      </c>
      <c r="L237" s="18"/>
      <c r="M237" s="18"/>
      <c r="N237" s="18"/>
      <c r="O237" s="18"/>
      <c r="P237" s="18"/>
      <c r="Q237" s="35">
        <f ca="1">COUNTIF(Upaya_Agunan[[#This Row],[Blokir Agunan?]:[Penjualan Agunan?]],"Ya")</f>
        <v>0</v>
      </c>
      <c r="R237" s="35">
        <f ca="1">Upaya_Agunan[[#This Row],[Target Upaya]]-COUNTIFS(Upaya_Agunan[[#This Row],[Blokir Agunan?]:[Penjualan Agunan?]],"Ya",Upaya_Agunan[[#This Row],[Blokir Agunan]:[Penjualan Agunan]],"")</f>
        <v>0</v>
      </c>
      <c r="S237" s="36">
        <f ca="1">IF(ISNUMBER(Upaya_Agunan[[#This Row],[Realisasi]]/Upaya_Agunan[[#This Row],[Target Upaya]]),Upaya_Agunan[[#This Row],[Realisasi]]/Upaya_Agunan[[#This Row],[Target Upaya]],1)</f>
        <v>1</v>
      </c>
    </row>
    <row r="238" spans="1:19" x14ac:dyDescent="0.3">
      <c r="A238" s="16">
        <v>227</v>
      </c>
      <c r="B238" s="17" t="s">
        <v>587</v>
      </c>
      <c r="C238" s="16" t="s">
        <v>85</v>
      </c>
      <c r="D238" s="16" t="s">
        <v>78</v>
      </c>
      <c r="E238" s="16" t="s">
        <v>93</v>
      </c>
      <c r="F238" s="35" t="str">
        <f ca="1">INDEX(Upaya_Debitur[Lunas?],MATCH(Upaya_Agunan[[#This Row],[Nomor PK]],Upaya_Debitur[Nomor PK],0))</f>
        <v>Belum Lunas</v>
      </c>
      <c r="G238" s="35" t="str">
        <f>IF(OR(Upaya_Agunan[[#This Row],[Agunan]]="SHM",Upaya_Agunan[[#This Row],[Agunan]]="BPKB"),"Ya","Tidak")</f>
        <v>Ya</v>
      </c>
      <c r="H23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3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38" s="35" t="str">
        <f ca="1">IF(AND(DATEDIF($B$5,$B$6,"D")&gt;=150,Upaya_Agunan[[#This Row],[Lelang 1?]]="Ya"),"Ya","Tidak")</f>
        <v>Tidak</v>
      </c>
      <c r="K238" s="35" t="str">
        <f ca="1">IF(AND(DATEDIF($B$5,$B$6,"D")&gt;=180,Upaya_Agunan[[#This Row],[Lelang 2?]]="Ya"),"Ya","Tidak")</f>
        <v>Tidak</v>
      </c>
      <c r="L238" s="18" t="s">
        <v>640</v>
      </c>
      <c r="M238" s="18"/>
      <c r="N238" s="18"/>
      <c r="O238" s="18"/>
      <c r="P238" s="18"/>
      <c r="Q238" s="35">
        <f ca="1">COUNTIF(Upaya_Agunan[[#This Row],[Blokir Agunan?]:[Penjualan Agunan?]],"Ya")</f>
        <v>1</v>
      </c>
      <c r="R238" s="35">
        <f ca="1">Upaya_Agunan[[#This Row],[Target Upaya]]-COUNTIFS(Upaya_Agunan[[#This Row],[Blokir Agunan?]:[Penjualan Agunan?]],"Ya",Upaya_Agunan[[#This Row],[Blokir Agunan]:[Penjualan Agunan]],"")</f>
        <v>1</v>
      </c>
      <c r="S238" s="36">
        <f ca="1">IF(ISNUMBER(Upaya_Agunan[[#This Row],[Realisasi]]/Upaya_Agunan[[#This Row],[Target Upaya]]),Upaya_Agunan[[#This Row],[Realisasi]]/Upaya_Agunan[[#This Row],[Target Upaya]],1)</f>
        <v>1</v>
      </c>
    </row>
    <row r="239" spans="1:19" x14ac:dyDescent="0.3">
      <c r="A239" s="16">
        <v>228</v>
      </c>
      <c r="B239" s="17" t="s">
        <v>589</v>
      </c>
      <c r="C239" s="16" t="s">
        <v>85</v>
      </c>
      <c r="D239" s="16" t="s">
        <v>78</v>
      </c>
      <c r="E239" s="16" t="s">
        <v>93</v>
      </c>
      <c r="F239" s="35" t="str">
        <f ca="1">INDEX(Upaya_Debitur[Lunas?],MATCH(Upaya_Agunan[[#This Row],[Nomor PK]],Upaya_Debitur[Nomor PK],0))</f>
        <v>Belum Lunas</v>
      </c>
      <c r="G239" s="35" t="str">
        <f>IF(OR(Upaya_Agunan[[#This Row],[Agunan]]="SHM",Upaya_Agunan[[#This Row],[Agunan]]="BPKB"),"Ya","Tidak")</f>
        <v>Ya</v>
      </c>
      <c r="H23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3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39" s="35" t="str">
        <f ca="1">IF(AND(DATEDIF($B$5,$B$6,"D")&gt;=150,Upaya_Agunan[[#This Row],[Lelang 1?]]="Ya"),"Ya","Tidak")</f>
        <v>Tidak</v>
      </c>
      <c r="K239" s="35" t="str">
        <f ca="1">IF(AND(DATEDIF($B$5,$B$6,"D")&gt;=180,Upaya_Agunan[[#This Row],[Lelang 2?]]="Ya"),"Ya","Tidak")</f>
        <v>Tidak</v>
      </c>
      <c r="L239" s="18" t="s">
        <v>640</v>
      </c>
      <c r="M239" s="18"/>
      <c r="N239" s="18"/>
      <c r="O239" s="18"/>
      <c r="P239" s="18"/>
      <c r="Q239" s="35">
        <f ca="1">COUNTIF(Upaya_Agunan[[#This Row],[Blokir Agunan?]:[Penjualan Agunan?]],"Ya")</f>
        <v>1</v>
      </c>
      <c r="R239" s="35">
        <f ca="1">Upaya_Agunan[[#This Row],[Target Upaya]]-COUNTIFS(Upaya_Agunan[[#This Row],[Blokir Agunan?]:[Penjualan Agunan?]],"Ya",Upaya_Agunan[[#This Row],[Blokir Agunan]:[Penjualan Agunan]],"")</f>
        <v>1</v>
      </c>
      <c r="S239" s="36">
        <f ca="1">IF(ISNUMBER(Upaya_Agunan[[#This Row],[Realisasi]]/Upaya_Agunan[[#This Row],[Target Upaya]]),Upaya_Agunan[[#This Row],[Realisasi]]/Upaya_Agunan[[#This Row],[Target Upaya]],1)</f>
        <v>1</v>
      </c>
    </row>
    <row r="240" spans="1:19" x14ac:dyDescent="0.3">
      <c r="A240" s="16">
        <v>229</v>
      </c>
      <c r="B240" s="17" t="s">
        <v>591</v>
      </c>
      <c r="C240" s="16" t="s">
        <v>95</v>
      </c>
      <c r="D240" s="16" t="s">
        <v>638</v>
      </c>
      <c r="E240" s="16" t="s">
        <v>93</v>
      </c>
      <c r="F240" s="35" t="str">
        <f ca="1">INDEX(Upaya_Debitur[Lunas?],MATCH(Upaya_Agunan[[#This Row],[Nomor PK]],Upaya_Debitur[Nomor PK],0))</f>
        <v>Belum Lunas</v>
      </c>
      <c r="G240" s="35" t="str">
        <f>IF(OR(Upaya_Agunan[[#This Row],[Agunan]]="SHM",Upaya_Agunan[[#This Row],[Agunan]]="BPKB"),"Ya","Tidak")</f>
        <v>Tidak</v>
      </c>
      <c r="H24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4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40" s="35" t="str">
        <f ca="1">IF(AND(DATEDIF($B$5,$B$6,"D")&gt;=150,Upaya_Agunan[[#This Row],[Lelang 1?]]="Ya"),"Ya","Tidak")</f>
        <v>Tidak</v>
      </c>
      <c r="K240" s="35" t="str">
        <f ca="1">IF(AND(DATEDIF($B$5,$B$6,"D")&gt;=180,Upaya_Agunan[[#This Row],[Lelang 2?]]="Ya"),"Ya","Tidak")</f>
        <v>Tidak</v>
      </c>
      <c r="L240" s="18"/>
      <c r="M240" s="18"/>
      <c r="N240" s="18"/>
      <c r="O240" s="18"/>
      <c r="P240" s="18"/>
      <c r="Q240" s="35">
        <f ca="1">COUNTIF(Upaya_Agunan[[#This Row],[Blokir Agunan?]:[Penjualan Agunan?]],"Ya")</f>
        <v>0</v>
      </c>
      <c r="R240" s="35">
        <f ca="1">Upaya_Agunan[[#This Row],[Target Upaya]]-COUNTIFS(Upaya_Agunan[[#This Row],[Blokir Agunan?]:[Penjualan Agunan?]],"Ya",Upaya_Agunan[[#This Row],[Blokir Agunan]:[Penjualan Agunan]],"")</f>
        <v>0</v>
      </c>
      <c r="S240" s="36">
        <f ca="1">IF(ISNUMBER(Upaya_Agunan[[#This Row],[Realisasi]]/Upaya_Agunan[[#This Row],[Target Upaya]]),Upaya_Agunan[[#This Row],[Realisasi]]/Upaya_Agunan[[#This Row],[Target Upaya]],1)</f>
        <v>1</v>
      </c>
    </row>
    <row r="241" spans="1:19" x14ac:dyDescent="0.3">
      <c r="A241" s="16">
        <v>230</v>
      </c>
      <c r="B241" s="17" t="s">
        <v>593</v>
      </c>
      <c r="C241" s="16" t="s">
        <v>95</v>
      </c>
      <c r="D241" s="16" t="s">
        <v>638</v>
      </c>
      <c r="E241" s="16" t="s">
        <v>93</v>
      </c>
      <c r="F241" s="35" t="str">
        <f ca="1">INDEX(Upaya_Debitur[Lunas?],MATCH(Upaya_Agunan[[#This Row],[Nomor PK]],Upaya_Debitur[Nomor PK],0))</f>
        <v>Belum Lunas</v>
      </c>
      <c r="G241" s="35" t="str">
        <f>IF(OR(Upaya_Agunan[[#This Row],[Agunan]]="SHM",Upaya_Agunan[[#This Row],[Agunan]]="BPKB"),"Ya","Tidak")</f>
        <v>Tidak</v>
      </c>
      <c r="H24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4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41" s="35" t="str">
        <f ca="1">IF(AND(DATEDIF($B$5,$B$6,"D")&gt;=150,Upaya_Agunan[[#This Row],[Lelang 1?]]="Ya"),"Ya","Tidak")</f>
        <v>Tidak</v>
      </c>
      <c r="K241" s="35" t="str">
        <f ca="1">IF(AND(DATEDIF($B$5,$B$6,"D")&gt;=180,Upaya_Agunan[[#This Row],[Lelang 2?]]="Ya"),"Ya","Tidak")</f>
        <v>Tidak</v>
      </c>
      <c r="L241" s="18"/>
      <c r="M241" s="18"/>
      <c r="N241" s="18"/>
      <c r="O241" s="18"/>
      <c r="P241" s="18"/>
      <c r="Q241" s="35">
        <f ca="1">COUNTIF(Upaya_Agunan[[#This Row],[Blokir Agunan?]:[Penjualan Agunan?]],"Ya")</f>
        <v>0</v>
      </c>
      <c r="R241" s="35">
        <f ca="1">Upaya_Agunan[[#This Row],[Target Upaya]]-COUNTIFS(Upaya_Agunan[[#This Row],[Blokir Agunan?]:[Penjualan Agunan?]],"Ya",Upaya_Agunan[[#This Row],[Blokir Agunan]:[Penjualan Agunan]],"")</f>
        <v>0</v>
      </c>
      <c r="S241" s="36">
        <f ca="1">IF(ISNUMBER(Upaya_Agunan[[#This Row],[Realisasi]]/Upaya_Agunan[[#This Row],[Target Upaya]]),Upaya_Agunan[[#This Row],[Realisasi]]/Upaya_Agunan[[#This Row],[Target Upaya]],1)</f>
        <v>1</v>
      </c>
    </row>
    <row r="242" spans="1:19" x14ac:dyDescent="0.3">
      <c r="A242" s="16">
        <v>231</v>
      </c>
      <c r="B242" s="17" t="s">
        <v>595</v>
      </c>
      <c r="C242" s="16" t="s">
        <v>85</v>
      </c>
      <c r="D242" s="16" t="s">
        <v>78</v>
      </c>
      <c r="E242" s="16" t="s">
        <v>106</v>
      </c>
      <c r="F242" s="35" t="str">
        <f ca="1">INDEX(Upaya_Debitur[Lunas?],MATCH(Upaya_Agunan[[#This Row],[Nomor PK]],Upaya_Debitur[Nomor PK],0))</f>
        <v>Belum Lunas</v>
      </c>
      <c r="G242" s="35" t="str">
        <f>IF(OR(Upaya_Agunan[[#This Row],[Agunan]]="SHM",Upaya_Agunan[[#This Row],[Agunan]]="BPKB"),"Ya","Tidak")</f>
        <v>Ya</v>
      </c>
      <c r="H24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4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42" s="35" t="str">
        <f ca="1">IF(AND(DATEDIF($B$5,$B$6,"D")&gt;=150,Upaya_Agunan[[#This Row],[Lelang 1?]]="Ya"),"Ya","Tidak")</f>
        <v>Tidak</v>
      </c>
      <c r="K242" s="35" t="str">
        <f ca="1">IF(AND(DATEDIF($B$5,$B$6,"D")&gt;=180,Upaya_Agunan[[#This Row],[Lelang 2?]]="Ya"),"Ya","Tidak")</f>
        <v>Tidak</v>
      </c>
      <c r="L242" s="18">
        <v>44123</v>
      </c>
      <c r="M242" s="18"/>
      <c r="N242" s="18"/>
      <c r="O242" s="18"/>
      <c r="P242" s="18"/>
      <c r="Q242" s="35">
        <f ca="1">COUNTIF(Upaya_Agunan[[#This Row],[Blokir Agunan?]:[Penjualan Agunan?]],"Ya")</f>
        <v>1</v>
      </c>
      <c r="R242" s="35">
        <f ca="1">Upaya_Agunan[[#This Row],[Target Upaya]]-COUNTIFS(Upaya_Agunan[[#This Row],[Blokir Agunan?]:[Penjualan Agunan?]],"Ya",Upaya_Agunan[[#This Row],[Blokir Agunan]:[Penjualan Agunan]],"")</f>
        <v>1</v>
      </c>
      <c r="S242" s="36">
        <f ca="1">IF(ISNUMBER(Upaya_Agunan[[#This Row],[Realisasi]]/Upaya_Agunan[[#This Row],[Target Upaya]]),Upaya_Agunan[[#This Row],[Realisasi]]/Upaya_Agunan[[#This Row],[Target Upaya]],1)</f>
        <v>1</v>
      </c>
    </row>
    <row r="243" spans="1:19" x14ac:dyDescent="0.3">
      <c r="A243" s="16">
        <v>232</v>
      </c>
      <c r="B243" s="17" t="s">
        <v>597</v>
      </c>
      <c r="C243" s="16" t="s">
        <v>84</v>
      </c>
      <c r="D243" s="16" t="s">
        <v>98</v>
      </c>
      <c r="E243" s="16" t="s">
        <v>93</v>
      </c>
      <c r="F243" s="35" t="str">
        <f ca="1">INDEX(Upaya_Debitur[Lunas?],MATCH(Upaya_Agunan[[#This Row],[Nomor PK]],Upaya_Debitur[Nomor PK],0))</f>
        <v>Belum Lunas</v>
      </c>
      <c r="G243" s="35" t="str">
        <f>IF(OR(Upaya_Agunan[[#This Row],[Agunan]]="SHM",Upaya_Agunan[[#This Row],[Agunan]]="BPKB"),"Ya","Tidak")</f>
        <v>Tidak</v>
      </c>
      <c r="H24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4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43" s="35" t="str">
        <f ca="1">IF(AND(DATEDIF($B$5,$B$6,"D")&gt;=150,Upaya_Agunan[[#This Row],[Lelang 1?]]="Ya"),"Ya","Tidak")</f>
        <v>Tidak</v>
      </c>
      <c r="K243" s="35" t="str">
        <f ca="1">IF(AND(DATEDIF($B$5,$B$6,"D")&gt;=180,Upaya_Agunan[[#This Row],[Lelang 2?]]="Ya"),"Ya","Tidak")</f>
        <v>Tidak</v>
      </c>
      <c r="L243" s="18"/>
      <c r="M243" s="18"/>
      <c r="N243" s="18"/>
      <c r="O243" s="18"/>
      <c r="P243" s="18"/>
      <c r="Q243" s="35">
        <f ca="1">COUNTIF(Upaya_Agunan[[#This Row],[Blokir Agunan?]:[Penjualan Agunan?]],"Ya")</f>
        <v>0</v>
      </c>
      <c r="R243" s="35">
        <f ca="1">Upaya_Agunan[[#This Row],[Target Upaya]]-COUNTIFS(Upaya_Agunan[[#This Row],[Blokir Agunan?]:[Penjualan Agunan?]],"Ya",Upaya_Agunan[[#This Row],[Blokir Agunan]:[Penjualan Agunan]],"")</f>
        <v>0</v>
      </c>
      <c r="S243" s="36">
        <f ca="1">IF(ISNUMBER(Upaya_Agunan[[#This Row],[Realisasi]]/Upaya_Agunan[[#This Row],[Target Upaya]]),Upaya_Agunan[[#This Row],[Realisasi]]/Upaya_Agunan[[#This Row],[Target Upaya]],1)</f>
        <v>1</v>
      </c>
    </row>
    <row r="244" spans="1:19" x14ac:dyDescent="0.3">
      <c r="A244" s="16">
        <v>233</v>
      </c>
      <c r="B244" s="17" t="s">
        <v>599</v>
      </c>
      <c r="C244" s="16" t="s">
        <v>85</v>
      </c>
      <c r="D244" s="16" t="s">
        <v>78</v>
      </c>
      <c r="E244" s="16" t="s">
        <v>106</v>
      </c>
      <c r="F244" s="35" t="str">
        <f ca="1">INDEX(Upaya_Debitur[Lunas?],MATCH(Upaya_Agunan[[#This Row],[Nomor PK]],Upaya_Debitur[Nomor PK],0))</f>
        <v>Belum Lunas</v>
      </c>
      <c r="G244" s="35" t="str">
        <f>IF(OR(Upaya_Agunan[[#This Row],[Agunan]]="SHM",Upaya_Agunan[[#This Row],[Agunan]]="BPKB"),"Ya","Tidak")</f>
        <v>Ya</v>
      </c>
      <c r="H24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4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44" s="35" t="str">
        <f ca="1">IF(AND(DATEDIF($B$5,$B$6,"D")&gt;=150,Upaya_Agunan[[#This Row],[Lelang 1?]]="Ya"),"Ya","Tidak")</f>
        <v>Tidak</v>
      </c>
      <c r="K244" s="35" t="str">
        <f ca="1">IF(AND(DATEDIF($B$5,$B$6,"D")&gt;=180,Upaya_Agunan[[#This Row],[Lelang 2?]]="Ya"),"Ya","Tidak")</f>
        <v>Tidak</v>
      </c>
      <c r="L244" s="18" t="s">
        <v>640</v>
      </c>
      <c r="M244" s="18"/>
      <c r="N244" s="18"/>
      <c r="O244" s="18"/>
      <c r="P244" s="18"/>
      <c r="Q244" s="35">
        <f ca="1">COUNTIF(Upaya_Agunan[[#This Row],[Blokir Agunan?]:[Penjualan Agunan?]],"Ya")</f>
        <v>1</v>
      </c>
      <c r="R244" s="35">
        <f ca="1">Upaya_Agunan[[#This Row],[Target Upaya]]-COUNTIFS(Upaya_Agunan[[#This Row],[Blokir Agunan?]:[Penjualan Agunan?]],"Ya",Upaya_Agunan[[#This Row],[Blokir Agunan]:[Penjualan Agunan]],"")</f>
        <v>1</v>
      </c>
      <c r="S244" s="36">
        <f ca="1">IF(ISNUMBER(Upaya_Agunan[[#This Row],[Realisasi]]/Upaya_Agunan[[#This Row],[Target Upaya]]),Upaya_Agunan[[#This Row],[Realisasi]]/Upaya_Agunan[[#This Row],[Target Upaya]],1)</f>
        <v>1</v>
      </c>
    </row>
    <row r="245" spans="1:19" x14ac:dyDescent="0.3">
      <c r="A245" s="16">
        <v>234</v>
      </c>
      <c r="B245" s="17" t="s">
        <v>601</v>
      </c>
      <c r="C245" s="16" t="s">
        <v>95</v>
      </c>
      <c r="D245" s="16" t="s">
        <v>638</v>
      </c>
      <c r="E245" s="16" t="s">
        <v>93</v>
      </c>
      <c r="F245" s="35" t="str">
        <f ca="1">INDEX(Upaya_Debitur[Lunas?],MATCH(Upaya_Agunan[[#This Row],[Nomor PK]],Upaya_Debitur[Nomor PK],0))</f>
        <v>Belum Lunas</v>
      </c>
      <c r="G245" s="35" t="str">
        <f>IF(OR(Upaya_Agunan[[#This Row],[Agunan]]="SHM",Upaya_Agunan[[#This Row],[Agunan]]="BPKB"),"Ya","Tidak")</f>
        <v>Tidak</v>
      </c>
      <c r="H24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4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45" s="35" t="str">
        <f ca="1">IF(AND(DATEDIF($B$5,$B$6,"D")&gt;=150,Upaya_Agunan[[#This Row],[Lelang 1?]]="Ya"),"Ya","Tidak")</f>
        <v>Tidak</v>
      </c>
      <c r="K245" s="35" t="str">
        <f ca="1">IF(AND(DATEDIF($B$5,$B$6,"D")&gt;=180,Upaya_Agunan[[#This Row],[Lelang 2?]]="Ya"),"Ya","Tidak")</f>
        <v>Tidak</v>
      </c>
      <c r="L245" s="18"/>
      <c r="M245" s="18"/>
      <c r="N245" s="18"/>
      <c r="O245" s="18"/>
      <c r="P245" s="18"/>
      <c r="Q245" s="35">
        <f ca="1">COUNTIF(Upaya_Agunan[[#This Row],[Blokir Agunan?]:[Penjualan Agunan?]],"Ya")</f>
        <v>0</v>
      </c>
      <c r="R245" s="35">
        <f ca="1">Upaya_Agunan[[#This Row],[Target Upaya]]-COUNTIFS(Upaya_Agunan[[#This Row],[Blokir Agunan?]:[Penjualan Agunan?]],"Ya",Upaya_Agunan[[#This Row],[Blokir Agunan]:[Penjualan Agunan]],"")</f>
        <v>0</v>
      </c>
      <c r="S245" s="36">
        <f ca="1">IF(ISNUMBER(Upaya_Agunan[[#This Row],[Realisasi]]/Upaya_Agunan[[#This Row],[Target Upaya]]),Upaya_Agunan[[#This Row],[Realisasi]]/Upaya_Agunan[[#This Row],[Target Upaya]],1)</f>
        <v>1</v>
      </c>
    </row>
    <row r="246" spans="1:19" x14ac:dyDescent="0.3">
      <c r="A246" s="16">
        <v>235</v>
      </c>
      <c r="B246" s="17" t="s">
        <v>603</v>
      </c>
      <c r="C246" s="16" t="s">
        <v>85</v>
      </c>
      <c r="D246" s="16" t="s">
        <v>78</v>
      </c>
      <c r="E246" s="16" t="s">
        <v>93</v>
      </c>
      <c r="F246" s="35" t="str">
        <f ca="1">INDEX(Upaya_Debitur[Lunas?],MATCH(Upaya_Agunan[[#This Row],[Nomor PK]],Upaya_Debitur[Nomor PK],0))</f>
        <v>Belum Lunas</v>
      </c>
      <c r="G246" s="35" t="str">
        <f>IF(OR(Upaya_Agunan[[#This Row],[Agunan]]="SHM",Upaya_Agunan[[#This Row],[Agunan]]="BPKB"),"Ya","Tidak")</f>
        <v>Ya</v>
      </c>
      <c r="H24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4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46" s="35" t="str">
        <f ca="1">IF(AND(DATEDIF($B$5,$B$6,"D")&gt;=150,Upaya_Agunan[[#This Row],[Lelang 1?]]="Ya"),"Ya","Tidak")</f>
        <v>Tidak</v>
      </c>
      <c r="K246" s="35" t="str">
        <f ca="1">IF(AND(DATEDIF($B$5,$B$6,"D")&gt;=180,Upaya_Agunan[[#This Row],[Lelang 2?]]="Ya"),"Ya","Tidak")</f>
        <v>Tidak</v>
      </c>
      <c r="L246" s="18" t="s">
        <v>642</v>
      </c>
      <c r="M246" s="18"/>
      <c r="N246" s="18"/>
      <c r="O246" s="18"/>
      <c r="P246" s="18"/>
      <c r="Q246" s="35">
        <f ca="1">COUNTIF(Upaya_Agunan[[#This Row],[Blokir Agunan?]:[Penjualan Agunan?]],"Ya")</f>
        <v>1</v>
      </c>
      <c r="R246" s="35">
        <f ca="1">Upaya_Agunan[[#This Row],[Target Upaya]]-COUNTIFS(Upaya_Agunan[[#This Row],[Blokir Agunan?]:[Penjualan Agunan?]],"Ya",Upaya_Agunan[[#This Row],[Blokir Agunan]:[Penjualan Agunan]],"")</f>
        <v>1</v>
      </c>
      <c r="S246" s="36">
        <f ca="1">IF(ISNUMBER(Upaya_Agunan[[#This Row],[Realisasi]]/Upaya_Agunan[[#This Row],[Target Upaya]]),Upaya_Agunan[[#This Row],[Realisasi]]/Upaya_Agunan[[#This Row],[Target Upaya]],1)</f>
        <v>1</v>
      </c>
    </row>
    <row r="247" spans="1:19" x14ac:dyDescent="0.3">
      <c r="A247" s="16">
        <v>236</v>
      </c>
      <c r="B247" s="17" t="s">
        <v>603</v>
      </c>
      <c r="C247" s="16" t="s">
        <v>85</v>
      </c>
      <c r="D247" s="16" t="s">
        <v>78</v>
      </c>
      <c r="E247" s="16" t="s">
        <v>93</v>
      </c>
      <c r="F247" s="35" t="str">
        <f ca="1">INDEX(Upaya_Debitur[Lunas?],MATCH(Upaya_Agunan[[#This Row],[Nomor PK]],Upaya_Debitur[Nomor PK],0))</f>
        <v>Belum Lunas</v>
      </c>
      <c r="G247" s="35" t="str">
        <f>IF(OR(Upaya_Agunan[[#This Row],[Agunan]]="SHM",Upaya_Agunan[[#This Row],[Agunan]]="BPKB"),"Ya","Tidak")</f>
        <v>Ya</v>
      </c>
      <c r="H24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4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47" s="35" t="str">
        <f ca="1">IF(AND(DATEDIF($B$5,$B$6,"D")&gt;=150,Upaya_Agunan[[#This Row],[Lelang 1?]]="Ya"),"Ya","Tidak")</f>
        <v>Tidak</v>
      </c>
      <c r="K247" s="35" t="str">
        <f ca="1">IF(AND(DATEDIF($B$5,$B$6,"D")&gt;=180,Upaya_Agunan[[#This Row],[Lelang 2?]]="Ya"),"Ya","Tidak")</f>
        <v>Tidak</v>
      </c>
      <c r="L247" s="18" t="s">
        <v>640</v>
      </c>
      <c r="M247" s="18"/>
      <c r="N247" s="18"/>
      <c r="O247" s="18"/>
      <c r="P247" s="18"/>
      <c r="Q247" s="35">
        <f ca="1">COUNTIF(Upaya_Agunan[[#This Row],[Blokir Agunan?]:[Penjualan Agunan?]],"Ya")</f>
        <v>1</v>
      </c>
      <c r="R247" s="35">
        <f ca="1">Upaya_Agunan[[#This Row],[Target Upaya]]-COUNTIFS(Upaya_Agunan[[#This Row],[Blokir Agunan?]:[Penjualan Agunan?]],"Ya",Upaya_Agunan[[#This Row],[Blokir Agunan]:[Penjualan Agunan]],"")</f>
        <v>1</v>
      </c>
      <c r="S247" s="36">
        <f ca="1">IF(ISNUMBER(Upaya_Agunan[[#This Row],[Realisasi]]/Upaya_Agunan[[#This Row],[Target Upaya]]),Upaya_Agunan[[#This Row],[Realisasi]]/Upaya_Agunan[[#This Row],[Target Upaya]],1)</f>
        <v>1</v>
      </c>
    </row>
    <row r="248" spans="1:19" x14ac:dyDescent="0.3">
      <c r="A248" s="16">
        <v>237</v>
      </c>
      <c r="B248" s="17" t="s">
        <v>605</v>
      </c>
      <c r="C248" s="16" t="s">
        <v>84</v>
      </c>
      <c r="D248" s="16" t="s">
        <v>79</v>
      </c>
      <c r="E248" s="16" t="s">
        <v>93</v>
      </c>
      <c r="F248" s="35" t="str">
        <f ca="1">INDEX(Upaya_Debitur[Lunas?],MATCH(Upaya_Agunan[[#This Row],[Nomor PK]],Upaya_Debitur[Nomor PK],0))</f>
        <v>Belum Lunas</v>
      </c>
      <c r="G248" s="35" t="str">
        <f>IF(OR(Upaya_Agunan[[#This Row],[Agunan]]="SHM",Upaya_Agunan[[#This Row],[Agunan]]="BPKB"),"Ya","Tidak")</f>
        <v>Tidak</v>
      </c>
      <c r="H24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4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48" s="35" t="str">
        <f ca="1">IF(AND(DATEDIF($B$5,$B$6,"D")&gt;=150,Upaya_Agunan[[#This Row],[Lelang 1?]]="Ya"),"Ya","Tidak")</f>
        <v>Tidak</v>
      </c>
      <c r="K248" s="35" t="str">
        <f ca="1">IF(AND(DATEDIF($B$5,$B$6,"D")&gt;=180,Upaya_Agunan[[#This Row],[Lelang 2?]]="Ya"),"Ya","Tidak")</f>
        <v>Tidak</v>
      </c>
      <c r="L248" s="18"/>
      <c r="M248" s="18"/>
      <c r="N248" s="18"/>
      <c r="O248" s="18"/>
      <c r="P248" s="18"/>
      <c r="Q248" s="35">
        <f ca="1">COUNTIF(Upaya_Agunan[[#This Row],[Blokir Agunan?]:[Penjualan Agunan?]],"Ya")</f>
        <v>0</v>
      </c>
      <c r="R248" s="35">
        <f ca="1">Upaya_Agunan[[#This Row],[Target Upaya]]-COUNTIFS(Upaya_Agunan[[#This Row],[Blokir Agunan?]:[Penjualan Agunan?]],"Ya",Upaya_Agunan[[#This Row],[Blokir Agunan]:[Penjualan Agunan]],"")</f>
        <v>0</v>
      </c>
      <c r="S248" s="36">
        <f ca="1">IF(ISNUMBER(Upaya_Agunan[[#This Row],[Realisasi]]/Upaya_Agunan[[#This Row],[Target Upaya]]),Upaya_Agunan[[#This Row],[Realisasi]]/Upaya_Agunan[[#This Row],[Target Upaya]],1)</f>
        <v>1</v>
      </c>
    </row>
    <row r="249" spans="1:19" x14ac:dyDescent="0.3">
      <c r="A249" s="16">
        <v>238</v>
      </c>
      <c r="B249" s="17" t="s">
        <v>607</v>
      </c>
      <c r="C249" s="16" t="s">
        <v>85</v>
      </c>
      <c r="D249" s="16" t="s">
        <v>78</v>
      </c>
      <c r="E249" s="16" t="s">
        <v>93</v>
      </c>
      <c r="F249" s="35" t="str">
        <f ca="1">INDEX(Upaya_Debitur[Lunas?],MATCH(Upaya_Agunan[[#This Row],[Nomor PK]],Upaya_Debitur[Nomor PK],0))</f>
        <v>Belum Lunas</v>
      </c>
      <c r="G249" s="35" t="str">
        <f>IF(OR(Upaya_Agunan[[#This Row],[Agunan]]="SHM",Upaya_Agunan[[#This Row],[Agunan]]="BPKB"),"Ya","Tidak")</f>
        <v>Ya</v>
      </c>
      <c r="H24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4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49" s="35" t="str">
        <f ca="1">IF(AND(DATEDIF($B$5,$B$6,"D")&gt;=150,Upaya_Agunan[[#This Row],[Lelang 1?]]="Ya"),"Ya","Tidak")</f>
        <v>Tidak</v>
      </c>
      <c r="K249" s="35" t="str">
        <f ca="1">IF(AND(DATEDIF($B$5,$B$6,"D")&gt;=180,Upaya_Agunan[[#This Row],[Lelang 2?]]="Ya"),"Ya","Tidak")</f>
        <v>Tidak</v>
      </c>
      <c r="L249" s="18" t="s">
        <v>640</v>
      </c>
      <c r="M249" s="18"/>
      <c r="N249" s="18"/>
      <c r="O249" s="18"/>
      <c r="P249" s="18"/>
      <c r="Q249" s="35">
        <f ca="1">COUNTIF(Upaya_Agunan[[#This Row],[Blokir Agunan?]:[Penjualan Agunan?]],"Ya")</f>
        <v>1</v>
      </c>
      <c r="R249" s="35">
        <f ca="1">Upaya_Agunan[[#This Row],[Target Upaya]]-COUNTIFS(Upaya_Agunan[[#This Row],[Blokir Agunan?]:[Penjualan Agunan?]],"Ya",Upaya_Agunan[[#This Row],[Blokir Agunan]:[Penjualan Agunan]],"")</f>
        <v>1</v>
      </c>
      <c r="S249" s="36">
        <f ca="1">IF(ISNUMBER(Upaya_Agunan[[#This Row],[Realisasi]]/Upaya_Agunan[[#This Row],[Target Upaya]]),Upaya_Agunan[[#This Row],[Realisasi]]/Upaya_Agunan[[#This Row],[Target Upaya]],1)</f>
        <v>1</v>
      </c>
    </row>
    <row r="250" spans="1:19" x14ac:dyDescent="0.3">
      <c r="A250" s="16">
        <v>239</v>
      </c>
      <c r="B250" s="17" t="s">
        <v>607</v>
      </c>
      <c r="C250" s="16" t="s">
        <v>84</v>
      </c>
      <c r="D250" s="16" t="s">
        <v>79</v>
      </c>
      <c r="E250" s="16" t="s">
        <v>93</v>
      </c>
      <c r="F250" s="35" t="str">
        <f ca="1">INDEX(Upaya_Debitur[Lunas?],MATCH(Upaya_Agunan[[#This Row],[Nomor PK]],Upaya_Debitur[Nomor PK],0))</f>
        <v>Belum Lunas</v>
      </c>
      <c r="G250" s="35" t="str">
        <f>IF(OR(Upaya_Agunan[[#This Row],[Agunan]]="SHM",Upaya_Agunan[[#This Row],[Agunan]]="BPKB"),"Ya","Tidak")</f>
        <v>Tidak</v>
      </c>
      <c r="H25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5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50" s="35" t="str">
        <f ca="1">IF(AND(DATEDIF($B$5,$B$6,"D")&gt;=150,Upaya_Agunan[[#This Row],[Lelang 1?]]="Ya"),"Ya","Tidak")</f>
        <v>Tidak</v>
      </c>
      <c r="K250" s="35" t="str">
        <f ca="1">IF(AND(DATEDIF($B$5,$B$6,"D")&gt;=180,Upaya_Agunan[[#This Row],[Lelang 2?]]="Ya"),"Ya","Tidak")</f>
        <v>Tidak</v>
      </c>
      <c r="L250" s="18"/>
      <c r="M250" s="18"/>
      <c r="N250" s="18"/>
      <c r="O250" s="18"/>
      <c r="P250" s="18"/>
      <c r="Q250" s="35">
        <f ca="1">COUNTIF(Upaya_Agunan[[#This Row],[Blokir Agunan?]:[Penjualan Agunan?]],"Ya")</f>
        <v>0</v>
      </c>
      <c r="R250" s="35">
        <f ca="1">Upaya_Agunan[[#This Row],[Target Upaya]]-COUNTIFS(Upaya_Agunan[[#This Row],[Blokir Agunan?]:[Penjualan Agunan?]],"Ya",Upaya_Agunan[[#This Row],[Blokir Agunan]:[Penjualan Agunan]],"")</f>
        <v>0</v>
      </c>
      <c r="S250" s="36">
        <f ca="1">IF(ISNUMBER(Upaya_Agunan[[#This Row],[Realisasi]]/Upaya_Agunan[[#This Row],[Target Upaya]]),Upaya_Agunan[[#This Row],[Realisasi]]/Upaya_Agunan[[#This Row],[Target Upaya]],1)</f>
        <v>1</v>
      </c>
    </row>
    <row r="251" spans="1:19" x14ac:dyDescent="0.3">
      <c r="A251" s="16">
        <v>240</v>
      </c>
      <c r="B251" s="17" t="s">
        <v>609</v>
      </c>
      <c r="C251" s="16" t="s">
        <v>95</v>
      </c>
      <c r="D251" s="16" t="s">
        <v>638</v>
      </c>
      <c r="E251" s="16" t="s">
        <v>93</v>
      </c>
      <c r="F251" s="35" t="str">
        <f ca="1">INDEX(Upaya_Debitur[Lunas?],MATCH(Upaya_Agunan[[#This Row],[Nomor PK]],Upaya_Debitur[Nomor PK],0))</f>
        <v>Belum Lunas</v>
      </c>
      <c r="G251" s="35" t="str">
        <f>IF(OR(Upaya_Agunan[[#This Row],[Agunan]]="SHM",Upaya_Agunan[[#This Row],[Agunan]]="BPKB"),"Ya","Tidak")</f>
        <v>Tidak</v>
      </c>
      <c r="H25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5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51" s="35" t="str">
        <f ca="1">IF(AND(DATEDIF($B$5,$B$6,"D")&gt;=150,Upaya_Agunan[[#This Row],[Lelang 1?]]="Ya"),"Ya","Tidak")</f>
        <v>Tidak</v>
      </c>
      <c r="K251" s="35" t="str">
        <f ca="1">IF(AND(DATEDIF($B$5,$B$6,"D")&gt;=180,Upaya_Agunan[[#This Row],[Lelang 2?]]="Ya"),"Ya","Tidak")</f>
        <v>Tidak</v>
      </c>
      <c r="L251" s="18"/>
      <c r="M251" s="18"/>
      <c r="N251" s="18"/>
      <c r="O251" s="18"/>
      <c r="P251" s="18"/>
      <c r="Q251" s="35">
        <f ca="1">COUNTIF(Upaya_Agunan[[#This Row],[Blokir Agunan?]:[Penjualan Agunan?]],"Ya")</f>
        <v>0</v>
      </c>
      <c r="R251" s="35">
        <f ca="1">Upaya_Agunan[[#This Row],[Target Upaya]]-COUNTIFS(Upaya_Agunan[[#This Row],[Blokir Agunan?]:[Penjualan Agunan?]],"Ya",Upaya_Agunan[[#This Row],[Blokir Agunan]:[Penjualan Agunan]],"")</f>
        <v>0</v>
      </c>
      <c r="S251" s="36">
        <f ca="1">IF(ISNUMBER(Upaya_Agunan[[#This Row],[Realisasi]]/Upaya_Agunan[[#This Row],[Target Upaya]]),Upaya_Agunan[[#This Row],[Realisasi]]/Upaya_Agunan[[#This Row],[Target Upaya]],1)</f>
        <v>1</v>
      </c>
    </row>
    <row r="252" spans="1:19" x14ac:dyDescent="0.3">
      <c r="A252" s="16">
        <v>241</v>
      </c>
      <c r="B252" s="17" t="s">
        <v>611</v>
      </c>
      <c r="C252" s="16" t="s">
        <v>95</v>
      </c>
      <c r="D252" s="16" t="s">
        <v>638</v>
      </c>
      <c r="E252" s="16" t="s">
        <v>93</v>
      </c>
      <c r="F252" s="35" t="str">
        <f ca="1">INDEX(Upaya_Debitur[Lunas?],MATCH(Upaya_Agunan[[#This Row],[Nomor PK]],Upaya_Debitur[Nomor PK],0))</f>
        <v>Belum Lunas</v>
      </c>
      <c r="G252" s="35" t="str">
        <f>IF(OR(Upaya_Agunan[[#This Row],[Agunan]]="SHM",Upaya_Agunan[[#This Row],[Agunan]]="BPKB"),"Ya","Tidak")</f>
        <v>Tidak</v>
      </c>
      <c r="H25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5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52" s="35" t="str">
        <f ca="1">IF(AND(DATEDIF($B$5,$B$6,"D")&gt;=150,Upaya_Agunan[[#This Row],[Lelang 1?]]="Ya"),"Ya","Tidak")</f>
        <v>Tidak</v>
      </c>
      <c r="K252" s="35" t="str">
        <f ca="1">IF(AND(DATEDIF($B$5,$B$6,"D")&gt;=180,Upaya_Agunan[[#This Row],[Lelang 2?]]="Ya"),"Ya","Tidak")</f>
        <v>Tidak</v>
      </c>
      <c r="L252" s="18"/>
      <c r="M252" s="18"/>
      <c r="N252" s="18"/>
      <c r="O252" s="18"/>
      <c r="P252" s="18"/>
      <c r="Q252" s="35">
        <f ca="1">COUNTIF(Upaya_Agunan[[#This Row],[Blokir Agunan?]:[Penjualan Agunan?]],"Ya")</f>
        <v>0</v>
      </c>
      <c r="R252" s="35">
        <f ca="1">Upaya_Agunan[[#This Row],[Target Upaya]]-COUNTIFS(Upaya_Agunan[[#This Row],[Blokir Agunan?]:[Penjualan Agunan?]],"Ya",Upaya_Agunan[[#This Row],[Blokir Agunan]:[Penjualan Agunan]],"")</f>
        <v>0</v>
      </c>
      <c r="S252" s="36">
        <f ca="1">IF(ISNUMBER(Upaya_Agunan[[#This Row],[Realisasi]]/Upaya_Agunan[[#This Row],[Target Upaya]]),Upaya_Agunan[[#This Row],[Realisasi]]/Upaya_Agunan[[#This Row],[Target Upaya]],1)</f>
        <v>1</v>
      </c>
    </row>
    <row r="253" spans="1:19" x14ac:dyDescent="0.3">
      <c r="A253" s="16">
        <v>242</v>
      </c>
      <c r="B253" s="17" t="s">
        <v>613</v>
      </c>
      <c r="C253" s="16" t="s">
        <v>95</v>
      </c>
      <c r="D253" s="16" t="s">
        <v>638</v>
      </c>
      <c r="E253" s="16" t="s">
        <v>93</v>
      </c>
      <c r="F253" s="35" t="str">
        <f ca="1">INDEX(Upaya_Debitur[Lunas?],MATCH(Upaya_Agunan[[#This Row],[Nomor PK]],Upaya_Debitur[Nomor PK],0))</f>
        <v>Lunas</v>
      </c>
      <c r="G253" s="35" t="str">
        <f>IF(OR(Upaya_Agunan[[#This Row],[Agunan]]="SHM",Upaya_Agunan[[#This Row],[Agunan]]="BPKB"),"Ya","Tidak")</f>
        <v>Tidak</v>
      </c>
      <c r="H25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5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53" s="35" t="str">
        <f ca="1">IF(AND(DATEDIF($B$5,$B$6,"D")&gt;=150,Upaya_Agunan[[#This Row],[Lelang 1?]]="Ya"),"Ya","Tidak")</f>
        <v>Tidak</v>
      </c>
      <c r="K253" s="35" t="str">
        <f ca="1">IF(AND(DATEDIF($B$5,$B$6,"D")&gt;=180,Upaya_Agunan[[#This Row],[Lelang 2?]]="Ya"),"Ya","Tidak")</f>
        <v>Tidak</v>
      </c>
      <c r="L253" s="18"/>
      <c r="M253" s="18"/>
      <c r="N253" s="18"/>
      <c r="O253" s="18"/>
      <c r="P253" s="18"/>
      <c r="Q253" s="35">
        <f ca="1">COUNTIF(Upaya_Agunan[[#This Row],[Blokir Agunan?]:[Penjualan Agunan?]],"Ya")</f>
        <v>0</v>
      </c>
      <c r="R253" s="35">
        <f ca="1">Upaya_Agunan[[#This Row],[Target Upaya]]-COUNTIFS(Upaya_Agunan[[#This Row],[Blokir Agunan?]:[Penjualan Agunan?]],"Ya",Upaya_Agunan[[#This Row],[Blokir Agunan]:[Penjualan Agunan]],"")</f>
        <v>0</v>
      </c>
      <c r="S253" s="36">
        <f ca="1">IF(ISNUMBER(Upaya_Agunan[[#This Row],[Realisasi]]/Upaya_Agunan[[#This Row],[Target Upaya]]),Upaya_Agunan[[#This Row],[Realisasi]]/Upaya_Agunan[[#This Row],[Target Upaya]],1)</f>
        <v>1</v>
      </c>
    </row>
    <row r="254" spans="1:19" x14ac:dyDescent="0.3">
      <c r="A254" s="16">
        <v>243</v>
      </c>
      <c r="B254" s="17" t="s">
        <v>615</v>
      </c>
      <c r="C254" s="16" t="s">
        <v>95</v>
      </c>
      <c r="D254" s="16" t="s">
        <v>638</v>
      </c>
      <c r="E254" s="16" t="s">
        <v>93</v>
      </c>
      <c r="F254" s="35" t="str">
        <f ca="1">INDEX(Upaya_Debitur[Lunas?],MATCH(Upaya_Agunan[[#This Row],[Nomor PK]],Upaya_Debitur[Nomor PK],0))</f>
        <v>Belum Lunas</v>
      </c>
      <c r="G254" s="35" t="str">
        <f>IF(OR(Upaya_Agunan[[#This Row],[Agunan]]="SHM",Upaya_Agunan[[#This Row],[Agunan]]="BPKB"),"Ya","Tidak")</f>
        <v>Tidak</v>
      </c>
      <c r="H25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5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54" s="35" t="str">
        <f ca="1">IF(AND(DATEDIF($B$5,$B$6,"D")&gt;=150,Upaya_Agunan[[#This Row],[Lelang 1?]]="Ya"),"Ya","Tidak")</f>
        <v>Tidak</v>
      </c>
      <c r="K254" s="35" t="str">
        <f ca="1">IF(AND(DATEDIF($B$5,$B$6,"D")&gt;=180,Upaya_Agunan[[#This Row],[Lelang 2?]]="Ya"),"Ya","Tidak")</f>
        <v>Tidak</v>
      </c>
      <c r="L254" s="18"/>
      <c r="M254" s="18"/>
      <c r="N254" s="18"/>
      <c r="O254" s="18"/>
      <c r="P254" s="18"/>
      <c r="Q254" s="35">
        <f ca="1">COUNTIF(Upaya_Agunan[[#This Row],[Blokir Agunan?]:[Penjualan Agunan?]],"Ya")</f>
        <v>0</v>
      </c>
      <c r="R254" s="35">
        <f ca="1">Upaya_Agunan[[#This Row],[Target Upaya]]-COUNTIFS(Upaya_Agunan[[#This Row],[Blokir Agunan?]:[Penjualan Agunan?]],"Ya",Upaya_Agunan[[#This Row],[Blokir Agunan]:[Penjualan Agunan]],"")</f>
        <v>0</v>
      </c>
      <c r="S254" s="36">
        <f ca="1">IF(ISNUMBER(Upaya_Agunan[[#This Row],[Realisasi]]/Upaya_Agunan[[#This Row],[Target Upaya]]),Upaya_Agunan[[#This Row],[Realisasi]]/Upaya_Agunan[[#This Row],[Target Upaya]],1)</f>
        <v>1</v>
      </c>
    </row>
    <row r="255" spans="1:19" x14ac:dyDescent="0.3">
      <c r="A255" s="16">
        <v>244</v>
      </c>
      <c r="B255" s="17" t="s">
        <v>617</v>
      </c>
      <c r="C255" s="16" t="s">
        <v>95</v>
      </c>
      <c r="D255" s="16" t="s">
        <v>638</v>
      </c>
      <c r="E255" s="16" t="s">
        <v>93</v>
      </c>
      <c r="F255" s="35" t="str">
        <f ca="1">INDEX(Upaya_Debitur[Lunas?],MATCH(Upaya_Agunan[[#This Row],[Nomor PK]],Upaya_Debitur[Nomor PK],0))</f>
        <v>Belum Lunas</v>
      </c>
      <c r="G255" s="35" t="str">
        <f>IF(OR(Upaya_Agunan[[#This Row],[Agunan]]="SHM",Upaya_Agunan[[#This Row],[Agunan]]="BPKB"),"Ya","Tidak")</f>
        <v>Tidak</v>
      </c>
      <c r="H25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5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55" s="35" t="str">
        <f ca="1">IF(AND(DATEDIF($B$5,$B$6,"D")&gt;=150,Upaya_Agunan[[#This Row],[Lelang 1?]]="Ya"),"Ya","Tidak")</f>
        <v>Tidak</v>
      </c>
      <c r="K255" s="35" t="str">
        <f ca="1">IF(AND(DATEDIF($B$5,$B$6,"D")&gt;=180,Upaya_Agunan[[#This Row],[Lelang 2?]]="Ya"),"Ya","Tidak")</f>
        <v>Tidak</v>
      </c>
      <c r="L255" s="18"/>
      <c r="M255" s="18"/>
      <c r="N255" s="18"/>
      <c r="O255" s="18"/>
      <c r="P255" s="18"/>
      <c r="Q255" s="35">
        <f ca="1">COUNTIF(Upaya_Agunan[[#This Row],[Blokir Agunan?]:[Penjualan Agunan?]],"Ya")</f>
        <v>0</v>
      </c>
      <c r="R255" s="35">
        <f ca="1">Upaya_Agunan[[#This Row],[Target Upaya]]-COUNTIFS(Upaya_Agunan[[#This Row],[Blokir Agunan?]:[Penjualan Agunan?]],"Ya",Upaya_Agunan[[#This Row],[Blokir Agunan]:[Penjualan Agunan]],"")</f>
        <v>0</v>
      </c>
      <c r="S255" s="36">
        <f ca="1">IF(ISNUMBER(Upaya_Agunan[[#This Row],[Realisasi]]/Upaya_Agunan[[#This Row],[Target Upaya]]),Upaya_Agunan[[#This Row],[Realisasi]]/Upaya_Agunan[[#This Row],[Target Upaya]],1)</f>
        <v>1</v>
      </c>
    </row>
    <row r="256" spans="1:19" x14ac:dyDescent="0.3">
      <c r="A256" s="16">
        <v>245</v>
      </c>
      <c r="B256" s="17" t="s">
        <v>619</v>
      </c>
      <c r="C256" s="16" t="s">
        <v>84</v>
      </c>
      <c r="D256" s="16" t="s">
        <v>79</v>
      </c>
      <c r="E256" s="16" t="s">
        <v>93</v>
      </c>
      <c r="F256" s="35" t="str">
        <f ca="1">INDEX(Upaya_Debitur[Lunas?],MATCH(Upaya_Agunan[[#This Row],[Nomor PK]],Upaya_Debitur[Nomor PK],0))</f>
        <v>Belum Lunas</v>
      </c>
      <c r="G256" s="35" t="str">
        <f>IF(OR(Upaya_Agunan[[#This Row],[Agunan]]="SHM",Upaya_Agunan[[#This Row],[Agunan]]="BPKB"),"Ya","Tidak")</f>
        <v>Tidak</v>
      </c>
      <c r="H25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5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56" s="35" t="str">
        <f ca="1">IF(AND(DATEDIF($B$5,$B$6,"D")&gt;=150,Upaya_Agunan[[#This Row],[Lelang 1?]]="Ya"),"Ya","Tidak")</f>
        <v>Tidak</v>
      </c>
      <c r="K256" s="35" t="str">
        <f ca="1">IF(AND(DATEDIF($B$5,$B$6,"D")&gt;=180,Upaya_Agunan[[#This Row],[Lelang 2?]]="Ya"),"Ya","Tidak")</f>
        <v>Tidak</v>
      </c>
      <c r="L256" s="18"/>
      <c r="M256" s="18"/>
      <c r="N256" s="18"/>
      <c r="O256" s="18"/>
      <c r="P256" s="18"/>
      <c r="Q256" s="35">
        <f ca="1">COUNTIF(Upaya_Agunan[[#This Row],[Blokir Agunan?]:[Penjualan Agunan?]],"Ya")</f>
        <v>0</v>
      </c>
      <c r="R256" s="35">
        <f ca="1">Upaya_Agunan[[#This Row],[Target Upaya]]-COUNTIFS(Upaya_Agunan[[#This Row],[Blokir Agunan?]:[Penjualan Agunan?]],"Ya",Upaya_Agunan[[#This Row],[Blokir Agunan]:[Penjualan Agunan]],"")</f>
        <v>0</v>
      </c>
      <c r="S256" s="36">
        <f ca="1">IF(ISNUMBER(Upaya_Agunan[[#This Row],[Realisasi]]/Upaya_Agunan[[#This Row],[Target Upaya]]),Upaya_Agunan[[#This Row],[Realisasi]]/Upaya_Agunan[[#This Row],[Target Upaya]],1)</f>
        <v>1</v>
      </c>
    </row>
    <row r="257" spans="1:19" x14ac:dyDescent="0.3">
      <c r="A257" s="16">
        <v>246</v>
      </c>
      <c r="B257" s="17" t="s">
        <v>619</v>
      </c>
      <c r="C257" s="16" t="s">
        <v>85</v>
      </c>
      <c r="D257" s="16" t="s">
        <v>78</v>
      </c>
      <c r="E257" s="16" t="s">
        <v>93</v>
      </c>
      <c r="F257" s="35" t="str">
        <f ca="1">INDEX(Upaya_Debitur[Lunas?],MATCH(Upaya_Agunan[[#This Row],[Nomor PK]],Upaya_Debitur[Nomor PK],0))</f>
        <v>Belum Lunas</v>
      </c>
      <c r="G257" s="35" t="str">
        <f>IF(OR(Upaya_Agunan[[#This Row],[Agunan]]="SHM",Upaya_Agunan[[#This Row],[Agunan]]="BPKB"),"Ya","Tidak")</f>
        <v>Ya</v>
      </c>
      <c r="H25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5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57" s="35" t="str">
        <f ca="1">IF(AND(DATEDIF($B$5,$B$6,"D")&gt;=150,Upaya_Agunan[[#This Row],[Lelang 1?]]="Ya"),"Ya","Tidak")</f>
        <v>Tidak</v>
      </c>
      <c r="K257" s="35" t="str">
        <f ca="1">IF(AND(DATEDIF($B$5,$B$6,"D")&gt;=180,Upaya_Agunan[[#This Row],[Lelang 2?]]="Ya"),"Ya","Tidak")</f>
        <v>Tidak</v>
      </c>
      <c r="L257" s="18" t="s">
        <v>640</v>
      </c>
      <c r="M257" s="18"/>
      <c r="N257" s="18"/>
      <c r="O257" s="18"/>
      <c r="P257" s="18"/>
      <c r="Q257" s="35">
        <f ca="1">COUNTIF(Upaya_Agunan[[#This Row],[Blokir Agunan?]:[Penjualan Agunan?]],"Ya")</f>
        <v>1</v>
      </c>
      <c r="R257" s="35">
        <f ca="1">Upaya_Agunan[[#This Row],[Target Upaya]]-COUNTIFS(Upaya_Agunan[[#This Row],[Blokir Agunan?]:[Penjualan Agunan?]],"Ya",Upaya_Agunan[[#This Row],[Blokir Agunan]:[Penjualan Agunan]],"")</f>
        <v>1</v>
      </c>
      <c r="S257" s="36">
        <f ca="1">IF(ISNUMBER(Upaya_Agunan[[#This Row],[Realisasi]]/Upaya_Agunan[[#This Row],[Target Upaya]]),Upaya_Agunan[[#This Row],[Realisasi]]/Upaya_Agunan[[#This Row],[Target Upaya]],1)</f>
        <v>1</v>
      </c>
    </row>
    <row r="258" spans="1:19" x14ac:dyDescent="0.3">
      <c r="A258" s="16">
        <v>247</v>
      </c>
      <c r="B258" s="17" t="s">
        <v>621</v>
      </c>
      <c r="C258" s="16" t="s">
        <v>85</v>
      </c>
      <c r="D258" s="16" t="s">
        <v>78</v>
      </c>
      <c r="E258" s="16" t="s">
        <v>93</v>
      </c>
      <c r="F258" s="35" t="str">
        <f ca="1">INDEX(Upaya_Debitur[Lunas?],MATCH(Upaya_Agunan[[#This Row],[Nomor PK]],Upaya_Debitur[Nomor PK],0))</f>
        <v>Belum Lunas</v>
      </c>
      <c r="G258" s="35" t="str">
        <f>IF(OR(Upaya_Agunan[[#This Row],[Agunan]]="SHM",Upaya_Agunan[[#This Row],[Agunan]]="BPKB"),"Ya","Tidak")</f>
        <v>Ya</v>
      </c>
      <c r="H258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58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58" s="35" t="str">
        <f ca="1">IF(AND(DATEDIF($B$5,$B$6,"D")&gt;=150,Upaya_Agunan[[#This Row],[Lelang 1?]]="Ya"),"Ya","Tidak")</f>
        <v>Tidak</v>
      </c>
      <c r="K258" s="35" t="str">
        <f ca="1">IF(AND(DATEDIF($B$5,$B$6,"D")&gt;=180,Upaya_Agunan[[#This Row],[Lelang 2?]]="Ya"),"Ya","Tidak")</f>
        <v>Tidak</v>
      </c>
      <c r="L258" s="18">
        <v>44123</v>
      </c>
      <c r="M258" s="18"/>
      <c r="N258" s="18"/>
      <c r="O258" s="18"/>
      <c r="P258" s="18"/>
      <c r="Q258" s="35">
        <f ca="1">COUNTIF(Upaya_Agunan[[#This Row],[Blokir Agunan?]:[Penjualan Agunan?]],"Ya")</f>
        <v>1</v>
      </c>
      <c r="R258" s="35">
        <f ca="1">Upaya_Agunan[[#This Row],[Target Upaya]]-COUNTIFS(Upaya_Agunan[[#This Row],[Blokir Agunan?]:[Penjualan Agunan?]],"Ya",Upaya_Agunan[[#This Row],[Blokir Agunan]:[Penjualan Agunan]],"")</f>
        <v>1</v>
      </c>
      <c r="S258" s="36">
        <f ca="1">IF(ISNUMBER(Upaya_Agunan[[#This Row],[Realisasi]]/Upaya_Agunan[[#This Row],[Target Upaya]]),Upaya_Agunan[[#This Row],[Realisasi]]/Upaya_Agunan[[#This Row],[Target Upaya]],1)</f>
        <v>1</v>
      </c>
    </row>
    <row r="259" spans="1:19" x14ac:dyDescent="0.3">
      <c r="A259" s="16">
        <v>248</v>
      </c>
      <c r="B259" s="17" t="s">
        <v>622</v>
      </c>
      <c r="C259" s="16" t="s">
        <v>85</v>
      </c>
      <c r="D259" s="16" t="s">
        <v>78</v>
      </c>
      <c r="E259" s="16" t="s">
        <v>93</v>
      </c>
      <c r="F259" s="35" t="str">
        <f ca="1">INDEX(Upaya_Debitur[Lunas?],MATCH(Upaya_Agunan[[#This Row],[Nomor PK]],Upaya_Debitur[Nomor PK],0))</f>
        <v>Belum Lunas</v>
      </c>
      <c r="G259" s="35" t="str">
        <f>IF(OR(Upaya_Agunan[[#This Row],[Agunan]]="SHM",Upaya_Agunan[[#This Row],[Agunan]]="BPKB"),"Ya","Tidak")</f>
        <v>Ya</v>
      </c>
      <c r="H259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59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59" s="35" t="str">
        <f ca="1">IF(AND(DATEDIF($B$5,$B$6,"D")&gt;=150,Upaya_Agunan[[#This Row],[Lelang 1?]]="Ya"),"Ya","Tidak")</f>
        <v>Tidak</v>
      </c>
      <c r="K259" s="35" t="str">
        <f ca="1">IF(AND(DATEDIF($B$5,$B$6,"D")&gt;=180,Upaya_Agunan[[#This Row],[Lelang 2?]]="Ya"),"Ya","Tidak")</f>
        <v>Tidak</v>
      </c>
      <c r="L259" s="18" t="s">
        <v>640</v>
      </c>
      <c r="M259" s="18"/>
      <c r="N259" s="18"/>
      <c r="O259" s="18"/>
      <c r="P259" s="18"/>
      <c r="Q259" s="35">
        <f ca="1">COUNTIF(Upaya_Agunan[[#This Row],[Blokir Agunan?]:[Penjualan Agunan?]],"Ya")</f>
        <v>1</v>
      </c>
      <c r="R259" s="35">
        <f ca="1">Upaya_Agunan[[#This Row],[Target Upaya]]-COUNTIFS(Upaya_Agunan[[#This Row],[Blokir Agunan?]:[Penjualan Agunan?]],"Ya",Upaya_Agunan[[#This Row],[Blokir Agunan]:[Penjualan Agunan]],"")</f>
        <v>1</v>
      </c>
      <c r="S259" s="36">
        <f ca="1">IF(ISNUMBER(Upaya_Agunan[[#This Row],[Realisasi]]/Upaya_Agunan[[#This Row],[Target Upaya]]),Upaya_Agunan[[#This Row],[Realisasi]]/Upaya_Agunan[[#This Row],[Target Upaya]],1)</f>
        <v>1</v>
      </c>
    </row>
    <row r="260" spans="1:19" x14ac:dyDescent="0.3">
      <c r="A260" s="16">
        <v>249</v>
      </c>
      <c r="B260" s="17" t="s">
        <v>624</v>
      </c>
      <c r="C260" s="16" t="s">
        <v>85</v>
      </c>
      <c r="D260" s="16" t="s">
        <v>78</v>
      </c>
      <c r="E260" s="16" t="s">
        <v>93</v>
      </c>
      <c r="F260" s="35" t="str">
        <f ca="1">INDEX(Upaya_Debitur[Lunas?],MATCH(Upaya_Agunan[[#This Row],[Nomor PK]],Upaya_Debitur[Nomor PK],0))</f>
        <v>Belum Lunas</v>
      </c>
      <c r="G260" s="35" t="str">
        <f>IF(OR(Upaya_Agunan[[#This Row],[Agunan]]="SHM",Upaya_Agunan[[#This Row],[Agunan]]="BPKB"),"Ya","Tidak")</f>
        <v>Ya</v>
      </c>
      <c r="H260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60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60" s="35" t="str">
        <f ca="1">IF(AND(DATEDIF($B$5,$B$6,"D")&gt;=150,Upaya_Agunan[[#This Row],[Lelang 1?]]="Ya"),"Ya","Tidak")</f>
        <v>Tidak</v>
      </c>
      <c r="K260" s="35" t="str">
        <f ca="1">IF(AND(DATEDIF($B$5,$B$6,"D")&gt;=180,Upaya_Agunan[[#This Row],[Lelang 2?]]="Ya"),"Ya","Tidak")</f>
        <v>Tidak</v>
      </c>
      <c r="L260" s="18" t="s">
        <v>640</v>
      </c>
      <c r="M260" s="18"/>
      <c r="N260" s="18"/>
      <c r="O260" s="18"/>
      <c r="P260" s="18"/>
      <c r="Q260" s="35">
        <f ca="1">COUNTIF(Upaya_Agunan[[#This Row],[Blokir Agunan?]:[Penjualan Agunan?]],"Ya")</f>
        <v>1</v>
      </c>
      <c r="R260" s="35">
        <f ca="1">Upaya_Agunan[[#This Row],[Target Upaya]]-COUNTIFS(Upaya_Agunan[[#This Row],[Blokir Agunan?]:[Penjualan Agunan?]],"Ya",Upaya_Agunan[[#This Row],[Blokir Agunan]:[Penjualan Agunan]],"")</f>
        <v>1</v>
      </c>
      <c r="S260" s="36">
        <f ca="1">IF(ISNUMBER(Upaya_Agunan[[#This Row],[Realisasi]]/Upaya_Agunan[[#This Row],[Target Upaya]]),Upaya_Agunan[[#This Row],[Realisasi]]/Upaya_Agunan[[#This Row],[Target Upaya]],1)</f>
        <v>1</v>
      </c>
    </row>
    <row r="261" spans="1:19" x14ac:dyDescent="0.3">
      <c r="A261" s="16">
        <v>250</v>
      </c>
      <c r="B261" s="17" t="s">
        <v>625</v>
      </c>
      <c r="C261" s="16" t="s">
        <v>95</v>
      </c>
      <c r="D261" s="16" t="s">
        <v>638</v>
      </c>
      <c r="E261" s="16" t="s">
        <v>93</v>
      </c>
      <c r="F261" s="35" t="str">
        <f ca="1">INDEX(Upaya_Debitur[Lunas?],MATCH(Upaya_Agunan[[#This Row],[Nomor PK]],Upaya_Debitur[Nomor PK],0))</f>
        <v>Belum Lunas</v>
      </c>
      <c r="G261" s="35" t="str">
        <f>IF(OR(Upaya_Agunan[[#This Row],[Agunan]]="SHM",Upaya_Agunan[[#This Row],[Agunan]]="BPKB"),"Ya","Tidak")</f>
        <v>Tidak</v>
      </c>
      <c r="H261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61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61" s="35" t="str">
        <f ca="1">IF(AND(DATEDIF($B$5,$B$6,"D")&gt;=150,Upaya_Agunan[[#This Row],[Lelang 1?]]="Ya"),"Ya","Tidak")</f>
        <v>Tidak</v>
      </c>
      <c r="K261" s="35" t="str">
        <f ca="1">IF(AND(DATEDIF($B$5,$B$6,"D")&gt;=180,Upaya_Agunan[[#This Row],[Lelang 2?]]="Ya"),"Ya","Tidak")</f>
        <v>Tidak</v>
      </c>
      <c r="L261" s="18"/>
      <c r="M261" s="18"/>
      <c r="N261" s="18"/>
      <c r="O261" s="18"/>
      <c r="P261" s="18"/>
      <c r="Q261" s="35">
        <f ca="1">COUNTIF(Upaya_Agunan[[#This Row],[Blokir Agunan?]:[Penjualan Agunan?]],"Ya")</f>
        <v>0</v>
      </c>
      <c r="R261" s="35">
        <f ca="1">Upaya_Agunan[[#This Row],[Target Upaya]]-COUNTIFS(Upaya_Agunan[[#This Row],[Blokir Agunan?]:[Penjualan Agunan?]],"Ya",Upaya_Agunan[[#This Row],[Blokir Agunan]:[Penjualan Agunan]],"")</f>
        <v>0</v>
      </c>
      <c r="S261" s="36">
        <f ca="1">IF(ISNUMBER(Upaya_Agunan[[#This Row],[Realisasi]]/Upaya_Agunan[[#This Row],[Target Upaya]]),Upaya_Agunan[[#This Row],[Realisasi]]/Upaya_Agunan[[#This Row],[Target Upaya]],1)</f>
        <v>1</v>
      </c>
    </row>
    <row r="262" spans="1:19" x14ac:dyDescent="0.3">
      <c r="A262" s="16">
        <v>251</v>
      </c>
      <c r="B262" s="17" t="s">
        <v>627</v>
      </c>
      <c r="C262" s="16" t="s">
        <v>85</v>
      </c>
      <c r="D262" s="16" t="s">
        <v>78</v>
      </c>
      <c r="E262" s="16" t="s">
        <v>93</v>
      </c>
      <c r="F262" s="35" t="str">
        <f ca="1">INDEX(Upaya_Debitur[Lunas?],MATCH(Upaya_Agunan[[#This Row],[Nomor PK]],Upaya_Debitur[Nomor PK],0))</f>
        <v>Belum Lunas</v>
      </c>
      <c r="G262" s="35" t="str">
        <f>IF(OR(Upaya_Agunan[[#This Row],[Agunan]]="SHM",Upaya_Agunan[[#This Row],[Agunan]]="BPKB"),"Ya","Tidak")</f>
        <v>Ya</v>
      </c>
      <c r="H262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62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62" s="35" t="str">
        <f ca="1">IF(AND(DATEDIF($B$5,$B$6,"D")&gt;=150,Upaya_Agunan[[#This Row],[Lelang 1?]]="Ya"),"Ya","Tidak")</f>
        <v>Tidak</v>
      </c>
      <c r="K262" s="35" t="str">
        <f ca="1">IF(AND(DATEDIF($B$5,$B$6,"D")&gt;=180,Upaya_Agunan[[#This Row],[Lelang 2?]]="Ya"),"Ya","Tidak")</f>
        <v>Tidak</v>
      </c>
      <c r="L262" s="18" t="s">
        <v>640</v>
      </c>
      <c r="M262" s="18"/>
      <c r="N262" s="18"/>
      <c r="O262" s="18"/>
      <c r="P262" s="18"/>
      <c r="Q262" s="35">
        <f ca="1">COUNTIF(Upaya_Agunan[[#This Row],[Blokir Agunan?]:[Penjualan Agunan?]],"Ya")</f>
        <v>1</v>
      </c>
      <c r="R262" s="35">
        <f ca="1">Upaya_Agunan[[#This Row],[Target Upaya]]-COUNTIFS(Upaya_Agunan[[#This Row],[Blokir Agunan?]:[Penjualan Agunan?]],"Ya",Upaya_Agunan[[#This Row],[Blokir Agunan]:[Penjualan Agunan]],"")</f>
        <v>1</v>
      </c>
      <c r="S262" s="36">
        <f ca="1">IF(ISNUMBER(Upaya_Agunan[[#This Row],[Realisasi]]/Upaya_Agunan[[#This Row],[Target Upaya]]),Upaya_Agunan[[#This Row],[Realisasi]]/Upaya_Agunan[[#This Row],[Target Upaya]],1)</f>
        <v>1</v>
      </c>
    </row>
    <row r="263" spans="1:19" x14ac:dyDescent="0.3">
      <c r="A263" s="16">
        <v>252</v>
      </c>
      <c r="B263" s="17" t="s">
        <v>629</v>
      </c>
      <c r="C263" s="16" t="s">
        <v>95</v>
      </c>
      <c r="D263" s="16" t="s">
        <v>638</v>
      </c>
      <c r="E263" s="16" t="s">
        <v>93</v>
      </c>
      <c r="F263" s="35" t="str">
        <f ca="1">INDEX(Upaya_Debitur[Lunas?],MATCH(Upaya_Agunan[[#This Row],[Nomor PK]],Upaya_Debitur[Nomor PK],0))</f>
        <v>Belum Lunas</v>
      </c>
      <c r="G263" s="35" t="str">
        <f>IF(OR(Upaya_Agunan[[#This Row],[Agunan]]="SHM",Upaya_Agunan[[#This Row],[Agunan]]="BPKB"),"Ya","Tidak")</f>
        <v>Tidak</v>
      </c>
      <c r="H263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63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63" s="35" t="str">
        <f ca="1">IF(AND(DATEDIF($B$5,$B$6,"D")&gt;=150,Upaya_Agunan[[#This Row],[Lelang 1?]]="Ya"),"Ya","Tidak")</f>
        <v>Tidak</v>
      </c>
      <c r="K263" s="35" t="str">
        <f ca="1">IF(AND(DATEDIF($B$5,$B$6,"D")&gt;=180,Upaya_Agunan[[#This Row],[Lelang 2?]]="Ya"),"Ya","Tidak")</f>
        <v>Tidak</v>
      </c>
      <c r="L263" s="18"/>
      <c r="M263" s="18"/>
      <c r="N263" s="18"/>
      <c r="O263" s="18"/>
      <c r="P263" s="18"/>
      <c r="Q263" s="35">
        <f ca="1">COUNTIF(Upaya_Agunan[[#This Row],[Blokir Agunan?]:[Penjualan Agunan?]],"Ya")</f>
        <v>0</v>
      </c>
      <c r="R263" s="35">
        <f ca="1">Upaya_Agunan[[#This Row],[Target Upaya]]-COUNTIFS(Upaya_Agunan[[#This Row],[Blokir Agunan?]:[Penjualan Agunan?]],"Ya",Upaya_Agunan[[#This Row],[Blokir Agunan]:[Penjualan Agunan]],"")</f>
        <v>0</v>
      </c>
      <c r="S263" s="36">
        <f ca="1">IF(ISNUMBER(Upaya_Agunan[[#This Row],[Realisasi]]/Upaya_Agunan[[#This Row],[Target Upaya]]),Upaya_Agunan[[#This Row],[Realisasi]]/Upaya_Agunan[[#This Row],[Target Upaya]],1)</f>
        <v>1</v>
      </c>
    </row>
    <row r="264" spans="1:19" x14ac:dyDescent="0.3">
      <c r="A264" s="16">
        <v>253</v>
      </c>
      <c r="B264" s="17" t="s">
        <v>631</v>
      </c>
      <c r="C264" s="16" t="s">
        <v>95</v>
      </c>
      <c r="D264" s="16" t="s">
        <v>638</v>
      </c>
      <c r="E264" s="16" t="s">
        <v>93</v>
      </c>
      <c r="F264" s="35" t="str">
        <f ca="1">INDEX(Upaya_Debitur[Lunas?],MATCH(Upaya_Agunan[[#This Row],[Nomor PK]],Upaya_Debitur[Nomor PK],0))</f>
        <v>Belum Lunas</v>
      </c>
      <c r="G264" s="35" t="str">
        <f>IF(OR(Upaya_Agunan[[#This Row],[Agunan]]="SHM",Upaya_Agunan[[#This Row],[Agunan]]="BPKB"),"Ya","Tidak")</f>
        <v>Tidak</v>
      </c>
      <c r="H264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64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64" s="35" t="str">
        <f ca="1">IF(AND(DATEDIF($B$5,$B$6,"D")&gt;=150,Upaya_Agunan[[#This Row],[Lelang 1?]]="Ya"),"Ya","Tidak")</f>
        <v>Tidak</v>
      </c>
      <c r="K264" s="35" t="str">
        <f ca="1">IF(AND(DATEDIF($B$5,$B$6,"D")&gt;=180,Upaya_Agunan[[#This Row],[Lelang 2?]]="Ya"),"Ya","Tidak")</f>
        <v>Tidak</v>
      </c>
      <c r="L264" s="18"/>
      <c r="M264" s="18"/>
      <c r="N264" s="18"/>
      <c r="O264" s="18"/>
      <c r="P264" s="18"/>
      <c r="Q264" s="35">
        <f ca="1">COUNTIF(Upaya_Agunan[[#This Row],[Blokir Agunan?]:[Penjualan Agunan?]],"Ya")</f>
        <v>0</v>
      </c>
      <c r="R264" s="35">
        <f ca="1">Upaya_Agunan[[#This Row],[Target Upaya]]-COUNTIFS(Upaya_Agunan[[#This Row],[Blokir Agunan?]:[Penjualan Agunan?]],"Ya",Upaya_Agunan[[#This Row],[Blokir Agunan]:[Penjualan Agunan]],"")</f>
        <v>0</v>
      </c>
      <c r="S264" s="36">
        <f ca="1">IF(ISNUMBER(Upaya_Agunan[[#This Row],[Realisasi]]/Upaya_Agunan[[#This Row],[Target Upaya]]),Upaya_Agunan[[#This Row],[Realisasi]]/Upaya_Agunan[[#This Row],[Target Upaya]],1)</f>
        <v>1</v>
      </c>
    </row>
    <row r="265" spans="1:19" x14ac:dyDescent="0.3">
      <c r="A265" s="16">
        <v>254</v>
      </c>
      <c r="B265" s="17" t="s">
        <v>633</v>
      </c>
      <c r="C265" s="16" t="s">
        <v>85</v>
      </c>
      <c r="D265" s="16" t="s">
        <v>78</v>
      </c>
      <c r="E265" s="16" t="s">
        <v>93</v>
      </c>
      <c r="F265" s="35" t="str">
        <f ca="1">INDEX(Upaya_Debitur[Lunas?],MATCH(Upaya_Agunan[[#This Row],[Nomor PK]],Upaya_Debitur[Nomor PK],0))</f>
        <v>Belum Lunas</v>
      </c>
      <c r="G265" s="35" t="str">
        <f>IF(OR(Upaya_Agunan[[#This Row],[Agunan]]="SHM",Upaya_Agunan[[#This Row],[Agunan]]="BPKB"),"Ya","Tidak")</f>
        <v>Ya</v>
      </c>
      <c r="H265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65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65" s="35" t="str">
        <f ca="1">IF(AND(DATEDIF($B$5,$B$6,"D")&gt;=150,Upaya_Agunan[[#This Row],[Lelang 1?]]="Ya"),"Ya","Tidak")</f>
        <v>Tidak</v>
      </c>
      <c r="K265" s="35" t="str">
        <f ca="1">IF(AND(DATEDIF($B$5,$B$6,"D")&gt;=180,Upaya_Agunan[[#This Row],[Lelang 2?]]="Ya"),"Ya","Tidak")</f>
        <v>Tidak</v>
      </c>
      <c r="L265" s="18" t="s">
        <v>640</v>
      </c>
      <c r="M265" s="18"/>
      <c r="N265" s="18"/>
      <c r="O265" s="18"/>
      <c r="P265" s="18"/>
      <c r="Q265" s="35">
        <f ca="1">COUNTIF(Upaya_Agunan[[#This Row],[Blokir Agunan?]:[Penjualan Agunan?]],"Ya")</f>
        <v>1</v>
      </c>
      <c r="R265" s="35">
        <f ca="1">Upaya_Agunan[[#This Row],[Target Upaya]]-COUNTIFS(Upaya_Agunan[[#This Row],[Blokir Agunan?]:[Penjualan Agunan?]],"Ya",Upaya_Agunan[[#This Row],[Blokir Agunan]:[Penjualan Agunan]],"")</f>
        <v>1</v>
      </c>
      <c r="S265" s="36">
        <f ca="1">IF(ISNUMBER(Upaya_Agunan[[#This Row],[Realisasi]]/Upaya_Agunan[[#This Row],[Target Upaya]]),Upaya_Agunan[[#This Row],[Realisasi]]/Upaya_Agunan[[#This Row],[Target Upaya]],1)</f>
        <v>1</v>
      </c>
    </row>
    <row r="266" spans="1:19" x14ac:dyDescent="0.3">
      <c r="A266" s="16">
        <v>255</v>
      </c>
      <c r="B266" s="17" t="s">
        <v>635</v>
      </c>
      <c r="C266" s="16" t="s">
        <v>85</v>
      </c>
      <c r="D266" s="16" t="s">
        <v>78</v>
      </c>
      <c r="E266" s="16" t="s">
        <v>93</v>
      </c>
      <c r="F266" s="35" t="str">
        <f ca="1">INDEX(Upaya_Debitur[Lunas?],MATCH(Upaya_Agunan[[#This Row],[Nomor PK]],Upaya_Debitur[Nomor PK],0))</f>
        <v>Belum Lunas</v>
      </c>
      <c r="G266" s="35" t="str">
        <f>IF(OR(Upaya_Agunan[[#This Row],[Agunan]]="SHM",Upaya_Agunan[[#This Row],[Agunan]]="BPKB"),"Ya","Tidak")</f>
        <v>Ya</v>
      </c>
      <c r="H266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66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66" s="35" t="str">
        <f ca="1">IF(AND(DATEDIF($B$5,$B$6,"D")&gt;=150,Upaya_Agunan[[#This Row],[Lelang 1?]]="Ya"),"Ya","Tidak")</f>
        <v>Tidak</v>
      </c>
      <c r="K266" s="35" t="str">
        <f ca="1">IF(AND(DATEDIF($B$5,$B$6,"D")&gt;=180,Upaya_Agunan[[#This Row],[Lelang 2?]]="Ya"),"Ya","Tidak")</f>
        <v>Tidak</v>
      </c>
      <c r="L266" s="18" t="s">
        <v>640</v>
      </c>
      <c r="M266" s="18"/>
      <c r="N266" s="18"/>
      <c r="O266" s="18"/>
      <c r="P266" s="18"/>
      <c r="Q266" s="35">
        <f ca="1">COUNTIF(Upaya_Agunan[[#This Row],[Blokir Agunan?]:[Penjualan Agunan?]],"Ya")</f>
        <v>1</v>
      </c>
      <c r="R266" s="35">
        <f ca="1">Upaya_Agunan[[#This Row],[Target Upaya]]-COUNTIFS(Upaya_Agunan[[#This Row],[Blokir Agunan?]:[Penjualan Agunan?]],"Ya",Upaya_Agunan[[#This Row],[Blokir Agunan]:[Penjualan Agunan]],"")</f>
        <v>1</v>
      </c>
      <c r="S266" s="36">
        <f ca="1">IF(ISNUMBER(Upaya_Agunan[[#This Row],[Realisasi]]/Upaya_Agunan[[#This Row],[Target Upaya]]),Upaya_Agunan[[#This Row],[Realisasi]]/Upaya_Agunan[[#This Row],[Target Upaya]],1)</f>
        <v>1</v>
      </c>
    </row>
    <row r="267" spans="1:19" x14ac:dyDescent="0.3">
      <c r="A267" s="16">
        <v>256</v>
      </c>
      <c r="B267" s="17" t="s">
        <v>635</v>
      </c>
      <c r="C267" s="16" t="s">
        <v>85</v>
      </c>
      <c r="D267" s="16" t="s">
        <v>78</v>
      </c>
      <c r="E267" s="16" t="s">
        <v>93</v>
      </c>
      <c r="F267" s="35" t="str">
        <f ca="1">INDEX(Upaya_Debitur[Lunas?],MATCH(Upaya_Agunan[[#This Row],[Nomor PK]],Upaya_Debitur[Nomor PK],0))</f>
        <v>Belum Lunas</v>
      </c>
      <c r="G267" s="35" t="str">
        <f>IF(OR(Upaya_Agunan[[#This Row],[Agunan]]="SHM",Upaya_Agunan[[#This Row],[Agunan]]="BPKB"),"Ya","Tidak")</f>
        <v>Ya</v>
      </c>
      <c r="H267" s="35" t="str">
        <f ca="1">IF(AND(INDEX(Upaya_Debitur[],MATCH(Upaya_Agunan[[#This Row],[Nomor PK]],Upaya_Debitur[Nomor PK],0),74)="Ya",OR(Upaya_Agunan[[#This Row],[Pengikatan]]="SHT",Upaya_Agunan[[#This Row],[Pengikatan]]="SJF")),"Ya","Tidak")</f>
        <v>Tidak</v>
      </c>
      <c r="I267" s="35" t="str">
        <f ca="1">IF(AND(DATEDIF($B$5,$B$6,"D")&gt;=120,OR(Upaya_Agunan[[#This Row],[Pengikatan]]="SHT",Upaya_Agunan[[#This Row],[Pengikatan]]="SJF",Upaya_Agunan[[#This Row],[Pengikatan]]="Hipotik",Upaya_Agunan[[#This Row],[Pengikatan]]="Gadai"),Upaya_Agunan[[#This Row],[Appraisal?]]="Ya"),"Ya","Tidak")</f>
        <v>Tidak</v>
      </c>
      <c r="J267" s="35" t="str">
        <f ca="1">IF(AND(DATEDIF($B$5,$B$6,"D")&gt;=150,Upaya_Agunan[[#This Row],[Lelang 1?]]="Ya"),"Ya","Tidak")</f>
        <v>Tidak</v>
      </c>
      <c r="K267" s="35" t="str">
        <f ca="1">IF(AND(DATEDIF($B$5,$B$6,"D")&gt;=180,Upaya_Agunan[[#This Row],[Lelang 2?]]="Ya"),"Ya","Tidak")</f>
        <v>Tidak</v>
      </c>
      <c r="L267" s="18" t="s">
        <v>640</v>
      </c>
      <c r="M267" s="18"/>
      <c r="N267" s="18"/>
      <c r="O267" s="18"/>
      <c r="P267" s="18"/>
      <c r="Q267" s="35">
        <f ca="1">COUNTIF(Upaya_Agunan[[#This Row],[Blokir Agunan?]:[Penjualan Agunan?]],"Ya")</f>
        <v>1</v>
      </c>
      <c r="R267" s="35">
        <f ca="1">Upaya_Agunan[[#This Row],[Target Upaya]]-COUNTIFS(Upaya_Agunan[[#This Row],[Blokir Agunan?]:[Penjualan Agunan?]],"Ya",Upaya_Agunan[[#This Row],[Blokir Agunan]:[Penjualan Agunan]],"")</f>
        <v>1</v>
      </c>
      <c r="S267" s="36">
        <f ca="1">IF(ISNUMBER(Upaya_Agunan[[#This Row],[Realisasi]]/Upaya_Agunan[[#This Row],[Target Upaya]]),Upaya_Agunan[[#This Row],[Realisasi]]/Upaya_Agunan[[#This Row],[Target Upaya]],1)</f>
        <v>1</v>
      </c>
    </row>
  </sheetData>
  <sheetProtection algorithmName="SHA-512" hashValue="zVoX2uqmpxx1ReIhZBc6SKqPw3xJuWGkEdQlBYDYadsIWlRgc1UU14BwJRFv/amGUu5ToZUUKD8+IVUYoX1tRQ==" saltValue="6djGnysQx2piSUbIX4orLw==" spinCount="100000" sheet="1" objects="1" scenarios="1"/>
  <mergeCells count="6">
    <mergeCell ref="N5:P5"/>
    <mergeCell ref="G10:K10"/>
    <mergeCell ref="L10:P10"/>
    <mergeCell ref="Q10:S10"/>
    <mergeCell ref="N7:P7"/>
    <mergeCell ref="N6:P6"/>
  </mergeCells>
  <conditionalFormatting sqref="G10">
    <cfRule type="containsText" dxfId="26" priority="6" operator="containsText" text="SP 1">
      <formula>NOT(ISERROR(SEARCH("SP 1",G10)))</formula>
    </cfRule>
  </conditionalFormatting>
  <conditionalFormatting sqref="L12:P267">
    <cfRule type="expression" dxfId="25" priority="3">
      <formula>AND(G12="Ya",L12="")</formula>
    </cfRule>
    <cfRule type="expression" dxfId="24" priority="4">
      <formula>AND(G12="Tidak",L12&lt;&gt;"")</formula>
    </cfRule>
    <cfRule type="expression" dxfId="23" priority="5">
      <formula>AND(G12="Tidak",L12="")</formula>
    </cfRule>
  </conditionalFormatting>
  <conditionalFormatting sqref="L10">
    <cfRule type="containsText" dxfId="22" priority="2" operator="containsText" text="SP 1">
      <formula>NOT(ISERROR(SEARCH("SP 1",L10)))</formula>
    </cfRule>
  </conditionalFormatting>
  <conditionalFormatting sqref="F10">
    <cfRule type="containsText" dxfId="21" priority="1" operator="containsText" text="SP 1">
      <formula>NOT(ISERROR(SEARCH("SP 1",F10)))</formula>
    </cfRule>
  </conditionalFormatting>
  <dataValidations count="4">
    <dataValidation type="date" allowBlank="1" showInputMessage="1" showErrorMessage="1" sqref="B5:B9" xr:uid="{00000000-0002-0000-0100-000000000000}">
      <formula1>1</formula1>
      <formula2>219512</formula2>
    </dataValidation>
    <dataValidation type="list" allowBlank="1" showInputMessage="1" showErrorMessage="1" sqref="C12:C267" xr:uid="{00000000-0002-0000-0100-000001000000}">
      <formula1>INDIRECT("Kategori_Agunan")</formula1>
    </dataValidation>
    <dataValidation type="list" allowBlank="1" showInputMessage="1" showErrorMessage="1" sqref="D12:D267" xr:uid="{00000000-0002-0000-0100-000002000000}">
      <formula1>INDIRECT("Agunan")</formula1>
    </dataValidation>
    <dataValidation type="list" allowBlank="1" showInputMessage="1" showErrorMessage="1" sqref="E12:E267" xr:uid="{00000000-0002-0000-0100-000003000000}">
      <formula1>INDIRECT("Pengikatan")</formula1>
    </dataValidation>
  </dataValidations>
  <pageMargins left="0.7" right="0.7" top="0.75" bottom="0.75" header="0.3" footer="0.3"/>
  <pageSetup paperSize="9" scale="72" fitToHeight="0" orientation="landscape" r:id="rId1"/>
  <customProperties>
    <customPr name="EpmWorksheetKeyString_GUID" r:id="rId2"/>
  </customProperties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tabSelected="1" topLeftCell="A9" workbookViewId="0">
      <selection activeCell="D29" sqref="D29"/>
    </sheetView>
  </sheetViews>
  <sheetFormatPr defaultRowHeight="14.4" x14ac:dyDescent="0.3"/>
  <cols>
    <col min="1" max="1" width="19.5546875" customWidth="1"/>
    <col min="2" max="4" width="12.109375" customWidth="1"/>
  </cols>
  <sheetData>
    <row r="1" spans="1:4" x14ac:dyDescent="0.3">
      <c r="A1" s="9" t="s">
        <v>132</v>
      </c>
    </row>
    <row r="2" spans="1:4" x14ac:dyDescent="0.3">
      <c r="A2" s="1"/>
    </row>
    <row r="3" spans="1:4" x14ac:dyDescent="0.3">
      <c r="A3" s="1"/>
    </row>
    <row r="4" spans="1:4" x14ac:dyDescent="0.3">
      <c r="A4" s="6" t="s">
        <v>133</v>
      </c>
      <c r="B4" s="9" t="str">
        <f>'Upaya Debitur'!B4</f>
        <v>PT BPRS Hareukat (DL)</v>
      </c>
    </row>
    <row r="5" spans="1:4" x14ac:dyDescent="0.3">
      <c r="A5" s="6" t="s">
        <v>43</v>
      </c>
      <c r="B5" s="3">
        <f>'Upaya Debitur'!B5</f>
        <v>43749</v>
      </c>
    </row>
    <row r="6" spans="1:4" x14ac:dyDescent="0.3">
      <c r="A6" s="6" t="s">
        <v>42</v>
      </c>
      <c r="B6" s="4">
        <f>'Upaya Debitur'!B6</f>
        <v>44196</v>
      </c>
    </row>
    <row r="7" spans="1:4" x14ac:dyDescent="0.3">
      <c r="A7" s="6" t="s">
        <v>40</v>
      </c>
      <c r="B7" s="5">
        <f>'Upaya Debitur'!B7</f>
        <v>15</v>
      </c>
    </row>
    <row r="8" spans="1:4" x14ac:dyDescent="0.3">
      <c r="A8" s="14"/>
    </row>
    <row r="9" spans="1:4" x14ac:dyDescent="0.3">
      <c r="A9" s="7" t="s">
        <v>144</v>
      </c>
    </row>
    <row r="10" spans="1:4" x14ac:dyDescent="0.3">
      <c r="A10" s="13" t="s">
        <v>136</v>
      </c>
      <c r="B10" s="13" t="s">
        <v>126</v>
      </c>
      <c r="C10" s="13" t="s">
        <v>127</v>
      </c>
      <c r="D10" s="13" t="s">
        <v>131</v>
      </c>
    </row>
    <row r="11" spans="1:4" x14ac:dyDescent="0.3">
      <c r="A11" s="15" t="s">
        <v>139</v>
      </c>
      <c r="B11" s="11">
        <f ca="1">SUMIF(Upaya_Debitur[Lunas?],"Belum Lunas",Upaya_Debitur[Target Upaya])</f>
        <v>1646</v>
      </c>
      <c r="C11" s="11">
        <f ca="1">SUMIF(Upaya_Debitur[Lunas?],"Belum Lunas",Upaya_Debitur[Realisasi])</f>
        <v>1646</v>
      </c>
      <c r="D11" s="12">
        <f ca="1">IF(ISNUMBER(C11/B11),C11/B11,1)</f>
        <v>1</v>
      </c>
    </row>
    <row r="12" spans="1:4" x14ac:dyDescent="0.3">
      <c r="A12" s="14"/>
    </row>
    <row r="13" spans="1:4" x14ac:dyDescent="0.3">
      <c r="A13" s="14" t="s">
        <v>145</v>
      </c>
    </row>
    <row r="14" spans="1:4" x14ac:dyDescent="0.3">
      <c r="A14" s="13" t="s">
        <v>70</v>
      </c>
      <c r="B14" s="13" t="s">
        <v>126</v>
      </c>
      <c r="C14" s="13" t="s">
        <v>127</v>
      </c>
      <c r="D14" s="13" t="s">
        <v>131</v>
      </c>
    </row>
    <row r="15" spans="1:4" x14ac:dyDescent="0.3">
      <c r="A15" s="8" t="s">
        <v>80</v>
      </c>
      <c r="B15" s="8">
        <f>SUMIFS(Upaya_Agunan[Target Upaya],Upaya_Agunan[Pengikatan],$A15,Upaya_Agunan[Lunas?],"Belum Lunas")</f>
        <v>0</v>
      </c>
      <c r="C15" s="8">
        <f>SUMIFS(Upaya_Agunan[Realisasi],Upaya_Agunan[Pengikatan],$A15,Upaya_Agunan[Lunas?],"Belum Lunas")</f>
        <v>0</v>
      </c>
      <c r="D15" s="10">
        <f>IF(ISNUMBER(C15/B15),C15/B15,1)</f>
        <v>1</v>
      </c>
    </row>
    <row r="16" spans="1:4" x14ac:dyDescent="0.3">
      <c r="A16" s="8" t="s">
        <v>87</v>
      </c>
      <c r="B16" s="8">
        <f>SUMIFS(Upaya_Agunan[Target Upaya],Upaya_Agunan[Pengikatan],$A16,Upaya_Agunan[Lunas?],"Belum Lunas")</f>
        <v>0</v>
      </c>
      <c r="C16" s="8">
        <f>SUMIFS(Upaya_Agunan[Realisasi],Upaya_Agunan[Pengikatan],$A16,Upaya_Agunan[Lunas?],"Belum Lunas")</f>
        <v>0</v>
      </c>
      <c r="D16" s="10">
        <f t="shared" ref="D16:D23" si="0">IF(ISNUMBER(C16/B16),C16/B16,1)</f>
        <v>1</v>
      </c>
    </row>
    <row r="17" spans="1:4" x14ac:dyDescent="0.3">
      <c r="A17" s="8" t="s">
        <v>90</v>
      </c>
      <c r="B17" s="8">
        <f ca="1">SUMIFS(Upaya_Agunan[Target Upaya],Upaya_Agunan[Pengikatan],$A17,Upaya_Agunan[Lunas?],"Belum Lunas")</f>
        <v>1</v>
      </c>
      <c r="C17" s="8">
        <f ca="1">SUMIFS(Upaya_Agunan[Realisasi],Upaya_Agunan[Pengikatan],$A17,Upaya_Agunan[Lunas?],"Belum Lunas")</f>
        <v>1</v>
      </c>
      <c r="D17" s="10">
        <f t="shared" ca="1" si="0"/>
        <v>1</v>
      </c>
    </row>
    <row r="18" spans="1:4" x14ac:dyDescent="0.3">
      <c r="A18" s="8" t="s">
        <v>81</v>
      </c>
      <c r="B18" s="8">
        <f>SUMIFS(Upaya_Agunan[Target Upaya],Upaya_Agunan[Pengikatan],$A18,Upaya_Agunan[Lunas?],"Belum Lunas")</f>
        <v>0</v>
      </c>
      <c r="C18" s="8">
        <f>SUMIFS(Upaya_Agunan[Realisasi],Upaya_Agunan[Pengikatan],$A18,Upaya_Agunan[Lunas?],"Belum Lunas")</f>
        <v>0</v>
      </c>
      <c r="D18" s="10">
        <f t="shared" si="0"/>
        <v>1</v>
      </c>
    </row>
    <row r="19" spans="1:4" x14ac:dyDescent="0.3">
      <c r="A19" s="8" t="s">
        <v>106</v>
      </c>
      <c r="B19" s="8">
        <f ca="1">SUMIFS(Upaya_Agunan[Target Upaya],Upaya_Agunan[Pengikatan],$A19,Upaya_Agunan[Lunas?],"Belum Lunas")</f>
        <v>16</v>
      </c>
      <c r="C19" s="8">
        <f ca="1">SUMIFS(Upaya_Agunan[Realisasi],Upaya_Agunan[Pengikatan],$A19,Upaya_Agunan[Lunas?],"Belum Lunas")</f>
        <v>16</v>
      </c>
      <c r="D19" s="10">
        <f t="shared" ca="1" si="0"/>
        <v>1</v>
      </c>
    </row>
    <row r="20" spans="1:4" x14ac:dyDescent="0.3">
      <c r="A20" s="8" t="s">
        <v>112</v>
      </c>
      <c r="B20" s="8">
        <f>SUMIFS(Upaya_Agunan[Target Upaya],Upaya_Agunan[Pengikatan],$A20,Upaya_Agunan[Lunas?],"Belum Lunas")</f>
        <v>0</v>
      </c>
      <c r="C20" s="8">
        <f>SUMIFS(Upaya_Agunan[Realisasi],Upaya_Agunan[Pengikatan],$A20,Upaya_Agunan[Lunas?],"Belum Lunas")</f>
        <v>0</v>
      </c>
      <c r="D20" s="10">
        <f t="shared" si="0"/>
        <v>1</v>
      </c>
    </row>
    <row r="21" spans="1:4" x14ac:dyDescent="0.3">
      <c r="A21" s="8" t="s">
        <v>115</v>
      </c>
      <c r="B21" s="8">
        <f>SUMIFS(Upaya_Agunan[Target Upaya],Upaya_Agunan[Pengikatan],$A21,Upaya_Agunan[Lunas?],"Belum Lunas")</f>
        <v>0</v>
      </c>
      <c r="C21" s="8">
        <f>SUMIFS(Upaya_Agunan[Realisasi],Upaya_Agunan[Pengikatan],$A21,Upaya_Agunan[Lunas?],"Belum Lunas")</f>
        <v>0</v>
      </c>
      <c r="D21" s="10">
        <f t="shared" si="0"/>
        <v>1</v>
      </c>
    </row>
    <row r="22" spans="1:4" x14ac:dyDescent="0.3">
      <c r="A22" s="8" t="s">
        <v>93</v>
      </c>
      <c r="B22" s="8">
        <f ca="1">SUMIFS(Upaya_Agunan[Target Upaya],Upaya_Agunan[Pengikatan],$A22,Upaya_Agunan[Lunas?],"Belum Lunas")</f>
        <v>97</v>
      </c>
      <c r="C22" s="8">
        <f ca="1">SUMIFS(Upaya_Agunan[Realisasi],Upaya_Agunan[Pengikatan],$A22,Upaya_Agunan[Lunas?],"Belum Lunas")</f>
        <v>97</v>
      </c>
      <c r="D22" s="10">
        <f t="shared" ca="1" si="0"/>
        <v>1</v>
      </c>
    </row>
    <row r="23" spans="1:4" x14ac:dyDescent="0.3">
      <c r="A23" s="11" t="s">
        <v>139</v>
      </c>
      <c r="B23" s="11">
        <f ca="1">SUM(B15:B22)</f>
        <v>114</v>
      </c>
      <c r="C23" s="11">
        <f ca="1">SUM(C15:C22)</f>
        <v>114</v>
      </c>
      <c r="D23" s="12">
        <f t="shared" ca="1" si="0"/>
        <v>1</v>
      </c>
    </row>
    <row r="25" spans="1:4" x14ac:dyDescent="0.3">
      <c r="A25" t="s">
        <v>135</v>
      </c>
    </row>
    <row r="26" spans="1:4" x14ac:dyDescent="0.3">
      <c r="A26" s="13" t="s">
        <v>136</v>
      </c>
      <c r="B26" s="13" t="s">
        <v>126</v>
      </c>
      <c r="C26" s="13" t="s">
        <v>127</v>
      </c>
      <c r="D26" s="13" t="s">
        <v>131</v>
      </c>
    </row>
    <row r="27" spans="1:4" x14ac:dyDescent="0.3">
      <c r="A27" s="8" t="s">
        <v>137</v>
      </c>
      <c r="B27" s="8">
        <f ca="1">B11</f>
        <v>1646</v>
      </c>
      <c r="C27" s="8">
        <f ca="1">C11</f>
        <v>1646</v>
      </c>
      <c r="D27" s="10">
        <f t="shared" ref="D27:D29" ca="1" si="1">IF(ISNUMBER(C27/B27),C27/B27,1)</f>
        <v>1</v>
      </c>
    </row>
    <row r="28" spans="1:4" x14ac:dyDescent="0.3">
      <c r="A28" s="8" t="s">
        <v>138</v>
      </c>
      <c r="B28" s="8">
        <f ca="1">B23</f>
        <v>114</v>
      </c>
      <c r="C28" s="8">
        <f ca="1">C23</f>
        <v>114</v>
      </c>
      <c r="D28" s="10">
        <f t="shared" ca="1" si="1"/>
        <v>1</v>
      </c>
    </row>
    <row r="29" spans="1:4" x14ac:dyDescent="0.3">
      <c r="A29" s="11" t="s">
        <v>130</v>
      </c>
      <c r="B29" s="11">
        <f ca="1">SUM(B27:B28)</f>
        <v>1760</v>
      </c>
      <c r="C29" s="11">
        <f ca="1">SUM(C27:C28)</f>
        <v>1760</v>
      </c>
      <c r="D29" s="12">
        <f t="shared" ca="1" si="1"/>
        <v>1</v>
      </c>
    </row>
  </sheetData>
  <sheetProtection algorithmName="SHA-512" hashValue="GCGUulym94gA23RCGBw9O5tcEuEH+6YeIJSJZBAWJyP2VvMSq4buRxfpfTgWZEjl1xFYu4QeS31YXEqMo7TaaQ==" saltValue="JxCjKKL1xVPcb11QIKSpIw==" spinCount="100000" sheet="1" objects="1" scenarios="1"/>
  <dataValidations count="1">
    <dataValidation type="date" allowBlank="1" showInputMessage="1" showErrorMessage="1" sqref="B5:B7" xr:uid="{00000000-0002-0000-0200-000000000000}">
      <formula1>1</formula1>
      <formula2>219512</formula2>
    </dataValidation>
  </dataValidations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BC747F347A034FA0018CAF7D99052D" ma:contentTypeVersion="8" ma:contentTypeDescription="Create a new document." ma:contentTypeScope="" ma:versionID="f062dc1f9491f3faec7cf0ae28391ea9">
  <xsd:schema xmlns:xsd="http://www.w3.org/2001/XMLSchema" xmlns:xs="http://www.w3.org/2001/XMLSchema" xmlns:p="http://schemas.microsoft.com/office/2006/metadata/properties" xmlns:ns2="1c9ab29b-20bf-44a4-a666-f4222d918f76" targetNamespace="http://schemas.microsoft.com/office/2006/metadata/properties" ma:root="true" ma:fieldsID="78db0b84c272b9d2637594810e5a6fb9" ns2:_="">
    <xsd:import namespace="1c9ab29b-20bf-44a4-a666-f4222d918f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9ab29b-20bf-44a4-a666-f4222d918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CB244B-2B4A-4528-86D6-D1B28B1B868A}"/>
</file>

<file path=customXml/itemProps2.xml><?xml version="1.0" encoding="utf-8"?>
<ds:datastoreItem xmlns:ds="http://schemas.openxmlformats.org/officeDocument/2006/customXml" ds:itemID="{79483E11-5C35-4FE4-925B-2134FCD8992C}"/>
</file>

<file path=customXml/itemProps3.xml><?xml version="1.0" encoding="utf-8"?>
<ds:datastoreItem xmlns:ds="http://schemas.openxmlformats.org/officeDocument/2006/customXml" ds:itemID="{1F954627-900A-4958-835F-1CBCBEBC05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Upaya Debitur</vt:lpstr>
      <vt:lpstr>Upaya Agunan</vt:lpstr>
      <vt:lpstr>Summary</vt:lpstr>
      <vt:lpstr>'Upaya Agunan'!Print_Titles</vt:lpstr>
      <vt:lpstr>'Upaya Debitur'!Print_Titles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Kahfiendra Nugrahsatya</dc:creator>
  <cp:lastModifiedBy>Kahfiendra Nugrahsatya</cp:lastModifiedBy>
  <cp:lastPrinted>2020-02-13T01:43:59Z</cp:lastPrinted>
  <dcterms:created xsi:type="dcterms:W3CDTF">2020-02-10T07:56:07Z</dcterms:created>
  <dcterms:modified xsi:type="dcterms:W3CDTF">2021-05-07T01:33:42Z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0x010100AEBC747F347A034FA0018CAF7D99052D</vt:lpwstr>
  </property>
</Properties>
</file>
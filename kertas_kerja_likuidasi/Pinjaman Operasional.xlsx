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3.bin" ContentType="application/vnd.openxmlformats-officedocument.spreadsheetml.customProperty"/>
  <Override PartName="/xl/customProperty1.bin" ContentType="application/vnd.openxmlformats-officedocument.spreadsheetml.customProperty"/>
  <Override PartName="/docProps/app.xml" ContentType="application/vnd.openxmlformats-officedocument.extended-properties+xml"/>
  <Override PartName="/docProps/core.xml" ContentType="application/vnd.openxmlformats-package.core-properties+xml"/>
  <Override PartName="/xl/customProperty4.bin" ContentType="application/vnd.openxmlformats-officedocument.spreadsheetml.customProperty"/>
  <Override PartName="/xl/customProperty2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D:\Users\kahfiendra.n\Documents\1. Work - GLIK\2. Divisi Pengawasan\1-2. KBPR Abang Pasar (DL)\5. Pinjaman Operasional\2. Deliverables\"/>
    </mc:Choice>
  </mc:AlternateContent>
  <xr:revisionPtr revIDLastSave="0" documentId="13_ncr:1_{3CEAFCAE-0FC1-4C02-B3DA-E9CAFB9BF445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1.2 Usulan Anggaran Biaya" sheetId="3" r:id="rId1"/>
    <sheet name="1.3 Rincian ATI" sheetId="4" r:id="rId2"/>
    <sheet name="1.4 Rincian HB" sheetId="6" r:id="rId3"/>
    <sheet name="1.5 Kebutuhan Biaya" sheetId="1" r:id="rId4"/>
  </sheets>
  <definedNames>
    <definedName name="_xlnm.Print_Area" localSheetId="0">'1.2 Usulan Anggaran Biaya'!$A$1:$O$31</definedName>
    <definedName name="_xlnm.Print_Area" localSheetId="3">'1.5 Kebutuhan Biaya'!$A$1:$M$44</definedName>
    <definedName name="_xlnm.Print_Titles" localSheetId="1">'1.3 Rincian ATI'!$7:$7</definedName>
    <definedName name="_xlnm.Print_Titles" localSheetId="2">'1.4 Rincian HB'!$7:$7</definedName>
    <definedName name="_xlnm.Print_Titles" localSheetId="3">'1.5 Kebutuhan Biaya'!$A:$B,'1.5 Kebutuhan Biaya'!$7:$8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2" i="1" l="1"/>
  <c r="M41" i="1"/>
  <c r="M25" i="1"/>
  <c r="L27" i="3" l="1"/>
  <c r="J40" i="1" s="1"/>
  <c r="M27" i="3"/>
  <c r="K40" i="1" s="1"/>
  <c r="N27" i="3"/>
  <c r="L40" i="1" s="1"/>
  <c r="C21" i="1"/>
  <c r="J21" i="1"/>
  <c r="K21" i="1"/>
  <c r="L21" i="1"/>
  <c r="C22" i="1"/>
  <c r="J22" i="1"/>
  <c r="K22" i="1"/>
  <c r="L22" i="1"/>
  <c r="C23" i="1"/>
  <c r="J23" i="1"/>
  <c r="K23" i="1"/>
  <c r="L23" i="1"/>
  <c r="C24" i="1"/>
  <c r="J24" i="1"/>
  <c r="K24" i="1"/>
  <c r="L24" i="1"/>
  <c r="J20" i="1"/>
  <c r="K20" i="1"/>
  <c r="L20" i="1"/>
  <c r="C20" i="1"/>
  <c r="C29" i="1"/>
  <c r="E29" i="1"/>
  <c r="F29" i="1"/>
  <c r="G29" i="1"/>
  <c r="H29" i="1"/>
  <c r="I29" i="1"/>
  <c r="J29" i="1"/>
  <c r="K29" i="1"/>
  <c r="L29" i="1"/>
  <c r="C30" i="1"/>
  <c r="E30" i="1"/>
  <c r="F30" i="1"/>
  <c r="G30" i="1"/>
  <c r="H30" i="1"/>
  <c r="I30" i="1"/>
  <c r="J30" i="1"/>
  <c r="K30" i="1"/>
  <c r="L30" i="1"/>
  <c r="C31" i="1"/>
  <c r="F31" i="1"/>
  <c r="G31" i="1"/>
  <c r="H31" i="1"/>
  <c r="I31" i="1"/>
  <c r="J31" i="1"/>
  <c r="K31" i="1"/>
  <c r="L31" i="1"/>
  <c r="C32" i="1"/>
  <c r="J32" i="1"/>
  <c r="K32" i="1"/>
  <c r="L32" i="1"/>
  <c r="C33" i="1"/>
  <c r="E33" i="1"/>
  <c r="F33" i="1"/>
  <c r="G33" i="1"/>
  <c r="H33" i="1"/>
  <c r="I33" i="1"/>
  <c r="J33" i="1"/>
  <c r="K33" i="1"/>
  <c r="L33" i="1"/>
  <c r="C34" i="1"/>
  <c r="E34" i="1"/>
  <c r="H34" i="1"/>
  <c r="I34" i="1"/>
  <c r="J34" i="1"/>
  <c r="K34" i="1"/>
  <c r="L34" i="1"/>
  <c r="C35" i="1"/>
  <c r="D35" i="1"/>
  <c r="H35" i="1"/>
  <c r="I35" i="1"/>
  <c r="J35" i="1"/>
  <c r="K35" i="1"/>
  <c r="L35" i="1"/>
  <c r="C36" i="1"/>
  <c r="J36" i="1"/>
  <c r="K36" i="1"/>
  <c r="L36" i="1"/>
  <c r="C37" i="1"/>
  <c r="E37" i="1"/>
  <c r="F37" i="1"/>
  <c r="G37" i="1"/>
  <c r="H37" i="1"/>
  <c r="I37" i="1"/>
  <c r="J37" i="1"/>
  <c r="K37" i="1"/>
  <c r="L37" i="1"/>
  <c r="C38" i="1"/>
  <c r="J38" i="1"/>
  <c r="K38" i="1"/>
  <c r="L38" i="1"/>
  <c r="C39" i="1"/>
  <c r="D39" i="1"/>
  <c r="E39" i="1"/>
  <c r="F39" i="1"/>
  <c r="G39" i="1"/>
  <c r="H39" i="1"/>
  <c r="J39" i="1"/>
  <c r="K39" i="1"/>
  <c r="L39" i="1"/>
  <c r="C40" i="1"/>
  <c r="D40" i="1"/>
  <c r="E40" i="1"/>
  <c r="F40" i="1"/>
  <c r="G40" i="1"/>
  <c r="H40" i="1"/>
  <c r="I40" i="1"/>
  <c r="E28" i="1"/>
  <c r="F28" i="1"/>
  <c r="G28" i="1"/>
  <c r="H28" i="1"/>
  <c r="I28" i="1"/>
  <c r="J28" i="1"/>
  <c r="K28" i="1"/>
  <c r="L28" i="1"/>
  <c r="C28" i="1"/>
  <c r="E14" i="3"/>
  <c r="E8" i="3"/>
  <c r="F27" i="3"/>
  <c r="F26" i="3"/>
  <c r="F24" i="3"/>
  <c r="D37" i="1" s="1"/>
  <c r="F22" i="3"/>
  <c r="F21" i="3"/>
  <c r="D34" i="1" s="1"/>
  <c r="F20" i="3"/>
  <c r="D33" i="1" s="1"/>
  <c r="F17" i="3"/>
  <c r="D30" i="1" s="1"/>
  <c r="E28" i="3" l="1"/>
  <c r="G79" i="4"/>
  <c r="C16" i="1" s="1"/>
  <c r="F9" i="4"/>
  <c r="M9" i="4" s="1"/>
  <c r="F10" i="4"/>
  <c r="M10" i="4" s="1"/>
  <c r="F11" i="4"/>
  <c r="M11" i="4" s="1"/>
  <c r="F12" i="4"/>
  <c r="M12" i="4" s="1"/>
  <c r="F13" i="4"/>
  <c r="M13" i="4" s="1"/>
  <c r="F14" i="4"/>
  <c r="M14" i="4" s="1"/>
  <c r="F15" i="4"/>
  <c r="M15" i="4" s="1"/>
  <c r="F16" i="4"/>
  <c r="M16" i="4" s="1"/>
  <c r="F17" i="4"/>
  <c r="M17" i="4" s="1"/>
  <c r="F18" i="4"/>
  <c r="M18" i="4" s="1"/>
  <c r="F19" i="4"/>
  <c r="M19" i="4" s="1"/>
  <c r="F20" i="4"/>
  <c r="M20" i="4" s="1"/>
  <c r="F21" i="4"/>
  <c r="M21" i="4" s="1"/>
  <c r="F22" i="4"/>
  <c r="M22" i="4" s="1"/>
  <c r="F23" i="4"/>
  <c r="M23" i="4" s="1"/>
  <c r="F24" i="4"/>
  <c r="M24" i="4" s="1"/>
  <c r="F25" i="4"/>
  <c r="M25" i="4" s="1"/>
  <c r="F26" i="4"/>
  <c r="M26" i="4" s="1"/>
  <c r="F27" i="4"/>
  <c r="M27" i="4" s="1"/>
  <c r="F28" i="4"/>
  <c r="M28" i="4" s="1"/>
  <c r="F29" i="4"/>
  <c r="M29" i="4" s="1"/>
  <c r="F30" i="4"/>
  <c r="M30" i="4" s="1"/>
  <c r="F31" i="4"/>
  <c r="M31" i="4" s="1"/>
  <c r="F32" i="4"/>
  <c r="M32" i="4" s="1"/>
  <c r="F33" i="4"/>
  <c r="M33" i="4" s="1"/>
  <c r="F34" i="4"/>
  <c r="M34" i="4" s="1"/>
  <c r="F35" i="4"/>
  <c r="M35" i="4" s="1"/>
  <c r="F36" i="4"/>
  <c r="M36" i="4" s="1"/>
  <c r="F37" i="4"/>
  <c r="M37" i="4" s="1"/>
  <c r="F38" i="4"/>
  <c r="M38" i="4" s="1"/>
  <c r="F39" i="4"/>
  <c r="M39" i="4" s="1"/>
  <c r="F40" i="4"/>
  <c r="M40" i="4" s="1"/>
  <c r="F41" i="4"/>
  <c r="M41" i="4" s="1"/>
  <c r="F42" i="4"/>
  <c r="M42" i="4" s="1"/>
  <c r="F43" i="4"/>
  <c r="M43" i="4" s="1"/>
  <c r="F44" i="4"/>
  <c r="M44" i="4" s="1"/>
  <c r="F45" i="4"/>
  <c r="M45" i="4" s="1"/>
  <c r="F46" i="4"/>
  <c r="M46" i="4" s="1"/>
  <c r="F47" i="4"/>
  <c r="M47" i="4" s="1"/>
  <c r="F48" i="4"/>
  <c r="M48" i="4" s="1"/>
  <c r="F49" i="4"/>
  <c r="M49" i="4" s="1"/>
  <c r="F50" i="4"/>
  <c r="M50" i="4" s="1"/>
  <c r="F51" i="4"/>
  <c r="M51" i="4" s="1"/>
  <c r="F52" i="4"/>
  <c r="M52" i="4" s="1"/>
  <c r="F53" i="4"/>
  <c r="M53" i="4" s="1"/>
  <c r="F54" i="4"/>
  <c r="M54" i="4" s="1"/>
  <c r="F55" i="4"/>
  <c r="M55" i="4" s="1"/>
  <c r="F56" i="4"/>
  <c r="M56" i="4" s="1"/>
  <c r="F57" i="4"/>
  <c r="M57" i="4" s="1"/>
  <c r="F58" i="4"/>
  <c r="M58" i="4" s="1"/>
  <c r="F59" i="4"/>
  <c r="M59" i="4" s="1"/>
  <c r="F60" i="4"/>
  <c r="M60" i="4" s="1"/>
  <c r="F61" i="4"/>
  <c r="M61" i="4" s="1"/>
  <c r="F62" i="4"/>
  <c r="M62" i="4" s="1"/>
  <c r="F63" i="4"/>
  <c r="M63" i="4" s="1"/>
  <c r="F64" i="4"/>
  <c r="M64" i="4" s="1"/>
  <c r="F65" i="4"/>
  <c r="M65" i="4" s="1"/>
  <c r="F66" i="4"/>
  <c r="M66" i="4" s="1"/>
  <c r="F67" i="4"/>
  <c r="M67" i="4" s="1"/>
  <c r="F68" i="4"/>
  <c r="M68" i="4" s="1"/>
  <c r="F69" i="4"/>
  <c r="M69" i="4" s="1"/>
  <c r="F70" i="4"/>
  <c r="M70" i="4" s="1"/>
  <c r="F71" i="4"/>
  <c r="M71" i="4" s="1"/>
  <c r="F72" i="4"/>
  <c r="M72" i="4" s="1"/>
  <c r="F73" i="4"/>
  <c r="M73" i="4" s="1"/>
  <c r="F74" i="4"/>
  <c r="M74" i="4" s="1"/>
  <c r="F75" i="4"/>
  <c r="M75" i="4" s="1"/>
  <c r="F76" i="4"/>
  <c r="M76" i="4" s="1"/>
  <c r="F77" i="4"/>
  <c r="M77" i="4" s="1"/>
  <c r="F78" i="4"/>
  <c r="M78" i="4" s="1"/>
  <c r="F8" i="4"/>
  <c r="M8" i="4" s="1"/>
  <c r="E79" i="4"/>
  <c r="F79" i="4" l="1"/>
  <c r="M27" i="1"/>
  <c r="M26" i="1"/>
  <c r="M19" i="1"/>
  <c r="M18" i="1"/>
  <c r="M14" i="1"/>
  <c r="M13" i="1"/>
  <c r="M11" i="1"/>
  <c r="M10" i="1"/>
  <c r="I15" i="1"/>
  <c r="H15" i="1"/>
  <c r="G15" i="1"/>
  <c r="F15" i="1"/>
  <c r="E15" i="1"/>
  <c r="D15" i="1"/>
  <c r="J12" i="1"/>
  <c r="K12" i="1"/>
  <c r="L12" i="1"/>
  <c r="D128" i="6"/>
  <c r="M128" i="6"/>
  <c r="L128" i="6"/>
  <c r="K128" i="6"/>
  <c r="J128" i="6"/>
  <c r="I128" i="6"/>
  <c r="H128" i="6"/>
  <c r="G128" i="6"/>
  <c r="C15" i="1" s="1"/>
  <c r="M30" i="1" l="1"/>
  <c r="L25" i="1"/>
  <c r="J41" i="1"/>
  <c r="M15" i="1"/>
  <c r="J25" i="1"/>
  <c r="L41" i="1"/>
  <c r="K41" i="1"/>
  <c r="K25" i="1"/>
  <c r="L8" i="3"/>
  <c r="M8" i="3"/>
  <c r="N8" i="3"/>
  <c r="L14" i="3"/>
  <c r="M14" i="3"/>
  <c r="N14" i="3"/>
  <c r="K26" i="3"/>
  <c r="I39" i="1" s="1"/>
  <c r="D25" i="3"/>
  <c r="G25" i="3"/>
  <c r="E38" i="1" s="1"/>
  <c r="H25" i="3"/>
  <c r="F38" i="1" s="1"/>
  <c r="I25" i="3"/>
  <c r="G38" i="1" s="1"/>
  <c r="J25" i="3"/>
  <c r="H38" i="1" s="1"/>
  <c r="K25" i="3"/>
  <c r="I38" i="1" s="1"/>
  <c r="C25" i="3"/>
  <c r="D23" i="3"/>
  <c r="F23" i="3" s="1"/>
  <c r="D36" i="1" s="1"/>
  <c r="G23" i="3"/>
  <c r="E36" i="1" s="1"/>
  <c r="H23" i="3"/>
  <c r="F36" i="1" s="1"/>
  <c r="I23" i="3"/>
  <c r="G36" i="1" s="1"/>
  <c r="J23" i="3"/>
  <c r="H36" i="1" s="1"/>
  <c r="K23" i="3"/>
  <c r="I36" i="1" s="1"/>
  <c r="C23" i="3"/>
  <c r="H22" i="3"/>
  <c r="F35" i="1" s="1"/>
  <c r="I22" i="3"/>
  <c r="G35" i="1" s="1"/>
  <c r="G22" i="3"/>
  <c r="E35" i="1" s="1"/>
  <c r="I21" i="3"/>
  <c r="G34" i="1" s="1"/>
  <c r="H21" i="3"/>
  <c r="F34" i="1" s="1"/>
  <c r="C19" i="3"/>
  <c r="D19" i="3"/>
  <c r="G19" i="3"/>
  <c r="E32" i="1" s="1"/>
  <c r="H19" i="3"/>
  <c r="F32" i="1" s="1"/>
  <c r="I19" i="3"/>
  <c r="G32" i="1" s="1"/>
  <c r="J19" i="3"/>
  <c r="H32" i="1" s="1"/>
  <c r="K19" i="3"/>
  <c r="I32" i="1" s="1"/>
  <c r="G18" i="3"/>
  <c r="E31" i="1" s="1"/>
  <c r="D18" i="3"/>
  <c r="D16" i="3"/>
  <c r="C16" i="3"/>
  <c r="C15" i="3"/>
  <c r="F15" i="3" s="1"/>
  <c r="D28" i="1" s="1"/>
  <c r="C10" i="3"/>
  <c r="D10" i="3"/>
  <c r="F10" i="3" s="1"/>
  <c r="D21" i="1" s="1"/>
  <c r="G10" i="3"/>
  <c r="E21" i="1" s="1"/>
  <c r="H10" i="3"/>
  <c r="F21" i="1" s="1"/>
  <c r="I10" i="3"/>
  <c r="G21" i="1" s="1"/>
  <c r="J10" i="3"/>
  <c r="H21" i="1" s="1"/>
  <c r="K10" i="3"/>
  <c r="I21" i="1" s="1"/>
  <c r="C11" i="3"/>
  <c r="D11" i="3"/>
  <c r="G11" i="3"/>
  <c r="E22" i="1" s="1"/>
  <c r="H11" i="3"/>
  <c r="F22" i="1" s="1"/>
  <c r="I11" i="3"/>
  <c r="G22" i="1" s="1"/>
  <c r="J11" i="3"/>
  <c r="H22" i="1" s="1"/>
  <c r="K11" i="3"/>
  <c r="I22" i="1" s="1"/>
  <c r="C12" i="3"/>
  <c r="D12" i="3"/>
  <c r="F12" i="3" s="1"/>
  <c r="D23" i="1" s="1"/>
  <c r="G12" i="3"/>
  <c r="E23" i="1" s="1"/>
  <c r="H12" i="3"/>
  <c r="F23" i="1" s="1"/>
  <c r="I12" i="3"/>
  <c r="G23" i="1" s="1"/>
  <c r="J12" i="3"/>
  <c r="H23" i="1" s="1"/>
  <c r="K12" i="3"/>
  <c r="I23" i="1" s="1"/>
  <c r="C13" i="3"/>
  <c r="D13" i="3"/>
  <c r="F13" i="3" s="1"/>
  <c r="D24" i="1" s="1"/>
  <c r="G13" i="3"/>
  <c r="E24" i="1" s="1"/>
  <c r="H13" i="3"/>
  <c r="F24" i="1" s="1"/>
  <c r="I13" i="3"/>
  <c r="G24" i="1" s="1"/>
  <c r="J13" i="3"/>
  <c r="H24" i="1" s="1"/>
  <c r="K13" i="3"/>
  <c r="I24" i="1" s="1"/>
  <c r="D9" i="3"/>
  <c r="G9" i="3"/>
  <c r="E20" i="1" s="1"/>
  <c r="H9" i="3"/>
  <c r="F20" i="1" s="1"/>
  <c r="I9" i="3"/>
  <c r="G20" i="1" s="1"/>
  <c r="J9" i="3"/>
  <c r="H20" i="1" s="1"/>
  <c r="K9" i="3"/>
  <c r="I20" i="1" s="1"/>
  <c r="C9" i="3"/>
  <c r="F25" i="3" l="1"/>
  <c r="D38" i="1" s="1"/>
  <c r="F11" i="3"/>
  <c r="D22" i="1" s="1"/>
  <c r="F16" i="3"/>
  <c r="D29" i="1" s="1"/>
  <c r="F19" i="3"/>
  <c r="D32" i="1" s="1"/>
  <c r="F9" i="3"/>
  <c r="D20" i="1" s="1"/>
  <c r="F18" i="3"/>
  <c r="D31" i="1" s="1"/>
  <c r="M31" i="1" s="1"/>
  <c r="L42" i="1"/>
  <c r="K42" i="1"/>
  <c r="N28" i="3"/>
  <c r="J42" i="1"/>
  <c r="M28" i="3"/>
  <c r="L28" i="3"/>
  <c r="F14" i="3" l="1"/>
  <c r="F8" i="3"/>
  <c r="F28" i="3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8" i="6"/>
  <c r="H79" i="4" l="1"/>
  <c r="D16" i="1" s="1"/>
  <c r="I79" i="4"/>
  <c r="E16" i="1" s="1"/>
  <c r="J79" i="4"/>
  <c r="F16" i="1" s="1"/>
  <c r="K79" i="4"/>
  <c r="G16" i="1" s="1"/>
  <c r="L79" i="4"/>
  <c r="H16" i="1" s="1"/>
  <c r="M79" i="4"/>
  <c r="I16" i="1" s="1"/>
  <c r="N79" i="4"/>
  <c r="J16" i="1" s="1"/>
  <c r="J17" i="1" s="1"/>
  <c r="J43" i="1" s="1"/>
  <c r="O79" i="4"/>
  <c r="K16" i="1" s="1"/>
  <c r="K17" i="1" s="1"/>
  <c r="K43" i="1" s="1"/>
  <c r="P79" i="4"/>
  <c r="L16" i="1" s="1"/>
  <c r="L17" i="1" s="1"/>
  <c r="L43" i="1" s="1"/>
  <c r="D79" i="4"/>
  <c r="M16" i="1" l="1"/>
  <c r="E12" i="1"/>
  <c r="I12" i="1"/>
  <c r="H12" i="1"/>
  <c r="G12" i="1"/>
  <c r="D12" i="1"/>
  <c r="B40" i="1" l="1"/>
  <c r="B39" i="1"/>
  <c r="B37" i="1"/>
  <c r="B36" i="1"/>
  <c r="B35" i="1"/>
  <c r="M36" i="1" l="1"/>
  <c r="M28" i="1"/>
  <c r="M40" i="1"/>
  <c r="M24" i="1"/>
  <c r="M29" i="1"/>
  <c r="M23" i="1"/>
  <c r="M32" i="1"/>
  <c r="M39" i="1"/>
  <c r="M22" i="1"/>
  <c r="M33" i="1"/>
  <c r="M37" i="1"/>
  <c r="M38" i="1"/>
  <c r="M21" i="1"/>
  <c r="M34" i="1"/>
  <c r="M20" i="1"/>
  <c r="M35" i="1"/>
  <c r="F25" i="1"/>
  <c r="H25" i="1"/>
  <c r="D25" i="1"/>
  <c r="G25" i="1"/>
  <c r="E25" i="1"/>
  <c r="I25" i="1"/>
  <c r="I41" i="1"/>
  <c r="E41" i="1"/>
  <c r="C25" i="1"/>
  <c r="D41" i="1"/>
  <c r="H41" i="1"/>
  <c r="G41" i="1"/>
  <c r="F41" i="1"/>
  <c r="C41" i="1"/>
  <c r="K8" i="3"/>
  <c r="J8" i="3"/>
  <c r="I8" i="3"/>
  <c r="H8" i="3"/>
  <c r="G8" i="3"/>
  <c r="D8" i="3"/>
  <c r="C8" i="3"/>
  <c r="K14" i="3"/>
  <c r="J14" i="3"/>
  <c r="I14" i="3"/>
  <c r="H14" i="3"/>
  <c r="G14" i="3"/>
  <c r="D14" i="3"/>
  <c r="C14" i="3"/>
  <c r="C12" i="1"/>
  <c r="M12" i="1" s="1"/>
  <c r="C17" i="1"/>
  <c r="D17" i="1"/>
  <c r="E17" i="1"/>
  <c r="F17" i="1"/>
  <c r="G17" i="1"/>
  <c r="H17" i="1"/>
  <c r="I17" i="1"/>
  <c r="M17" i="1" l="1"/>
  <c r="H42" i="1"/>
  <c r="H43" i="1" s="1"/>
  <c r="I42" i="1"/>
  <c r="I43" i="1" s="1"/>
  <c r="H28" i="3"/>
  <c r="D28" i="3"/>
  <c r="K28" i="3"/>
  <c r="J28" i="3"/>
  <c r="G28" i="3"/>
  <c r="I28" i="3"/>
  <c r="D42" i="1"/>
  <c r="D43" i="1" s="1"/>
  <c r="F42" i="1"/>
  <c r="F43" i="1" s="1"/>
  <c r="E42" i="1"/>
  <c r="E43" i="1" s="1"/>
  <c r="G42" i="1"/>
  <c r="G43" i="1" s="1"/>
  <c r="C42" i="1"/>
  <c r="O14" i="3"/>
  <c r="C28" i="3"/>
  <c r="O8" i="3"/>
  <c r="O28" i="3" l="1"/>
  <c r="C43" i="1"/>
  <c r="M4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masukan ke 9 d… konsultan hukum…..
Baya notaris,,,,,,</t>
        </r>
      </text>
    </comment>
  </commentList>
</comments>
</file>

<file path=xl/sharedStrings.xml><?xml version="1.0" encoding="utf-8"?>
<sst xmlns="http://schemas.openxmlformats.org/spreadsheetml/2006/main" count="737" uniqueCount="385">
  <si>
    <t>Kekurangan Dana Operasional</t>
  </si>
  <si>
    <t>Total Biaya Likuidasi</t>
  </si>
  <si>
    <t>Jumlah Biaya Kegiatan Likuidasi</t>
  </si>
  <si>
    <t>Menindaklanjuti pengakhiran proses likuidasi.</t>
  </si>
  <si>
    <t>12.</t>
  </si>
  <si>
    <t>Mempertanggungjawabkan pelaksanaan likuidasi.</t>
  </si>
  <si>
    <t>11.</t>
  </si>
  <si>
    <t>Melakukan pembayaran kewajiban sesuai ketentuan.</t>
  </si>
  <si>
    <t>10.</t>
  </si>
  <si>
    <t>9.</t>
  </si>
  <si>
    <t>Melakukan pencairan aset.</t>
  </si>
  <si>
    <t>8.</t>
  </si>
  <si>
    <t>7.</t>
  </si>
  <si>
    <t xml:space="preserve">Melakukan penyelesaian kewajiban pihak - pihak yang melakukan </t>
  </si>
  <si>
    <t>6.</t>
  </si>
  <si>
    <t>Melakukan inventarisasi aset dan kewajiban.</t>
  </si>
  <si>
    <t>5.</t>
  </si>
  <si>
    <t>4.</t>
  </si>
  <si>
    <t>3.</t>
  </si>
  <si>
    <t>Menindaklanjuti aspek legal pembubaran badan hukum bank.</t>
  </si>
  <si>
    <t>2.</t>
  </si>
  <si>
    <t>Menyampaikan RKAB</t>
  </si>
  <si>
    <t>1.</t>
  </si>
  <si>
    <t>Biaya Kegiatan Likuidasi</t>
  </si>
  <si>
    <t>D.</t>
  </si>
  <si>
    <t>Jumlah Biaya Pendukung Likuidasi</t>
  </si>
  <si>
    <t>Biaya kantor dan operasional lainnya</t>
  </si>
  <si>
    <t>Biaya Pendukung Likuidasi</t>
  </si>
  <si>
    <t>C.</t>
  </si>
  <si>
    <t>Total Penerimaan</t>
  </si>
  <si>
    <t>2. Penjualan Inventaris</t>
  </si>
  <si>
    <t xml:space="preserve">Perkiraan Penerimaan </t>
  </si>
  <si>
    <t>B.</t>
  </si>
  <si>
    <t>Jumlah kas dan Tabungan</t>
  </si>
  <si>
    <t>Saldo Kas dan Giro</t>
  </si>
  <si>
    <t>A.</t>
  </si>
  <si>
    <t>(Rp)</t>
  </si>
  <si>
    <t xml:space="preserve">Jumlah </t>
  </si>
  <si>
    <t>Periode</t>
  </si>
  <si>
    <t>Kegiatan</t>
  </si>
  <si>
    <t>No.</t>
  </si>
  <si>
    <t>BIAYA PENDUKUNG LIKUIDASI</t>
  </si>
  <si>
    <t>Pembayaran honor Tim Likuidasi.</t>
  </si>
  <si>
    <t>Pembayaran honor tenaga pendukung TL.</t>
  </si>
  <si>
    <t>Pembayaran THR
- Tim Likuidasi.
- Tenaga Pendukung.</t>
  </si>
  <si>
    <t>Biaya kantor dan operasional lainnya
- Biaya utilitas (listrik, air, telepon).
- Biaya ATK.
- Biaya lainnya.</t>
  </si>
  <si>
    <t>Insentif pencairan aset dan penagihan piutang.</t>
  </si>
  <si>
    <t>BIAYA KEGIATAN LIKUIDASI</t>
  </si>
  <si>
    <t>Menyampaikan RKAB dan Laporan Bulanan.</t>
  </si>
  <si>
    <t>Menyelesaikan kewajiban kepada pegawai dan mengangkat tenaga pendukung.</t>
  </si>
  <si>
    <t>Menyampaikan Neraca Penutupan yang telah diaudit KAP kepada LPS.</t>
  </si>
  <si>
    <t>Melakukan penyelesaian kewajiban pihak-pihak yang melakukan kelalaian dan atau perbuatan melanggar hukum yang mengakibatkan kerugian atau membahayakan kelangsungan usaha bank.</t>
  </si>
  <si>
    <t>Menyampaikan Laporan Perubahan Aset Neto Awal Periode (LANAP) untuk mendapat persetujuan LPS.</t>
  </si>
  <si>
    <t>Melakukan penagihan piutang.</t>
  </si>
  <si>
    <t>Menyampaikan Laporan Perubahan Aset Neto Selama Periode untuk mendapat persetujuan LPS.</t>
  </si>
  <si>
    <t>Jumlah (A+B)</t>
  </si>
  <si>
    <t>Jumlah</t>
  </si>
  <si>
    <t>THR</t>
  </si>
  <si>
    <t>1. Pencairan piutang hapus buku</t>
  </si>
  <si>
    <t>Kas Tunai per 11 Februri 2021</t>
  </si>
  <si>
    <t>Giro BRI per 11 Februari 2021 (yg diblokir)</t>
  </si>
  <si>
    <t>Aset</t>
  </si>
  <si>
    <t>Aset Tetap dan Inventaris</t>
  </si>
  <si>
    <t>Kursi Putar Ergosit Putar</t>
  </si>
  <si>
    <t>Kursi Rapat</t>
  </si>
  <si>
    <t>Kursi ruang tunggu</t>
  </si>
  <si>
    <t>Pesawat Telepon Panasonic</t>
  </si>
  <si>
    <t>Printer Epson LX-300+</t>
  </si>
  <si>
    <t>Printer Canon Pixma iP 1880</t>
  </si>
  <si>
    <t>Laptop Lenovo</t>
  </si>
  <si>
    <t>Komputer</t>
  </si>
  <si>
    <t>Kalkulator Casio DR- 140 TM</t>
  </si>
  <si>
    <t>Printer Passbook Epson PLQ-20</t>
  </si>
  <si>
    <t>Projektor Epson EB-X200</t>
  </si>
  <si>
    <t>Mesin Hitung Uang Kertas Dino-100 UV&amp;MG</t>
  </si>
  <si>
    <t>Printer Epson</t>
  </si>
  <si>
    <t>Komputer Server</t>
  </si>
  <si>
    <t>UPS</t>
  </si>
  <si>
    <t>Filling kabinet</t>
  </si>
  <si>
    <t>Brankas</t>
  </si>
  <si>
    <t>Jam dinding</t>
  </si>
  <si>
    <t>Lemari Arsip</t>
  </si>
  <si>
    <t>Tabung Pemadam Api Krakatau Protec</t>
  </si>
  <si>
    <t>Mesin Fax Panasonic</t>
  </si>
  <si>
    <t>White Board 60x90 Merk Golden</t>
  </si>
  <si>
    <t>Lay Out kantor baru Lt. 1</t>
  </si>
  <si>
    <t>Lay Out kantor baru Lt. 2</t>
  </si>
  <si>
    <t>Mesin Absen Finger</t>
  </si>
  <si>
    <t>White Board Berkaki</t>
  </si>
  <si>
    <t>Hardisk 1 Tera Merk Seagate</t>
  </si>
  <si>
    <t>PRINTER CANON iP2770</t>
  </si>
  <si>
    <t>Filing Cabinet</t>
  </si>
  <si>
    <t>Lemari arsip Brother</t>
  </si>
  <si>
    <t>Rak dokumen</t>
  </si>
  <si>
    <t>AC merk Gree</t>
  </si>
  <si>
    <t>Router ZTE Indihome</t>
  </si>
  <si>
    <t>Speaker Acer</t>
  </si>
  <si>
    <t>Dispenser Honeywell</t>
  </si>
  <si>
    <t>CPU PowerUp X-2000</t>
  </si>
  <si>
    <t xml:space="preserve">CPU Samsung </t>
  </si>
  <si>
    <t>Tabung pemadam api Phoenix</t>
  </si>
  <si>
    <t>Kursi Tunggu Biru</t>
  </si>
  <si>
    <t>Mesin Telstruk</t>
  </si>
  <si>
    <t>Ultraviolet</t>
  </si>
  <si>
    <t>Printer HP</t>
  </si>
  <si>
    <t>Plang BPR</t>
  </si>
  <si>
    <t>Printer EPSON L210</t>
  </si>
  <si>
    <t>Kursi Zach Staff Chair Low Black</t>
  </si>
  <si>
    <t>Total</t>
  </si>
  <si>
    <t>Rincian Potensi Pencairan Aset KBPR Abang Pasar (DL)</t>
  </si>
  <si>
    <t>Kredit Hapus Buku</t>
  </si>
  <si>
    <t>Rek</t>
  </si>
  <si>
    <t>Nama</t>
  </si>
  <si>
    <t>0011010000009</t>
  </si>
  <si>
    <t>0011010000010</t>
  </si>
  <si>
    <t>0011010000011</t>
  </si>
  <si>
    <t>0011010000012</t>
  </si>
  <si>
    <t>0011010000013</t>
  </si>
  <si>
    <t>0011010000014</t>
  </si>
  <si>
    <t>0011010000015</t>
  </si>
  <si>
    <t>0011010000016</t>
  </si>
  <si>
    <t>0011010000017</t>
  </si>
  <si>
    <t>0011010000018</t>
  </si>
  <si>
    <t>0011010000019</t>
  </si>
  <si>
    <t>0011010000020</t>
  </si>
  <si>
    <t>0011010000021</t>
  </si>
  <si>
    <t>0011010000022</t>
  </si>
  <si>
    <t>0011010000023</t>
  </si>
  <si>
    <t>0011010000025</t>
  </si>
  <si>
    <t>0011010000026</t>
  </si>
  <si>
    <t>0011010000027</t>
  </si>
  <si>
    <t>0011010000028</t>
  </si>
  <si>
    <t>0011010000029</t>
  </si>
  <si>
    <t>0011010000030</t>
  </si>
  <si>
    <t>0011010000031</t>
  </si>
  <si>
    <t>0011010000032</t>
  </si>
  <si>
    <t>0011010000033</t>
  </si>
  <si>
    <t>0011010000034</t>
  </si>
  <si>
    <t>0011010000035</t>
  </si>
  <si>
    <t>0011010000036</t>
  </si>
  <si>
    <t>0011010000024</t>
  </si>
  <si>
    <t>0011010000037</t>
  </si>
  <si>
    <t>0011010000038</t>
  </si>
  <si>
    <t>0011010000039</t>
  </si>
  <si>
    <t>0011010000040</t>
  </si>
  <si>
    <t>0011010000041</t>
  </si>
  <si>
    <t>0011010000042</t>
  </si>
  <si>
    <t>0011010000043</t>
  </si>
  <si>
    <t>0011010000044</t>
  </si>
  <si>
    <t>0011010000045</t>
  </si>
  <si>
    <t>0011010000046</t>
  </si>
  <si>
    <t>0011010000047</t>
  </si>
  <si>
    <t>0011010000048</t>
  </si>
  <si>
    <t>0011010000049</t>
  </si>
  <si>
    <t>0011010000050</t>
  </si>
  <si>
    <t>0011010000051</t>
  </si>
  <si>
    <t>0011010000052</t>
  </si>
  <si>
    <t>0011010000053</t>
  </si>
  <si>
    <t>0011010000054</t>
  </si>
  <si>
    <t>0011010000055</t>
  </si>
  <si>
    <t>0011010000056</t>
  </si>
  <si>
    <t>0011010000057</t>
  </si>
  <si>
    <t>0011010000058</t>
  </si>
  <si>
    <t>0011010000059</t>
  </si>
  <si>
    <t>0011010000060</t>
  </si>
  <si>
    <t>0011010000061</t>
  </si>
  <si>
    <t>0011010000062</t>
  </si>
  <si>
    <t>0011010000063</t>
  </si>
  <si>
    <t>0011010000064</t>
  </si>
  <si>
    <t>0011010000065</t>
  </si>
  <si>
    <t>0011010000066</t>
  </si>
  <si>
    <t>0011010000067</t>
  </si>
  <si>
    <t>0011010000068</t>
  </si>
  <si>
    <t>0011010000069</t>
  </si>
  <si>
    <t>0011010000070</t>
  </si>
  <si>
    <t>0011010000071</t>
  </si>
  <si>
    <t>0011010000072</t>
  </si>
  <si>
    <t>0011010000073</t>
  </si>
  <si>
    <t>0011010000074</t>
  </si>
  <si>
    <t>0011010000075</t>
  </si>
  <si>
    <t>0011010000076</t>
  </si>
  <si>
    <t>0011010000077</t>
  </si>
  <si>
    <t>0011010000078</t>
  </si>
  <si>
    <t>0011010000079</t>
  </si>
  <si>
    <t>0011010000080</t>
  </si>
  <si>
    <t>0011010000082</t>
  </si>
  <si>
    <t>0011010000083</t>
  </si>
  <si>
    <t>0011010000001</t>
  </si>
  <si>
    <t>0011030000004</t>
  </si>
  <si>
    <t>0011030000012</t>
  </si>
  <si>
    <t>0011010000002</t>
  </si>
  <si>
    <t>0011030000007</t>
  </si>
  <si>
    <t>0011030000013</t>
  </si>
  <si>
    <t>0011030000021</t>
  </si>
  <si>
    <t>0011030000024</t>
  </si>
  <si>
    <t>0011030000076</t>
  </si>
  <si>
    <t>0011030000104</t>
  </si>
  <si>
    <t>0011030000130</t>
  </si>
  <si>
    <t>0011030000136</t>
  </si>
  <si>
    <t>0011030000169</t>
  </si>
  <si>
    <t>0011030000188</t>
  </si>
  <si>
    <t>0011030000192</t>
  </si>
  <si>
    <t>0011030000224</t>
  </si>
  <si>
    <t>0011030000226</t>
  </si>
  <si>
    <t>0011030000057</t>
  </si>
  <si>
    <t>0011030000125</t>
  </si>
  <si>
    <t>0011030000133</t>
  </si>
  <si>
    <t>0011030000142</t>
  </si>
  <si>
    <t>0011030000155</t>
  </si>
  <si>
    <t>0011030000222</t>
  </si>
  <si>
    <t>0011010000006</t>
  </si>
  <si>
    <t>0011010000007</t>
  </si>
  <si>
    <t>0011030000001</t>
  </si>
  <si>
    <t>0011030000053</t>
  </si>
  <si>
    <t>0011030000068</t>
  </si>
  <si>
    <t>0011030000116</t>
  </si>
  <si>
    <t>0011030000118</t>
  </si>
  <si>
    <t>0011030000131</t>
  </si>
  <si>
    <t>0011030000132</t>
  </si>
  <si>
    <t>0011030000145</t>
  </si>
  <si>
    <t>0011030000149</t>
  </si>
  <si>
    <t>0011030000165</t>
  </si>
  <si>
    <t>0011030000175</t>
  </si>
  <si>
    <t>0011030000181</t>
  </si>
  <si>
    <t>0011030000182</t>
  </si>
  <si>
    <t>0011030000187</t>
  </si>
  <si>
    <t>0011030000193</t>
  </si>
  <si>
    <t>0011030000194</t>
  </si>
  <si>
    <t>0011030000206</t>
  </si>
  <si>
    <t>0011030000217</t>
  </si>
  <si>
    <t>0011030000230</t>
  </si>
  <si>
    <t>0011030000236</t>
  </si>
  <si>
    <t>0011010000089</t>
  </si>
  <si>
    <t>Hapus Buku BPR</t>
  </si>
  <si>
    <t>Abd. Rasyid .Y</t>
  </si>
  <si>
    <t>Suwarni Bambang</t>
  </si>
  <si>
    <t>Andi Raisal Nur,SE</t>
  </si>
  <si>
    <t>Nia Dg Puji</t>
  </si>
  <si>
    <t>Murniati</t>
  </si>
  <si>
    <t>Dewi Ratna Sari Pajar</t>
  </si>
  <si>
    <t>Amiruddin Bilu</t>
  </si>
  <si>
    <t>Hj. Martia Dg Sannang</t>
  </si>
  <si>
    <t>Arwin Roby</t>
  </si>
  <si>
    <t>Bachtiar</t>
  </si>
  <si>
    <t>Herawati</t>
  </si>
  <si>
    <t>M. Syafaat</t>
  </si>
  <si>
    <t>Rahmatia</t>
  </si>
  <si>
    <t>Syaharuddin</t>
  </si>
  <si>
    <t>Muhammad Zainal</t>
  </si>
  <si>
    <t>Syarifuddin,SE</t>
  </si>
  <si>
    <t>Syamsuddin,Se</t>
  </si>
  <si>
    <t>A. Zulhardi Serang</t>
  </si>
  <si>
    <t>A.Mappanganro</t>
  </si>
  <si>
    <t>A. Musfira Anwar</t>
  </si>
  <si>
    <t>Hj. Sitti Nurmala</t>
  </si>
  <si>
    <t>Muh. Yusuf</t>
  </si>
  <si>
    <t>Zainuddin Pernama</t>
  </si>
  <si>
    <t>Rudianto</t>
  </si>
  <si>
    <t>Tony Iskandar</t>
  </si>
  <si>
    <t>Faisal Attas</t>
  </si>
  <si>
    <t>Sangkala</t>
  </si>
  <si>
    <t>Hj. Juinah</t>
  </si>
  <si>
    <t>Muh. Sadik Dg Ngawing</t>
  </si>
  <si>
    <t>Bonang Dg Ngesa</t>
  </si>
  <si>
    <t>Hj. A. Carlela</t>
  </si>
  <si>
    <t>Mutiara.Ama.Pd</t>
  </si>
  <si>
    <t>Muh. Junaedi</t>
  </si>
  <si>
    <t>Rukman</t>
  </si>
  <si>
    <t>Alber Alexander</t>
  </si>
  <si>
    <t>Abd. Azis Syahruddin</t>
  </si>
  <si>
    <t>Hj. Nani</t>
  </si>
  <si>
    <t>Orbahari</t>
  </si>
  <si>
    <t>Sudiamawar Saleh</t>
  </si>
  <si>
    <t>Hj. Andi St. Rohani</t>
  </si>
  <si>
    <t>Ruth Imelda</t>
  </si>
  <si>
    <t>Titin Kartini</t>
  </si>
  <si>
    <t>Syamsul Takdir</t>
  </si>
  <si>
    <t>Eva Susanti</t>
  </si>
  <si>
    <t>Hj. Kasiran</t>
  </si>
  <si>
    <t>Sumiati</t>
  </si>
  <si>
    <t>Hasni</t>
  </si>
  <si>
    <t>Betty Tendean</t>
  </si>
  <si>
    <t>Johoriah Dg  De'nang</t>
  </si>
  <si>
    <t>Molle Dg Bollo</t>
  </si>
  <si>
    <t>Nurlia mDg Ngai</t>
  </si>
  <si>
    <t>Rahmawati Hider</t>
  </si>
  <si>
    <t>Hasniah. SPD</t>
  </si>
  <si>
    <t>Hasnah</t>
  </si>
  <si>
    <t>Hasna (Tonji)</t>
  </si>
  <si>
    <t>Usniati</t>
  </si>
  <si>
    <t>Masnawati</t>
  </si>
  <si>
    <t>Saldy Sutrisno</t>
  </si>
  <si>
    <t>Halik Dg Raga</t>
  </si>
  <si>
    <t>Drs. Arifuddin Yusuf</t>
  </si>
  <si>
    <t>Rusni Dg Sompa</t>
  </si>
  <si>
    <t>Wahyuddin</t>
  </si>
  <si>
    <t>Bahrun Parasa</t>
  </si>
  <si>
    <t>Suhartini</t>
  </si>
  <si>
    <t>Jamaluddin Dg Tojeng</t>
  </si>
  <si>
    <t>Sulpitranto</t>
  </si>
  <si>
    <t>Nurjanna</t>
  </si>
  <si>
    <t>Nurlaela AR</t>
  </si>
  <si>
    <t>Rahmi Dg Ngagi</t>
  </si>
  <si>
    <t>Nur Alam Nurdin</t>
  </si>
  <si>
    <t>Tiara</t>
  </si>
  <si>
    <t>Sri Wahyuni Miranda</t>
  </si>
  <si>
    <t>Askar Alias A. Bagaskara</t>
  </si>
  <si>
    <t>Fatimah Dg. Bollo</t>
  </si>
  <si>
    <t>Zulkarnain, S.Sos</t>
  </si>
  <si>
    <t>Fitriani Farid</t>
  </si>
  <si>
    <t>Hj. Nurbaya Dg. Pajja</t>
  </si>
  <si>
    <t>Irsan Syahrir</t>
  </si>
  <si>
    <t>M. Dirham. R</t>
  </si>
  <si>
    <t>Andi Wasop Hasir. HS</t>
  </si>
  <si>
    <t>Novi Yuliarti</t>
  </si>
  <si>
    <t>Hasniaty Kasim</t>
  </si>
  <si>
    <t>Pangerang S</t>
  </si>
  <si>
    <t>Rudiansyah ST</t>
  </si>
  <si>
    <t>A Ardiansyah</t>
  </si>
  <si>
    <t>Andi Besse Hafira</t>
  </si>
  <si>
    <t>AL Ma Ruf</t>
  </si>
  <si>
    <t>Lucky Bong</t>
  </si>
  <si>
    <t>La Ali</t>
  </si>
  <si>
    <t>Mansur</t>
  </si>
  <si>
    <t>Baruli Purba</t>
  </si>
  <si>
    <t>Musliadi</t>
  </si>
  <si>
    <t>Musrifah</t>
  </si>
  <si>
    <t>La Mpaga</t>
  </si>
  <si>
    <t>Ambo Enre</t>
  </si>
  <si>
    <t>Andi M Akbar Jamalauddin</t>
  </si>
  <si>
    <t>Aldonna (2)</t>
  </si>
  <si>
    <t>Saparuddin Sija</t>
  </si>
  <si>
    <t>Abd. Rahman Tahir</t>
  </si>
  <si>
    <t>Allenk</t>
  </si>
  <si>
    <t>Ir. Rahmadi Jasmin. MP</t>
  </si>
  <si>
    <t>Sumarli</t>
  </si>
  <si>
    <t>Muharam</t>
  </si>
  <si>
    <t>Rosnidah</t>
  </si>
  <si>
    <t>Abd Kadir</t>
  </si>
  <si>
    <t>Gunawan</t>
  </si>
  <si>
    <t>Abd Rahman</t>
  </si>
  <si>
    <t>Haslinda</t>
  </si>
  <si>
    <t>Suriyanto M</t>
  </si>
  <si>
    <t>A Rahim</t>
  </si>
  <si>
    <t>Alfianty</t>
  </si>
  <si>
    <t>Kasmuddin</t>
  </si>
  <si>
    <t>Anwar Hamza</t>
  </si>
  <si>
    <t>Akbar Agus</t>
  </si>
  <si>
    <t>La Saadia</t>
  </si>
  <si>
    <t>Syamsul Huda</t>
  </si>
  <si>
    <t>Nurpaidah</t>
  </si>
  <si>
    <t>Rismawati</t>
  </si>
  <si>
    <t>Baki Debet</t>
  </si>
  <si>
    <t>Agunan</t>
  </si>
  <si>
    <t>Pengikatan</t>
  </si>
  <si>
    <t>BPKB</t>
  </si>
  <si>
    <t>SHM</t>
  </si>
  <si>
    <t>-</t>
  </si>
  <si>
    <t>Tanpa Agunan</t>
  </si>
  <si>
    <t>Non Aset</t>
  </si>
  <si>
    <t>Bilyet Deposito</t>
  </si>
  <si>
    <t>Tanpa Pengikatan</t>
  </si>
  <si>
    <t>Surat Kuasa Menjual</t>
  </si>
  <si>
    <t>Sertifikat Jaminan Fidusia</t>
  </si>
  <si>
    <t>Akta Fidusia</t>
  </si>
  <si>
    <t>Koperasi BPR Abang Pasar (DL)</t>
  </si>
  <si>
    <t>Rincian Usulan Anggaran Biaya</t>
  </si>
  <si>
    <t>Menyelesaikan kewajiban kepada pegawai dan mengangkat tenaga pendukung TL</t>
  </si>
  <si>
    <t>Menyampaikan Neraca Penutupan yang telah diaudit KAP kepada LPS</t>
  </si>
  <si>
    <t>Menyampaikan Neraca Sementara Likuidasi (NSL) untuk mendapat persetujuan LPS</t>
  </si>
  <si>
    <t>Survey 1</t>
  </si>
  <si>
    <t>Survey 2</t>
  </si>
  <si>
    <t>Kondisi</t>
  </si>
  <si>
    <t>Baik</t>
  </si>
  <si>
    <t>Rusak</t>
  </si>
  <si>
    <t>Rata-Rata</t>
  </si>
  <si>
    <t>Lampiran 1.2</t>
  </si>
  <si>
    <t>Lampiran 1.4</t>
  </si>
  <si>
    <t>Lampiran 1.3</t>
  </si>
  <si>
    <t>Lampiran 1.5</t>
  </si>
  <si>
    <t>PROYEKSI PENERIMAAN DAN PENGELUARAN</t>
  </si>
  <si>
    <t>KOPERASI BPR ABANG PASAR (DL)</t>
  </si>
  <si>
    <t>Nota Dinas No. ND-     /GLIK</t>
  </si>
  <si>
    <t>tanggal     Maret 2021</t>
  </si>
  <si>
    <t>*Anggaran biaya untuk bulan Februari 2021 direklas ke dalam anggaran biaya bulan Maret 2021 karena pencatatan pengeluaran oleh TL belum dilakukan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</si>
</sst>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[$-421]mmm\-yy;@"/>
  </numFmts>
  <fonts count="1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Book Antiqua"/>
      <family val="1"/>
    </font>
    <font>
      <b/>
      <sz val="12"/>
      <color theme="1"/>
      <name val="Book Antiqua"/>
      <family val="1"/>
    </font>
    <font>
      <sz val="10"/>
      <color theme="1"/>
      <name val="Book Antiqua"/>
      <family val="1"/>
    </font>
    <font>
      <sz val="10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b/>
      <sz val="14"/>
      <color theme="1"/>
      <name val="Book Antiqua"/>
      <family val="1"/>
    </font>
    <font>
      <sz val="12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81">
    <xf numFmtId="0" fontId="0" fillId="0" borderId="0" xfId="0"/>
    <xf numFmtId="0" fontId="5" fillId="4" borderId="1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vertical="center"/>
    </xf>
    <xf numFmtId="0" fontId="7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2" borderId="1" xfId="2" quotePrefix="1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/>
    </xf>
    <xf numFmtId="17" fontId="5" fillId="3" borderId="1" xfId="2" applyNumberFormat="1" applyFont="1" applyFill="1" applyBorder="1" applyAlignment="1">
      <alignment horizontal="center" vertical="center"/>
    </xf>
    <xf numFmtId="0" fontId="8" fillId="0" borderId="0" xfId="0" applyFont="1"/>
    <xf numFmtId="0" fontId="0" fillId="0" borderId="0" xfId="0"/>
    <xf numFmtId="0" fontId="0" fillId="0" borderId="0" xfId="0"/>
    <xf numFmtId="0" fontId="0" fillId="0" borderId="0" xfId="0" applyFill="1"/>
    <xf numFmtId="0" fontId="6" fillId="0" borderId="0" xfId="2" applyFont="1" applyFill="1" applyAlignment="1">
      <alignment vertical="center"/>
    </xf>
    <xf numFmtId="0" fontId="0" fillId="0" borderId="1" xfId="0" applyBorder="1"/>
    <xf numFmtId="41" fontId="0" fillId="0" borderId="1" xfId="0" applyNumberFormat="1" applyBorder="1"/>
    <xf numFmtId="0" fontId="9" fillId="5" borderId="1" xfId="0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9" fillId="5" borderId="1" xfId="0" applyFont="1" applyFill="1" applyBorder="1"/>
    <xf numFmtId="41" fontId="9" fillId="5" borderId="1" xfId="0" applyNumberFormat="1" applyFont="1" applyFill="1" applyBorder="1"/>
    <xf numFmtId="0" fontId="9" fillId="0" borderId="0" xfId="0" applyFont="1"/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41" fontId="7" fillId="0" borderId="1" xfId="0" applyNumberFormat="1" applyFont="1" applyFill="1" applyBorder="1" applyAlignment="1">
      <alignment horizontal="left" vertical="center"/>
    </xf>
    <xf numFmtId="41" fontId="7" fillId="4" borderId="1" xfId="2" applyNumberFormat="1" applyFont="1" applyFill="1" applyBorder="1" applyAlignment="1">
      <alignment vertical="center"/>
    </xf>
    <xf numFmtId="41" fontId="7" fillId="2" borderId="1" xfId="2" applyNumberFormat="1" applyFont="1" applyFill="1" applyBorder="1" applyAlignment="1">
      <alignment vertical="center"/>
    </xf>
    <xf numFmtId="0" fontId="10" fillId="0" borderId="0" xfId="0" applyFont="1"/>
    <xf numFmtId="164" fontId="11" fillId="0" borderId="0" xfId="2" applyNumberFormat="1" applyFont="1" applyFill="1" applyAlignment="1">
      <alignment vertical="center"/>
    </xf>
    <xf numFmtId="164" fontId="12" fillId="0" borderId="0" xfId="2" applyNumberFormat="1" applyFont="1" applyFill="1" applyAlignment="1">
      <alignment vertical="center"/>
    </xf>
    <xf numFmtId="164" fontId="11" fillId="0" borderId="2" xfId="2" applyNumberFormat="1" applyFont="1" applyFill="1" applyBorder="1" applyAlignment="1">
      <alignment horizontal="center" vertical="center" wrapText="1"/>
    </xf>
    <xf numFmtId="164" fontId="11" fillId="0" borderId="1" xfId="2" applyNumberFormat="1" applyFont="1" applyFill="1" applyBorder="1" applyAlignment="1">
      <alignment horizontal="center" vertical="center"/>
    </xf>
    <xf numFmtId="17" fontId="11" fillId="0" borderId="1" xfId="2" applyNumberFormat="1" applyFont="1" applyFill="1" applyBorder="1" applyAlignment="1">
      <alignment horizontal="center" vertical="center" wrapText="1"/>
    </xf>
    <xf numFmtId="164" fontId="11" fillId="0" borderId="1" xfId="2" applyNumberFormat="1" applyFont="1" applyFill="1" applyBorder="1" applyAlignment="1">
      <alignment vertical="center" wrapText="1"/>
    </xf>
    <xf numFmtId="164" fontId="12" fillId="0" borderId="1" xfId="2" applyNumberFormat="1" applyFont="1" applyFill="1" applyBorder="1" applyAlignment="1">
      <alignment vertical="center" wrapText="1"/>
    </xf>
    <xf numFmtId="164" fontId="11" fillId="0" borderId="1" xfId="2" applyNumberFormat="1" applyFont="1" applyFill="1" applyBorder="1" applyAlignment="1">
      <alignment horizontal="center"/>
    </xf>
    <xf numFmtId="164" fontId="12" fillId="0" borderId="1" xfId="2" applyNumberFormat="1" applyFont="1" applyFill="1" applyBorder="1" applyAlignment="1">
      <alignment horizontal="right" vertical="center"/>
    </xf>
    <xf numFmtId="164" fontId="12" fillId="0" borderId="1" xfId="2" applyNumberFormat="1" applyFont="1" applyFill="1" applyBorder="1" applyAlignment="1">
      <alignment vertical="center"/>
    </xf>
    <xf numFmtId="164" fontId="12" fillId="0" borderId="1" xfId="2" applyNumberFormat="1" applyFont="1" applyFill="1" applyBorder="1" applyAlignment="1">
      <alignment horizontal="center" vertical="center"/>
    </xf>
    <xf numFmtId="164" fontId="11" fillId="0" borderId="1" xfId="2" applyNumberFormat="1" applyFont="1" applyFill="1" applyBorder="1" applyAlignment="1">
      <alignment horizontal="left" vertical="center" wrapText="1"/>
    </xf>
    <xf numFmtId="164" fontId="12" fillId="0" borderId="1" xfId="2" applyNumberFormat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164" fontId="11" fillId="0" borderId="1" xfId="2" applyNumberFormat="1" applyFont="1" applyFill="1" applyBorder="1" applyAlignment="1">
      <alignment horizontal="left" wrapText="1"/>
    </xf>
    <xf numFmtId="0" fontId="12" fillId="2" borderId="1" xfId="2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164" fontId="12" fillId="0" borderId="1" xfId="2" applyNumberFormat="1" applyFont="1" applyFill="1" applyBorder="1" applyAlignment="1">
      <alignment horizontal="left" vertical="top" wrapText="1"/>
    </xf>
    <xf numFmtId="41" fontId="11" fillId="0" borderId="1" xfId="2" applyNumberFormat="1" applyFont="1" applyFill="1" applyBorder="1" applyAlignment="1">
      <alignment vertical="center" wrapText="1"/>
    </xf>
    <xf numFmtId="41" fontId="11" fillId="0" borderId="1" xfId="2" applyNumberFormat="1" applyFont="1" applyFill="1" applyBorder="1" applyAlignment="1">
      <alignment horizontal="center" vertical="center" wrapText="1"/>
    </xf>
    <xf numFmtId="41" fontId="11" fillId="0" borderId="1" xfId="2" applyNumberFormat="1" applyFont="1" applyFill="1" applyBorder="1" applyAlignment="1">
      <alignment horizontal="center" vertical="center"/>
    </xf>
    <xf numFmtId="41" fontId="12" fillId="0" borderId="1" xfId="1" applyNumberFormat="1" applyFont="1" applyFill="1" applyBorder="1" applyAlignment="1">
      <alignment horizontal="center" vertical="center" wrapText="1"/>
    </xf>
    <xf numFmtId="41" fontId="11" fillId="0" borderId="1" xfId="1" applyNumberFormat="1" applyFont="1" applyFill="1" applyBorder="1" applyAlignment="1">
      <alignment horizontal="center" vertical="center" wrapText="1"/>
    </xf>
    <xf numFmtId="41" fontId="12" fillId="0" borderId="1" xfId="4" applyNumberFormat="1" applyFont="1" applyFill="1" applyBorder="1" applyAlignment="1">
      <alignment vertical="center"/>
    </xf>
    <xf numFmtId="41" fontId="12" fillId="0" borderId="1" xfId="1" applyNumberFormat="1" applyFont="1" applyFill="1" applyBorder="1" applyAlignment="1">
      <alignment vertical="center" wrapText="1"/>
    </xf>
    <xf numFmtId="41" fontId="11" fillId="0" borderId="1" xfId="1" applyNumberFormat="1" applyFont="1" applyFill="1" applyBorder="1" applyAlignment="1">
      <alignment vertical="center" wrapText="1"/>
    </xf>
    <xf numFmtId="41" fontId="11" fillId="0" borderId="1" xfId="1" applyNumberFormat="1" applyFont="1" applyFill="1" applyBorder="1" applyAlignment="1"/>
    <xf numFmtId="41" fontId="12" fillId="0" borderId="1" xfId="1" applyNumberFormat="1" applyFont="1" applyFill="1" applyBorder="1" applyAlignment="1">
      <alignment vertical="center"/>
    </xf>
    <xf numFmtId="41" fontId="11" fillId="0" borderId="1" xfId="4" applyNumberFormat="1" applyFont="1" applyFill="1" applyBorder="1" applyAlignment="1">
      <alignment vertical="center"/>
    </xf>
    <xf numFmtId="41" fontId="12" fillId="2" borderId="1" xfId="2" applyNumberFormat="1" applyFont="1" applyFill="1" applyBorder="1" applyAlignment="1">
      <alignment vertical="center"/>
    </xf>
    <xf numFmtId="41" fontId="11" fillId="2" borderId="1" xfId="2" applyNumberFormat="1" applyFont="1" applyFill="1" applyBorder="1" applyAlignment="1">
      <alignment vertical="center"/>
    </xf>
    <xf numFmtId="41" fontId="11" fillId="0" borderId="1" xfId="1" applyNumberFormat="1" applyFont="1" applyFill="1" applyBorder="1" applyAlignment="1">
      <alignment horizontal="center" vertical="center"/>
    </xf>
    <xf numFmtId="41" fontId="11" fillId="0" borderId="1" xfId="1" applyNumberFormat="1" applyFont="1" applyFill="1" applyBorder="1" applyAlignment="1">
      <alignment vertical="center"/>
    </xf>
    <xf numFmtId="41" fontId="12" fillId="0" borderId="5" xfId="1" applyNumberFormat="1" applyFont="1" applyFill="1" applyBorder="1" applyAlignment="1">
      <alignment horizontal="center" vertical="center"/>
    </xf>
    <xf numFmtId="41" fontId="12" fillId="0" borderId="1" xfId="1" applyNumberFormat="1" applyFont="1" applyFill="1" applyBorder="1" applyAlignment="1">
      <alignment vertical="top"/>
    </xf>
    <xf numFmtId="41" fontId="11" fillId="0" borderId="1" xfId="1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0" fillId="7" borderId="1" xfId="0" applyNumberFormat="1" applyFill="1" applyBorder="1"/>
    <xf numFmtId="164" fontId="11" fillId="0" borderId="0" xfId="2" applyNumberFormat="1" applyFont="1" applyFill="1" applyAlignment="1">
      <alignment horizontal="left" vertical="center" wrapText="1"/>
    </xf>
    <xf numFmtId="0" fontId="14" fillId="0" borderId="0" xfId="0" applyFont="1"/>
    <xf numFmtId="0" fontId="0" fillId="0" borderId="0" xfId="0" applyFont="1"/>
    <xf numFmtId="0" fontId="5" fillId="4" borderId="1" xfId="2" applyFont="1" applyFill="1" applyBorder="1" applyAlignment="1">
      <alignment horizontal="right" vertical="center"/>
    </xf>
    <xf numFmtId="164" fontId="13" fillId="0" borderId="0" xfId="2" applyNumberFormat="1" applyFont="1" applyFill="1" applyAlignment="1">
      <alignment horizontal="center" vertical="center"/>
    </xf>
    <xf numFmtId="164" fontId="12" fillId="0" borderId="0" xfId="2" applyNumberFormat="1" applyFont="1" applyFill="1" applyAlignment="1">
      <alignment horizontal="left" vertical="center" wrapText="1"/>
    </xf>
    <xf numFmtId="164" fontId="11" fillId="0" borderId="1" xfId="2" applyNumberFormat="1" applyFont="1" applyFill="1" applyBorder="1" applyAlignment="1">
      <alignment horizontal="center" vertical="center" wrapText="1"/>
    </xf>
    <xf numFmtId="164" fontId="12" fillId="0" borderId="1" xfId="2" applyNumberFormat="1" applyFont="1" applyFill="1" applyBorder="1" applyAlignment="1">
      <alignment vertical="center" wrapText="1"/>
    </xf>
    <xf numFmtId="164" fontId="11" fillId="0" borderId="4" xfId="2" applyNumberFormat="1" applyFont="1" applyFill="1" applyBorder="1" applyAlignment="1">
      <alignment horizontal="center" vertical="center" wrapText="1"/>
    </xf>
    <xf numFmtId="164" fontId="11" fillId="0" borderId="3" xfId="2" applyNumberFormat="1" applyFont="1" applyFill="1" applyBorder="1" applyAlignment="1">
      <alignment horizontal="center" vertical="center" wrapText="1"/>
    </xf>
    <xf numFmtId="164" fontId="11" fillId="0" borderId="2" xfId="2" applyNumberFormat="1" applyFont="1" applyFill="1" applyBorder="1" applyAlignment="1">
      <alignment horizontal="center" vertical="center" wrapText="1"/>
    </xf>
  </cellXfs>
  <cellStyles count="5">
    <cellStyle name="Comma [0]" xfId="1" builtinId="6"/>
    <cellStyle name="Comma [0] 2" xfId="4" xr:uid="{00000000-0005-0000-0000-000001000000}"/>
    <cellStyle name="Comma 2" xfId="3" xr:uid="{00000000-0005-0000-0000-000002000000}"/>
    <cellStyle name="Normal" xfId="0" builtinId="0"/>
    <cellStyle name="Normal 2" xfId="2" xr:uid="{00000000-0005-0000-0000-000004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0"/>
  <sheetViews>
    <sheetView tabSelected="1" view="pageBreakPreview" topLeftCell="A7" zoomScale="85" zoomScaleNormal="85" zoomScaleSheetLayoutView="85" workbookViewId="0">
      <selection activeCell="O28" sqref="O28"/>
    </sheetView>
  </sheetViews>
  <sheetFormatPr defaultRowHeight="14.4" x14ac:dyDescent="0.3"/>
  <cols>
    <col min="2" max="2" width="45.6640625" customWidth="1"/>
    <col min="3" max="4" width="14.5546875" hidden="1" customWidth="1"/>
    <col min="5" max="6" width="14.5546875" style="12" customWidth="1"/>
    <col min="7" max="11" width="14.5546875" customWidth="1"/>
    <col min="12" max="14" width="11.6640625" style="11" customWidth="1"/>
    <col min="15" max="15" width="13.109375" customWidth="1"/>
  </cols>
  <sheetData>
    <row r="1" spans="1:15" s="12" customFormat="1" x14ac:dyDescent="0.3">
      <c r="M1" s="12" t="s">
        <v>376</v>
      </c>
    </row>
    <row r="2" spans="1:15" s="12" customFormat="1" x14ac:dyDescent="0.3">
      <c r="M2" s="12" t="s">
        <v>382</v>
      </c>
    </row>
    <row r="3" spans="1:15" s="12" customFormat="1" x14ac:dyDescent="0.3">
      <c r="M3" s="12" t="s">
        <v>383</v>
      </c>
    </row>
    <row r="4" spans="1:15" s="11" customFormat="1" ht="15.6" x14ac:dyDescent="0.3">
      <c r="A4" s="28" t="s">
        <v>366</v>
      </c>
      <c r="E4" s="12"/>
      <c r="F4" s="12"/>
    </row>
    <row r="5" spans="1:15" s="11" customFormat="1" ht="15.6" x14ac:dyDescent="0.3">
      <c r="A5" s="28" t="s">
        <v>365</v>
      </c>
      <c r="E5" s="12"/>
      <c r="F5" s="12"/>
    </row>
    <row r="6" spans="1:15" ht="15.6" x14ac:dyDescent="0.3">
      <c r="A6" s="14"/>
      <c r="B6" s="14"/>
      <c r="C6" s="14"/>
      <c r="D6" s="13"/>
      <c r="E6" s="13"/>
      <c r="F6" s="13"/>
      <c r="J6" s="11"/>
      <c r="K6" s="11"/>
    </row>
    <row r="7" spans="1:15" x14ac:dyDescent="0.3">
      <c r="A7" s="8" t="s">
        <v>40</v>
      </c>
      <c r="B7" s="8" t="s">
        <v>39</v>
      </c>
      <c r="C7" s="9">
        <v>44228</v>
      </c>
      <c r="D7" s="9">
        <v>44256</v>
      </c>
      <c r="E7" s="9">
        <v>44228</v>
      </c>
      <c r="F7" s="9">
        <v>44256</v>
      </c>
      <c r="G7" s="9">
        <v>44287</v>
      </c>
      <c r="H7" s="9">
        <v>44317</v>
      </c>
      <c r="I7" s="9">
        <v>44348</v>
      </c>
      <c r="J7" s="9">
        <v>44378</v>
      </c>
      <c r="K7" s="9">
        <v>44409</v>
      </c>
      <c r="L7" s="9">
        <v>44440</v>
      </c>
      <c r="M7" s="9">
        <v>44470</v>
      </c>
      <c r="N7" s="9">
        <v>44501</v>
      </c>
      <c r="O7" s="8" t="s">
        <v>56</v>
      </c>
    </row>
    <row r="8" spans="1:15" x14ac:dyDescent="0.3">
      <c r="A8" s="1" t="s">
        <v>35</v>
      </c>
      <c r="B8" s="2" t="s">
        <v>41</v>
      </c>
      <c r="C8" s="26">
        <f>SUM(C9:C13)</f>
        <v>26541066.514404763</v>
      </c>
      <c r="D8" s="26">
        <f t="shared" ref="D8:O8" si="0">SUM(D9:D13)</f>
        <v>26541066.514404763</v>
      </c>
      <c r="E8" s="26">
        <f t="shared" si="0"/>
        <v>0</v>
      </c>
      <c r="F8" s="26">
        <f t="shared" si="0"/>
        <v>53082133.028809525</v>
      </c>
      <c r="G8" s="26">
        <f t="shared" si="0"/>
        <v>26541066.514404763</v>
      </c>
      <c r="H8" s="26">
        <f t="shared" si="0"/>
        <v>26541066.514404763</v>
      </c>
      <c r="I8" s="26">
        <f t="shared" si="0"/>
        <v>26541066.514404763</v>
      </c>
      <c r="J8" s="26">
        <f t="shared" si="0"/>
        <v>26541066.514404763</v>
      </c>
      <c r="K8" s="26">
        <f t="shared" si="0"/>
        <v>26541066.514404763</v>
      </c>
      <c r="L8" s="26">
        <f t="shared" si="0"/>
        <v>0</v>
      </c>
      <c r="M8" s="26">
        <f t="shared" si="0"/>
        <v>0</v>
      </c>
      <c r="N8" s="26">
        <f t="shared" si="0"/>
        <v>0</v>
      </c>
      <c r="O8" s="26">
        <f t="shared" si="0"/>
        <v>185787465.60083336</v>
      </c>
    </row>
    <row r="9" spans="1:15" x14ac:dyDescent="0.3">
      <c r="A9" s="3">
        <v>1</v>
      </c>
      <c r="B9" s="4" t="s">
        <v>42</v>
      </c>
      <c r="C9" s="27">
        <f>$O9/7</f>
        <v>17254134.857142858</v>
      </c>
      <c r="D9" s="27">
        <f>$O9/7</f>
        <v>17254134.857142858</v>
      </c>
      <c r="E9" s="27">
        <v>0</v>
      </c>
      <c r="F9" s="27">
        <f>C9+D9</f>
        <v>34508269.714285716</v>
      </c>
      <c r="G9" s="27">
        <f t="shared" ref="G9:K13" si="1">$O9/7</f>
        <v>17254134.857142858</v>
      </c>
      <c r="H9" s="27">
        <f t="shared" si="1"/>
        <v>17254134.857142858</v>
      </c>
      <c r="I9" s="27">
        <f t="shared" si="1"/>
        <v>17254134.857142858</v>
      </c>
      <c r="J9" s="27">
        <f t="shared" si="1"/>
        <v>17254134.857142858</v>
      </c>
      <c r="K9" s="27">
        <f t="shared" si="1"/>
        <v>17254134.857142858</v>
      </c>
      <c r="L9" s="27">
        <v>0</v>
      </c>
      <c r="M9" s="27">
        <v>0</v>
      </c>
      <c r="N9" s="27">
        <v>0</v>
      </c>
      <c r="O9" s="27">
        <v>120778944</v>
      </c>
    </row>
    <row r="10" spans="1:15" x14ac:dyDescent="0.3">
      <c r="A10" s="3">
        <v>2</v>
      </c>
      <c r="B10" s="4" t="s">
        <v>43</v>
      </c>
      <c r="C10" s="27">
        <f t="shared" ref="C10:C13" si="2">$O10/7</f>
        <v>3056797.7142857141</v>
      </c>
      <c r="D10" s="27">
        <f>$O10/7</f>
        <v>3056797.7142857141</v>
      </c>
      <c r="E10" s="27">
        <v>0</v>
      </c>
      <c r="F10" s="27">
        <f t="shared" ref="F10:F27" si="3">C10+D10</f>
        <v>6113595.4285714282</v>
      </c>
      <c r="G10" s="27">
        <f t="shared" si="1"/>
        <v>3056797.7142857141</v>
      </c>
      <c r="H10" s="27">
        <f t="shared" si="1"/>
        <v>3056797.7142857141</v>
      </c>
      <c r="I10" s="27">
        <f t="shared" si="1"/>
        <v>3056797.7142857141</v>
      </c>
      <c r="J10" s="27">
        <f t="shared" si="1"/>
        <v>3056797.7142857141</v>
      </c>
      <c r="K10" s="27">
        <f t="shared" si="1"/>
        <v>3056797.7142857141</v>
      </c>
      <c r="L10" s="27">
        <v>0</v>
      </c>
      <c r="M10" s="27">
        <v>0</v>
      </c>
      <c r="N10" s="27">
        <v>0</v>
      </c>
      <c r="O10" s="27">
        <v>21397584</v>
      </c>
    </row>
    <row r="11" spans="1:15" ht="47.25" customHeight="1" x14ac:dyDescent="0.3">
      <c r="A11" s="3">
        <v>3</v>
      </c>
      <c r="B11" s="5" t="s">
        <v>44</v>
      </c>
      <c r="C11" s="27">
        <f t="shared" si="2"/>
        <v>806190.4761904761</v>
      </c>
      <c r="D11" s="27">
        <f>$O11/7</f>
        <v>806190.4761904761</v>
      </c>
      <c r="E11" s="27">
        <v>0</v>
      </c>
      <c r="F11" s="27">
        <f t="shared" si="3"/>
        <v>1612380.9523809522</v>
      </c>
      <c r="G11" s="27">
        <f t="shared" si="1"/>
        <v>806190.4761904761</v>
      </c>
      <c r="H11" s="27">
        <f t="shared" si="1"/>
        <v>806190.4761904761</v>
      </c>
      <c r="I11" s="27">
        <f t="shared" si="1"/>
        <v>806190.4761904761</v>
      </c>
      <c r="J11" s="27">
        <f t="shared" si="1"/>
        <v>806190.4761904761</v>
      </c>
      <c r="K11" s="27">
        <f t="shared" si="1"/>
        <v>806190.4761904761</v>
      </c>
      <c r="L11" s="27">
        <v>0</v>
      </c>
      <c r="M11" s="27">
        <v>0</v>
      </c>
      <c r="N11" s="27">
        <v>0</v>
      </c>
      <c r="O11" s="27">
        <v>5643333.333333333</v>
      </c>
    </row>
    <row r="12" spans="1:15" ht="71.25" customHeight="1" x14ac:dyDescent="0.3">
      <c r="A12" s="3">
        <v>4</v>
      </c>
      <c r="B12" s="5" t="s">
        <v>45</v>
      </c>
      <c r="C12" s="27">
        <f t="shared" si="2"/>
        <v>3704200</v>
      </c>
      <c r="D12" s="27">
        <f>$O12/7</f>
        <v>3704200</v>
      </c>
      <c r="E12" s="27">
        <v>0</v>
      </c>
      <c r="F12" s="27">
        <f t="shared" si="3"/>
        <v>7408400</v>
      </c>
      <c r="G12" s="27">
        <f t="shared" si="1"/>
        <v>3704200</v>
      </c>
      <c r="H12" s="27">
        <f t="shared" si="1"/>
        <v>3704200</v>
      </c>
      <c r="I12" s="27">
        <f t="shared" si="1"/>
        <v>3704200</v>
      </c>
      <c r="J12" s="27">
        <f t="shared" si="1"/>
        <v>3704200</v>
      </c>
      <c r="K12" s="27">
        <f t="shared" si="1"/>
        <v>3704200</v>
      </c>
      <c r="L12" s="27">
        <v>0</v>
      </c>
      <c r="M12" s="27">
        <v>0</v>
      </c>
      <c r="N12" s="27">
        <v>0</v>
      </c>
      <c r="O12" s="27">
        <v>25929400</v>
      </c>
    </row>
    <row r="13" spans="1:15" x14ac:dyDescent="0.3">
      <c r="A13" s="3">
        <v>5</v>
      </c>
      <c r="B13" s="4" t="s">
        <v>46</v>
      </c>
      <c r="C13" s="27">
        <f t="shared" si="2"/>
        <v>1719743.466785714</v>
      </c>
      <c r="D13" s="27">
        <f>$O13/7</f>
        <v>1719743.466785714</v>
      </c>
      <c r="E13" s="27">
        <v>0</v>
      </c>
      <c r="F13" s="27">
        <f t="shared" si="3"/>
        <v>3439486.9335714281</v>
      </c>
      <c r="G13" s="27">
        <f t="shared" si="1"/>
        <v>1719743.466785714</v>
      </c>
      <c r="H13" s="27">
        <f t="shared" si="1"/>
        <v>1719743.466785714</v>
      </c>
      <c r="I13" s="27">
        <f t="shared" si="1"/>
        <v>1719743.466785714</v>
      </c>
      <c r="J13" s="27">
        <f t="shared" si="1"/>
        <v>1719743.466785714</v>
      </c>
      <c r="K13" s="27">
        <f t="shared" si="1"/>
        <v>1719743.466785714</v>
      </c>
      <c r="L13" s="27">
        <v>0</v>
      </c>
      <c r="M13" s="27">
        <v>0</v>
      </c>
      <c r="N13" s="27">
        <v>0</v>
      </c>
      <c r="O13" s="27">
        <v>12038204.267499998</v>
      </c>
    </row>
    <row r="14" spans="1:15" x14ac:dyDescent="0.3">
      <c r="A14" s="1" t="s">
        <v>32</v>
      </c>
      <c r="B14" s="2" t="s">
        <v>47</v>
      </c>
      <c r="C14" s="26">
        <f>SUM(C15:C27)</f>
        <v>33681531.571428567</v>
      </c>
      <c r="D14" s="26">
        <f t="shared" ref="D14:O14" si="4">SUM(D15:D27)</f>
        <v>80837531.571428567</v>
      </c>
      <c r="E14" s="26">
        <f t="shared" si="4"/>
        <v>0</v>
      </c>
      <c r="F14" s="26">
        <f t="shared" si="4"/>
        <v>114519063.14285713</v>
      </c>
      <c r="G14" s="26">
        <f t="shared" si="4"/>
        <v>78474031.571428567</v>
      </c>
      <c r="H14" s="26">
        <f t="shared" si="4"/>
        <v>122557587.57142857</v>
      </c>
      <c r="I14" s="26">
        <f t="shared" si="4"/>
        <v>36388678.571428567</v>
      </c>
      <c r="J14" s="26">
        <f t="shared" si="4"/>
        <v>9723428.5714285709</v>
      </c>
      <c r="K14" s="26">
        <f t="shared" si="4"/>
        <v>18470928.571428571</v>
      </c>
      <c r="L14" s="26">
        <f t="shared" si="4"/>
        <v>23370346.333333332</v>
      </c>
      <c r="M14" s="26">
        <f t="shared" si="4"/>
        <v>23370346.333333332</v>
      </c>
      <c r="N14" s="26">
        <f t="shared" si="4"/>
        <v>23370346.333333332</v>
      </c>
      <c r="O14" s="26">
        <f t="shared" si="4"/>
        <v>450244756.66666669</v>
      </c>
    </row>
    <row r="15" spans="1:15" x14ac:dyDescent="0.3">
      <c r="A15" s="3">
        <v>1</v>
      </c>
      <c r="B15" s="4" t="s">
        <v>48</v>
      </c>
      <c r="C15" s="27">
        <f>O15</f>
        <v>1242000</v>
      </c>
      <c r="D15" s="27">
        <v>0</v>
      </c>
      <c r="E15" s="27">
        <v>0</v>
      </c>
      <c r="F15" s="27">
        <f t="shared" si="3"/>
        <v>1242000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1242000</v>
      </c>
    </row>
    <row r="16" spans="1:15" ht="17.25" customHeight="1" x14ac:dyDescent="0.3">
      <c r="A16" s="3">
        <v>2</v>
      </c>
      <c r="B16" s="5" t="s">
        <v>19</v>
      </c>
      <c r="C16" s="27">
        <f>$O16/2</f>
        <v>3363500</v>
      </c>
      <c r="D16" s="27">
        <f>$O16/2</f>
        <v>3363500</v>
      </c>
      <c r="E16" s="27">
        <v>0</v>
      </c>
      <c r="F16" s="27">
        <f t="shared" si="3"/>
        <v>6727000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6727000</v>
      </c>
    </row>
    <row r="17" spans="1:15" ht="29.25" customHeight="1" x14ac:dyDescent="0.3">
      <c r="A17" s="3">
        <v>3</v>
      </c>
      <c r="B17" s="5" t="s">
        <v>49</v>
      </c>
      <c r="C17" s="27">
        <v>19352603</v>
      </c>
      <c r="D17" s="27">
        <v>19352603</v>
      </c>
      <c r="E17" s="27">
        <v>0</v>
      </c>
      <c r="F17" s="27">
        <f t="shared" si="3"/>
        <v>38705206</v>
      </c>
      <c r="G17" s="27">
        <v>19352603</v>
      </c>
      <c r="H17" s="27">
        <v>86168909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144226718</v>
      </c>
    </row>
    <row r="18" spans="1:15" ht="27" customHeight="1" x14ac:dyDescent="0.3">
      <c r="A18" s="6">
        <v>4</v>
      </c>
      <c r="B18" s="5" t="s">
        <v>50</v>
      </c>
      <c r="C18" s="27">
        <v>0</v>
      </c>
      <c r="D18" s="27">
        <f>$O18/2</f>
        <v>48398000</v>
      </c>
      <c r="E18" s="27">
        <v>0</v>
      </c>
      <c r="F18" s="27">
        <f t="shared" si="3"/>
        <v>48398000</v>
      </c>
      <c r="G18" s="27">
        <f>$O18/2</f>
        <v>48398000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96796000</v>
      </c>
    </row>
    <row r="19" spans="1:15" x14ac:dyDescent="0.3">
      <c r="A19" s="3">
        <v>5</v>
      </c>
      <c r="B19" s="4" t="s">
        <v>15</v>
      </c>
      <c r="C19" s="27">
        <f>$O19/7</f>
        <v>100000</v>
      </c>
      <c r="D19" s="27">
        <f>$O19/7</f>
        <v>100000</v>
      </c>
      <c r="E19" s="27">
        <v>0</v>
      </c>
      <c r="F19" s="27">
        <f t="shared" si="3"/>
        <v>200000</v>
      </c>
      <c r="G19" s="27">
        <f>$O19/7</f>
        <v>100000</v>
      </c>
      <c r="H19" s="27">
        <f>$O19/7</f>
        <v>100000</v>
      </c>
      <c r="I19" s="27">
        <f>$O19/7</f>
        <v>100000</v>
      </c>
      <c r="J19" s="27">
        <f>$O19/7</f>
        <v>100000</v>
      </c>
      <c r="K19" s="27">
        <f>$O19/7</f>
        <v>100000</v>
      </c>
      <c r="L19" s="27">
        <v>0</v>
      </c>
      <c r="M19" s="27">
        <v>0</v>
      </c>
      <c r="N19" s="27">
        <v>0</v>
      </c>
      <c r="O19" s="27">
        <v>700000</v>
      </c>
    </row>
    <row r="20" spans="1:15" ht="55.2" x14ac:dyDescent="0.3">
      <c r="A20" s="3">
        <v>6</v>
      </c>
      <c r="B20" s="5" t="s">
        <v>51</v>
      </c>
      <c r="C20" s="27">
        <v>0</v>
      </c>
      <c r="D20" s="27">
        <v>0</v>
      </c>
      <c r="E20" s="27">
        <v>0</v>
      </c>
      <c r="F20" s="27">
        <f t="shared" si="3"/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</row>
    <row r="21" spans="1:15" ht="32.25" customHeight="1" x14ac:dyDescent="0.3">
      <c r="A21" s="6">
        <v>7</v>
      </c>
      <c r="B21" s="7" t="s">
        <v>52</v>
      </c>
      <c r="C21" s="27">
        <v>0</v>
      </c>
      <c r="D21" s="27">
        <v>0</v>
      </c>
      <c r="E21" s="27">
        <v>0</v>
      </c>
      <c r="F21" s="27">
        <f t="shared" si="3"/>
        <v>0</v>
      </c>
      <c r="G21" s="27">
        <v>0</v>
      </c>
      <c r="H21" s="27">
        <f>$O21/2</f>
        <v>25665250</v>
      </c>
      <c r="I21" s="27">
        <f>$O21/2</f>
        <v>25665250</v>
      </c>
      <c r="J21" s="27">
        <v>0</v>
      </c>
      <c r="K21" s="27">
        <v>0</v>
      </c>
      <c r="L21" s="27">
        <v>0</v>
      </c>
      <c r="M21" s="27">
        <v>0</v>
      </c>
      <c r="N21" s="27">
        <v>0</v>
      </c>
      <c r="O21" s="27">
        <v>51330500</v>
      </c>
    </row>
    <row r="22" spans="1:15" x14ac:dyDescent="0.3">
      <c r="A22" s="3">
        <v>8</v>
      </c>
      <c r="B22" s="4" t="s">
        <v>10</v>
      </c>
      <c r="C22" s="27">
        <v>0</v>
      </c>
      <c r="D22" s="27">
        <v>0</v>
      </c>
      <c r="E22" s="27">
        <v>0</v>
      </c>
      <c r="F22" s="27">
        <f t="shared" si="3"/>
        <v>0</v>
      </c>
      <c r="G22" s="27">
        <f>$O22/3</f>
        <v>1000000</v>
      </c>
      <c r="H22" s="27">
        <f t="shared" ref="H22:I22" si="5">$O22/3</f>
        <v>1000000</v>
      </c>
      <c r="I22" s="27">
        <f t="shared" si="5"/>
        <v>1000000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3000000</v>
      </c>
    </row>
    <row r="23" spans="1:15" x14ac:dyDescent="0.3">
      <c r="A23" s="3">
        <v>9</v>
      </c>
      <c r="B23" s="4" t="s">
        <v>53</v>
      </c>
      <c r="C23" s="27">
        <f>$O23/7</f>
        <v>8752428.5714285709</v>
      </c>
      <c r="D23" s="27">
        <f>$O23/7</f>
        <v>8752428.5714285709</v>
      </c>
      <c r="E23" s="27">
        <v>0</v>
      </c>
      <c r="F23" s="27">
        <f t="shared" si="3"/>
        <v>17504857.142857142</v>
      </c>
      <c r="G23" s="27">
        <f>$O23/7</f>
        <v>8752428.5714285709</v>
      </c>
      <c r="H23" s="27">
        <f>$O23/7</f>
        <v>8752428.5714285709</v>
      </c>
      <c r="I23" s="27">
        <f>$O23/7</f>
        <v>8752428.5714285709</v>
      </c>
      <c r="J23" s="27">
        <f>$O23/7</f>
        <v>8752428.5714285709</v>
      </c>
      <c r="K23" s="27">
        <f>$O23/7</f>
        <v>8752428.5714285709</v>
      </c>
      <c r="L23" s="27">
        <v>0</v>
      </c>
      <c r="M23" s="27">
        <v>0</v>
      </c>
      <c r="N23" s="27">
        <v>0</v>
      </c>
      <c r="O23" s="27">
        <v>61267000</v>
      </c>
    </row>
    <row r="24" spans="1:15" ht="15.75" customHeight="1" x14ac:dyDescent="0.3">
      <c r="A24" s="3">
        <v>10</v>
      </c>
      <c r="B24" s="7" t="s">
        <v>54</v>
      </c>
      <c r="C24" s="27">
        <v>0</v>
      </c>
      <c r="D24" s="27">
        <v>0</v>
      </c>
      <c r="E24" s="27">
        <v>0</v>
      </c>
      <c r="F24" s="27">
        <f t="shared" si="3"/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v>0</v>
      </c>
      <c r="O24" s="27">
        <v>0</v>
      </c>
    </row>
    <row r="25" spans="1:15" x14ac:dyDescent="0.3">
      <c r="A25" s="3">
        <v>11</v>
      </c>
      <c r="B25" s="4" t="s">
        <v>7</v>
      </c>
      <c r="C25" s="27">
        <f>$O25/7</f>
        <v>871000</v>
      </c>
      <c r="D25" s="27">
        <f>$O25/7</f>
        <v>871000</v>
      </c>
      <c r="E25" s="27">
        <v>0</v>
      </c>
      <c r="F25" s="27">
        <f t="shared" si="3"/>
        <v>1742000</v>
      </c>
      <c r="G25" s="27">
        <f>$O25/7</f>
        <v>871000</v>
      </c>
      <c r="H25" s="27">
        <f>$O25/7</f>
        <v>871000</v>
      </c>
      <c r="I25" s="27">
        <f>$O25/7</f>
        <v>871000</v>
      </c>
      <c r="J25" s="27">
        <f>$O25/7</f>
        <v>871000</v>
      </c>
      <c r="K25" s="27">
        <f>$O25/7</f>
        <v>871000</v>
      </c>
      <c r="L25" s="27">
        <v>0</v>
      </c>
      <c r="M25" s="27">
        <v>0</v>
      </c>
      <c r="N25" s="27">
        <v>0</v>
      </c>
      <c r="O25" s="27">
        <v>6097000</v>
      </c>
    </row>
    <row r="26" spans="1:15" x14ac:dyDescent="0.3">
      <c r="A26" s="3">
        <v>12</v>
      </c>
      <c r="B26" s="4" t="s">
        <v>5</v>
      </c>
      <c r="C26" s="27">
        <v>0</v>
      </c>
      <c r="D26" s="27">
        <v>0</v>
      </c>
      <c r="E26" s="27">
        <v>0</v>
      </c>
      <c r="F26" s="27">
        <f t="shared" si="3"/>
        <v>0</v>
      </c>
      <c r="G26" s="27">
        <v>0</v>
      </c>
      <c r="H26" s="27">
        <v>0</v>
      </c>
      <c r="I26" s="27">
        <v>0</v>
      </c>
      <c r="J26" s="27">
        <v>0</v>
      </c>
      <c r="K26" s="27">
        <f>O26</f>
        <v>117000</v>
      </c>
      <c r="L26" s="27">
        <v>0</v>
      </c>
      <c r="M26" s="27">
        <v>0</v>
      </c>
      <c r="N26" s="27">
        <v>0</v>
      </c>
      <c r="O26" s="27">
        <v>117000</v>
      </c>
    </row>
    <row r="27" spans="1:15" x14ac:dyDescent="0.3">
      <c r="A27" s="3">
        <v>13</v>
      </c>
      <c r="B27" s="4" t="s">
        <v>3</v>
      </c>
      <c r="C27" s="27"/>
      <c r="D27" s="27"/>
      <c r="E27" s="27">
        <v>0</v>
      </c>
      <c r="F27" s="27">
        <f t="shared" si="3"/>
        <v>0</v>
      </c>
      <c r="G27" s="27"/>
      <c r="H27" s="27"/>
      <c r="I27" s="27"/>
      <c r="J27" s="27"/>
      <c r="K27" s="27">
        <v>8630500</v>
      </c>
      <c r="L27" s="27">
        <f>70111039/3</f>
        <v>23370346.333333332</v>
      </c>
      <c r="M27" s="27">
        <f t="shared" ref="M27:N27" si="6">70111039/3</f>
        <v>23370346.333333332</v>
      </c>
      <c r="N27" s="27">
        <f t="shared" si="6"/>
        <v>23370346.333333332</v>
      </c>
      <c r="O27" s="27">
        <v>78741538.666666672</v>
      </c>
    </row>
    <row r="28" spans="1:15" x14ac:dyDescent="0.3">
      <c r="A28" s="73" t="s">
        <v>55</v>
      </c>
      <c r="B28" s="73"/>
      <c r="C28" s="26">
        <f>C8+C14</f>
        <v>60222598.085833326</v>
      </c>
      <c r="D28" s="26">
        <f t="shared" ref="D28:O28" si="7">D8+D14</f>
        <v>107378598.08583333</v>
      </c>
      <c r="E28" s="26">
        <f t="shared" si="7"/>
        <v>0</v>
      </c>
      <c r="F28" s="26">
        <f t="shared" si="7"/>
        <v>167601196.17166665</v>
      </c>
      <c r="G28" s="26">
        <f t="shared" si="7"/>
        <v>105015098.08583333</v>
      </c>
      <c r="H28" s="26">
        <f t="shared" si="7"/>
        <v>149098654.08583334</v>
      </c>
      <c r="I28" s="26">
        <f t="shared" si="7"/>
        <v>62929745.085833326</v>
      </c>
      <c r="J28" s="26">
        <f t="shared" si="7"/>
        <v>36264495.085833333</v>
      </c>
      <c r="K28" s="26">
        <f t="shared" si="7"/>
        <v>45011995.085833333</v>
      </c>
      <c r="L28" s="26">
        <f t="shared" si="7"/>
        <v>23370346.333333332</v>
      </c>
      <c r="M28" s="26">
        <f t="shared" si="7"/>
        <v>23370346.333333332</v>
      </c>
      <c r="N28" s="26">
        <f t="shared" si="7"/>
        <v>23370346.333333332</v>
      </c>
      <c r="O28" s="26">
        <f t="shared" si="7"/>
        <v>636032222.26750004</v>
      </c>
    </row>
    <row r="29" spans="1:15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3">
      <c r="A30" s="72" t="s">
        <v>384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</sheetData>
  <mergeCells count="1">
    <mergeCell ref="A28:B28"/>
  </mergeCells>
  <pageMargins left="0.7" right="0.7" top="0.75" bottom="0.75" header="0.3" footer="0.3"/>
  <pageSetup paperSize="9" scale="64" fitToHeight="0" orientation="landscape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1F27-79C2-4C14-A10A-75109A56EDA0}">
  <dimension ref="A1:P79"/>
  <sheetViews>
    <sheetView view="pageBreakPreview" topLeftCell="A45" zoomScale="85" zoomScaleNormal="64" zoomScaleSheetLayoutView="85" workbookViewId="0">
      <selection activeCell="B14" sqref="B14"/>
    </sheetView>
  </sheetViews>
  <sheetFormatPr defaultRowHeight="14.4" x14ac:dyDescent="0.3"/>
  <cols>
    <col min="1" max="1" width="7.33203125" customWidth="1"/>
    <col min="2" max="2" width="36.33203125" customWidth="1"/>
    <col min="3" max="3" width="13.6640625" style="12" customWidth="1"/>
    <col min="4" max="4" width="10.88671875" customWidth="1"/>
    <col min="5" max="7" width="10.88671875" style="12" customWidth="1"/>
    <col min="8" max="16" width="10.88671875" customWidth="1"/>
  </cols>
  <sheetData>
    <row r="1" spans="1:16" s="12" customFormat="1" x14ac:dyDescent="0.3">
      <c r="N1" s="12" t="s">
        <v>378</v>
      </c>
    </row>
    <row r="2" spans="1:16" s="12" customFormat="1" x14ac:dyDescent="0.3">
      <c r="N2" s="12" t="s">
        <v>382</v>
      </c>
    </row>
    <row r="3" spans="1:16" s="12" customFormat="1" x14ac:dyDescent="0.3">
      <c r="N3" s="12" t="s">
        <v>383</v>
      </c>
    </row>
    <row r="4" spans="1:16" x14ac:dyDescent="0.3">
      <c r="A4" s="22" t="s">
        <v>109</v>
      </c>
    </row>
    <row r="5" spans="1:16" x14ac:dyDescent="0.3">
      <c r="A5" s="22" t="s">
        <v>62</v>
      </c>
    </row>
    <row r="7" spans="1:16" x14ac:dyDescent="0.3">
      <c r="A7" s="17" t="s">
        <v>40</v>
      </c>
      <c r="B7" s="17" t="s">
        <v>61</v>
      </c>
      <c r="C7" s="17" t="s">
        <v>372</v>
      </c>
      <c r="D7" s="65" t="s">
        <v>370</v>
      </c>
      <c r="E7" s="65" t="s">
        <v>371</v>
      </c>
      <c r="F7" s="65" t="s">
        <v>375</v>
      </c>
      <c r="G7" s="18">
        <v>44228</v>
      </c>
      <c r="H7" s="18">
        <v>44256</v>
      </c>
      <c r="I7" s="18">
        <v>44287</v>
      </c>
      <c r="J7" s="18">
        <v>44317</v>
      </c>
      <c r="K7" s="18">
        <v>44348</v>
      </c>
      <c r="L7" s="18">
        <v>44378</v>
      </c>
      <c r="M7" s="18">
        <v>44409</v>
      </c>
      <c r="N7" s="18">
        <v>44440</v>
      </c>
      <c r="O7" s="18">
        <v>44470</v>
      </c>
      <c r="P7" s="18">
        <v>44501</v>
      </c>
    </row>
    <row r="8" spans="1:16" x14ac:dyDescent="0.3">
      <c r="A8" s="15">
        <v>1</v>
      </c>
      <c r="B8" s="15" t="s">
        <v>63</v>
      </c>
      <c r="C8" s="15" t="s">
        <v>373</v>
      </c>
      <c r="D8" s="16">
        <v>50000</v>
      </c>
      <c r="E8" s="16">
        <v>50000</v>
      </c>
      <c r="F8" s="16">
        <f>AVERAGE(D8:E8)</f>
        <v>50000</v>
      </c>
      <c r="G8" s="16"/>
      <c r="H8" s="16"/>
      <c r="I8" s="16"/>
      <c r="J8" s="16"/>
      <c r="K8" s="16"/>
      <c r="L8" s="16"/>
      <c r="M8" s="16">
        <f>F8</f>
        <v>50000</v>
      </c>
      <c r="N8" s="16"/>
      <c r="O8" s="16"/>
      <c r="P8" s="16"/>
    </row>
    <row r="9" spans="1:16" x14ac:dyDescent="0.3">
      <c r="A9" s="15">
        <v>2</v>
      </c>
      <c r="B9" s="15" t="s">
        <v>63</v>
      </c>
      <c r="C9" s="15" t="s">
        <v>373</v>
      </c>
      <c r="D9" s="16">
        <v>50000</v>
      </c>
      <c r="E9" s="16">
        <v>50000</v>
      </c>
      <c r="F9" s="16">
        <f t="shared" ref="F9:F72" si="0">AVERAGE(D9:E9)</f>
        <v>50000</v>
      </c>
      <c r="G9" s="16"/>
      <c r="H9" s="16"/>
      <c r="I9" s="16"/>
      <c r="J9" s="16"/>
      <c r="K9" s="16"/>
      <c r="L9" s="16"/>
      <c r="M9" s="16">
        <f t="shared" ref="M9:M72" si="1">F9</f>
        <v>50000</v>
      </c>
      <c r="N9" s="16"/>
      <c r="O9" s="16"/>
      <c r="P9" s="16"/>
    </row>
    <row r="10" spans="1:16" x14ac:dyDescent="0.3">
      <c r="A10" s="15">
        <v>3</v>
      </c>
      <c r="B10" s="15" t="s">
        <v>63</v>
      </c>
      <c r="C10" s="15" t="s">
        <v>373</v>
      </c>
      <c r="D10" s="16">
        <v>50000</v>
      </c>
      <c r="E10" s="16">
        <v>50000</v>
      </c>
      <c r="F10" s="16">
        <f t="shared" si="0"/>
        <v>50000</v>
      </c>
      <c r="G10" s="16"/>
      <c r="H10" s="16"/>
      <c r="I10" s="16"/>
      <c r="J10" s="16"/>
      <c r="K10" s="16"/>
      <c r="L10" s="16"/>
      <c r="M10" s="16">
        <f t="shared" si="1"/>
        <v>50000</v>
      </c>
      <c r="N10" s="16"/>
      <c r="O10" s="16"/>
      <c r="P10" s="16"/>
    </row>
    <row r="11" spans="1:16" x14ac:dyDescent="0.3">
      <c r="A11" s="15">
        <v>4</v>
      </c>
      <c r="B11" s="15" t="s">
        <v>63</v>
      </c>
      <c r="C11" s="15" t="s">
        <v>373</v>
      </c>
      <c r="D11" s="16">
        <v>50000</v>
      </c>
      <c r="E11" s="16">
        <v>50000</v>
      </c>
      <c r="F11" s="16">
        <f t="shared" si="0"/>
        <v>50000</v>
      </c>
      <c r="G11" s="16"/>
      <c r="H11" s="16"/>
      <c r="I11" s="16"/>
      <c r="J11" s="16"/>
      <c r="K11" s="16"/>
      <c r="L11" s="16"/>
      <c r="M11" s="16">
        <f t="shared" si="1"/>
        <v>50000</v>
      </c>
      <c r="N11" s="16"/>
      <c r="O11" s="16"/>
      <c r="P11" s="16"/>
    </row>
    <row r="12" spans="1:16" x14ac:dyDescent="0.3">
      <c r="A12" s="15">
        <v>5</v>
      </c>
      <c r="B12" s="15" t="s">
        <v>63</v>
      </c>
      <c r="C12" s="15" t="s">
        <v>373</v>
      </c>
      <c r="D12" s="16">
        <v>50000</v>
      </c>
      <c r="E12" s="16">
        <v>50000</v>
      </c>
      <c r="F12" s="16">
        <f t="shared" si="0"/>
        <v>50000</v>
      </c>
      <c r="G12" s="16"/>
      <c r="H12" s="16"/>
      <c r="I12" s="16"/>
      <c r="J12" s="16"/>
      <c r="K12" s="16"/>
      <c r="L12" s="16"/>
      <c r="M12" s="16">
        <f t="shared" si="1"/>
        <v>50000</v>
      </c>
      <c r="N12" s="16"/>
      <c r="O12" s="16"/>
      <c r="P12" s="16"/>
    </row>
    <row r="13" spans="1:16" x14ac:dyDescent="0.3">
      <c r="A13" s="15">
        <v>6</v>
      </c>
      <c r="B13" s="15" t="s">
        <v>63</v>
      </c>
      <c r="C13" s="15" t="s">
        <v>374</v>
      </c>
      <c r="D13" s="16">
        <v>10000</v>
      </c>
      <c r="E13" s="16">
        <v>10000</v>
      </c>
      <c r="F13" s="16">
        <f t="shared" si="0"/>
        <v>10000</v>
      </c>
      <c r="G13" s="16"/>
      <c r="H13" s="16"/>
      <c r="I13" s="16"/>
      <c r="J13" s="16"/>
      <c r="K13" s="16"/>
      <c r="L13" s="16"/>
      <c r="M13" s="16">
        <f t="shared" si="1"/>
        <v>10000</v>
      </c>
      <c r="N13" s="16"/>
      <c r="O13" s="16"/>
      <c r="P13" s="16"/>
    </row>
    <row r="14" spans="1:16" x14ac:dyDescent="0.3">
      <c r="A14" s="15">
        <v>7</v>
      </c>
      <c r="B14" s="15" t="s">
        <v>63</v>
      </c>
      <c r="C14" s="15" t="s">
        <v>357</v>
      </c>
      <c r="D14" s="16">
        <v>0</v>
      </c>
      <c r="E14" s="16">
        <v>0</v>
      </c>
      <c r="F14" s="16">
        <f t="shared" si="0"/>
        <v>0</v>
      </c>
      <c r="G14" s="16"/>
      <c r="H14" s="16"/>
      <c r="I14" s="16"/>
      <c r="J14" s="16"/>
      <c r="K14" s="16"/>
      <c r="L14" s="16"/>
      <c r="M14" s="16">
        <f t="shared" si="1"/>
        <v>0</v>
      </c>
      <c r="N14" s="16"/>
      <c r="O14" s="16"/>
      <c r="P14" s="16"/>
    </row>
    <row r="15" spans="1:16" x14ac:dyDescent="0.3">
      <c r="A15" s="15">
        <v>8</v>
      </c>
      <c r="B15" s="15" t="s">
        <v>63</v>
      </c>
      <c r="C15" s="15" t="s">
        <v>357</v>
      </c>
      <c r="D15" s="16">
        <v>0</v>
      </c>
      <c r="E15" s="16">
        <v>0</v>
      </c>
      <c r="F15" s="16">
        <f t="shared" si="0"/>
        <v>0</v>
      </c>
      <c r="G15" s="16"/>
      <c r="H15" s="16"/>
      <c r="I15" s="16"/>
      <c r="J15" s="16"/>
      <c r="K15" s="16"/>
      <c r="L15" s="16"/>
      <c r="M15" s="16">
        <f t="shared" si="1"/>
        <v>0</v>
      </c>
      <c r="N15" s="16"/>
      <c r="O15" s="16"/>
      <c r="P15" s="16"/>
    </row>
    <row r="16" spans="1:16" x14ac:dyDescent="0.3">
      <c r="A16" s="15">
        <v>9</v>
      </c>
      <c r="B16" s="15" t="s">
        <v>64</v>
      </c>
      <c r="C16" s="15" t="s">
        <v>357</v>
      </c>
      <c r="D16" s="16">
        <v>0</v>
      </c>
      <c r="E16" s="16">
        <v>0</v>
      </c>
      <c r="F16" s="16">
        <f t="shared" si="0"/>
        <v>0</v>
      </c>
      <c r="G16" s="16"/>
      <c r="H16" s="16"/>
      <c r="I16" s="16"/>
      <c r="J16" s="16"/>
      <c r="K16" s="16"/>
      <c r="L16" s="16"/>
      <c r="M16" s="16">
        <f t="shared" si="1"/>
        <v>0</v>
      </c>
      <c r="N16" s="16"/>
      <c r="O16" s="16"/>
      <c r="P16" s="16"/>
    </row>
    <row r="17" spans="1:16" x14ac:dyDescent="0.3">
      <c r="A17" s="15">
        <v>10</v>
      </c>
      <c r="B17" s="15" t="s">
        <v>64</v>
      </c>
      <c r="C17" s="15" t="s">
        <v>357</v>
      </c>
      <c r="D17" s="16">
        <v>0</v>
      </c>
      <c r="E17" s="16">
        <v>0</v>
      </c>
      <c r="F17" s="16">
        <f t="shared" si="0"/>
        <v>0</v>
      </c>
      <c r="G17" s="16"/>
      <c r="H17" s="16"/>
      <c r="I17" s="16"/>
      <c r="J17" s="16"/>
      <c r="K17" s="16"/>
      <c r="L17" s="16"/>
      <c r="M17" s="16">
        <f t="shared" si="1"/>
        <v>0</v>
      </c>
      <c r="N17" s="16"/>
      <c r="O17" s="16"/>
      <c r="P17" s="16"/>
    </row>
    <row r="18" spans="1:16" x14ac:dyDescent="0.3">
      <c r="A18" s="15">
        <v>11</v>
      </c>
      <c r="B18" s="15" t="s">
        <v>64</v>
      </c>
      <c r="C18" s="15" t="s">
        <v>357</v>
      </c>
      <c r="D18" s="16">
        <v>0</v>
      </c>
      <c r="E18" s="16">
        <v>0</v>
      </c>
      <c r="F18" s="16">
        <f t="shared" si="0"/>
        <v>0</v>
      </c>
      <c r="G18" s="16"/>
      <c r="H18" s="16"/>
      <c r="I18" s="16"/>
      <c r="J18" s="16"/>
      <c r="K18" s="16"/>
      <c r="L18" s="16"/>
      <c r="M18" s="16">
        <f t="shared" si="1"/>
        <v>0</v>
      </c>
      <c r="N18" s="16"/>
      <c r="O18" s="16"/>
      <c r="P18" s="16"/>
    </row>
    <row r="19" spans="1:16" x14ac:dyDescent="0.3">
      <c r="A19" s="15">
        <v>12</v>
      </c>
      <c r="B19" s="15" t="s">
        <v>65</v>
      </c>
      <c r="C19" s="15" t="s">
        <v>373</v>
      </c>
      <c r="D19" s="16">
        <v>100000</v>
      </c>
      <c r="E19" s="16">
        <v>100000</v>
      </c>
      <c r="F19" s="16">
        <f t="shared" si="0"/>
        <v>100000</v>
      </c>
      <c r="G19" s="16"/>
      <c r="H19" s="16"/>
      <c r="I19" s="16"/>
      <c r="J19" s="16"/>
      <c r="K19" s="16"/>
      <c r="L19" s="16"/>
      <c r="M19" s="16">
        <f t="shared" si="1"/>
        <v>100000</v>
      </c>
      <c r="N19" s="16"/>
      <c r="O19" s="16"/>
      <c r="P19" s="16"/>
    </row>
    <row r="20" spans="1:16" x14ac:dyDescent="0.3">
      <c r="A20" s="15">
        <v>13</v>
      </c>
      <c r="B20" s="15" t="s">
        <v>66</v>
      </c>
      <c r="C20" s="15" t="s">
        <v>373</v>
      </c>
      <c r="D20" s="16">
        <v>20000</v>
      </c>
      <c r="E20" s="16">
        <v>20000</v>
      </c>
      <c r="F20" s="16">
        <f t="shared" si="0"/>
        <v>20000</v>
      </c>
      <c r="G20" s="16"/>
      <c r="H20" s="16"/>
      <c r="I20" s="16"/>
      <c r="J20" s="16"/>
      <c r="K20" s="16"/>
      <c r="L20" s="16"/>
      <c r="M20" s="16">
        <f t="shared" si="1"/>
        <v>20000</v>
      </c>
      <c r="N20" s="16"/>
      <c r="O20" s="16"/>
      <c r="P20" s="16"/>
    </row>
    <row r="21" spans="1:16" x14ac:dyDescent="0.3">
      <c r="A21" s="15">
        <v>14</v>
      </c>
      <c r="B21" s="15" t="s">
        <v>67</v>
      </c>
      <c r="C21" s="15" t="s">
        <v>374</v>
      </c>
      <c r="D21" s="16">
        <v>30000</v>
      </c>
      <c r="E21" s="16">
        <v>20000</v>
      </c>
      <c r="F21" s="16">
        <f t="shared" si="0"/>
        <v>25000</v>
      </c>
      <c r="G21" s="16"/>
      <c r="H21" s="16"/>
      <c r="I21" s="16"/>
      <c r="J21" s="16"/>
      <c r="K21" s="16"/>
      <c r="L21" s="16"/>
      <c r="M21" s="16">
        <f t="shared" si="1"/>
        <v>25000</v>
      </c>
      <c r="N21" s="16"/>
      <c r="O21" s="16"/>
      <c r="P21" s="16"/>
    </row>
    <row r="22" spans="1:16" x14ac:dyDescent="0.3">
      <c r="A22" s="15">
        <v>15</v>
      </c>
      <c r="B22" s="15" t="s">
        <v>68</v>
      </c>
      <c r="C22" s="15" t="s">
        <v>374</v>
      </c>
      <c r="D22" s="16">
        <v>50000</v>
      </c>
      <c r="E22" s="16">
        <v>50000</v>
      </c>
      <c r="F22" s="16">
        <f t="shared" si="0"/>
        <v>50000</v>
      </c>
      <c r="G22" s="16"/>
      <c r="H22" s="16"/>
      <c r="I22" s="16"/>
      <c r="J22" s="16"/>
      <c r="K22" s="16"/>
      <c r="L22" s="16"/>
      <c r="M22" s="16">
        <f t="shared" si="1"/>
        <v>50000</v>
      </c>
      <c r="N22" s="16"/>
      <c r="O22" s="16"/>
      <c r="P22" s="16"/>
    </row>
    <row r="23" spans="1:16" x14ac:dyDescent="0.3">
      <c r="A23" s="15">
        <v>16</v>
      </c>
      <c r="B23" s="15" t="s">
        <v>69</v>
      </c>
      <c r="C23" s="15" t="s">
        <v>373</v>
      </c>
      <c r="D23" s="16">
        <v>300000</v>
      </c>
      <c r="E23" s="16">
        <v>250000</v>
      </c>
      <c r="F23" s="16">
        <f t="shared" si="0"/>
        <v>275000</v>
      </c>
      <c r="G23" s="16"/>
      <c r="H23" s="16"/>
      <c r="I23" s="16"/>
      <c r="J23" s="16"/>
      <c r="K23" s="16"/>
      <c r="L23" s="16"/>
      <c r="M23" s="16">
        <f t="shared" si="1"/>
        <v>275000</v>
      </c>
      <c r="N23" s="16"/>
      <c r="O23" s="16"/>
      <c r="P23" s="16"/>
    </row>
    <row r="24" spans="1:16" x14ac:dyDescent="0.3">
      <c r="A24" s="15">
        <v>17</v>
      </c>
      <c r="B24" s="15" t="s">
        <v>70</v>
      </c>
      <c r="C24" s="15" t="s">
        <v>373</v>
      </c>
      <c r="D24" s="16">
        <v>200000</v>
      </c>
      <c r="E24" s="16">
        <v>175000</v>
      </c>
      <c r="F24" s="16">
        <f t="shared" si="0"/>
        <v>187500</v>
      </c>
      <c r="G24" s="16"/>
      <c r="H24" s="16"/>
      <c r="I24" s="16"/>
      <c r="J24" s="16"/>
      <c r="K24" s="16"/>
      <c r="L24" s="16"/>
      <c r="M24" s="16">
        <f t="shared" si="1"/>
        <v>187500</v>
      </c>
      <c r="N24" s="16"/>
      <c r="O24" s="16"/>
      <c r="P24" s="16"/>
    </row>
    <row r="25" spans="1:16" x14ac:dyDescent="0.3">
      <c r="A25" s="15">
        <v>18</v>
      </c>
      <c r="B25" s="15" t="s">
        <v>70</v>
      </c>
      <c r="C25" s="15" t="s">
        <v>373</v>
      </c>
      <c r="D25" s="16">
        <v>200000</v>
      </c>
      <c r="E25" s="16">
        <v>175000</v>
      </c>
      <c r="F25" s="16">
        <f t="shared" si="0"/>
        <v>187500</v>
      </c>
      <c r="G25" s="16"/>
      <c r="H25" s="16"/>
      <c r="I25" s="16"/>
      <c r="J25" s="16"/>
      <c r="K25" s="16"/>
      <c r="L25" s="16"/>
      <c r="M25" s="16">
        <f t="shared" si="1"/>
        <v>187500</v>
      </c>
      <c r="N25" s="16"/>
      <c r="O25" s="16"/>
      <c r="P25" s="16"/>
    </row>
    <row r="26" spans="1:16" x14ac:dyDescent="0.3">
      <c r="A26" s="15">
        <v>19</v>
      </c>
      <c r="B26" s="15" t="s">
        <v>70</v>
      </c>
      <c r="C26" s="15" t="s">
        <v>373</v>
      </c>
      <c r="D26" s="16">
        <v>200000</v>
      </c>
      <c r="E26" s="16">
        <v>175000</v>
      </c>
      <c r="F26" s="16">
        <f t="shared" si="0"/>
        <v>187500</v>
      </c>
      <c r="G26" s="16"/>
      <c r="H26" s="16"/>
      <c r="I26" s="16"/>
      <c r="J26" s="16"/>
      <c r="K26" s="16"/>
      <c r="L26" s="16"/>
      <c r="M26" s="16">
        <f t="shared" si="1"/>
        <v>187500</v>
      </c>
      <c r="N26" s="16"/>
      <c r="O26" s="16"/>
      <c r="P26" s="16"/>
    </row>
    <row r="27" spans="1:16" x14ac:dyDescent="0.3">
      <c r="A27" s="15">
        <v>20</v>
      </c>
      <c r="B27" s="15" t="s">
        <v>70</v>
      </c>
      <c r="C27" s="15" t="s">
        <v>373</v>
      </c>
      <c r="D27" s="16">
        <v>200000</v>
      </c>
      <c r="E27" s="16">
        <v>175000</v>
      </c>
      <c r="F27" s="16">
        <f t="shared" si="0"/>
        <v>187500</v>
      </c>
      <c r="G27" s="16"/>
      <c r="H27" s="16"/>
      <c r="I27" s="16"/>
      <c r="J27" s="16"/>
      <c r="K27" s="16"/>
      <c r="L27" s="16"/>
      <c r="M27" s="16">
        <f t="shared" si="1"/>
        <v>187500</v>
      </c>
      <c r="N27" s="16"/>
      <c r="O27" s="16"/>
      <c r="P27" s="16"/>
    </row>
    <row r="28" spans="1:16" x14ac:dyDescent="0.3">
      <c r="A28" s="15">
        <v>21</v>
      </c>
      <c r="B28" s="15" t="s">
        <v>71</v>
      </c>
      <c r="C28" s="15" t="s">
        <v>373</v>
      </c>
      <c r="D28" s="16">
        <v>5000</v>
      </c>
      <c r="E28" s="16">
        <v>10000</v>
      </c>
      <c r="F28" s="16">
        <f t="shared" si="0"/>
        <v>7500</v>
      </c>
      <c r="G28" s="16"/>
      <c r="H28" s="16"/>
      <c r="I28" s="16"/>
      <c r="J28" s="16"/>
      <c r="K28" s="16"/>
      <c r="L28" s="16"/>
      <c r="M28" s="16">
        <f t="shared" si="1"/>
        <v>7500</v>
      </c>
      <c r="N28" s="16"/>
      <c r="O28" s="16"/>
      <c r="P28" s="16"/>
    </row>
    <row r="29" spans="1:16" x14ac:dyDescent="0.3">
      <c r="A29" s="15">
        <v>22</v>
      </c>
      <c r="B29" s="15" t="s">
        <v>72</v>
      </c>
      <c r="C29" s="15" t="s">
        <v>373</v>
      </c>
      <c r="D29" s="16">
        <v>100000</v>
      </c>
      <c r="E29" s="16">
        <v>175000</v>
      </c>
      <c r="F29" s="16">
        <f t="shared" si="0"/>
        <v>137500</v>
      </c>
      <c r="G29" s="16"/>
      <c r="H29" s="16"/>
      <c r="I29" s="16"/>
      <c r="J29" s="16"/>
      <c r="K29" s="16"/>
      <c r="L29" s="16"/>
      <c r="M29" s="16">
        <f t="shared" si="1"/>
        <v>137500</v>
      </c>
      <c r="N29" s="16"/>
      <c r="O29" s="16"/>
      <c r="P29" s="16"/>
    </row>
    <row r="30" spans="1:16" x14ac:dyDescent="0.3">
      <c r="A30" s="15">
        <v>23</v>
      </c>
      <c r="B30" s="15" t="s">
        <v>73</v>
      </c>
      <c r="C30" s="15" t="s">
        <v>373</v>
      </c>
      <c r="D30" s="16">
        <v>200000</v>
      </c>
      <c r="E30" s="16">
        <v>20000</v>
      </c>
      <c r="F30" s="16">
        <f t="shared" si="0"/>
        <v>110000</v>
      </c>
      <c r="G30" s="16"/>
      <c r="H30" s="16"/>
      <c r="I30" s="16"/>
      <c r="J30" s="16"/>
      <c r="K30" s="16"/>
      <c r="L30" s="16"/>
      <c r="M30" s="16">
        <f t="shared" si="1"/>
        <v>110000</v>
      </c>
      <c r="N30" s="16"/>
      <c r="O30" s="16"/>
      <c r="P30" s="16"/>
    </row>
    <row r="31" spans="1:16" x14ac:dyDescent="0.3">
      <c r="A31" s="15">
        <v>24</v>
      </c>
      <c r="B31" s="15" t="s">
        <v>74</v>
      </c>
      <c r="C31" s="15" t="s">
        <v>373</v>
      </c>
      <c r="D31" s="16">
        <v>50000</v>
      </c>
      <c r="E31" s="16">
        <v>75000</v>
      </c>
      <c r="F31" s="16">
        <f t="shared" si="0"/>
        <v>62500</v>
      </c>
      <c r="G31" s="16"/>
      <c r="H31" s="16"/>
      <c r="I31" s="16"/>
      <c r="J31" s="16"/>
      <c r="K31" s="16"/>
      <c r="L31" s="16"/>
      <c r="M31" s="16">
        <f t="shared" si="1"/>
        <v>62500</v>
      </c>
      <c r="N31" s="16"/>
      <c r="O31" s="16"/>
      <c r="P31" s="16"/>
    </row>
    <row r="32" spans="1:16" x14ac:dyDescent="0.3">
      <c r="A32" s="15">
        <v>25</v>
      </c>
      <c r="B32" s="15" t="s">
        <v>75</v>
      </c>
      <c r="C32" s="15" t="s">
        <v>373</v>
      </c>
      <c r="D32" s="16">
        <v>150000</v>
      </c>
      <c r="E32" s="16">
        <v>200000</v>
      </c>
      <c r="F32" s="16">
        <f t="shared" si="0"/>
        <v>175000</v>
      </c>
      <c r="G32" s="16"/>
      <c r="H32" s="16"/>
      <c r="I32" s="16"/>
      <c r="J32" s="16"/>
      <c r="K32" s="16"/>
      <c r="L32" s="16"/>
      <c r="M32" s="16">
        <f t="shared" si="1"/>
        <v>175000</v>
      </c>
      <c r="N32" s="16"/>
      <c r="O32" s="16"/>
      <c r="P32" s="16"/>
    </row>
    <row r="33" spans="1:16" x14ac:dyDescent="0.3">
      <c r="A33" s="15">
        <v>26</v>
      </c>
      <c r="B33" s="15" t="s">
        <v>76</v>
      </c>
      <c r="C33" s="15" t="s">
        <v>373</v>
      </c>
      <c r="D33" s="16">
        <v>350000</v>
      </c>
      <c r="E33" s="16">
        <v>200000</v>
      </c>
      <c r="F33" s="16">
        <f t="shared" si="0"/>
        <v>275000</v>
      </c>
      <c r="G33" s="16"/>
      <c r="H33" s="16"/>
      <c r="I33" s="16"/>
      <c r="J33" s="16"/>
      <c r="K33" s="16"/>
      <c r="L33" s="16"/>
      <c r="M33" s="16">
        <f t="shared" si="1"/>
        <v>275000</v>
      </c>
      <c r="N33" s="16"/>
      <c r="O33" s="16"/>
      <c r="P33" s="16"/>
    </row>
    <row r="34" spans="1:16" x14ac:dyDescent="0.3">
      <c r="A34" s="15">
        <v>27</v>
      </c>
      <c r="B34" s="15" t="s">
        <v>77</v>
      </c>
      <c r="C34" s="15" t="s">
        <v>373</v>
      </c>
      <c r="D34" s="16">
        <v>100000</v>
      </c>
      <c r="E34" s="16">
        <v>50000</v>
      </c>
      <c r="F34" s="16">
        <f t="shared" si="0"/>
        <v>75000</v>
      </c>
      <c r="G34" s="16"/>
      <c r="H34" s="16"/>
      <c r="I34" s="16"/>
      <c r="J34" s="16"/>
      <c r="K34" s="16"/>
      <c r="L34" s="16"/>
      <c r="M34" s="16">
        <f t="shared" si="1"/>
        <v>75000</v>
      </c>
      <c r="N34" s="16"/>
      <c r="O34" s="16"/>
      <c r="P34" s="16"/>
    </row>
    <row r="35" spans="1:16" x14ac:dyDescent="0.3">
      <c r="A35" s="15">
        <v>28</v>
      </c>
      <c r="B35" s="15" t="s">
        <v>77</v>
      </c>
      <c r="C35" s="15" t="s">
        <v>373</v>
      </c>
      <c r="D35" s="16">
        <v>100000</v>
      </c>
      <c r="E35" s="16">
        <v>50000</v>
      </c>
      <c r="F35" s="16">
        <f t="shared" si="0"/>
        <v>75000</v>
      </c>
      <c r="G35" s="16"/>
      <c r="H35" s="16"/>
      <c r="I35" s="16"/>
      <c r="J35" s="16"/>
      <c r="K35" s="16"/>
      <c r="L35" s="16"/>
      <c r="M35" s="16">
        <f t="shared" si="1"/>
        <v>75000</v>
      </c>
      <c r="N35" s="16"/>
      <c r="O35" s="16"/>
      <c r="P35" s="16"/>
    </row>
    <row r="36" spans="1:16" x14ac:dyDescent="0.3">
      <c r="A36" s="15">
        <v>29</v>
      </c>
      <c r="B36" s="15" t="s">
        <v>78</v>
      </c>
      <c r="C36" s="15" t="s">
        <v>373</v>
      </c>
      <c r="D36" s="16">
        <v>100000</v>
      </c>
      <c r="E36" s="16">
        <v>100000</v>
      </c>
      <c r="F36" s="16">
        <f t="shared" si="0"/>
        <v>100000</v>
      </c>
      <c r="G36" s="16"/>
      <c r="H36" s="16"/>
      <c r="I36" s="16"/>
      <c r="J36" s="16"/>
      <c r="K36" s="16"/>
      <c r="L36" s="16"/>
      <c r="M36" s="16">
        <f t="shared" si="1"/>
        <v>100000</v>
      </c>
      <c r="N36" s="16"/>
      <c r="O36" s="16"/>
      <c r="P36" s="16"/>
    </row>
    <row r="37" spans="1:16" x14ac:dyDescent="0.3">
      <c r="A37" s="15">
        <v>30</v>
      </c>
      <c r="B37" s="15" t="s">
        <v>79</v>
      </c>
      <c r="C37" s="15" t="s">
        <v>373</v>
      </c>
      <c r="D37" s="16">
        <v>750000</v>
      </c>
      <c r="E37" s="16">
        <v>500000</v>
      </c>
      <c r="F37" s="16">
        <f t="shared" si="0"/>
        <v>625000</v>
      </c>
      <c r="G37" s="16"/>
      <c r="H37" s="16"/>
      <c r="I37" s="16"/>
      <c r="J37" s="16"/>
      <c r="K37" s="16"/>
      <c r="L37" s="16"/>
      <c r="M37" s="16">
        <f t="shared" si="1"/>
        <v>625000</v>
      </c>
      <c r="N37" s="16"/>
      <c r="O37" s="16"/>
      <c r="P37" s="16"/>
    </row>
    <row r="38" spans="1:16" x14ac:dyDescent="0.3">
      <c r="A38" s="15">
        <v>31</v>
      </c>
      <c r="B38" s="15" t="s">
        <v>80</v>
      </c>
      <c r="C38" s="15" t="s">
        <v>374</v>
      </c>
      <c r="D38" s="16">
        <v>10000</v>
      </c>
      <c r="E38" s="16">
        <v>25000</v>
      </c>
      <c r="F38" s="16">
        <f t="shared" si="0"/>
        <v>17500</v>
      </c>
      <c r="G38" s="16"/>
      <c r="H38" s="16"/>
      <c r="I38" s="16"/>
      <c r="J38" s="16"/>
      <c r="K38" s="16"/>
      <c r="L38" s="16"/>
      <c r="M38" s="16">
        <f t="shared" si="1"/>
        <v>17500</v>
      </c>
      <c r="N38" s="16"/>
      <c r="O38" s="16"/>
      <c r="P38" s="16"/>
    </row>
    <row r="39" spans="1:16" x14ac:dyDescent="0.3">
      <c r="A39" s="15">
        <v>32</v>
      </c>
      <c r="B39" s="15" t="s">
        <v>81</v>
      </c>
      <c r="C39" s="15" t="s">
        <v>373</v>
      </c>
      <c r="D39" s="16">
        <v>150000</v>
      </c>
      <c r="E39" s="16">
        <v>100000</v>
      </c>
      <c r="F39" s="16">
        <f t="shared" si="0"/>
        <v>125000</v>
      </c>
      <c r="G39" s="16"/>
      <c r="H39" s="16"/>
      <c r="I39" s="16"/>
      <c r="J39" s="16"/>
      <c r="K39" s="16"/>
      <c r="L39" s="16"/>
      <c r="M39" s="16">
        <f t="shared" si="1"/>
        <v>125000</v>
      </c>
      <c r="N39" s="16"/>
      <c r="O39" s="16"/>
      <c r="P39" s="16"/>
    </row>
    <row r="40" spans="1:16" x14ac:dyDescent="0.3">
      <c r="A40" s="15">
        <v>33</v>
      </c>
      <c r="B40" s="15" t="s">
        <v>81</v>
      </c>
      <c r="C40" s="15" t="s">
        <v>373</v>
      </c>
      <c r="D40" s="16">
        <v>150000</v>
      </c>
      <c r="E40" s="16">
        <v>100000</v>
      </c>
      <c r="F40" s="16">
        <f t="shared" si="0"/>
        <v>125000</v>
      </c>
      <c r="G40" s="16"/>
      <c r="H40" s="16"/>
      <c r="I40" s="16"/>
      <c r="J40" s="16"/>
      <c r="K40" s="16"/>
      <c r="L40" s="16"/>
      <c r="M40" s="16">
        <f t="shared" si="1"/>
        <v>125000</v>
      </c>
      <c r="N40" s="16"/>
      <c r="O40" s="16"/>
      <c r="P40" s="16"/>
    </row>
    <row r="41" spans="1:16" x14ac:dyDescent="0.3">
      <c r="A41" s="15">
        <v>34</v>
      </c>
      <c r="B41" s="15" t="s">
        <v>82</v>
      </c>
      <c r="C41" s="15" t="s">
        <v>373</v>
      </c>
      <c r="D41" s="16">
        <v>50000</v>
      </c>
      <c r="E41" s="16">
        <v>25000</v>
      </c>
      <c r="F41" s="16">
        <f t="shared" si="0"/>
        <v>37500</v>
      </c>
      <c r="G41" s="16"/>
      <c r="H41" s="16"/>
      <c r="I41" s="16"/>
      <c r="J41" s="16"/>
      <c r="K41" s="16"/>
      <c r="L41" s="16"/>
      <c r="M41" s="16">
        <f t="shared" si="1"/>
        <v>37500</v>
      </c>
      <c r="N41" s="16"/>
      <c r="O41" s="16"/>
      <c r="P41" s="16"/>
    </row>
    <row r="42" spans="1:16" x14ac:dyDescent="0.3">
      <c r="A42" s="15">
        <v>35</v>
      </c>
      <c r="B42" s="15" t="s">
        <v>83</v>
      </c>
      <c r="C42" s="15" t="s">
        <v>357</v>
      </c>
      <c r="D42" s="16">
        <v>0</v>
      </c>
      <c r="E42" s="16">
        <v>0</v>
      </c>
      <c r="F42" s="16">
        <f t="shared" si="0"/>
        <v>0</v>
      </c>
      <c r="G42" s="16"/>
      <c r="H42" s="16"/>
      <c r="I42" s="16"/>
      <c r="J42" s="16"/>
      <c r="K42" s="16"/>
      <c r="L42" s="16"/>
      <c r="M42" s="16">
        <f t="shared" si="1"/>
        <v>0</v>
      </c>
      <c r="N42" s="16"/>
      <c r="O42" s="16"/>
      <c r="P42" s="16"/>
    </row>
    <row r="43" spans="1:16" x14ac:dyDescent="0.3">
      <c r="A43" s="15">
        <v>36</v>
      </c>
      <c r="B43" s="15" t="s">
        <v>84</v>
      </c>
      <c r="C43" s="15" t="s">
        <v>373</v>
      </c>
      <c r="D43" s="16">
        <v>25000</v>
      </c>
      <c r="E43" s="16">
        <v>25000</v>
      </c>
      <c r="F43" s="16">
        <f t="shared" si="0"/>
        <v>25000</v>
      </c>
      <c r="G43" s="16"/>
      <c r="H43" s="16"/>
      <c r="I43" s="16"/>
      <c r="J43" s="16"/>
      <c r="K43" s="16"/>
      <c r="L43" s="16"/>
      <c r="M43" s="16">
        <f t="shared" si="1"/>
        <v>25000</v>
      </c>
      <c r="N43" s="16"/>
      <c r="O43" s="16"/>
      <c r="P43" s="16"/>
    </row>
    <row r="44" spans="1:16" x14ac:dyDescent="0.3">
      <c r="A44" s="15">
        <v>37</v>
      </c>
      <c r="B44" s="15" t="s">
        <v>85</v>
      </c>
      <c r="C44" s="15" t="s">
        <v>374</v>
      </c>
      <c r="D44" s="16">
        <v>50000</v>
      </c>
      <c r="E44" s="16">
        <v>25000</v>
      </c>
      <c r="F44" s="16">
        <f t="shared" si="0"/>
        <v>37500</v>
      </c>
      <c r="G44" s="16"/>
      <c r="H44" s="16"/>
      <c r="I44" s="16"/>
      <c r="J44" s="16"/>
      <c r="K44" s="16"/>
      <c r="L44" s="16"/>
      <c r="M44" s="16">
        <f t="shared" si="1"/>
        <v>37500</v>
      </c>
      <c r="N44" s="16"/>
      <c r="O44" s="16"/>
      <c r="P44" s="16"/>
    </row>
    <row r="45" spans="1:16" x14ac:dyDescent="0.3">
      <c r="A45" s="15">
        <v>38</v>
      </c>
      <c r="B45" s="15" t="s">
        <v>86</v>
      </c>
      <c r="C45" s="15" t="s">
        <v>374</v>
      </c>
      <c r="D45" s="16">
        <v>50000</v>
      </c>
      <c r="E45" s="16">
        <v>250000</v>
      </c>
      <c r="F45" s="16">
        <f t="shared" si="0"/>
        <v>150000</v>
      </c>
      <c r="G45" s="16"/>
      <c r="H45" s="16"/>
      <c r="I45" s="16"/>
      <c r="J45" s="16"/>
      <c r="K45" s="16"/>
      <c r="L45" s="16"/>
      <c r="M45" s="16">
        <f t="shared" si="1"/>
        <v>150000</v>
      </c>
      <c r="N45" s="16"/>
      <c r="O45" s="16"/>
      <c r="P45" s="16"/>
    </row>
    <row r="46" spans="1:16" x14ac:dyDescent="0.3">
      <c r="A46" s="15">
        <v>39</v>
      </c>
      <c r="B46" s="15" t="s">
        <v>87</v>
      </c>
      <c r="C46" s="15" t="s">
        <v>373</v>
      </c>
      <c r="D46" s="16">
        <v>50000</v>
      </c>
      <c r="E46" s="16">
        <v>50000</v>
      </c>
      <c r="F46" s="16">
        <f t="shared" si="0"/>
        <v>50000</v>
      </c>
      <c r="G46" s="16"/>
      <c r="H46" s="16"/>
      <c r="I46" s="16"/>
      <c r="J46" s="16"/>
      <c r="K46" s="16"/>
      <c r="L46" s="16"/>
      <c r="M46" s="16">
        <f t="shared" si="1"/>
        <v>50000</v>
      </c>
      <c r="N46" s="16"/>
      <c r="O46" s="16"/>
      <c r="P46" s="16"/>
    </row>
    <row r="47" spans="1:16" x14ac:dyDescent="0.3">
      <c r="A47" s="15">
        <v>40</v>
      </c>
      <c r="B47" s="15" t="s">
        <v>88</v>
      </c>
      <c r="C47" s="15" t="s">
        <v>373</v>
      </c>
      <c r="D47" s="16">
        <v>50000</v>
      </c>
      <c r="E47" s="16">
        <v>25000</v>
      </c>
      <c r="F47" s="16">
        <f t="shared" si="0"/>
        <v>37500</v>
      </c>
      <c r="G47" s="16"/>
      <c r="H47" s="16"/>
      <c r="I47" s="16"/>
      <c r="J47" s="16"/>
      <c r="K47" s="16"/>
      <c r="L47" s="16"/>
      <c r="M47" s="16">
        <f t="shared" si="1"/>
        <v>37500</v>
      </c>
      <c r="N47" s="16"/>
      <c r="O47" s="16"/>
      <c r="P47" s="16"/>
    </row>
    <row r="48" spans="1:16" x14ac:dyDescent="0.3">
      <c r="A48" s="15">
        <v>41</v>
      </c>
      <c r="B48" s="15" t="s">
        <v>89</v>
      </c>
      <c r="C48" s="15" t="s">
        <v>373</v>
      </c>
      <c r="D48" s="16">
        <v>50000</v>
      </c>
      <c r="E48" s="16">
        <v>25000</v>
      </c>
      <c r="F48" s="16">
        <f t="shared" si="0"/>
        <v>37500</v>
      </c>
      <c r="G48" s="16"/>
      <c r="H48" s="16"/>
      <c r="I48" s="16"/>
      <c r="J48" s="16"/>
      <c r="K48" s="16"/>
      <c r="L48" s="16"/>
      <c r="M48" s="16">
        <f t="shared" si="1"/>
        <v>37500</v>
      </c>
      <c r="N48" s="16"/>
      <c r="O48" s="16"/>
      <c r="P48" s="16"/>
    </row>
    <row r="49" spans="1:16" x14ac:dyDescent="0.3">
      <c r="A49" s="15">
        <v>42</v>
      </c>
      <c r="B49" s="15" t="s">
        <v>90</v>
      </c>
      <c r="C49" s="15" t="s">
        <v>373</v>
      </c>
      <c r="D49" s="16">
        <v>150000</v>
      </c>
      <c r="E49" s="16">
        <v>200000</v>
      </c>
      <c r="F49" s="16">
        <f t="shared" si="0"/>
        <v>175000</v>
      </c>
      <c r="G49" s="16"/>
      <c r="H49" s="16"/>
      <c r="I49" s="16"/>
      <c r="J49" s="16"/>
      <c r="K49" s="16"/>
      <c r="L49" s="16"/>
      <c r="M49" s="16">
        <f t="shared" si="1"/>
        <v>175000</v>
      </c>
      <c r="N49" s="16"/>
      <c r="O49" s="16"/>
      <c r="P49" s="16"/>
    </row>
    <row r="50" spans="1:16" x14ac:dyDescent="0.3">
      <c r="A50" s="15">
        <v>43</v>
      </c>
      <c r="B50" s="15" t="s">
        <v>107</v>
      </c>
      <c r="C50" s="15" t="s">
        <v>373</v>
      </c>
      <c r="D50" s="16">
        <v>50000</v>
      </c>
      <c r="E50" s="16">
        <v>50000</v>
      </c>
      <c r="F50" s="16">
        <f t="shared" si="0"/>
        <v>50000</v>
      </c>
      <c r="G50" s="16"/>
      <c r="H50" s="16"/>
      <c r="I50" s="16"/>
      <c r="J50" s="16"/>
      <c r="K50" s="16"/>
      <c r="L50" s="16"/>
      <c r="M50" s="16">
        <f t="shared" si="1"/>
        <v>50000</v>
      </c>
      <c r="N50" s="16"/>
      <c r="O50" s="16"/>
      <c r="P50" s="16"/>
    </row>
    <row r="51" spans="1:16" x14ac:dyDescent="0.3">
      <c r="A51" s="15">
        <v>44</v>
      </c>
      <c r="B51" s="15" t="s">
        <v>107</v>
      </c>
      <c r="C51" s="15" t="s">
        <v>373</v>
      </c>
      <c r="D51" s="16">
        <v>50000</v>
      </c>
      <c r="E51" s="16">
        <v>50000</v>
      </c>
      <c r="F51" s="16">
        <f t="shared" si="0"/>
        <v>50000</v>
      </c>
      <c r="G51" s="16"/>
      <c r="H51" s="16"/>
      <c r="I51" s="16"/>
      <c r="J51" s="16"/>
      <c r="K51" s="16"/>
      <c r="L51" s="16"/>
      <c r="M51" s="16">
        <f t="shared" si="1"/>
        <v>50000</v>
      </c>
      <c r="N51" s="16"/>
      <c r="O51" s="16"/>
      <c r="P51" s="16"/>
    </row>
    <row r="52" spans="1:16" x14ac:dyDescent="0.3">
      <c r="A52" s="15">
        <v>45</v>
      </c>
      <c r="B52" s="15" t="s">
        <v>107</v>
      </c>
      <c r="C52" s="15" t="s">
        <v>373</v>
      </c>
      <c r="D52" s="16">
        <v>50000</v>
      </c>
      <c r="E52" s="16">
        <v>50000</v>
      </c>
      <c r="F52" s="16">
        <f t="shared" si="0"/>
        <v>50000</v>
      </c>
      <c r="G52" s="16"/>
      <c r="H52" s="16"/>
      <c r="I52" s="16"/>
      <c r="J52" s="16"/>
      <c r="K52" s="16"/>
      <c r="L52" s="16"/>
      <c r="M52" s="16">
        <f t="shared" si="1"/>
        <v>50000</v>
      </c>
      <c r="N52" s="16"/>
      <c r="O52" s="16"/>
      <c r="P52" s="16"/>
    </row>
    <row r="53" spans="1:16" x14ac:dyDescent="0.3">
      <c r="A53" s="15">
        <v>46</v>
      </c>
      <c r="B53" s="15" t="s">
        <v>107</v>
      </c>
      <c r="C53" s="15" t="s">
        <v>373</v>
      </c>
      <c r="D53" s="16">
        <v>50000</v>
      </c>
      <c r="E53" s="16">
        <v>50000</v>
      </c>
      <c r="F53" s="16">
        <f t="shared" si="0"/>
        <v>50000</v>
      </c>
      <c r="G53" s="16"/>
      <c r="H53" s="16"/>
      <c r="I53" s="16"/>
      <c r="J53" s="16"/>
      <c r="K53" s="16"/>
      <c r="L53" s="16"/>
      <c r="M53" s="16">
        <f t="shared" si="1"/>
        <v>50000</v>
      </c>
      <c r="N53" s="16"/>
      <c r="O53" s="16"/>
      <c r="P53" s="16"/>
    </row>
    <row r="54" spans="1:16" x14ac:dyDescent="0.3">
      <c r="A54" s="15">
        <v>47</v>
      </c>
      <c r="B54" s="15" t="s">
        <v>107</v>
      </c>
      <c r="C54" s="15" t="s">
        <v>373</v>
      </c>
      <c r="D54" s="16">
        <v>50000</v>
      </c>
      <c r="E54" s="16">
        <v>50000</v>
      </c>
      <c r="F54" s="16">
        <f t="shared" si="0"/>
        <v>50000</v>
      </c>
      <c r="G54" s="16"/>
      <c r="H54" s="16"/>
      <c r="I54" s="16"/>
      <c r="J54" s="16"/>
      <c r="K54" s="16"/>
      <c r="L54" s="16"/>
      <c r="M54" s="16">
        <f t="shared" si="1"/>
        <v>50000</v>
      </c>
      <c r="N54" s="16"/>
      <c r="O54" s="16"/>
      <c r="P54" s="16"/>
    </row>
    <row r="55" spans="1:16" x14ac:dyDescent="0.3">
      <c r="A55" s="15">
        <v>48</v>
      </c>
      <c r="B55" s="15" t="s">
        <v>107</v>
      </c>
      <c r="C55" s="15" t="s">
        <v>373</v>
      </c>
      <c r="D55" s="16">
        <v>50000</v>
      </c>
      <c r="E55" s="16">
        <v>50000</v>
      </c>
      <c r="F55" s="16">
        <f t="shared" si="0"/>
        <v>50000</v>
      </c>
      <c r="G55" s="16"/>
      <c r="H55" s="16"/>
      <c r="I55" s="16"/>
      <c r="J55" s="16"/>
      <c r="K55" s="16"/>
      <c r="L55" s="16"/>
      <c r="M55" s="16">
        <f t="shared" si="1"/>
        <v>50000</v>
      </c>
      <c r="N55" s="16"/>
      <c r="O55" s="16"/>
      <c r="P55" s="16"/>
    </row>
    <row r="56" spans="1:16" x14ac:dyDescent="0.3">
      <c r="A56" s="15">
        <v>49</v>
      </c>
      <c r="B56" s="15" t="s">
        <v>107</v>
      </c>
      <c r="C56" s="15" t="s">
        <v>373</v>
      </c>
      <c r="D56" s="16">
        <v>50000</v>
      </c>
      <c r="E56" s="16">
        <v>50000</v>
      </c>
      <c r="F56" s="16">
        <f t="shared" si="0"/>
        <v>50000</v>
      </c>
      <c r="G56" s="16"/>
      <c r="H56" s="16"/>
      <c r="I56" s="16"/>
      <c r="J56" s="16"/>
      <c r="K56" s="16"/>
      <c r="L56" s="16"/>
      <c r="M56" s="16">
        <f t="shared" si="1"/>
        <v>50000</v>
      </c>
      <c r="N56" s="16"/>
      <c r="O56" s="16"/>
      <c r="P56" s="16"/>
    </row>
    <row r="57" spans="1:16" x14ac:dyDescent="0.3">
      <c r="A57" s="15">
        <v>50</v>
      </c>
      <c r="B57" s="15" t="s">
        <v>107</v>
      </c>
      <c r="C57" s="15" t="s">
        <v>373</v>
      </c>
      <c r="D57" s="16">
        <v>50000</v>
      </c>
      <c r="E57" s="16">
        <v>50000</v>
      </c>
      <c r="F57" s="16">
        <f t="shared" si="0"/>
        <v>50000</v>
      </c>
      <c r="G57" s="16"/>
      <c r="H57" s="16"/>
      <c r="I57" s="16"/>
      <c r="J57" s="16"/>
      <c r="K57" s="16"/>
      <c r="L57" s="16"/>
      <c r="M57" s="16">
        <f t="shared" si="1"/>
        <v>50000</v>
      </c>
      <c r="N57" s="16"/>
      <c r="O57" s="16"/>
      <c r="P57" s="16"/>
    </row>
    <row r="58" spans="1:16" x14ac:dyDescent="0.3">
      <c r="A58" s="15">
        <v>51</v>
      </c>
      <c r="B58" s="15" t="s">
        <v>107</v>
      </c>
      <c r="C58" s="15" t="s">
        <v>373</v>
      </c>
      <c r="D58" s="16">
        <v>50000</v>
      </c>
      <c r="E58" s="16">
        <v>50000</v>
      </c>
      <c r="F58" s="16">
        <f t="shared" si="0"/>
        <v>50000</v>
      </c>
      <c r="G58" s="16"/>
      <c r="H58" s="16"/>
      <c r="I58" s="16"/>
      <c r="J58" s="16"/>
      <c r="K58" s="16"/>
      <c r="L58" s="16"/>
      <c r="M58" s="16">
        <f t="shared" si="1"/>
        <v>50000</v>
      </c>
      <c r="N58" s="16"/>
      <c r="O58" s="16"/>
      <c r="P58" s="16"/>
    </row>
    <row r="59" spans="1:16" x14ac:dyDescent="0.3">
      <c r="A59" s="15">
        <v>52</v>
      </c>
      <c r="B59" s="15" t="s">
        <v>107</v>
      </c>
      <c r="C59" s="15" t="s">
        <v>373</v>
      </c>
      <c r="D59" s="16">
        <v>50000</v>
      </c>
      <c r="E59" s="16">
        <v>50000</v>
      </c>
      <c r="F59" s="16">
        <f t="shared" si="0"/>
        <v>50000</v>
      </c>
      <c r="G59" s="16"/>
      <c r="H59" s="16"/>
      <c r="I59" s="16"/>
      <c r="J59" s="16"/>
      <c r="K59" s="16"/>
      <c r="L59" s="16"/>
      <c r="M59" s="16">
        <f t="shared" si="1"/>
        <v>50000</v>
      </c>
      <c r="N59" s="16"/>
      <c r="O59" s="16"/>
      <c r="P59" s="16"/>
    </row>
    <row r="60" spans="1:16" x14ac:dyDescent="0.3">
      <c r="A60" s="15">
        <v>53</v>
      </c>
      <c r="B60" s="15" t="s">
        <v>107</v>
      </c>
      <c r="C60" s="15" t="s">
        <v>373</v>
      </c>
      <c r="D60" s="16">
        <v>50000</v>
      </c>
      <c r="E60" s="16">
        <v>50000</v>
      </c>
      <c r="F60" s="16">
        <f t="shared" si="0"/>
        <v>50000</v>
      </c>
      <c r="G60" s="16"/>
      <c r="H60" s="16"/>
      <c r="I60" s="16"/>
      <c r="J60" s="16"/>
      <c r="K60" s="16"/>
      <c r="L60" s="16"/>
      <c r="M60" s="16">
        <f t="shared" si="1"/>
        <v>50000</v>
      </c>
      <c r="N60" s="16"/>
      <c r="O60" s="16"/>
      <c r="P60" s="16"/>
    </row>
    <row r="61" spans="1:16" x14ac:dyDescent="0.3">
      <c r="A61" s="15">
        <v>54</v>
      </c>
      <c r="B61" s="15" t="s">
        <v>107</v>
      </c>
      <c r="C61" s="15" t="s">
        <v>373</v>
      </c>
      <c r="D61" s="16">
        <v>50000</v>
      </c>
      <c r="E61" s="16">
        <v>50000</v>
      </c>
      <c r="F61" s="16">
        <f t="shared" si="0"/>
        <v>50000</v>
      </c>
      <c r="G61" s="16"/>
      <c r="H61" s="16"/>
      <c r="I61" s="16"/>
      <c r="J61" s="16"/>
      <c r="K61" s="16"/>
      <c r="L61" s="16"/>
      <c r="M61" s="16">
        <f t="shared" si="1"/>
        <v>50000</v>
      </c>
      <c r="N61" s="16"/>
      <c r="O61" s="16"/>
      <c r="P61" s="16"/>
    </row>
    <row r="62" spans="1:16" x14ac:dyDescent="0.3">
      <c r="A62" s="15">
        <v>55</v>
      </c>
      <c r="B62" s="15" t="s">
        <v>91</v>
      </c>
      <c r="C62" s="15" t="s">
        <v>373</v>
      </c>
      <c r="D62" s="16">
        <v>50000</v>
      </c>
      <c r="E62" s="16">
        <v>50000</v>
      </c>
      <c r="F62" s="16">
        <f t="shared" si="0"/>
        <v>50000</v>
      </c>
      <c r="G62" s="16"/>
      <c r="H62" s="16"/>
      <c r="I62" s="16"/>
      <c r="J62" s="16"/>
      <c r="K62" s="16"/>
      <c r="L62" s="16"/>
      <c r="M62" s="16">
        <f t="shared" si="1"/>
        <v>50000</v>
      </c>
      <c r="N62" s="16"/>
      <c r="O62" s="16"/>
      <c r="P62" s="16"/>
    </row>
    <row r="63" spans="1:16" x14ac:dyDescent="0.3">
      <c r="A63" s="15">
        <v>56</v>
      </c>
      <c r="B63" s="15" t="s">
        <v>92</v>
      </c>
      <c r="C63" s="15" t="s">
        <v>373</v>
      </c>
      <c r="D63" s="16">
        <v>50000</v>
      </c>
      <c r="E63" s="16">
        <v>50000</v>
      </c>
      <c r="F63" s="16">
        <f t="shared" si="0"/>
        <v>50000</v>
      </c>
      <c r="G63" s="16"/>
      <c r="H63" s="16"/>
      <c r="I63" s="16"/>
      <c r="J63" s="16"/>
      <c r="K63" s="16"/>
      <c r="L63" s="16"/>
      <c r="M63" s="16">
        <f t="shared" si="1"/>
        <v>50000</v>
      </c>
      <c r="N63" s="16"/>
      <c r="O63" s="16"/>
      <c r="P63" s="16"/>
    </row>
    <row r="64" spans="1:16" x14ac:dyDescent="0.3">
      <c r="A64" s="15">
        <v>57</v>
      </c>
      <c r="B64" s="15" t="s">
        <v>93</v>
      </c>
      <c r="C64" s="15" t="s">
        <v>373</v>
      </c>
      <c r="D64" s="16">
        <v>50000</v>
      </c>
      <c r="E64" s="16">
        <v>100000</v>
      </c>
      <c r="F64" s="16">
        <f t="shared" si="0"/>
        <v>75000</v>
      </c>
      <c r="G64" s="16"/>
      <c r="H64" s="16"/>
      <c r="I64" s="16"/>
      <c r="J64" s="16"/>
      <c r="K64" s="16"/>
      <c r="L64" s="16"/>
      <c r="M64" s="16">
        <f t="shared" si="1"/>
        <v>75000</v>
      </c>
      <c r="N64" s="16"/>
      <c r="O64" s="16"/>
      <c r="P64" s="16"/>
    </row>
    <row r="65" spans="1:16" x14ac:dyDescent="0.3">
      <c r="A65" s="15">
        <v>58</v>
      </c>
      <c r="B65" s="15" t="s">
        <v>94</v>
      </c>
      <c r="C65" s="15" t="s">
        <v>373</v>
      </c>
      <c r="D65" s="16">
        <v>200000</v>
      </c>
      <c r="E65" s="16">
        <v>200000</v>
      </c>
      <c r="F65" s="16">
        <f t="shared" si="0"/>
        <v>200000</v>
      </c>
      <c r="G65" s="16"/>
      <c r="H65" s="16"/>
      <c r="I65" s="16"/>
      <c r="J65" s="16"/>
      <c r="K65" s="16"/>
      <c r="L65" s="16"/>
      <c r="M65" s="16">
        <f t="shared" si="1"/>
        <v>200000</v>
      </c>
      <c r="N65" s="16"/>
      <c r="O65" s="16"/>
      <c r="P65" s="16"/>
    </row>
    <row r="66" spans="1:16" x14ac:dyDescent="0.3">
      <c r="A66" s="15">
        <v>59</v>
      </c>
      <c r="B66" s="15" t="s">
        <v>95</v>
      </c>
      <c r="C66" s="15" t="s">
        <v>373</v>
      </c>
      <c r="D66" s="16">
        <v>0</v>
      </c>
      <c r="E66" s="16">
        <v>0</v>
      </c>
      <c r="F66" s="16">
        <f t="shared" si="0"/>
        <v>0</v>
      </c>
      <c r="G66" s="16"/>
      <c r="H66" s="16"/>
      <c r="I66" s="16"/>
      <c r="J66" s="16"/>
      <c r="K66" s="16"/>
      <c r="L66" s="16"/>
      <c r="M66" s="16">
        <f t="shared" si="1"/>
        <v>0</v>
      </c>
      <c r="N66" s="16"/>
      <c r="O66" s="16"/>
      <c r="P66" s="16"/>
    </row>
    <row r="67" spans="1:16" x14ac:dyDescent="0.3">
      <c r="A67" s="15">
        <v>60</v>
      </c>
      <c r="B67" s="15" t="s">
        <v>96</v>
      </c>
      <c r="C67" s="15" t="s">
        <v>373</v>
      </c>
      <c r="D67" s="16">
        <v>50000</v>
      </c>
      <c r="E67" s="16">
        <v>25000</v>
      </c>
      <c r="F67" s="16">
        <f t="shared" si="0"/>
        <v>37500</v>
      </c>
      <c r="G67" s="16"/>
      <c r="H67" s="16"/>
      <c r="I67" s="16"/>
      <c r="J67" s="16"/>
      <c r="K67" s="16"/>
      <c r="L67" s="16"/>
      <c r="M67" s="16">
        <f t="shared" si="1"/>
        <v>37500</v>
      </c>
      <c r="N67" s="16"/>
      <c r="O67" s="16"/>
      <c r="P67" s="16"/>
    </row>
    <row r="68" spans="1:16" x14ac:dyDescent="0.3">
      <c r="A68" s="15">
        <v>61</v>
      </c>
      <c r="B68" s="15" t="s">
        <v>97</v>
      </c>
      <c r="C68" s="15" t="s">
        <v>373</v>
      </c>
      <c r="D68" s="16">
        <v>100000</v>
      </c>
      <c r="E68" s="16">
        <v>150000</v>
      </c>
      <c r="F68" s="16">
        <f t="shared" si="0"/>
        <v>125000</v>
      </c>
      <c r="G68" s="16"/>
      <c r="H68" s="16"/>
      <c r="I68" s="16"/>
      <c r="J68" s="16"/>
      <c r="K68" s="16"/>
      <c r="L68" s="16"/>
      <c r="M68" s="16">
        <f t="shared" si="1"/>
        <v>125000</v>
      </c>
      <c r="N68" s="16"/>
      <c r="O68" s="16"/>
      <c r="P68" s="16"/>
    </row>
    <row r="69" spans="1:16" x14ac:dyDescent="0.3">
      <c r="A69" s="15">
        <v>62</v>
      </c>
      <c r="B69" s="15" t="s">
        <v>98</v>
      </c>
      <c r="C69" s="15" t="s">
        <v>374</v>
      </c>
      <c r="D69" s="16">
        <v>50000</v>
      </c>
      <c r="E69" s="16">
        <v>50000</v>
      </c>
      <c r="F69" s="16">
        <f t="shared" si="0"/>
        <v>50000</v>
      </c>
      <c r="G69" s="16"/>
      <c r="H69" s="16"/>
      <c r="I69" s="16"/>
      <c r="J69" s="16"/>
      <c r="K69" s="16"/>
      <c r="L69" s="16"/>
      <c r="M69" s="16">
        <f t="shared" si="1"/>
        <v>50000</v>
      </c>
      <c r="N69" s="16"/>
      <c r="O69" s="16"/>
      <c r="P69" s="16"/>
    </row>
    <row r="70" spans="1:16" x14ac:dyDescent="0.3">
      <c r="A70" s="15">
        <v>63</v>
      </c>
      <c r="B70" s="15" t="s">
        <v>99</v>
      </c>
      <c r="C70" s="15" t="s">
        <v>374</v>
      </c>
      <c r="D70" s="16">
        <v>50000</v>
      </c>
      <c r="E70" s="16">
        <v>50000</v>
      </c>
      <c r="F70" s="16">
        <f t="shared" si="0"/>
        <v>50000</v>
      </c>
      <c r="G70" s="16"/>
      <c r="H70" s="16"/>
      <c r="I70" s="16"/>
      <c r="J70" s="16"/>
      <c r="K70" s="16"/>
      <c r="L70" s="16"/>
      <c r="M70" s="16">
        <f t="shared" si="1"/>
        <v>50000</v>
      </c>
      <c r="N70" s="16"/>
      <c r="O70" s="16"/>
      <c r="P70" s="16"/>
    </row>
    <row r="71" spans="1:16" x14ac:dyDescent="0.3">
      <c r="A71" s="15">
        <v>64</v>
      </c>
      <c r="B71" s="15" t="s">
        <v>100</v>
      </c>
      <c r="C71" s="15" t="s">
        <v>373</v>
      </c>
      <c r="D71" s="16">
        <v>50000</v>
      </c>
      <c r="E71" s="16">
        <v>50000</v>
      </c>
      <c r="F71" s="16">
        <f t="shared" si="0"/>
        <v>50000</v>
      </c>
      <c r="G71" s="16"/>
      <c r="H71" s="16"/>
      <c r="I71" s="16"/>
      <c r="J71" s="16"/>
      <c r="K71" s="16"/>
      <c r="L71" s="16"/>
      <c r="M71" s="16">
        <f t="shared" si="1"/>
        <v>50000</v>
      </c>
      <c r="N71" s="16"/>
      <c r="O71" s="16"/>
      <c r="P71" s="16"/>
    </row>
    <row r="72" spans="1:16" x14ac:dyDescent="0.3">
      <c r="A72" s="15">
        <v>65</v>
      </c>
      <c r="B72" s="15" t="s">
        <v>70</v>
      </c>
      <c r="C72" s="15" t="s">
        <v>373</v>
      </c>
      <c r="D72" s="16">
        <v>200000</v>
      </c>
      <c r="E72" s="16">
        <v>175000</v>
      </c>
      <c r="F72" s="16">
        <f t="shared" si="0"/>
        <v>187500</v>
      </c>
      <c r="G72" s="16"/>
      <c r="H72" s="16"/>
      <c r="I72" s="16"/>
      <c r="J72" s="16"/>
      <c r="K72" s="16"/>
      <c r="L72" s="16"/>
      <c r="M72" s="16">
        <f t="shared" si="1"/>
        <v>187500</v>
      </c>
      <c r="N72" s="16"/>
      <c r="O72" s="16"/>
      <c r="P72" s="16"/>
    </row>
    <row r="73" spans="1:16" x14ac:dyDescent="0.3">
      <c r="A73" s="15">
        <v>66</v>
      </c>
      <c r="B73" s="15" t="s">
        <v>101</v>
      </c>
      <c r="C73" s="15" t="s">
        <v>373</v>
      </c>
      <c r="D73" s="16">
        <v>50000</v>
      </c>
      <c r="E73" s="16">
        <v>100000</v>
      </c>
      <c r="F73" s="16">
        <f t="shared" ref="F73:F78" si="2">AVERAGE(D73:E73)</f>
        <v>75000</v>
      </c>
      <c r="G73" s="16"/>
      <c r="H73" s="16"/>
      <c r="I73" s="16"/>
      <c r="J73" s="16"/>
      <c r="K73" s="16"/>
      <c r="L73" s="16"/>
      <c r="M73" s="16">
        <f t="shared" ref="M73:M78" si="3">F73</f>
        <v>75000</v>
      </c>
      <c r="N73" s="16"/>
      <c r="O73" s="16"/>
      <c r="P73" s="16"/>
    </row>
    <row r="74" spans="1:16" x14ac:dyDescent="0.3">
      <c r="A74" s="15">
        <v>67</v>
      </c>
      <c r="B74" s="15" t="s">
        <v>102</v>
      </c>
      <c r="C74" s="15" t="s">
        <v>373</v>
      </c>
      <c r="D74" s="16">
        <v>50000</v>
      </c>
      <c r="E74" s="16">
        <v>50000</v>
      </c>
      <c r="F74" s="16">
        <f t="shared" si="2"/>
        <v>50000</v>
      </c>
      <c r="G74" s="16"/>
      <c r="H74" s="16"/>
      <c r="I74" s="16"/>
      <c r="J74" s="16"/>
      <c r="K74" s="16"/>
      <c r="L74" s="16"/>
      <c r="M74" s="16">
        <f t="shared" si="3"/>
        <v>50000</v>
      </c>
      <c r="N74" s="16"/>
      <c r="O74" s="16"/>
      <c r="P74" s="16"/>
    </row>
    <row r="75" spans="1:16" x14ac:dyDescent="0.3">
      <c r="A75" s="15">
        <v>68</v>
      </c>
      <c r="B75" s="15" t="s">
        <v>103</v>
      </c>
      <c r="C75" s="15" t="s">
        <v>373</v>
      </c>
      <c r="D75" s="16">
        <v>50000</v>
      </c>
      <c r="E75" s="16">
        <v>125000</v>
      </c>
      <c r="F75" s="16">
        <f t="shared" si="2"/>
        <v>87500</v>
      </c>
      <c r="G75" s="16"/>
      <c r="H75" s="16"/>
      <c r="I75" s="16"/>
      <c r="J75" s="16"/>
      <c r="K75" s="16"/>
      <c r="L75" s="16"/>
      <c r="M75" s="16">
        <f t="shared" si="3"/>
        <v>87500</v>
      </c>
      <c r="N75" s="16"/>
      <c r="O75" s="16"/>
      <c r="P75" s="16"/>
    </row>
    <row r="76" spans="1:16" x14ac:dyDescent="0.3">
      <c r="A76" s="15">
        <v>69</v>
      </c>
      <c r="B76" s="15" t="s">
        <v>104</v>
      </c>
      <c r="C76" s="15" t="s">
        <v>373</v>
      </c>
      <c r="D76" s="16">
        <v>100000</v>
      </c>
      <c r="E76" s="16">
        <v>100000</v>
      </c>
      <c r="F76" s="16">
        <f t="shared" si="2"/>
        <v>100000</v>
      </c>
      <c r="G76" s="16"/>
      <c r="H76" s="16"/>
      <c r="I76" s="16"/>
      <c r="J76" s="16"/>
      <c r="K76" s="16"/>
      <c r="L76" s="16"/>
      <c r="M76" s="16">
        <f t="shared" si="3"/>
        <v>100000</v>
      </c>
      <c r="N76" s="16"/>
      <c r="O76" s="16"/>
      <c r="P76" s="16"/>
    </row>
    <row r="77" spans="1:16" x14ac:dyDescent="0.3">
      <c r="A77" s="15">
        <v>70</v>
      </c>
      <c r="B77" s="15" t="s">
        <v>105</v>
      </c>
      <c r="C77" s="15" t="s">
        <v>373</v>
      </c>
      <c r="D77" s="16">
        <v>100000</v>
      </c>
      <c r="E77" s="16">
        <v>100000</v>
      </c>
      <c r="F77" s="16">
        <f t="shared" si="2"/>
        <v>100000</v>
      </c>
      <c r="G77" s="16"/>
      <c r="H77" s="16"/>
      <c r="I77" s="16"/>
      <c r="J77" s="16"/>
      <c r="K77" s="16"/>
      <c r="L77" s="16"/>
      <c r="M77" s="16">
        <f t="shared" si="3"/>
        <v>100000</v>
      </c>
      <c r="N77" s="16"/>
      <c r="O77" s="16"/>
      <c r="P77" s="16"/>
    </row>
    <row r="78" spans="1:16" x14ac:dyDescent="0.3">
      <c r="A78" s="15">
        <v>71</v>
      </c>
      <c r="B78" s="15" t="s">
        <v>106</v>
      </c>
      <c r="C78" s="15" t="s">
        <v>373</v>
      </c>
      <c r="D78" s="16">
        <v>150000</v>
      </c>
      <c r="E78" s="16">
        <v>0</v>
      </c>
      <c r="F78" s="16">
        <f t="shared" si="2"/>
        <v>75000</v>
      </c>
      <c r="G78" s="16"/>
      <c r="H78" s="16"/>
      <c r="I78" s="16"/>
      <c r="J78" s="16"/>
      <c r="K78" s="16"/>
      <c r="L78" s="16"/>
      <c r="M78" s="16">
        <f t="shared" si="3"/>
        <v>75000</v>
      </c>
      <c r="N78" s="16"/>
      <c r="O78" s="16"/>
      <c r="P78" s="16"/>
    </row>
    <row r="79" spans="1:16" x14ac:dyDescent="0.3">
      <c r="A79" s="19"/>
      <c r="B79" s="20" t="s">
        <v>108</v>
      </c>
      <c r="C79" s="20"/>
      <c r="D79" s="21">
        <f>SUM(D8:D78)</f>
        <v>6200000</v>
      </c>
      <c r="E79" s="21">
        <f>SUM(E8:E78)</f>
        <v>5605000</v>
      </c>
      <c r="F79" s="21">
        <f>SUM(F8:F78)</f>
        <v>5902500</v>
      </c>
      <c r="G79" s="21">
        <f t="shared" ref="G79:P79" si="4">SUM(G8:G78)</f>
        <v>0</v>
      </c>
      <c r="H79" s="21">
        <f t="shared" si="4"/>
        <v>0</v>
      </c>
      <c r="I79" s="21">
        <f t="shared" si="4"/>
        <v>0</v>
      </c>
      <c r="J79" s="21">
        <f t="shared" si="4"/>
        <v>0</v>
      </c>
      <c r="K79" s="21">
        <f t="shared" si="4"/>
        <v>0</v>
      </c>
      <c r="L79" s="21">
        <f t="shared" si="4"/>
        <v>0</v>
      </c>
      <c r="M79" s="21">
        <f t="shared" si="4"/>
        <v>5902500</v>
      </c>
      <c r="N79" s="21">
        <f t="shared" si="4"/>
        <v>0</v>
      </c>
      <c r="O79" s="21">
        <f t="shared" si="4"/>
        <v>0</v>
      </c>
      <c r="P79" s="21">
        <f t="shared" si="4"/>
        <v>0</v>
      </c>
    </row>
  </sheetData>
  <pageMargins left="0.7" right="0.7" top="0.75" bottom="0.75" header="0.3" footer="0.3"/>
  <pageSetup paperSize="9" scale="65" orientation="landscape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C31D-CEA8-4035-A727-23F5B750C7A4}">
  <sheetPr>
    <pageSetUpPr fitToPage="1"/>
  </sheetPr>
  <dimension ref="A1:N128"/>
  <sheetViews>
    <sheetView view="pageBreakPreview" topLeftCell="A94" zoomScale="85" zoomScaleNormal="71" zoomScaleSheetLayoutView="85" workbookViewId="0">
      <selection activeCell="J37" sqref="J37"/>
    </sheetView>
  </sheetViews>
  <sheetFormatPr defaultRowHeight="14.4" x14ac:dyDescent="0.3"/>
  <cols>
    <col min="1" max="1" width="7.33203125" style="11" customWidth="1"/>
    <col min="2" max="2" width="19.44140625" style="11" customWidth="1"/>
    <col min="3" max="3" width="30.77734375" style="11" customWidth="1"/>
    <col min="4" max="4" width="15" style="11" bestFit="1" customWidth="1"/>
    <col min="5" max="5" width="13.88671875" style="11" bestFit="1" customWidth="1"/>
    <col min="6" max="6" width="23.21875" style="11" bestFit="1" customWidth="1"/>
    <col min="7" max="14" width="13.21875" style="11" customWidth="1"/>
    <col min="15" max="16384" width="8.88671875" style="11"/>
  </cols>
  <sheetData>
    <row r="1" spans="1:14" s="12" customFormat="1" x14ac:dyDescent="0.3">
      <c r="L1" s="12" t="s">
        <v>377</v>
      </c>
    </row>
    <row r="2" spans="1:14" s="12" customFormat="1" x14ac:dyDescent="0.3">
      <c r="L2" s="12" t="s">
        <v>382</v>
      </c>
    </row>
    <row r="3" spans="1:14" s="12" customFormat="1" x14ac:dyDescent="0.3">
      <c r="L3" s="12" t="s">
        <v>383</v>
      </c>
    </row>
    <row r="4" spans="1:14" x14ac:dyDescent="0.3">
      <c r="A4" s="22" t="s">
        <v>109</v>
      </c>
      <c r="B4" s="22"/>
    </row>
    <row r="5" spans="1:14" x14ac:dyDescent="0.3">
      <c r="A5" s="22" t="s">
        <v>110</v>
      </c>
      <c r="B5" s="22"/>
    </row>
    <row r="7" spans="1:14" x14ac:dyDescent="0.3">
      <c r="A7" s="17" t="s">
        <v>40</v>
      </c>
      <c r="B7" s="17" t="s">
        <v>111</v>
      </c>
      <c r="C7" s="17" t="s">
        <v>112</v>
      </c>
      <c r="D7" s="17" t="s">
        <v>352</v>
      </c>
      <c r="E7" s="17" t="s">
        <v>353</v>
      </c>
      <c r="F7" s="17" t="s">
        <v>354</v>
      </c>
      <c r="G7" s="18">
        <v>44228</v>
      </c>
      <c r="H7" s="18">
        <v>44256</v>
      </c>
      <c r="I7" s="18">
        <v>44287</v>
      </c>
      <c r="J7" s="18">
        <v>44317</v>
      </c>
      <c r="K7" s="18">
        <v>44348</v>
      </c>
      <c r="L7" s="18">
        <v>44378</v>
      </c>
      <c r="M7" s="18">
        <v>44409</v>
      </c>
      <c r="N7" s="18" t="s">
        <v>108</v>
      </c>
    </row>
    <row r="8" spans="1:14" x14ac:dyDescent="0.3">
      <c r="A8" s="24">
        <v>1</v>
      </c>
      <c r="B8" s="24" t="s">
        <v>113</v>
      </c>
      <c r="C8" s="23" t="s">
        <v>233</v>
      </c>
      <c r="D8" s="25">
        <v>65941000</v>
      </c>
      <c r="E8" s="23" t="s">
        <v>357</v>
      </c>
      <c r="F8" s="23" t="s">
        <v>357</v>
      </c>
      <c r="G8" s="16"/>
      <c r="H8" s="16"/>
      <c r="I8" s="16"/>
      <c r="J8" s="16"/>
      <c r="K8" s="16"/>
      <c r="L8" s="16"/>
      <c r="M8" s="16"/>
      <c r="N8" s="16">
        <f t="shared" ref="N8:N39" si="0">SUM(G8:M8)</f>
        <v>0</v>
      </c>
    </row>
    <row r="9" spans="1:14" x14ac:dyDescent="0.3">
      <c r="A9" s="24">
        <v>2</v>
      </c>
      <c r="B9" s="24" t="s">
        <v>114</v>
      </c>
      <c r="C9" s="23" t="s">
        <v>234</v>
      </c>
      <c r="D9" s="25">
        <v>1400000</v>
      </c>
      <c r="E9" s="23" t="s">
        <v>355</v>
      </c>
      <c r="F9" s="23" t="s">
        <v>361</v>
      </c>
      <c r="G9" s="16"/>
      <c r="H9" s="16"/>
      <c r="I9" s="16"/>
      <c r="J9" s="16"/>
      <c r="K9" s="16"/>
      <c r="L9" s="16"/>
      <c r="M9" s="16"/>
      <c r="N9" s="16">
        <f t="shared" si="0"/>
        <v>0</v>
      </c>
    </row>
    <row r="10" spans="1:14" x14ac:dyDescent="0.3">
      <c r="A10" s="24">
        <v>3</v>
      </c>
      <c r="B10" s="24" t="s">
        <v>115</v>
      </c>
      <c r="C10" s="23" t="s">
        <v>235</v>
      </c>
      <c r="D10" s="25">
        <v>2500000</v>
      </c>
      <c r="E10" s="23" t="s">
        <v>355</v>
      </c>
      <c r="F10" s="23" t="s">
        <v>361</v>
      </c>
      <c r="G10" s="16"/>
      <c r="H10" s="16"/>
      <c r="I10" s="16"/>
      <c r="J10" s="16"/>
      <c r="K10" s="16"/>
      <c r="L10" s="16"/>
      <c r="M10" s="16"/>
      <c r="N10" s="16">
        <f t="shared" si="0"/>
        <v>0</v>
      </c>
    </row>
    <row r="11" spans="1:14" x14ac:dyDescent="0.3">
      <c r="A11" s="24">
        <v>4</v>
      </c>
      <c r="B11" s="24" t="s">
        <v>116</v>
      </c>
      <c r="C11" s="23" t="s">
        <v>236</v>
      </c>
      <c r="D11" s="25">
        <v>981328</v>
      </c>
      <c r="E11" s="23" t="s">
        <v>357</v>
      </c>
      <c r="F11" s="23" t="s">
        <v>357</v>
      </c>
      <c r="G11" s="16"/>
      <c r="H11" s="16"/>
      <c r="I11" s="16"/>
      <c r="J11" s="16"/>
      <c r="K11" s="16"/>
      <c r="L11" s="16"/>
      <c r="M11" s="16"/>
      <c r="N11" s="16">
        <f t="shared" si="0"/>
        <v>0</v>
      </c>
    </row>
    <row r="12" spans="1:14" x14ac:dyDescent="0.3">
      <c r="A12" s="24">
        <v>5</v>
      </c>
      <c r="B12" s="24" t="s">
        <v>117</v>
      </c>
      <c r="C12" s="23" t="s">
        <v>237</v>
      </c>
      <c r="D12" s="25">
        <v>610800</v>
      </c>
      <c r="E12" s="23" t="s">
        <v>357</v>
      </c>
      <c r="F12" s="23" t="s">
        <v>357</v>
      </c>
      <c r="G12" s="16"/>
      <c r="H12" s="16"/>
      <c r="I12" s="16"/>
      <c r="J12" s="16"/>
      <c r="K12" s="16"/>
      <c r="L12" s="16"/>
      <c r="M12" s="16"/>
      <c r="N12" s="16">
        <f t="shared" si="0"/>
        <v>0</v>
      </c>
    </row>
    <row r="13" spans="1:14" x14ac:dyDescent="0.3">
      <c r="A13" s="24">
        <v>6</v>
      </c>
      <c r="B13" s="24" t="s">
        <v>118</v>
      </c>
      <c r="C13" s="23" t="s">
        <v>238</v>
      </c>
      <c r="D13" s="25">
        <v>143760</v>
      </c>
      <c r="E13" s="23" t="s">
        <v>357</v>
      </c>
      <c r="F13" s="23" t="s">
        <v>357</v>
      </c>
      <c r="G13" s="16"/>
      <c r="H13" s="16"/>
      <c r="I13" s="16"/>
      <c r="J13" s="16"/>
      <c r="K13" s="16"/>
      <c r="L13" s="16"/>
      <c r="M13" s="16"/>
      <c r="N13" s="16">
        <f t="shared" si="0"/>
        <v>0</v>
      </c>
    </row>
    <row r="14" spans="1:14" x14ac:dyDescent="0.3">
      <c r="A14" s="24">
        <v>7</v>
      </c>
      <c r="B14" s="24" t="s">
        <v>119</v>
      </c>
      <c r="C14" s="23" t="s">
        <v>239</v>
      </c>
      <c r="D14" s="25">
        <v>900000</v>
      </c>
      <c r="E14" s="23" t="s">
        <v>357</v>
      </c>
      <c r="F14" s="23" t="s">
        <v>357</v>
      </c>
      <c r="G14" s="16"/>
      <c r="H14" s="16"/>
      <c r="I14" s="16"/>
      <c r="J14" s="16"/>
      <c r="K14" s="16"/>
      <c r="L14" s="16"/>
      <c r="M14" s="16"/>
      <c r="N14" s="16">
        <f t="shared" si="0"/>
        <v>0</v>
      </c>
    </row>
    <row r="15" spans="1:14" x14ac:dyDescent="0.3">
      <c r="A15" s="24">
        <v>8</v>
      </c>
      <c r="B15" s="24" t="s">
        <v>120</v>
      </c>
      <c r="C15" s="23" t="s">
        <v>240</v>
      </c>
      <c r="D15" s="25">
        <v>2717002</v>
      </c>
      <c r="E15" s="23" t="s">
        <v>355</v>
      </c>
      <c r="F15" s="23" t="s">
        <v>361</v>
      </c>
      <c r="G15" s="16"/>
      <c r="H15" s="16"/>
      <c r="I15" s="16"/>
      <c r="J15" s="16"/>
      <c r="K15" s="16"/>
      <c r="L15" s="16"/>
      <c r="M15" s="16"/>
      <c r="N15" s="16">
        <f t="shared" si="0"/>
        <v>0</v>
      </c>
    </row>
    <row r="16" spans="1:14" x14ac:dyDescent="0.3">
      <c r="A16" s="24">
        <v>9</v>
      </c>
      <c r="B16" s="24" t="s">
        <v>121</v>
      </c>
      <c r="C16" s="23" t="s">
        <v>241</v>
      </c>
      <c r="D16" s="25">
        <v>2540166</v>
      </c>
      <c r="E16" s="23" t="s">
        <v>357</v>
      </c>
      <c r="F16" s="23" t="s">
        <v>357</v>
      </c>
      <c r="G16" s="16"/>
      <c r="H16" s="16"/>
      <c r="I16" s="16"/>
      <c r="J16" s="16"/>
      <c r="K16" s="16"/>
      <c r="L16" s="16"/>
      <c r="M16" s="16"/>
      <c r="N16" s="16">
        <f t="shared" si="0"/>
        <v>0</v>
      </c>
    </row>
    <row r="17" spans="1:14" x14ac:dyDescent="0.3">
      <c r="A17" s="24">
        <v>10</v>
      </c>
      <c r="B17" s="24" t="s">
        <v>122</v>
      </c>
      <c r="C17" s="23" t="s">
        <v>242</v>
      </c>
      <c r="D17" s="25">
        <v>3750000</v>
      </c>
      <c r="E17" s="23" t="s">
        <v>355</v>
      </c>
      <c r="F17" s="23" t="s">
        <v>361</v>
      </c>
      <c r="G17" s="16"/>
      <c r="H17" s="16"/>
      <c r="I17" s="16"/>
      <c r="J17" s="16"/>
      <c r="K17" s="16"/>
      <c r="L17" s="16"/>
      <c r="M17" s="16"/>
      <c r="N17" s="16">
        <f t="shared" si="0"/>
        <v>0</v>
      </c>
    </row>
    <row r="18" spans="1:14" x14ac:dyDescent="0.3">
      <c r="A18" s="24">
        <v>11</v>
      </c>
      <c r="B18" s="24" t="s">
        <v>123</v>
      </c>
      <c r="C18" s="23" t="s">
        <v>243</v>
      </c>
      <c r="D18" s="25">
        <v>8888880</v>
      </c>
      <c r="E18" s="23" t="s">
        <v>356</v>
      </c>
      <c r="F18" s="23" t="s">
        <v>361</v>
      </c>
      <c r="G18" s="16"/>
      <c r="H18" s="16"/>
      <c r="I18" s="16"/>
      <c r="J18" s="16"/>
      <c r="K18" s="16"/>
      <c r="L18" s="16"/>
      <c r="M18" s="16"/>
      <c r="N18" s="16">
        <f t="shared" si="0"/>
        <v>0</v>
      </c>
    </row>
    <row r="19" spans="1:14" x14ac:dyDescent="0.3">
      <c r="A19" s="24">
        <v>12</v>
      </c>
      <c r="B19" s="24" t="s">
        <v>124</v>
      </c>
      <c r="C19" s="23" t="s">
        <v>244</v>
      </c>
      <c r="D19" s="25">
        <v>3500000</v>
      </c>
      <c r="E19" s="23" t="s">
        <v>355</v>
      </c>
      <c r="F19" s="23" t="s">
        <v>361</v>
      </c>
      <c r="G19" s="16"/>
      <c r="H19" s="16"/>
      <c r="I19" s="16"/>
      <c r="J19" s="16"/>
      <c r="K19" s="16"/>
      <c r="L19" s="16"/>
      <c r="M19" s="16"/>
      <c r="N19" s="16">
        <f t="shared" si="0"/>
        <v>0</v>
      </c>
    </row>
    <row r="20" spans="1:14" x14ac:dyDescent="0.3">
      <c r="A20" s="24">
        <v>13</v>
      </c>
      <c r="B20" s="24" t="s">
        <v>125</v>
      </c>
      <c r="C20" s="23" t="s">
        <v>245</v>
      </c>
      <c r="D20" s="25">
        <v>2083335</v>
      </c>
      <c r="E20" s="23" t="s">
        <v>355</v>
      </c>
      <c r="F20" s="23" t="s">
        <v>361</v>
      </c>
      <c r="G20" s="16"/>
      <c r="H20" s="16"/>
      <c r="I20" s="16"/>
      <c r="J20" s="16"/>
      <c r="K20" s="16"/>
      <c r="L20" s="16"/>
      <c r="M20" s="16"/>
      <c r="N20" s="16">
        <f t="shared" si="0"/>
        <v>0</v>
      </c>
    </row>
    <row r="21" spans="1:14" x14ac:dyDescent="0.3">
      <c r="A21" s="24">
        <v>14</v>
      </c>
      <c r="B21" s="24" t="s">
        <v>126</v>
      </c>
      <c r="C21" s="23" t="s">
        <v>246</v>
      </c>
      <c r="D21" s="25">
        <v>865760</v>
      </c>
      <c r="E21" s="23" t="s">
        <v>358</v>
      </c>
      <c r="F21" s="23" t="s">
        <v>358</v>
      </c>
      <c r="G21" s="16"/>
      <c r="H21" s="16"/>
      <c r="I21" s="16"/>
      <c r="J21" s="16"/>
      <c r="K21" s="16"/>
      <c r="L21" s="16"/>
      <c r="M21" s="16"/>
      <c r="N21" s="16">
        <f t="shared" si="0"/>
        <v>0</v>
      </c>
    </row>
    <row r="22" spans="1:14" x14ac:dyDescent="0.3">
      <c r="A22" s="24">
        <v>15</v>
      </c>
      <c r="B22" s="24" t="s">
        <v>127</v>
      </c>
      <c r="C22" s="23" t="s">
        <v>247</v>
      </c>
      <c r="D22" s="25">
        <v>866560</v>
      </c>
      <c r="E22" s="23" t="s">
        <v>358</v>
      </c>
      <c r="F22" s="23" t="s">
        <v>358</v>
      </c>
      <c r="G22" s="16"/>
      <c r="H22" s="16"/>
      <c r="I22" s="16"/>
      <c r="J22" s="16"/>
      <c r="K22" s="16"/>
      <c r="L22" s="16"/>
      <c r="M22" s="16"/>
      <c r="N22" s="16">
        <f t="shared" si="0"/>
        <v>0</v>
      </c>
    </row>
    <row r="23" spans="1:14" x14ac:dyDescent="0.3">
      <c r="A23" s="24">
        <v>16</v>
      </c>
      <c r="B23" s="24" t="s">
        <v>128</v>
      </c>
      <c r="C23" s="23" t="s">
        <v>248</v>
      </c>
      <c r="D23" s="25">
        <v>6416667</v>
      </c>
      <c r="E23" s="23" t="s">
        <v>355</v>
      </c>
      <c r="F23" s="23" t="s">
        <v>361</v>
      </c>
      <c r="G23" s="16"/>
      <c r="H23" s="16"/>
      <c r="I23" s="16"/>
      <c r="J23" s="16"/>
      <c r="K23" s="16"/>
      <c r="L23" s="16"/>
      <c r="M23" s="16"/>
      <c r="N23" s="16">
        <f t="shared" si="0"/>
        <v>0</v>
      </c>
    </row>
    <row r="24" spans="1:14" x14ac:dyDescent="0.3">
      <c r="A24" s="24">
        <v>17</v>
      </c>
      <c r="B24" s="24" t="s">
        <v>129</v>
      </c>
      <c r="C24" s="23" t="s">
        <v>249</v>
      </c>
      <c r="D24" s="25">
        <v>1500000</v>
      </c>
      <c r="E24" s="23" t="s">
        <v>355</v>
      </c>
      <c r="F24" s="23" t="s">
        <v>361</v>
      </c>
      <c r="G24" s="16"/>
      <c r="H24" s="16"/>
      <c r="I24" s="16"/>
      <c r="J24" s="16"/>
      <c r="K24" s="16"/>
      <c r="L24" s="16"/>
      <c r="M24" s="16"/>
      <c r="N24" s="16">
        <f t="shared" si="0"/>
        <v>0</v>
      </c>
    </row>
    <row r="25" spans="1:14" x14ac:dyDescent="0.3">
      <c r="A25" s="24">
        <v>18</v>
      </c>
      <c r="B25" s="24" t="s">
        <v>130</v>
      </c>
      <c r="C25" s="23" t="s">
        <v>250</v>
      </c>
      <c r="D25" s="25">
        <v>3000002</v>
      </c>
      <c r="E25" s="23" t="s">
        <v>355</v>
      </c>
      <c r="F25" s="23" t="s">
        <v>361</v>
      </c>
      <c r="G25" s="16"/>
      <c r="H25" s="16"/>
      <c r="I25" s="16"/>
      <c r="J25" s="16"/>
      <c r="K25" s="16"/>
      <c r="L25" s="16"/>
      <c r="M25" s="16"/>
      <c r="N25" s="16">
        <f t="shared" si="0"/>
        <v>0</v>
      </c>
    </row>
    <row r="26" spans="1:14" x14ac:dyDescent="0.3">
      <c r="A26" s="24">
        <v>19</v>
      </c>
      <c r="B26" s="24" t="s">
        <v>131</v>
      </c>
      <c r="C26" s="23" t="s">
        <v>251</v>
      </c>
      <c r="D26" s="25">
        <v>1999998</v>
      </c>
      <c r="E26" s="23" t="s">
        <v>355</v>
      </c>
      <c r="F26" s="23" t="s">
        <v>361</v>
      </c>
      <c r="G26" s="16"/>
      <c r="H26" s="16"/>
      <c r="I26" s="16"/>
      <c r="J26" s="16"/>
      <c r="K26" s="16"/>
      <c r="L26" s="16"/>
      <c r="M26" s="16"/>
      <c r="N26" s="16">
        <f t="shared" si="0"/>
        <v>0</v>
      </c>
    </row>
    <row r="27" spans="1:14" x14ac:dyDescent="0.3">
      <c r="A27" s="24">
        <v>20</v>
      </c>
      <c r="B27" s="24" t="s">
        <v>132</v>
      </c>
      <c r="C27" s="23" t="s">
        <v>252</v>
      </c>
      <c r="D27" s="25">
        <v>8333333</v>
      </c>
      <c r="E27" s="23" t="s">
        <v>355</v>
      </c>
      <c r="F27" s="23" t="s">
        <v>362</v>
      </c>
      <c r="G27" s="16"/>
      <c r="H27" s="16"/>
      <c r="I27" s="16"/>
      <c r="J27" s="16"/>
      <c r="K27" s="16"/>
      <c r="L27" s="16"/>
      <c r="M27" s="16"/>
      <c r="N27" s="16">
        <f t="shared" si="0"/>
        <v>0</v>
      </c>
    </row>
    <row r="28" spans="1:14" x14ac:dyDescent="0.3">
      <c r="A28" s="24">
        <v>21</v>
      </c>
      <c r="B28" s="24" t="s">
        <v>133</v>
      </c>
      <c r="C28" s="23" t="s">
        <v>253</v>
      </c>
      <c r="D28" s="25">
        <v>11111119</v>
      </c>
      <c r="E28" s="23" t="s">
        <v>355</v>
      </c>
      <c r="F28" s="23" t="s">
        <v>361</v>
      </c>
      <c r="G28" s="16"/>
      <c r="H28" s="16"/>
      <c r="I28" s="16"/>
      <c r="J28" s="16"/>
      <c r="K28" s="16"/>
      <c r="L28" s="16"/>
      <c r="M28" s="16"/>
      <c r="N28" s="16">
        <f t="shared" si="0"/>
        <v>0</v>
      </c>
    </row>
    <row r="29" spans="1:14" x14ac:dyDescent="0.3">
      <c r="A29" s="24">
        <v>22</v>
      </c>
      <c r="B29" s="24" t="s">
        <v>134</v>
      </c>
      <c r="C29" s="23" t="s">
        <v>254</v>
      </c>
      <c r="D29" s="25">
        <v>26777777</v>
      </c>
      <c r="E29" s="23" t="s">
        <v>356</v>
      </c>
      <c r="F29" s="23" t="s">
        <v>361</v>
      </c>
      <c r="G29" s="16"/>
      <c r="H29" s="16"/>
      <c r="I29" s="16"/>
      <c r="J29" s="16"/>
      <c r="K29" s="16"/>
      <c r="L29" s="16"/>
      <c r="M29" s="16"/>
      <c r="N29" s="16">
        <f t="shared" si="0"/>
        <v>0</v>
      </c>
    </row>
    <row r="30" spans="1:14" x14ac:dyDescent="0.3">
      <c r="A30" s="24">
        <v>23</v>
      </c>
      <c r="B30" s="24" t="s">
        <v>135</v>
      </c>
      <c r="C30" s="23" t="s">
        <v>255</v>
      </c>
      <c r="D30" s="25">
        <v>30555555</v>
      </c>
      <c r="E30" s="23" t="s">
        <v>356</v>
      </c>
      <c r="F30" s="23" t="s">
        <v>361</v>
      </c>
      <c r="G30" s="16"/>
      <c r="H30" s="16"/>
      <c r="I30" s="16"/>
      <c r="J30" s="16"/>
      <c r="K30" s="16"/>
      <c r="L30" s="16"/>
      <c r="M30" s="16"/>
      <c r="N30" s="16">
        <f t="shared" si="0"/>
        <v>0</v>
      </c>
    </row>
    <row r="31" spans="1:14" x14ac:dyDescent="0.3">
      <c r="A31" s="24">
        <v>24</v>
      </c>
      <c r="B31" s="24" t="s">
        <v>136</v>
      </c>
      <c r="C31" s="23" t="s">
        <v>256</v>
      </c>
      <c r="D31" s="25">
        <v>1747212</v>
      </c>
      <c r="E31" s="23" t="s">
        <v>358</v>
      </c>
      <c r="F31" s="23" t="s">
        <v>358</v>
      </c>
      <c r="G31" s="16"/>
      <c r="H31" s="16"/>
      <c r="I31" s="16"/>
      <c r="J31" s="16"/>
      <c r="K31" s="16"/>
      <c r="L31" s="16"/>
      <c r="M31" s="16"/>
      <c r="N31" s="16">
        <f t="shared" si="0"/>
        <v>0</v>
      </c>
    </row>
    <row r="32" spans="1:14" x14ac:dyDescent="0.3">
      <c r="A32" s="24">
        <v>25</v>
      </c>
      <c r="B32" s="24" t="s">
        <v>137</v>
      </c>
      <c r="C32" s="23" t="s">
        <v>257</v>
      </c>
      <c r="D32" s="25">
        <v>45833333</v>
      </c>
      <c r="E32" s="23" t="s">
        <v>356</v>
      </c>
      <c r="F32" s="23" t="s">
        <v>361</v>
      </c>
      <c r="G32" s="16"/>
      <c r="H32" s="16"/>
      <c r="I32" s="16"/>
      <c r="J32" s="16"/>
      <c r="K32" s="16"/>
      <c r="L32" s="16"/>
      <c r="M32" s="16"/>
      <c r="N32" s="16">
        <f t="shared" si="0"/>
        <v>0</v>
      </c>
    </row>
    <row r="33" spans="1:14" x14ac:dyDescent="0.3">
      <c r="A33" s="24">
        <v>26</v>
      </c>
      <c r="B33" s="24" t="s">
        <v>138</v>
      </c>
      <c r="C33" s="23" t="s">
        <v>258</v>
      </c>
      <c r="D33" s="25">
        <v>3820000</v>
      </c>
      <c r="E33" s="23" t="s">
        <v>355</v>
      </c>
      <c r="F33" s="23" t="s">
        <v>361</v>
      </c>
      <c r="G33" s="16"/>
      <c r="H33" s="16"/>
      <c r="I33" s="16"/>
      <c r="J33" s="16"/>
      <c r="K33" s="16"/>
      <c r="L33" s="16"/>
      <c r="M33" s="16"/>
      <c r="N33" s="16">
        <f t="shared" si="0"/>
        <v>0</v>
      </c>
    </row>
    <row r="34" spans="1:14" x14ac:dyDescent="0.3">
      <c r="A34" s="24">
        <v>27</v>
      </c>
      <c r="B34" s="24" t="s">
        <v>139</v>
      </c>
      <c r="C34" s="23" t="s">
        <v>259</v>
      </c>
      <c r="D34" s="25">
        <v>1000000</v>
      </c>
      <c r="E34" s="23" t="s">
        <v>355</v>
      </c>
      <c r="F34" s="23" t="s">
        <v>361</v>
      </c>
      <c r="G34" s="16"/>
      <c r="H34" s="16"/>
      <c r="I34" s="16"/>
      <c r="J34" s="16"/>
      <c r="K34" s="16"/>
      <c r="L34" s="16"/>
      <c r="M34" s="16"/>
      <c r="N34" s="16">
        <f t="shared" si="0"/>
        <v>0</v>
      </c>
    </row>
    <row r="35" spans="1:14" x14ac:dyDescent="0.3">
      <c r="A35" s="24">
        <v>28</v>
      </c>
      <c r="B35" s="24" t="s">
        <v>140</v>
      </c>
      <c r="C35" s="23" t="s">
        <v>260</v>
      </c>
      <c r="D35" s="25">
        <v>3975000</v>
      </c>
      <c r="E35" s="23" t="s">
        <v>355</v>
      </c>
      <c r="F35" s="23" t="s">
        <v>361</v>
      </c>
      <c r="G35" s="16"/>
      <c r="H35" s="16"/>
      <c r="I35" s="16"/>
      <c r="J35" s="16"/>
      <c r="K35" s="16"/>
      <c r="L35" s="16"/>
      <c r="M35" s="16"/>
      <c r="N35" s="16">
        <f t="shared" si="0"/>
        <v>0</v>
      </c>
    </row>
    <row r="36" spans="1:14" x14ac:dyDescent="0.3">
      <c r="A36" s="24">
        <v>29</v>
      </c>
      <c r="B36" s="24" t="s">
        <v>141</v>
      </c>
      <c r="C36" s="23" t="s">
        <v>261</v>
      </c>
      <c r="D36" s="25">
        <v>1705026</v>
      </c>
      <c r="E36" s="23" t="s">
        <v>359</v>
      </c>
      <c r="F36" s="23" t="s">
        <v>361</v>
      </c>
      <c r="G36" s="16"/>
      <c r="H36" s="16"/>
      <c r="I36" s="16"/>
      <c r="J36" s="16"/>
      <c r="K36" s="16"/>
      <c r="L36" s="16"/>
      <c r="M36" s="16"/>
      <c r="N36" s="16">
        <f t="shared" si="0"/>
        <v>0</v>
      </c>
    </row>
    <row r="37" spans="1:14" x14ac:dyDescent="0.3">
      <c r="A37" s="24">
        <v>30</v>
      </c>
      <c r="B37" s="24" t="s">
        <v>142</v>
      </c>
      <c r="C37" s="23" t="s">
        <v>262</v>
      </c>
      <c r="D37" s="25">
        <v>25000000</v>
      </c>
      <c r="E37" s="23" t="s">
        <v>356</v>
      </c>
      <c r="F37" s="23" t="s">
        <v>361</v>
      </c>
      <c r="G37" s="16"/>
      <c r="H37" s="16"/>
      <c r="I37" s="16"/>
      <c r="J37" s="16"/>
      <c r="K37" s="16"/>
      <c r="L37" s="16"/>
      <c r="M37" s="16"/>
      <c r="N37" s="16">
        <f t="shared" si="0"/>
        <v>0</v>
      </c>
    </row>
    <row r="38" spans="1:14" x14ac:dyDescent="0.3">
      <c r="A38" s="24">
        <v>31</v>
      </c>
      <c r="B38" s="24" t="s">
        <v>143</v>
      </c>
      <c r="C38" s="23" t="s">
        <v>263</v>
      </c>
      <c r="D38" s="25">
        <v>20500000</v>
      </c>
      <c r="E38" s="23" t="s">
        <v>356</v>
      </c>
      <c r="F38" s="23" t="s">
        <v>361</v>
      </c>
      <c r="G38" s="16"/>
      <c r="H38" s="16"/>
      <c r="I38" s="16"/>
      <c r="J38" s="16"/>
      <c r="K38" s="16"/>
      <c r="L38" s="16"/>
      <c r="M38" s="16"/>
      <c r="N38" s="16">
        <f t="shared" si="0"/>
        <v>0</v>
      </c>
    </row>
    <row r="39" spans="1:14" x14ac:dyDescent="0.3">
      <c r="A39" s="24">
        <v>32</v>
      </c>
      <c r="B39" s="24" t="s">
        <v>144</v>
      </c>
      <c r="C39" s="23" t="s">
        <v>264</v>
      </c>
      <c r="D39" s="25">
        <v>15668119</v>
      </c>
      <c r="E39" s="23" t="s">
        <v>359</v>
      </c>
      <c r="F39" s="23" t="s">
        <v>361</v>
      </c>
      <c r="G39" s="16"/>
      <c r="H39" s="16"/>
      <c r="I39" s="16"/>
      <c r="J39" s="16"/>
      <c r="K39" s="16"/>
      <c r="L39" s="16"/>
      <c r="M39" s="16"/>
      <c r="N39" s="16">
        <f t="shared" si="0"/>
        <v>0</v>
      </c>
    </row>
    <row r="40" spans="1:14" x14ac:dyDescent="0.3">
      <c r="A40" s="24">
        <v>33</v>
      </c>
      <c r="B40" s="24" t="s">
        <v>145</v>
      </c>
      <c r="C40" s="23" t="s">
        <v>265</v>
      </c>
      <c r="D40" s="25">
        <v>4125243</v>
      </c>
      <c r="E40" s="23" t="s">
        <v>355</v>
      </c>
      <c r="F40" s="23" t="s">
        <v>361</v>
      </c>
      <c r="G40" s="16"/>
      <c r="H40" s="16"/>
      <c r="I40" s="16"/>
      <c r="J40" s="16"/>
      <c r="K40" s="16"/>
      <c r="L40" s="16"/>
      <c r="M40" s="16"/>
      <c r="N40" s="16">
        <f t="shared" ref="N40:N71" si="1">SUM(G40:M40)</f>
        <v>0</v>
      </c>
    </row>
    <row r="41" spans="1:14" x14ac:dyDescent="0.3">
      <c r="A41" s="24">
        <v>34</v>
      </c>
      <c r="B41" s="24" t="s">
        <v>146</v>
      </c>
      <c r="C41" s="23" t="s">
        <v>266</v>
      </c>
      <c r="D41" s="25">
        <v>25556001</v>
      </c>
      <c r="E41" s="23" t="s">
        <v>355</v>
      </c>
      <c r="F41" s="23" t="s">
        <v>361</v>
      </c>
      <c r="G41" s="16"/>
      <c r="H41" s="16"/>
      <c r="I41" s="16"/>
      <c r="J41" s="16"/>
      <c r="K41" s="16"/>
      <c r="L41" s="16"/>
      <c r="M41" s="16"/>
      <c r="N41" s="16">
        <f t="shared" si="1"/>
        <v>0</v>
      </c>
    </row>
    <row r="42" spans="1:14" x14ac:dyDescent="0.3">
      <c r="A42" s="24">
        <v>35</v>
      </c>
      <c r="B42" s="24" t="s">
        <v>147</v>
      </c>
      <c r="C42" s="23" t="s">
        <v>267</v>
      </c>
      <c r="D42" s="25">
        <v>7888889</v>
      </c>
      <c r="E42" s="23" t="s">
        <v>356</v>
      </c>
      <c r="F42" s="23" t="s">
        <v>362</v>
      </c>
      <c r="G42" s="16"/>
      <c r="H42" s="16"/>
      <c r="I42" s="16"/>
      <c r="J42" s="16"/>
      <c r="K42" s="16"/>
      <c r="L42" s="16"/>
      <c r="M42" s="16"/>
      <c r="N42" s="16">
        <f t="shared" si="1"/>
        <v>0</v>
      </c>
    </row>
    <row r="43" spans="1:14" x14ac:dyDescent="0.3">
      <c r="A43" s="24">
        <v>36</v>
      </c>
      <c r="B43" s="24" t="s">
        <v>148</v>
      </c>
      <c r="C43" s="23" t="s">
        <v>268</v>
      </c>
      <c r="D43" s="25">
        <v>31666666</v>
      </c>
      <c r="E43" s="23" t="s">
        <v>355</v>
      </c>
      <c r="F43" s="23" t="s">
        <v>361</v>
      </c>
      <c r="G43" s="16"/>
      <c r="H43" s="16"/>
      <c r="I43" s="16"/>
      <c r="J43" s="16"/>
      <c r="K43" s="16"/>
      <c r="L43" s="16"/>
      <c r="M43" s="16"/>
      <c r="N43" s="16">
        <f t="shared" si="1"/>
        <v>0</v>
      </c>
    </row>
    <row r="44" spans="1:14" x14ac:dyDescent="0.3">
      <c r="A44" s="24">
        <v>37</v>
      </c>
      <c r="B44" s="24" t="s">
        <v>149</v>
      </c>
      <c r="C44" s="23" t="s">
        <v>269</v>
      </c>
      <c r="D44" s="25">
        <v>15235929</v>
      </c>
      <c r="E44" s="23" t="s">
        <v>356</v>
      </c>
      <c r="F44" s="23" t="s">
        <v>361</v>
      </c>
      <c r="G44" s="16"/>
      <c r="H44" s="16"/>
      <c r="I44" s="16"/>
      <c r="J44" s="16"/>
      <c r="K44" s="16"/>
      <c r="L44" s="16"/>
      <c r="M44" s="16"/>
      <c r="N44" s="16">
        <f t="shared" si="1"/>
        <v>0</v>
      </c>
    </row>
    <row r="45" spans="1:14" x14ac:dyDescent="0.3">
      <c r="A45" s="24">
        <v>38</v>
      </c>
      <c r="B45" s="24" t="s">
        <v>150</v>
      </c>
      <c r="C45" s="23" t="s">
        <v>270</v>
      </c>
      <c r="D45" s="25">
        <v>43055556</v>
      </c>
      <c r="E45" s="23" t="s">
        <v>356</v>
      </c>
      <c r="F45" s="23" t="s">
        <v>361</v>
      </c>
      <c r="G45" s="16"/>
      <c r="H45" s="16"/>
      <c r="I45" s="16"/>
      <c r="J45" s="16"/>
      <c r="K45" s="16"/>
      <c r="L45" s="16"/>
      <c r="M45" s="16"/>
      <c r="N45" s="16">
        <f t="shared" si="1"/>
        <v>0</v>
      </c>
    </row>
    <row r="46" spans="1:14" x14ac:dyDescent="0.3">
      <c r="A46" s="24">
        <v>39</v>
      </c>
      <c r="B46" s="24" t="s">
        <v>151</v>
      </c>
      <c r="C46" s="23" t="s">
        <v>271</v>
      </c>
      <c r="D46" s="25">
        <v>13056300</v>
      </c>
      <c r="E46" s="23" t="s">
        <v>359</v>
      </c>
      <c r="F46" s="23" t="s">
        <v>361</v>
      </c>
      <c r="G46" s="16"/>
      <c r="H46" s="16"/>
      <c r="I46" s="16"/>
      <c r="J46" s="16"/>
      <c r="K46" s="16"/>
      <c r="L46" s="16"/>
      <c r="M46" s="16"/>
      <c r="N46" s="16">
        <f t="shared" si="1"/>
        <v>0</v>
      </c>
    </row>
    <row r="47" spans="1:14" x14ac:dyDescent="0.3">
      <c r="A47" s="24">
        <v>40</v>
      </c>
      <c r="B47" s="24" t="s">
        <v>152</v>
      </c>
      <c r="C47" s="23" t="s">
        <v>272</v>
      </c>
      <c r="D47" s="25">
        <v>12372000</v>
      </c>
      <c r="E47" s="23" t="s">
        <v>359</v>
      </c>
      <c r="F47" s="23" t="s">
        <v>361</v>
      </c>
      <c r="G47" s="16"/>
      <c r="H47" s="16"/>
      <c r="I47" s="16"/>
      <c r="J47" s="16"/>
      <c r="K47" s="16"/>
      <c r="L47" s="16"/>
      <c r="M47" s="16"/>
      <c r="N47" s="16">
        <f t="shared" si="1"/>
        <v>0</v>
      </c>
    </row>
    <row r="48" spans="1:14" x14ac:dyDescent="0.3">
      <c r="A48" s="24">
        <v>41</v>
      </c>
      <c r="B48" s="24" t="s">
        <v>153</v>
      </c>
      <c r="C48" s="23" t="s">
        <v>273</v>
      </c>
      <c r="D48" s="25">
        <v>40000000</v>
      </c>
      <c r="E48" s="23" t="s">
        <v>360</v>
      </c>
      <c r="F48" s="23" t="s">
        <v>361</v>
      </c>
      <c r="G48" s="16"/>
      <c r="H48" s="16"/>
      <c r="I48" s="16"/>
      <c r="J48" s="16"/>
      <c r="K48" s="16"/>
      <c r="L48" s="16"/>
      <c r="M48" s="16"/>
      <c r="N48" s="16">
        <f t="shared" si="1"/>
        <v>0</v>
      </c>
    </row>
    <row r="49" spans="1:14" x14ac:dyDescent="0.3">
      <c r="A49" s="24">
        <v>42</v>
      </c>
      <c r="B49" s="24" t="s">
        <v>154</v>
      </c>
      <c r="C49" s="23" t="s">
        <v>274</v>
      </c>
      <c r="D49" s="25">
        <v>421760</v>
      </c>
      <c r="E49" s="23" t="s">
        <v>358</v>
      </c>
      <c r="F49" s="23" t="s">
        <v>358</v>
      </c>
      <c r="G49" s="16"/>
      <c r="H49" s="16"/>
      <c r="I49" s="16"/>
      <c r="J49" s="16"/>
      <c r="K49" s="16"/>
      <c r="L49" s="16"/>
      <c r="M49" s="16"/>
      <c r="N49" s="16">
        <f t="shared" si="1"/>
        <v>0</v>
      </c>
    </row>
    <row r="50" spans="1:14" x14ac:dyDescent="0.3">
      <c r="A50" s="24">
        <v>43</v>
      </c>
      <c r="B50" s="24" t="s">
        <v>155</v>
      </c>
      <c r="C50" s="23" t="s">
        <v>275</v>
      </c>
      <c r="D50" s="25">
        <v>1733120</v>
      </c>
      <c r="E50" s="23" t="s">
        <v>358</v>
      </c>
      <c r="F50" s="23" t="s">
        <v>358</v>
      </c>
      <c r="G50" s="16"/>
      <c r="H50" s="16"/>
      <c r="I50" s="16"/>
      <c r="J50" s="16"/>
      <c r="K50" s="16"/>
      <c r="L50" s="16"/>
      <c r="M50" s="16"/>
      <c r="N50" s="16">
        <f t="shared" si="1"/>
        <v>0</v>
      </c>
    </row>
    <row r="51" spans="1:14" x14ac:dyDescent="0.3">
      <c r="A51" s="24">
        <v>44</v>
      </c>
      <c r="B51" s="24" t="s">
        <v>156</v>
      </c>
      <c r="C51" s="23" t="s">
        <v>276</v>
      </c>
      <c r="D51" s="25">
        <v>1377280</v>
      </c>
      <c r="E51" s="23" t="s">
        <v>358</v>
      </c>
      <c r="F51" s="23" t="s">
        <v>358</v>
      </c>
      <c r="G51" s="16"/>
      <c r="H51" s="16"/>
      <c r="I51" s="16"/>
      <c r="J51" s="16"/>
      <c r="K51" s="16"/>
      <c r="L51" s="16"/>
      <c r="M51" s="16"/>
      <c r="N51" s="16">
        <f t="shared" si="1"/>
        <v>0</v>
      </c>
    </row>
    <row r="52" spans="1:14" x14ac:dyDescent="0.3">
      <c r="A52" s="24">
        <v>45</v>
      </c>
      <c r="B52" s="24" t="s">
        <v>157</v>
      </c>
      <c r="C52" s="23" t="s">
        <v>277</v>
      </c>
      <c r="D52" s="25">
        <v>1099680</v>
      </c>
      <c r="E52" s="23" t="s">
        <v>358</v>
      </c>
      <c r="F52" s="23" t="s">
        <v>358</v>
      </c>
      <c r="G52" s="16"/>
      <c r="H52" s="16"/>
      <c r="I52" s="16"/>
      <c r="J52" s="16"/>
      <c r="K52" s="16"/>
      <c r="L52" s="16"/>
      <c r="M52" s="16"/>
      <c r="N52" s="16">
        <f t="shared" si="1"/>
        <v>0</v>
      </c>
    </row>
    <row r="53" spans="1:14" x14ac:dyDescent="0.3">
      <c r="A53" s="24">
        <v>46</v>
      </c>
      <c r="B53" s="24" t="s">
        <v>158</v>
      </c>
      <c r="C53" s="23" t="s">
        <v>278</v>
      </c>
      <c r="D53" s="25">
        <v>1971800</v>
      </c>
      <c r="E53" s="23" t="s">
        <v>359</v>
      </c>
      <c r="F53" s="23" t="s">
        <v>361</v>
      </c>
      <c r="G53" s="16"/>
      <c r="H53" s="16"/>
      <c r="I53" s="16"/>
      <c r="J53" s="16"/>
      <c r="K53" s="16"/>
      <c r="L53" s="16"/>
      <c r="M53" s="16"/>
      <c r="N53" s="16">
        <f t="shared" si="1"/>
        <v>0</v>
      </c>
    </row>
    <row r="54" spans="1:14" x14ac:dyDescent="0.3">
      <c r="A54" s="24">
        <v>47</v>
      </c>
      <c r="B54" s="24" t="s">
        <v>159</v>
      </c>
      <c r="C54" s="23" t="s">
        <v>279</v>
      </c>
      <c r="D54" s="25">
        <v>1421760</v>
      </c>
      <c r="E54" s="23" t="s">
        <v>358</v>
      </c>
      <c r="F54" s="23" t="s">
        <v>358</v>
      </c>
      <c r="G54" s="16"/>
      <c r="H54" s="16"/>
      <c r="I54" s="16"/>
      <c r="J54" s="16"/>
      <c r="K54" s="16"/>
      <c r="L54" s="16"/>
      <c r="M54" s="16"/>
      <c r="N54" s="16">
        <f t="shared" si="1"/>
        <v>0</v>
      </c>
    </row>
    <row r="55" spans="1:14" x14ac:dyDescent="0.3">
      <c r="A55" s="24">
        <v>48</v>
      </c>
      <c r="B55" s="24" t="s">
        <v>160</v>
      </c>
      <c r="C55" s="23" t="s">
        <v>280</v>
      </c>
      <c r="D55" s="25">
        <v>509920</v>
      </c>
      <c r="E55" s="23" t="s">
        <v>358</v>
      </c>
      <c r="F55" s="23" t="s">
        <v>358</v>
      </c>
      <c r="G55" s="16"/>
      <c r="H55" s="16"/>
      <c r="I55" s="16"/>
      <c r="J55" s="16"/>
      <c r="K55" s="16"/>
      <c r="L55" s="16"/>
      <c r="M55" s="16"/>
      <c r="N55" s="16">
        <f t="shared" si="1"/>
        <v>0</v>
      </c>
    </row>
    <row r="56" spans="1:14" x14ac:dyDescent="0.3">
      <c r="A56" s="24">
        <v>49</v>
      </c>
      <c r="B56" s="24" t="s">
        <v>161</v>
      </c>
      <c r="C56" s="23" t="s">
        <v>281</v>
      </c>
      <c r="D56" s="25">
        <v>877680</v>
      </c>
      <c r="E56" s="23" t="s">
        <v>358</v>
      </c>
      <c r="F56" s="23" t="s">
        <v>358</v>
      </c>
      <c r="G56" s="16"/>
      <c r="H56" s="16"/>
      <c r="I56" s="16"/>
      <c r="J56" s="16"/>
      <c r="K56" s="16"/>
      <c r="L56" s="16"/>
      <c r="M56" s="16"/>
      <c r="N56" s="16">
        <f t="shared" si="1"/>
        <v>0</v>
      </c>
    </row>
    <row r="57" spans="1:14" x14ac:dyDescent="0.3">
      <c r="A57" s="24">
        <v>50</v>
      </c>
      <c r="B57" s="24" t="s">
        <v>162</v>
      </c>
      <c r="C57" s="23" t="s">
        <v>282</v>
      </c>
      <c r="D57" s="25">
        <v>370960</v>
      </c>
      <c r="E57" s="23" t="s">
        <v>358</v>
      </c>
      <c r="F57" s="23" t="s">
        <v>358</v>
      </c>
      <c r="G57" s="16"/>
      <c r="H57" s="16"/>
      <c r="I57" s="16"/>
      <c r="J57" s="16"/>
      <c r="K57" s="16"/>
      <c r="L57" s="16"/>
      <c r="M57" s="16"/>
      <c r="N57" s="16">
        <f t="shared" si="1"/>
        <v>0</v>
      </c>
    </row>
    <row r="58" spans="1:14" x14ac:dyDescent="0.3">
      <c r="A58" s="24">
        <v>51</v>
      </c>
      <c r="B58" s="24" t="s">
        <v>163</v>
      </c>
      <c r="C58" s="23" t="s">
        <v>283</v>
      </c>
      <c r="D58" s="25">
        <v>482520</v>
      </c>
      <c r="E58" s="23" t="s">
        <v>358</v>
      </c>
      <c r="F58" s="23" t="s">
        <v>358</v>
      </c>
      <c r="G58" s="16"/>
      <c r="H58" s="16"/>
      <c r="I58" s="16"/>
      <c r="J58" s="16"/>
      <c r="K58" s="16"/>
      <c r="L58" s="16"/>
      <c r="M58" s="16"/>
      <c r="N58" s="16">
        <f t="shared" si="1"/>
        <v>0</v>
      </c>
    </row>
    <row r="59" spans="1:14" x14ac:dyDescent="0.3">
      <c r="A59" s="24">
        <v>52</v>
      </c>
      <c r="B59" s="24" t="s">
        <v>164</v>
      </c>
      <c r="C59" s="23" t="s">
        <v>284</v>
      </c>
      <c r="D59" s="25">
        <v>198960</v>
      </c>
      <c r="E59" s="23" t="s">
        <v>358</v>
      </c>
      <c r="F59" s="23" t="s">
        <v>358</v>
      </c>
      <c r="G59" s="16"/>
      <c r="H59" s="16"/>
      <c r="I59" s="16"/>
      <c r="J59" s="16"/>
      <c r="K59" s="16"/>
      <c r="L59" s="16"/>
      <c r="M59" s="16"/>
      <c r="N59" s="16">
        <f t="shared" si="1"/>
        <v>0</v>
      </c>
    </row>
    <row r="60" spans="1:14" x14ac:dyDescent="0.3">
      <c r="A60" s="24">
        <v>53</v>
      </c>
      <c r="B60" s="24" t="s">
        <v>165</v>
      </c>
      <c r="C60" s="23" t="s">
        <v>285</v>
      </c>
      <c r="D60" s="25">
        <v>1119360</v>
      </c>
      <c r="E60" s="23" t="s">
        <v>358</v>
      </c>
      <c r="F60" s="23" t="s">
        <v>358</v>
      </c>
      <c r="G60" s="16"/>
      <c r="H60" s="16"/>
      <c r="I60" s="16"/>
      <c r="J60" s="16"/>
      <c r="K60" s="16"/>
      <c r="L60" s="16"/>
      <c r="M60" s="16"/>
      <c r="N60" s="16">
        <f t="shared" si="1"/>
        <v>0</v>
      </c>
    </row>
    <row r="61" spans="1:14" x14ac:dyDescent="0.3">
      <c r="A61" s="24">
        <v>54</v>
      </c>
      <c r="B61" s="24" t="s">
        <v>166</v>
      </c>
      <c r="C61" s="23" t="s">
        <v>286</v>
      </c>
      <c r="D61" s="25">
        <v>309760</v>
      </c>
      <c r="E61" s="23" t="s">
        <v>358</v>
      </c>
      <c r="F61" s="23" t="s">
        <v>358</v>
      </c>
      <c r="G61" s="16"/>
      <c r="H61" s="16"/>
      <c r="I61" s="16"/>
      <c r="J61" s="16"/>
      <c r="K61" s="16"/>
      <c r="L61" s="16"/>
      <c r="M61" s="16"/>
      <c r="N61" s="16">
        <f t="shared" si="1"/>
        <v>0</v>
      </c>
    </row>
    <row r="62" spans="1:14" x14ac:dyDescent="0.3">
      <c r="A62" s="24">
        <v>55</v>
      </c>
      <c r="B62" s="24" t="s">
        <v>167</v>
      </c>
      <c r="C62" s="23" t="s">
        <v>287</v>
      </c>
      <c r="D62" s="25">
        <v>1000000</v>
      </c>
      <c r="E62" s="23" t="s">
        <v>357</v>
      </c>
      <c r="F62" s="23" t="s">
        <v>357</v>
      </c>
      <c r="G62" s="16"/>
      <c r="H62" s="16"/>
      <c r="I62" s="16"/>
      <c r="J62" s="16"/>
      <c r="K62" s="16"/>
      <c r="L62" s="16"/>
      <c r="M62" s="16"/>
      <c r="N62" s="16">
        <f t="shared" si="1"/>
        <v>0</v>
      </c>
    </row>
    <row r="63" spans="1:14" x14ac:dyDescent="0.3">
      <c r="A63" s="24">
        <v>56</v>
      </c>
      <c r="B63" s="24" t="s">
        <v>168</v>
      </c>
      <c r="C63" s="23" t="s">
        <v>288</v>
      </c>
      <c r="D63" s="25">
        <v>600000</v>
      </c>
      <c r="E63" s="23" t="s">
        <v>357</v>
      </c>
      <c r="F63" s="23" t="s">
        <v>357</v>
      </c>
      <c r="G63" s="16"/>
      <c r="H63" s="16"/>
      <c r="I63" s="16"/>
      <c r="J63" s="16"/>
      <c r="K63" s="16"/>
      <c r="L63" s="16"/>
      <c r="M63" s="16"/>
      <c r="N63" s="16">
        <f t="shared" si="1"/>
        <v>0</v>
      </c>
    </row>
    <row r="64" spans="1:14" x14ac:dyDescent="0.3">
      <c r="A64" s="24">
        <v>57</v>
      </c>
      <c r="B64" s="24" t="s">
        <v>169</v>
      </c>
      <c r="C64" s="23" t="s">
        <v>289</v>
      </c>
      <c r="D64" s="25">
        <v>1400000</v>
      </c>
      <c r="E64" s="23" t="s">
        <v>358</v>
      </c>
      <c r="F64" s="23" t="s">
        <v>358</v>
      </c>
      <c r="G64" s="16"/>
      <c r="H64" s="16"/>
      <c r="I64" s="16"/>
      <c r="J64" s="16"/>
      <c r="K64" s="16"/>
      <c r="L64" s="16"/>
      <c r="M64" s="16"/>
      <c r="N64" s="16">
        <f t="shared" si="1"/>
        <v>0</v>
      </c>
    </row>
    <row r="65" spans="1:14" x14ac:dyDescent="0.3">
      <c r="A65" s="24">
        <v>58</v>
      </c>
      <c r="B65" s="24" t="s">
        <v>170</v>
      </c>
      <c r="C65" s="23" t="s">
        <v>290</v>
      </c>
      <c r="D65" s="25">
        <v>1200000</v>
      </c>
      <c r="E65" s="23" t="s">
        <v>358</v>
      </c>
      <c r="F65" s="23" t="s">
        <v>358</v>
      </c>
      <c r="G65" s="16"/>
      <c r="H65" s="16"/>
      <c r="I65" s="16"/>
      <c r="J65" s="16"/>
      <c r="K65" s="16"/>
      <c r="L65" s="16"/>
      <c r="M65" s="16"/>
      <c r="N65" s="16">
        <f t="shared" si="1"/>
        <v>0</v>
      </c>
    </row>
    <row r="66" spans="1:14" x14ac:dyDescent="0.3">
      <c r="A66" s="24">
        <v>59</v>
      </c>
      <c r="B66" s="24" t="s">
        <v>171</v>
      </c>
      <c r="C66" s="23" t="s">
        <v>291</v>
      </c>
      <c r="D66" s="25">
        <v>1000000</v>
      </c>
      <c r="E66" s="23" t="s">
        <v>358</v>
      </c>
      <c r="F66" s="23" t="s">
        <v>358</v>
      </c>
      <c r="G66" s="16"/>
      <c r="H66" s="16"/>
      <c r="I66" s="16"/>
      <c r="J66" s="16"/>
      <c r="K66" s="16"/>
      <c r="L66" s="16"/>
      <c r="M66" s="16"/>
      <c r="N66" s="16">
        <f t="shared" si="1"/>
        <v>0</v>
      </c>
    </row>
    <row r="67" spans="1:14" x14ac:dyDescent="0.3">
      <c r="A67" s="24">
        <v>60</v>
      </c>
      <c r="B67" s="24" t="s">
        <v>172</v>
      </c>
      <c r="C67" s="23" t="s">
        <v>292</v>
      </c>
      <c r="D67" s="25">
        <v>1200000</v>
      </c>
      <c r="E67" s="23" t="s">
        <v>358</v>
      </c>
      <c r="F67" s="23" t="s">
        <v>358</v>
      </c>
      <c r="G67" s="16"/>
      <c r="H67" s="16"/>
      <c r="I67" s="16"/>
      <c r="J67" s="16"/>
      <c r="K67" s="16"/>
      <c r="L67" s="16"/>
      <c r="M67" s="16"/>
      <c r="N67" s="16">
        <f t="shared" si="1"/>
        <v>0</v>
      </c>
    </row>
    <row r="68" spans="1:14" x14ac:dyDescent="0.3">
      <c r="A68" s="24">
        <v>61</v>
      </c>
      <c r="B68" s="24" t="s">
        <v>173</v>
      </c>
      <c r="C68" s="23" t="s">
        <v>293</v>
      </c>
      <c r="D68" s="25">
        <v>2240000</v>
      </c>
      <c r="E68" s="23" t="s">
        <v>358</v>
      </c>
      <c r="F68" s="23" t="s">
        <v>358</v>
      </c>
      <c r="G68" s="16"/>
      <c r="H68" s="16"/>
      <c r="I68" s="16"/>
      <c r="J68" s="16"/>
      <c r="K68" s="16"/>
      <c r="L68" s="16"/>
      <c r="M68" s="16"/>
      <c r="N68" s="16">
        <f t="shared" si="1"/>
        <v>0</v>
      </c>
    </row>
    <row r="69" spans="1:14" x14ac:dyDescent="0.3">
      <c r="A69" s="24">
        <v>62</v>
      </c>
      <c r="B69" s="24" t="s">
        <v>174</v>
      </c>
      <c r="C69" s="23" t="s">
        <v>294</v>
      </c>
      <c r="D69" s="25">
        <v>800000</v>
      </c>
      <c r="E69" s="23" t="s">
        <v>358</v>
      </c>
      <c r="F69" s="23" t="s">
        <v>358</v>
      </c>
      <c r="G69" s="16"/>
      <c r="H69" s="16"/>
      <c r="I69" s="16"/>
      <c r="J69" s="16"/>
      <c r="K69" s="16"/>
      <c r="L69" s="16"/>
      <c r="M69" s="16"/>
      <c r="N69" s="16">
        <f t="shared" si="1"/>
        <v>0</v>
      </c>
    </row>
    <row r="70" spans="1:14" x14ac:dyDescent="0.3">
      <c r="A70" s="24">
        <v>63</v>
      </c>
      <c r="B70" s="24" t="s">
        <v>175</v>
      </c>
      <c r="C70" s="23" t="s">
        <v>295</v>
      </c>
      <c r="D70" s="25">
        <v>3208334</v>
      </c>
      <c r="E70" s="23" t="s">
        <v>358</v>
      </c>
      <c r="F70" s="23" t="s">
        <v>358</v>
      </c>
      <c r="G70" s="16"/>
      <c r="H70" s="16"/>
      <c r="I70" s="16"/>
      <c r="J70" s="16"/>
      <c r="K70" s="16"/>
      <c r="L70" s="16"/>
      <c r="M70" s="16"/>
      <c r="N70" s="16">
        <f t="shared" si="1"/>
        <v>0</v>
      </c>
    </row>
    <row r="71" spans="1:14" x14ac:dyDescent="0.3">
      <c r="A71" s="24">
        <v>64</v>
      </c>
      <c r="B71" s="24" t="s">
        <v>176</v>
      </c>
      <c r="C71" s="23" t="s">
        <v>296</v>
      </c>
      <c r="D71" s="25">
        <v>6875000</v>
      </c>
      <c r="E71" s="23" t="s">
        <v>355</v>
      </c>
      <c r="F71" s="23" t="s">
        <v>361</v>
      </c>
      <c r="G71" s="16"/>
      <c r="H71" s="16"/>
      <c r="I71" s="16"/>
      <c r="J71" s="16"/>
      <c r="K71" s="16"/>
      <c r="L71" s="16"/>
      <c r="M71" s="16"/>
      <c r="N71" s="16">
        <f t="shared" si="1"/>
        <v>0</v>
      </c>
    </row>
    <row r="72" spans="1:14" x14ac:dyDescent="0.3">
      <c r="A72" s="24">
        <v>65</v>
      </c>
      <c r="B72" s="24" t="s">
        <v>177</v>
      </c>
      <c r="C72" s="23" t="s">
        <v>297</v>
      </c>
      <c r="D72" s="25">
        <v>11250000</v>
      </c>
      <c r="E72" s="23" t="s">
        <v>356</v>
      </c>
      <c r="F72" s="23" t="s">
        <v>361</v>
      </c>
      <c r="G72" s="16"/>
      <c r="H72" s="16"/>
      <c r="I72" s="16"/>
      <c r="J72" s="16"/>
      <c r="K72" s="16"/>
      <c r="L72" s="16"/>
      <c r="M72" s="16"/>
      <c r="N72" s="16">
        <f t="shared" ref="N72:N103" si="2">SUM(G72:M72)</f>
        <v>0</v>
      </c>
    </row>
    <row r="73" spans="1:14" x14ac:dyDescent="0.3">
      <c r="A73" s="24">
        <v>66</v>
      </c>
      <c r="B73" s="24" t="s">
        <v>178</v>
      </c>
      <c r="C73" s="23" t="s">
        <v>298</v>
      </c>
      <c r="D73" s="25">
        <v>2500003</v>
      </c>
      <c r="E73" s="23" t="s">
        <v>359</v>
      </c>
      <c r="F73" s="23" t="s">
        <v>361</v>
      </c>
      <c r="G73" s="16"/>
      <c r="H73" s="16"/>
      <c r="I73" s="16"/>
      <c r="J73" s="16"/>
      <c r="K73" s="16"/>
      <c r="L73" s="16"/>
      <c r="M73" s="16"/>
      <c r="N73" s="16">
        <f t="shared" si="2"/>
        <v>0</v>
      </c>
    </row>
    <row r="74" spans="1:14" x14ac:dyDescent="0.3">
      <c r="A74" s="24">
        <v>67</v>
      </c>
      <c r="B74" s="24" t="s">
        <v>179</v>
      </c>
      <c r="C74" s="23" t="s">
        <v>299</v>
      </c>
      <c r="D74" s="25">
        <v>665760</v>
      </c>
      <c r="E74" s="23" t="s">
        <v>358</v>
      </c>
      <c r="F74" s="23" t="s">
        <v>358</v>
      </c>
      <c r="G74" s="16"/>
      <c r="H74" s="16"/>
      <c r="I74" s="16"/>
      <c r="J74" s="16"/>
      <c r="K74" s="16"/>
      <c r="L74" s="16"/>
      <c r="M74" s="16"/>
      <c r="N74" s="16">
        <f t="shared" si="2"/>
        <v>0</v>
      </c>
    </row>
    <row r="75" spans="1:14" x14ac:dyDescent="0.3">
      <c r="A75" s="24">
        <v>68</v>
      </c>
      <c r="B75" s="24" t="s">
        <v>180</v>
      </c>
      <c r="C75" s="23" t="s">
        <v>300</v>
      </c>
      <c r="D75" s="25">
        <v>1383240</v>
      </c>
      <c r="E75" s="23" t="s">
        <v>358</v>
      </c>
      <c r="F75" s="23" t="s">
        <v>358</v>
      </c>
      <c r="G75" s="16"/>
      <c r="H75" s="16"/>
      <c r="I75" s="16"/>
      <c r="J75" s="16"/>
      <c r="K75" s="16"/>
      <c r="L75" s="16"/>
      <c r="M75" s="16"/>
      <c r="N75" s="16">
        <f t="shared" si="2"/>
        <v>0</v>
      </c>
    </row>
    <row r="76" spans="1:14" x14ac:dyDescent="0.3">
      <c r="A76" s="24">
        <v>69</v>
      </c>
      <c r="B76" s="24" t="s">
        <v>181</v>
      </c>
      <c r="C76" s="23" t="s">
        <v>301</v>
      </c>
      <c r="D76" s="25">
        <v>866240</v>
      </c>
      <c r="E76" s="23" t="s">
        <v>358</v>
      </c>
      <c r="F76" s="23" t="s">
        <v>358</v>
      </c>
      <c r="G76" s="16"/>
      <c r="H76" s="16"/>
      <c r="I76" s="16"/>
      <c r="J76" s="16"/>
      <c r="K76" s="16"/>
      <c r="L76" s="16"/>
      <c r="M76" s="16"/>
      <c r="N76" s="16">
        <f t="shared" si="2"/>
        <v>0</v>
      </c>
    </row>
    <row r="77" spans="1:14" x14ac:dyDescent="0.3">
      <c r="A77" s="24">
        <v>70</v>
      </c>
      <c r="B77" s="24" t="s">
        <v>182</v>
      </c>
      <c r="C77" s="23" t="s">
        <v>302</v>
      </c>
      <c r="D77" s="25">
        <v>744040</v>
      </c>
      <c r="E77" s="23" t="s">
        <v>358</v>
      </c>
      <c r="F77" s="23" t="s">
        <v>358</v>
      </c>
      <c r="G77" s="16"/>
      <c r="H77" s="16"/>
      <c r="I77" s="16"/>
      <c r="J77" s="16"/>
      <c r="K77" s="16"/>
      <c r="L77" s="16"/>
      <c r="M77" s="16"/>
      <c r="N77" s="16">
        <f t="shared" si="2"/>
        <v>0</v>
      </c>
    </row>
    <row r="78" spans="1:14" x14ac:dyDescent="0.3">
      <c r="A78" s="24">
        <v>71</v>
      </c>
      <c r="B78" s="24" t="s">
        <v>183</v>
      </c>
      <c r="C78" s="23" t="s">
        <v>303</v>
      </c>
      <c r="D78" s="25">
        <v>1333200</v>
      </c>
      <c r="E78" s="23" t="s">
        <v>358</v>
      </c>
      <c r="F78" s="23" t="s">
        <v>358</v>
      </c>
      <c r="G78" s="16"/>
      <c r="H78" s="16"/>
      <c r="I78" s="16"/>
      <c r="J78" s="16"/>
      <c r="K78" s="16"/>
      <c r="L78" s="16"/>
      <c r="M78" s="16"/>
      <c r="N78" s="16">
        <f t="shared" si="2"/>
        <v>0</v>
      </c>
    </row>
    <row r="79" spans="1:14" x14ac:dyDescent="0.3">
      <c r="A79" s="24">
        <v>72</v>
      </c>
      <c r="B79" s="24" t="s">
        <v>184</v>
      </c>
      <c r="C79" s="23" t="s">
        <v>304</v>
      </c>
      <c r="D79" s="25">
        <v>1117800</v>
      </c>
      <c r="E79" s="23" t="s">
        <v>358</v>
      </c>
      <c r="F79" s="23" t="s">
        <v>358</v>
      </c>
      <c r="G79" s="16"/>
      <c r="H79" s="16"/>
      <c r="I79" s="16"/>
      <c r="J79" s="16"/>
      <c r="K79" s="16"/>
      <c r="L79" s="16"/>
      <c r="M79" s="16"/>
      <c r="N79" s="16">
        <f t="shared" si="2"/>
        <v>0</v>
      </c>
    </row>
    <row r="80" spans="1:14" x14ac:dyDescent="0.3">
      <c r="A80" s="24">
        <v>73</v>
      </c>
      <c r="B80" s="24" t="s">
        <v>185</v>
      </c>
      <c r="C80" s="23" t="s">
        <v>305</v>
      </c>
      <c r="D80" s="25">
        <v>2333336</v>
      </c>
      <c r="E80" s="23" t="s">
        <v>355</v>
      </c>
      <c r="F80" s="23" t="s">
        <v>361</v>
      </c>
      <c r="G80" s="16"/>
      <c r="H80" s="16"/>
      <c r="I80" s="16"/>
      <c r="J80" s="16"/>
      <c r="K80" s="16"/>
      <c r="L80" s="16"/>
      <c r="M80" s="16"/>
      <c r="N80" s="16">
        <f t="shared" si="2"/>
        <v>0</v>
      </c>
    </row>
    <row r="81" spans="1:14" x14ac:dyDescent="0.3">
      <c r="A81" s="24">
        <v>74</v>
      </c>
      <c r="B81" s="24" t="s">
        <v>186</v>
      </c>
      <c r="C81" s="23" t="s">
        <v>306</v>
      </c>
      <c r="D81" s="25">
        <v>6423612</v>
      </c>
      <c r="E81" s="23" t="s">
        <v>358</v>
      </c>
      <c r="F81" s="23" t="s">
        <v>358</v>
      </c>
      <c r="G81" s="16"/>
      <c r="H81" s="16"/>
      <c r="I81" s="16"/>
      <c r="J81" s="16"/>
      <c r="K81" s="16"/>
      <c r="L81" s="16"/>
      <c r="M81" s="16"/>
      <c r="N81" s="16">
        <f t="shared" si="2"/>
        <v>0</v>
      </c>
    </row>
    <row r="82" spans="1:14" x14ac:dyDescent="0.3">
      <c r="A82" s="24">
        <v>75</v>
      </c>
      <c r="B82" s="24" t="s">
        <v>187</v>
      </c>
      <c r="C82" s="23" t="s">
        <v>307</v>
      </c>
      <c r="D82" s="25">
        <v>250000</v>
      </c>
      <c r="E82" s="23" t="s">
        <v>359</v>
      </c>
      <c r="F82" s="23" t="s">
        <v>361</v>
      </c>
      <c r="G82" s="16"/>
      <c r="H82" s="16"/>
      <c r="I82" s="16"/>
      <c r="J82" s="16"/>
      <c r="K82" s="16"/>
      <c r="L82" s="16"/>
      <c r="M82" s="16"/>
      <c r="N82" s="16">
        <f t="shared" si="2"/>
        <v>0</v>
      </c>
    </row>
    <row r="83" spans="1:14" x14ac:dyDescent="0.3">
      <c r="A83" s="24">
        <v>76</v>
      </c>
      <c r="B83" s="24" t="s">
        <v>188</v>
      </c>
      <c r="C83" s="23" t="s">
        <v>308</v>
      </c>
      <c r="D83" s="25">
        <v>7333333</v>
      </c>
      <c r="E83" s="23" t="s">
        <v>357</v>
      </c>
      <c r="F83" s="23" t="s">
        <v>357</v>
      </c>
      <c r="G83" s="16"/>
      <c r="H83" s="16"/>
      <c r="I83" s="16"/>
      <c r="J83" s="16"/>
      <c r="K83" s="16"/>
      <c r="L83" s="16"/>
      <c r="M83" s="16"/>
      <c r="N83" s="16">
        <f t="shared" si="2"/>
        <v>0</v>
      </c>
    </row>
    <row r="84" spans="1:14" x14ac:dyDescent="0.3">
      <c r="A84" s="24">
        <v>77</v>
      </c>
      <c r="B84" s="24" t="s">
        <v>189</v>
      </c>
      <c r="C84" s="23" t="s">
        <v>309</v>
      </c>
      <c r="D84" s="25">
        <v>4883113</v>
      </c>
      <c r="E84" s="23" t="s">
        <v>359</v>
      </c>
      <c r="F84" s="23" t="s">
        <v>361</v>
      </c>
      <c r="G84" s="16">
        <v>1000000</v>
      </c>
      <c r="H84" s="16"/>
      <c r="I84" s="16"/>
      <c r="J84" s="16"/>
      <c r="K84" s="16"/>
      <c r="L84" s="16"/>
      <c r="M84" s="16"/>
      <c r="N84" s="16">
        <f t="shared" si="2"/>
        <v>1000000</v>
      </c>
    </row>
    <row r="85" spans="1:14" x14ac:dyDescent="0.3">
      <c r="A85" s="24">
        <v>78</v>
      </c>
      <c r="B85" s="24" t="s">
        <v>190</v>
      </c>
      <c r="C85" s="23" t="s">
        <v>310</v>
      </c>
      <c r="D85" s="25">
        <v>12158143</v>
      </c>
      <c r="E85" s="23" t="s">
        <v>359</v>
      </c>
      <c r="F85" s="23" t="s">
        <v>361</v>
      </c>
      <c r="G85" s="16"/>
      <c r="H85" s="16"/>
      <c r="I85" s="16"/>
      <c r="J85" s="16"/>
      <c r="K85" s="16"/>
      <c r="L85" s="16"/>
      <c r="M85" s="16"/>
      <c r="N85" s="16">
        <f t="shared" si="2"/>
        <v>0</v>
      </c>
    </row>
    <row r="86" spans="1:14" x14ac:dyDescent="0.3">
      <c r="A86" s="24">
        <v>79</v>
      </c>
      <c r="B86" s="24" t="s">
        <v>191</v>
      </c>
      <c r="C86" s="23" t="s">
        <v>311</v>
      </c>
      <c r="D86" s="25">
        <v>5081562</v>
      </c>
      <c r="E86" s="23" t="s">
        <v>358</v>
      </c>
      <c r="F86" s="23" t="s">
        <v>358</v>
      </c>
      <c r="G86" s="16"/>
      <c r="H86" s="16"/>
      <c r="I86" s="16"/>
      <c r="J86" s="16"/>
      <c r="K86" s="16"/>
      <c r="L86" s="16"/>
      <c r="M86" s="16"/>
      <c r="N86" s="16">
        <f t="shared" si="2"/>
        <v>0</v>
      </c>
    </row>
    <row r="87" spans="1:14" x14ac:dyDescent="0.3">
      <c r="A87" s="24">
        <v>80</v>
      </c>
      <c r="B87" s="24" t="s">
        <v>192</v>
      </c>
      <c r="C87" s="23" t="s">
        <v>312</v>
      </c>
      <c r="D87" s="25">
        <v>5809594</v>
      </c>
      <c r="E87" s="23" t="s">
        <v>359</v>
      </c>
      <c r="F87" s="23" t="s">
        <v>361</v>
      </c>
      <c r="G87" s="16"/>
      <c r="H87" s="16"/>
      <c r="I87" s="16"/>
      <c r="J87" s="16"/>
      <c r="K87" s="16"/>
      <c r="L87" s="16"/>
      <c r="M87" s="16"/>
      <c r="N87" s="16">
        <f t="shared" si="2"/>
        <v>0</v>
      </c>
    </row>
    <row r="88" spans="1:14" x14ac:dyDescent="0.3">
      <c r="A88" s="24">
        <v>81</v>
      </c>
      <c r="B88" s="24" t="s">
        <v>193</v>
      </c>
      <c r="C88" s="23" t="s">
        <v>313</v>
      </c>
      <c r="D88" s="25">
        <v>3811863</v>
      </c>
      <c r="E88" s="23" t="s">
        <v>359</v>
      </c>
      <c r="F88" s="23" t="s">
        <v>361</v>
      </c>
      <c r="G88" s="16"/>
      <c r="H88" s="16"/>
      <c r="I88" s="16"/>
      <c r="J88" s="16"/>
      <c r="K88" s="16"/>
      <c r="L88" s="16"/>
      <c r="M88" s="16"/>
      <c r="N88" s="16">
        <f t="shared" si="2"/>
        <v>0</v>
      </c>
    </row>
    <row r="89" spans="1:14" x14ac:dyDescent="0.3">
      <c r="A89" s="24">
        <v>82</v>
      </c>
      <c r="B89" s="24" t="s">
        <v>194</v>
      </c>
      <c r="C89" s="23" t="s">
        <v>314</v>
      </c>
      <c r="D89" s="25">
        <v>3296082</v>
      </c>
      <c r="E89" s="23" t="s">
        <v>358</v>
      </c>
      <c r="F89" s="23" t="s">
        <v>358</v>
      </c>
      <c r="G89" s="16"/>
      <c r="H89" s="16"/>
      <c r="I89" s="16"/>
      <c r="J89" s="16"/>
      <c r="K89" s="16"/>
      <c r="L89" s="16"/>
      <c r="M89" s="16"/>
      <c r="N89" s="16">
        <f t="shared" si="2"/>
        <v>0</v>
      </c>
    </row>
    <row r="90" spans="1:14" x14ac:dyDescent="0.3">
      <c r="A90" s="24">
        <v>83</v>
      </c>
      <c r="B90" s="24" t="s">
        <v>195</v>
      </c>
      <c r="C90" s="23" t="s">
        <v>315</v>
      </c>
      <c r="D90" s="25">
        <v>1999993</v>
      </c>
      <c r="E90" s="23" t="s">
        <v>358</v>
      </c>
      <c r="F90" s="23" t="s">
        <v>358</v>
      </c>
      <c r="G90" s="16"/>
      <c r="H90" s="16"/>
      <c r="I90" s="16"/>
      <c r="J90" s="16"/>
      <c r="K90" s="16"/>
      <c r="L90" s="16"/>
      <c r="M90" s="16"/>
      <c r="N90" s="16">
        <f t="shared" si="2"/>
        <v>0</v>
      </c>
    </row>
    <row r="91" spans="1:14" x14ac:dyDescent="0.3">
      <c r="A91" s="24">
        <v>84</v>
      </c>
      <c r="B91" s="24" t="s">
        <v>196</v>
      </c>
      <c r="C91" s="23" t="s">
        <v>316</v>
      </c>
      <c r="D91" s="25">
        <v>8603076</v>
      </c>
      <c r="E91" s="23" t="s">
        <v>355</v>
      </c>
      <c r="F91" s="23" t="s">
        <v>362</v>
      </c>
      <c r="G91" s="16"/>
      <c r="H91" s="16"/>
      <c r="I91" s="16"/>
      <c r="J91" s="16"/>
      <c r="K91" s="16"/>
      <c r="L91" s="16"/>
      <c r="M91" s="16"/>
      <c r="N91" s="16">
        <f t="shared" si="2"/>
        <v>0</v>
      </c>
    </row>
    <row r="92" spans="1:14" x14ac:dyDescent="0.3">
      <c r="A92" s="24">
        <v>85</v>
      </c>
      <c r="B92" s="24" t="s">
        <v>197</v>
      </c>
      <c r="C92" s="23" t="s">
        <v>317</v>
      </c>
      <c r="D92" s="25">
        <v>4014353</v>
      </c>
      <c r="E92" s="23" t="s">
        <v>355</v>
      </c>
      <c r="F92" s="23" t="s">
        <v>362</v>
      </c>
      <c r="G92" s="16"/>
      <c r="H92" s="16"/>
      <c r="I92" s="16"/>
      <c r="J92" s="16"/>
      <c r="K92" s="16"/>
      <c r="L92" s="16"/>
      <c r="M92" s="16"/>
      <c r="N92" s="16">
        <f t="shared" si="2"/>
        <v>0</v>
      </c>
    </row>
    <row r="93" spans="1:14" x14ac:dyDescent="0.3">
      <c r="A93" s="24">
        <v>86</v>
      </c>
      <c r="B93" s="24" t="s">
        <v>198</v>
      </c>
      <c r="C93" s="23" t="s">
        <v>318</v>
      </c>
      <c r="D93" s="25">
        <v>10689069</v>
      </c>
      <c r="E93" s="23" t="s">
        <v>355</v>
      </c>
      <c r="F93" s="23" t="s">
        <v>362</v>
      </c>
      <c r="G93" s="16"/>
      <c r="H93" s="16"/>
      <c r="I93" s="16"/>
      <c r="J93" s="16"/>
      <c r="K93" s="16"/>
      <c r="L93" s="16"/>
      <c r="M93" s="16"/>
      <c r="N93" s="16">
        <f t="shared" si="2"/>
        <v>0</v>
      </c>
    </row>
    <row r="94" spans="1:14" x14ac:dyDescent="0.3">
      <c r="A94" s="24">
        <v>87</v>
      </c>
      <c r="B94" s="24" t="s">
        <v>199</v>
      </c>
      <c r="C94" s="23" t="s">
        <v>319</v>
      </c>
      <c r="D94" s="25">
        <v>35261405</v>
      </c>
      <c r="E94" s="23" t="s">
        <v>355</v>
      </c>
      <c r="F94" s="23" t="s">
        <v>362</v>
      </c>
      <c r="G94" s="16"/>
      <c r="H94" s="16"/>
      <c r="I94" s="16"/>
      <c r="J94" s="16"/>
      <c r="K94" s="16"/>
      <c r="L94" s="16"/>
      <c r="M94" s="16"/>
      <c r="N94" s="16">
        <f t="shared" si="2"/>
        <v>0</v>
      </c>
    </row>
    <row r="95" spans="1:14" x14ac:dyDescent="0.3">
      <c r="A95" s="24">
        <v>88</v>
      </c>
      <c r="B95" s="24" t="s">
        <v>200</v>
      </c>
      <c r="C95" s="23" t="s">
        <v>320</v>
      </c>
      <c r="D95" s="25">
        <v>10330484</v>
      </c>
      <c r="E95" s="23" t="s">
        <v>355</v>
      </c>
      <c r="F95" s="23" t="s">
        <v>362</v>
      </c>
      <c r="G95" s="16"/>
      <c r="H95" s="16"/>
      <c r="I95" s="16"/>
      <c r="J95" s="16"/>
      <c r="K95" s="16"/>
      <c r="L95" s="16"/>
      <c r="M95" s="16"/>
      <c r="N95" s="16">
        <f t="shared" si="2"/>
        <v>0</v>
      </c>
    </row>
    <row r="96" spans="1:14" x14ac:dyDescent="0.3">
      <c r="A96" s="24">
        <v>89</v>
      </c>
      <c r="B96" s="24" t="s">
        <v>201</v>
      </c>
      <c r="C96" s="23" t="s">
        <v>321</v>
      </c>
      <c r="D96" s="25">
        <v>27903972</v>
      </c>
      <c r="E96" s="23" t="s">
        <v>355</v>
      </c>
      <c r="F96" s="23" t="s">
        <v>362</v>
      </c>
      <c r="G96" s="16"/>
      <c r="H96" s="16"/>
      <c r="I96" s="16"/>
      <c r="J96" s="16"/>
      <c r="K96" s="16"/>
      <c r="L96" s="16"/>
      <c r="M96" s="16"/>
      <c r="N96" s="16">
        <f t="shared" si="2"/>
        <v>0</v>
      </c>
    </row>
    <row r="97" spans="1:14" x14ac:dyDescent="0.3">
      <c r="A97" s="24">
        <v>90</v>
      </c>
      <c r="B97" s="24" t="s">
        <v>202</v>
      </c>
      <c r="C97" s="23" t="s">
        <v>322</v>
      </c>
      <c r="D97" s="25">
        <v>24036337</v>
      </c>
      <c r="E97" s="23" t="s">
        <v>355</v>
      </c>
      <c r="F97" s="23" t="s">
        <v>362</v>
      </c>
      <c r="G97" s="16"/>
      <c r="H97" s="16"/>
      <c r="I97" s="16"/>
      <c r="J97" s="16"/>
      <c r="K97" s="16"/>
      <c r="L97" s="16"/>
      <c r="M97" s="16"/>
      <c r="N97" s="16">
        <f t="shared" si="2"/>
        <v>0</v>
      </c>
    </row>
    <row r="98" spans="1:14" x14ac:dyDescent="0.3">
      <c r="A98" s="24">
        <v>91</v>
      </c>
      <c r="B98" s="24" t="s">
        <v>203</v>
      </c>
      <c r="C98" s="23" t="s">
        <v>323</v>
      </c>
      <c r="D98" s="25">
        <v>11246189</v>
      </c>
      <c r="E98" s="23" t="s">
        <v>355</v>
      </c>
      <c r="F98" s="23" t="s">
        <v>362</v>
      </c>
      <c r="G98" s="16"/>
      <c r="H98" s="16"/>
      <c r="I98" s="16"/>
      <c r="J98" s="16"/>
      <c r="K98" s="16"/>
      <c r="L98" s="16"/>
      <c r="M98" s="16"/>
      <c r="N98" s="16">
        <f t="shared" si="2"/>
        <v>0</v>
      </c>
    </row>
    <row r="99" spans="1:14" x14ac:dyDescent="0.3">
      <c r="A99" s="66">
        <v>92</v>
      </c>
      <c r="B99" s="66" t="s">
        <v>204</v>
      </c>
      <c r="C99" s="67" t="s">
        <v>324</v>
      </c>
      <c r="D99" s="68">
        <v>7917962</v>
      </c>
      <c r="E99" s="67" t="s">
        <v>355</v>
      </c>
      <c r="F99" s="67" t="s">
        <v>363</v>
      </c>
      <c r="G99" s="69"/>
      <c r="H99" s="69"/>
      <c r="I99" s="69"/>
      <c r="J99" s="69"/>
      <c r="K99" s="69"/>
      <c r="L99" s="69"/>
      <c r="M99" s="69">
        <v>7917962</v>
      </c>
      <c r="N99" s="69">
        <f t="shared" si="2"/>
        <v>7917962</v>
      </c>
    </row>
    <row r="100" spans="1:14" x14ac:dyDescent="0.3">
      <c r="A100" s="24">
        <v>93</v>
      </c>
      <c r="B100" s="24" t="s">
        <v>205</v>
      </c>
      <c r="C100" s="23" t="s">
        <v>325</v>
      </c>
      <c r="D100" s="25">
        <v>3644201</v>
      </c>
      <c r="E100" s="23" t="s">
        <v>355</v>
      </c>
      <c r="F100" s="23" t="s">
        <v>362</v>
      </c>
      <c r="G100" s="16"/>
      <c r="H100" s="16"/>
      <c r="I100" s="16"/>
      <c r="J100" s="16"/>
      <c r="K100" s="16"/>
      <c r="L100" s="16"/>
      <c r="M100" s="16"/>
      <c r="N100" s="16">
        <f t="shared" si="2"/>
        <v>0</v>
      </c>
    </row>
    <row r="101" spans="1:14" x14ac:dyDescent="0.3">
      <c r="A101" s="24">
        <v>94</v>
      </c>
      <c r="B101" s="24" t="s">
        <v>206</v>
      </c>
      <c r="C101" s="23" t="s">
        <v>326</v>
      </c>
      <c r="D101" s="25">
        <v>37389590</v>
      </c>
      <c r="E101" s="23" t="s">
        <v>355</v>
      </c>
      <c r="F101" s="23" t="s">
        <v>362</v>
      </c>
      <c r="G101" s="16"/>
      <c r="H101" s="16"/>
      <c r="I101" s="16"/>
      <c r="J101" s="16"/>
      <c r="K101" s="16"/>
      <c r="L101" s="16"/>
      <c r="M101" s="16"/>
      <c r="N101" s="16">
        <f t="shared" si="2"/>
        <v>0</v>
      </c>
    </row>
    <row r="102" spans="1:14" x14ac:dyDescent="0.3">
      <c r="A102" s="24">
        <v>95</v>
      </c>
      <c r="B102" s="24" t="s">
        <v>207</v>
      </c>
      <c r="C102" s="23" t="s">
        <v>327</v>
      </c>
      <c r="D102" s="25">
        <v>10402117</v>
      </c>
      <c r="E102" s="23" t="s">
        <v>355</v>
      </c>
      <c r="F102" s="23" t="s">
        <v>362</v>
      </c>
      <c r="G102" s="16"/>
      <c r="H102" s="16"/>
      <c r="I102" s="16"/>
      <c r="J102" s="16"/>
      <c r="K102" s="16"/>
      <c r="L102" s="16"/>
      <c r="M102" s="16"/>
      <c r="N102" s="16">
        <f t="shared" si="2"/>
        <v>0</v>
      </c>
    </row>
    <row r="103" spans="1:14" x14ac:dyDescent="0.3">
      <c r="A103" s="24">
        <v>96</v>
      </c>
      <c r="B103" s="24" t="s">
        <v>208</v>
      </c>
      <c r="C103" s="23" t="s">
        <v>328</v>
      </c>
      <c r="D103" s="25">
        <v>17327999</v>
      </c>
      <c r="E103" s="23" t="s">
        <v>355</v>
      </c>
      <c r="F103" s="23" t="s">
        <v>362</v>
      </c>
      <c r="G103" s="16"/>
      <c r="H103" s="16"/>
      <c r="I103" s="16"/>
      <c r="J103" s="16"/>
      <c r="K103" s="16"/>
      <c r="L103" s="16"/>
      <c r="M103" s="16"/>
      <c r="N103" s="16">
        <f t="shared" si="2"/>
        <v>0</v>
      </c>
    </row>
    <row r="104" spans="1:14" x14ac:dyDescent="0.3">
      <c r="A104" s="24">
        <v>97</v>
      </c>
      <c r="B104" s="24" t="s">
        <v>209</v>
      </c>
      <c r="C104" s="23" t="s">
        <v>329</v>
      </c>
      <c r="D104" s="25">
        <v>36440448</v>
      </c>
      <c r="E104" s="23" t="s">
        <v>356</v>
      </c>
      <c r="F104" s="23" t="s">
        <v>361</v>
      </c>
      <c r="G104" s="16"/>
      <c r="H104" s="16"/>
      <c r="I104" s="16"/>
      <c r="J104" s="16"/>
      <c r="K104" s="16"/>
      <c r="L104" s="16"/>
      <c r="M104" s="16"/>
      <c r="N104" s="16">
        <f t="shared" ref="N104:N127" si="3">SUM(G104:M104)</f>
        <v>0</v>
      </c>
    </row>
    <row r="105" spans="1:14" x14ac:dyDescent="0.3">
      <c r="A105" s="24">
        <v>98</v>
      </c>
      <c r="B105" s="24" t="s">
        <v>210</v>
      </c>
      <c r="C105" s="23" t="s">
        <v>330</v>
      </c>
      <c r="D105" s="25">
        <v>39112813</v>
      </c>
      <c r="E105" s="23" t="s">
        <v>355</v>
      </c>
      <c r="F105" s="23" t="s">
        <v>364</v>
      </c>
      <c r="G105" s="16"/>
      <c r="H105" s="16"/>
      <c r="I105" s="16"/>
      <c r="J105" s="16"/>
      <c r="K105" s="16"/>
      <c r="L105" s="16"/>
      <c r="M105" s="16"/>
      <c r="N105" s="16">
        <f t="shared" si="3"/>
        <v>0</v>
      </c>
    </row>
    <row r="106" spans="1:14" x14ac:dyDescent="0.3">
      <c r="A106" s="24">
        <v>99</v>
      </c>
      <c r="B106" s="24" t="s">
        <v>211</v>
      </c>
      <c r="C106" s="23" t="s">
        <v>331</v>
      </c>
      <c r="D106" s="25">
        <v>3132354</v>
      </c>
      <c r="E106" s="23" t="s">
        <v>358</v>
      </c>
      <c r="F106" s="23" t="s">
        <v>358</v>
      </c>
      <c r="G106" s="16"/>
      <c r="H106" s="16"/>
      <c r="I106" s="16"/>
      <c r="J106" s="16"/>
      <c r="K106" s="16"/>
      <c r="L106" s="16"/>
      <c r="M106" s="16"/>
      <c r="N106" s="16">
        <f t="shared" si="3"/>
        <v>0</v>
      </c>
    </row>
    <row r="107" spans="1:14" x14ac:dyDescent="0.3">
      <c r="A107" s="66">
        <v>100</v>
      </c>
      <c r="B107" s="66" t="s">
        <v>212</v>
      </c>
      <c r="C107" s="67" t="s">
        <v>332</v>
      </c>
      <c r="D107" s="68">
        <v>34047655</v>
      </c>
      <c r="E107" s="67" t="s">
        <v>355</v>
      </c>
      <c r="F107" s="67" t="s">
        <v>363</v>
      </c>
      <c r="G107" s="69"/>
      <c r="H107" s="69"/>
      <c r="I107" s="69"/>
      <c r="J107" s="69"/>
      <c r="K107" s="69"/>
      <c r="L107" s="69"/>
      <c r="M107" s="69">
        <v>34047655</v>
      </c>
      <c r="N107" s="69">
        <f t="shared" si="3"/>
        <v>34047655</v>
      </c>
    </row>
    <row r="108" spans="1:14" x14ac:dyDescent="0.3">
      <c r="A108" s="66">
        <v>101</v>
      </c>
      <c r="B108" s="66" t="s">
        <v>213</v>
      </c>
      <c r="C108" s="67" t="s">
        <v>333</v>
      </c>
      <c r="D108" s="68">
        <v>6344034</v>
      </c>
      <c r="E108" s="67" t="s">
        <v>355</v>
      </c>
      <c r="F108" s="67" t="s">
        <v>363</v>
      </c>
      <c r="G108" s="69"/>
      <c r="H108" s="69"/>
      <c r="I108" s="69"/>
      <c r="J108" s="69"/>
      <c r="K108" s="69"/>
      <c r="L108" s="69"/>
      <c r="M108" s="69">
        <v>6344034</v>
      </c>
      <c r="N108" s="69">
        <f t="shared" si="3"/>
        <v>6344034</v>
      </c>
    </row>
    <row r="109" spans="1:14" x14ac:dyDescent="0.3">
      <c r="A109" s="66">
        <v>102</v>
      </c>
      <c r="B109" s="66" t="s">
        <v>214</v>
      </c>
      <c r="C109" s="67" t="s">
        <v>334</v>
      </c>
      <c r="D109" s="68">
        <v>34131975</v>
      </c>
      <c r="E109" s="67" t="s">
        <v>355</v>
      </c>
      <c r="F109" s="67" t="s">
        <v>363</v>
      </c>
      <c r="G109" s="69"/>
      <c r="H109" s="69"/>
      <c r="I109" s="69"/>
      <c r="J109" s="69"/>
      <c r="K109" s="69"/>
      <c r="L109" s="69"/>
      <c r="M109" s="69">
        <v>34131975</v>
      </c>
      <c r="N109" s="69">
        <f t="shared" si="3"/>
        <v>34131975</v>
      </c>
    </row>
    <row r="110" spans="1:14" x14ac:dyDescent="0.3">
      <c r="A110" s="24">
        <v>103</v>
      </c>
      <c r="B110" s="24" t="s">
        <v>215</v>
      </c>
      <c r="C110" s="23" t="s">
        <v>335</v>
      </c>
      <c r="D110" s="25">
        <v>58256382</v>
      </c>
      <c r="E110" s="23" t="s">
        <v>355</v>
      </c>
      <c r="F110" s="23" t="s">
        <v>362</v>
      </c>
      <c r="G110" s="16"/>
      <c r="H110" s="16"/>
      <c r="I110" s="16"/>
      <c r="J110" s="16"/>
      <c r="K110" s="16"/>
      <c r="L110" s="16"/>
      <c r="M110" s="16"/>
      <c r="N110" s="16">
        <f t="shared" si="3"/>
        <v>0</v>
      </c>
    </row>
    <row r="111" spans="1:14" x14ac:dyDescent="0.3">
      <c r="A111" s="24">
        <v>104</v>
      </c>
      <c r="B111" s="24" t="s">
        <v>216</v>
      </c>
      <c r="C111" s="23" t="s">
        <v>336</v>
      </c>
      <c r="D111" s="25">
        <v>44903703</v>
      </c>
      <c r="E111" s="23" t="s">
        <v>355</v>
      </c>
      <c r="F111" s="23" t="s">
        <v>362</v>
      </c>
      <c r="G111" s="16"/>
      <c r="H111" s="16"/>
      <c r="I111" s="16"/>
      <c r="J111" s="16"/>
      <c r="K111" s="16"/>
      <c r="L111" s="16"/>
      <c r="M111" s="16"/>
      <c r="N111" s="16">
        <f t="shared" si="3"/>
        <v>0</v>
      </c>
    </row>
    <row r="112" spans="1:14" x14ac:dyDescent="0.3">
      <c r="A112" s="24">
        <v>105</v>
      </c>
      <c r="B112" s="24" t="s">
        <v>217</v>
      </c>
      <c r="C112" s="23" t="s">
        <v>337</v>
      </c>
      <c r="D112" s="25">
        <v>101230799</v>
      </c>
      <c r="E112" s="23" t="s">
        <v>355</v>
      </c>
      <c r="F112" s="23" t="s">
        <v>362</v>
      </c>
      <c r="G112" s="16"/>
      <c r="H112" s="16"/>
      <c r="I112" s="16"/>
      <c r="J112" s="16"/>
      <c r="K112" s="16"/>
      <c r="L112" s="16"/>
      <c r="M112" s="16"/>
      <c r="N112" s="16">
        <f t="shared" si="3"/>
        <v>0</v>
      </c>
    </row>
    <row r="113" spans="1:14" x14ac:dyDescent="0.3">
      <c r="A113" s="24">
        <v>106</v>
      </c>
      <c r="B113" s="24" t="s">
        <v>218</v>
      </c>
      <c r="C113" s="23" t="s">
        <v>338</v>
      </c>
      <c r="D113" s="25">
        <v>5360858</v>
      </c>
      <c r="E113" s="23" t="s">
        <v>355</v>
      </c>
      <c r="F113" s="23" t="s">
        <v>361</v>
      </c>
      <c r="G113" s="16"/>
      <c r="H113" s="16"/>
      <c r="I113" s="16"/>
      <c r="J113" s="16"/>
      <c r="K113" s="16"/>
      <c r="L113" s="16"/>
      <c r="M113" s="16"/>
      <c r="N113" s="16">
        <f t="shared" si="3"/>
        <v>0</v>
      </c>
    </row>
    <row r="114" spans="1:14" x14ac:dyDescent="0.3">
      <c r="A114" s="24">
        <v>107</v>
      </c>
      <c r="B114" s="24" t="s">
        <v>219</v>
      </c>
      <c r="C114" s="23" t="s">
        <v>339</v>
      </c>
      <c r="D114" s="25">
        <v>21671337</v>
      </c>
      <c r="E114" s="23" t="s">
        <v>355</v>
      </c>
      <c r="F114" s="23" t="s">
        <v>362</v>
      </c>
      <c r="G114" s="16"/>
      <c r="H114" s="16"/>
      <c r="I114" s="16"/>
      <c r="J114" s="16"/>
      <c r="K114" s="16"/>
      <c r="L114" s="16"/>
      <c r="M114" s="16"/>
      <c r="N114" s="16">
        <f t="shared" si="3"/>
        <v>0</v>
      </c>
    </row>
    <row r="115" spans="1:14" x14ac:dyDescent="0.3">
      <c r="A115" s="24">
        <v>108</v>
      </c>
      <c r="B115" s="24" t="s">
        <v>220</v>
      </c>
      <c r="C115" s="23" t="s">
        <v>340</v>
      </c>
      <c r="D115" s="25">
        <v>15751729</v>
      </c>
      <c r="E115" s="23" t="s">
        <v>355</v>
      </c>
      <c r="F115" s="23" t="s">
        <v>362</v>
      </c>
      <c r="G115" s="16"/>
      <c r="H115" s="16"/>
      <c r="I115" s="16"/>
      <c r="J115" s="16"/>
      <c r="K115" s="16"/>
      <c r="L115" s="16"/>
      <c r="M115" s="16"/>
      <c r="N115" s="16">
        <f t="shared" si="3"/>
        <v>0</v>
      </c>
    </row>
    <row r="116" spans="1:14" x14ac:dyDescent="0.3">
      <c r="A116" s="24">
        <v>109</v>
      </c>
      <c r="B116" s="24" t="s">
        <v>221</v>
      </c>
      <c r="C116" s="23" t="s">
        <v>341</v>
      </c>
      <c r="D116" s="25">
        <v>4266291</v>
      </c>
      <c r="E116" s="23" t="s">
        <v>355</v>
      </c>
      <c r="F116" s="23" t="s">
        <v>362</v>
      </c>
      <c r="G116" s="16"/>
      <c r="H116" s="16"/>
      <c r="I116" s="16"/>
      <c r="J116" s="16"/>
      <c r="K116" s="16"/>
      <c r="L116" s="16"/>
      <c r="M116" s="16"/>
      <c r="N116" s="16">
        <f t="shared" si="3"/>
        <v>0</v>
      </c>
    </row>
    <row r="117" spans="1:14" x14ac:dyDescent="0.3">
      <c r="A117" s="24">
        <v>110</v>
      </c>
      <c r="B117" s="24" t="s">
        <v>222</v>
      </c>
      <c r="C117" s="23" t="s">
        <v>342</v>
      </c>
      <c r="D117" s="25">
        <v>61834339</v>
      </c>
      <c r="E117" s="23" t="s">
        <v>355</v>
      </c>
      <c r="F117" s="23" t="s">
        <v>362</v>
      </c>
      <c r="G117" s="16"/>
      <c r="H117" s="16"/>
      <c r="I117" s="16"/>
      <c r="J117" s="16"/>
      <c r="K117" s="16"/>
      <c r="L117" s="16"/>
      <c r="M117" s="16"/>
      <c r="N117" s="16">
        <f t="shared" si="3"/>
        <v>0</v>
      </c>
    </row>
    <row r="118" spans="1:14" x14ac:dyDescent="0.3">
      <c r="A118" s="24">
        <v>111</v>
      </c>
      <c r="B118" s="24" t="s">
        <v>223</v>
      </c>
      <c r="C118" s="23" t="s">
        <v>287</v>
      </c>
      <c r="D118" s="25">
        <v>68945624</v>
      </c>
      <c r="E118" s="23" t="s">
        <v>355</v>
      </c>
      <c r="F118" s="23" t="s">
        <v>362</v>
      </c>
      <c r="G118" s="16"/>
      <c r="H118" s="16"/>
      <c r="I118" s="16"/>
      <c r="J118" s="16"/>
      <c r="K118" s="16"/>
      <c r="L118" s="16"/>
      <c r="M118" s="16"/>
      <c r="N118" s="16">
        <f t="shared" si="3"/>
        <v>0</v>
      </c>
    </row>
    <row r="119" spans="1:14" x14ac:dyDescent="0.3">
      <c r="A119" s="24">
        <v>112</v>
      </c>
      <c r="B119" s="24" t="s">
        <v>224</v>
      </c>
      <c r="C119" s="23" t="s">
        <v>343</v>
      </c>
      <c r="D119" s="25">
        <v>37307826</v>
      </c>
      <c r="E119" s="23" t="s">
        <v>355</v>
      </c>
      <c r="F119" s="23" t="s">
        <v>362</v>
      </c>
      <c r="G119" s="16"/>
      <c r="H119" s="16"/>
      <c r="I119" s="16"/>
      <c r="J119" s="16"/>
      <c r="K119" s="16"/>
      <c r="L119" s="16"/>
      <c r="M119" s="16"/>
      <c r="N119" s="16">
        <f t="shared" si="3"/>
        <v>0</v>
      </c>
    </row>
    <row r="120" spans="1:14" x14ac:dyDescent="0.3">
      <c r="A120" s="24">
        <v>113</v>
      </c>
      <c r="B120" s="24" t="s">
        <v>225</v>
      </c>
      <c r="C120" s="23" t="s">
        <v>344</v>
      </c>
      <c r="D120" s="25">
        <v>37093463</v>
      </c>
      <c r="E120" s="23" t="s">
        <v>355</v>
      </c>
      <c r="F120" s="23" t="s">
        <v>362</v>
      </c>
      <c r="G120" s="16"/>
      <c r="H120" s="16"/>
      <c r="I120" s="16"/>
      <c r="J120" s="16"/>
      <c r="K120" s="16"/>
      <c r="L120" s="16"/>
      <c r="M120" s="16"/>
      <c r="N120" s="16">
        <f t="shared" si="3"/>
        <v>0</v>
      </c>
    </row>
    <row r="121" spans="1:14" x14ac:dyDescent="0.3">
      <c r="A121" s="24">
        <v>114</v>
      </c>
      <c r="B121" s="24" t="s">
        <v>226</v>
      </c>
      <c r="C121" s="23" t="s">
        <v>345</v>
      </c>
      <c r="D121" s="25">
        <v>59333188</v>
      </c>
      <c r="E121" s="23" t="s">
        <v>355</v>
      </c>
      <c r="F121" s="23" t="s">
        <v>362</v>
      </c>
      <c r="G121" s="16"/>
      <c r="H121" s="16"/>
      <c r="I121" s="16"/>
      <c r="J121" s="16"/>
      <c r="K121" s="16"/>
      <c r="L121" s="16"/>
      <c r="M121" s="16"/>
      <c r="N121" s="16">
        <f t="shared" si="3"/>
        <v>0</v>
      </c>
    </row>
    <row r="122" spans="1:14" x14ac:dyDescent="0.3">
      <c r="A122" s="24">
        <v>115</v>
      </c>
      <c r="B122" s="24" t="s">
        <v>227</v>
      </c>
      <c r="C122" s="23" t="s">
        <v>346</v>
      </c>
      <c r="D122" s="25">
        <v>35713868</v>
      </c>
      <c r="E122" s="23" t="s">
        <v>355</v>
      </c>
      <c r="F122" s="23" t="s">
        <v>362</v>
      </c>
      <c r="G122" s="16"/>
      <c r="H122" s="16"/>
      <c r="I122" s="16"/>
      <c r="J122" s="16"/>
      <c r="K122" s="16"/>
      <c r="L122" s="16"/>
      <c r="M122" s="16"/>
      <c r="N122" s="16">
        <f t="shared" si="3"/>
        <v>0</v>
      </c>
    </row>
    <row r="123" spans="1:14" x14ac:dyDescent="0.3">
      <c r="A123" s="24">
        <v>116</v>
      </c>
      <c r="B123" s="24" t="s">
        <v>228</v>
      </c>
      <c r="C123" s="23" t="s">
        <v>347</v>
      </c>
      <c r="D123" s="25">
        <v>10619059</v>
      </c>
      <c r="E123" s="23" t="s">
        <v>355</v>
      </c>
      <c r="F123" s="23" t="s">
        <v>362</v>
      </c>
      <c r="G123" s="16"/>
      <c r="H123" s="16"/>
      <c r="I123" s="16"/>
      <c r="J123" s="16"/>
      <c r="K123" s="16"/>
      <c r="L123" s="16"/>
      <c r="M123" s="16"/>
      <c r="N123" s="16">
        <f t="shared" si="3"/>
        <v>0</v>
      </c>
    </row>
    <row r="124" spans="1:14" x14ac:dyDescent="0.3">
      <c r="A124" s="24">
        <v>117</v>
      </c>
      <c r="B124" s="24" t="s">
        <v>229</v>
      </c>
      <c r="C124" s="23" t="s">
        <v>348</v>
      </c>
      <c r="D124" s="25">
        <v>7506122</v>
      </c>
      <c r="E124" s="23" t="s">
        <v>355</v>
      </c>
      <c r="F124" s="23" t="s">
        <v>362</v>
      </c>
      <c r="G124" s="16"/>
      <c r="H124" s="16"/>
      <c r="I124" s="16"/>
      <c r="J124" s="16"/>
      <c r="K124" s="16"/>
      <c r="L124" s="16"/>
      <c r="M124" s="16"/>
      <c r="N124" s="16">
        <f t="shared" si="3"/>
        <v>0</v>
      </c>
    </row>
    <row r="125" spans="1:14" x14ac:dyDescent="0.3">
      <c r="A125" s="24">
        <v>118</v>
      </c>
      <c r="B125" s="24" t="s">
        <v>230</v>
      </c>
      <c r="C125" s="23" t="s">
        <v>349</v>
      </c>
      <c r="D125" s="25">
        <v>16737138</v>
      </c>
      <c r="E125" s="23" t="s">
        <v>355</v>
      </c>
      <c r="F125" s="23" t="s">
        <v>362</v>
      </c>
      <c r="G125" s="16"/>
      <c r="H125" s="16"/>
      <c r="I125" s="16"/>
      <c r="J125" s="16"/>
      <c r="K125" s="16"/>
      <c r="L125" s="16"/>
      <c r="M125" s="16"/>
      <c r="N125" s="16">
        <f t="shared" si="3"/>
        <v>0</v>
      </c>
    </row>
    <row r="126" spans="1:14" x14ac:dyDescent="0.3">
      <c r="A126" s="24">
        <v>119</v>
      </c>
      <c r="B126" s="24" t="s">
        <v>231</v>
      </c>
      <c r="C126" s="23" t="s">
        <v>350</v>
      </c>
      <c r="D126" s="25">
        <v>34191514</v>
      </c>
      <c r="E126" s="23" t="s">
        <v>355</v>
      </c>
      <c r="F126" s="23" t="s">
        <v>361</v>
      </c>
      <c r="G126" s="16"/>
      <c r="H126" s="16"/>
      <c r="I126" s="16"/>
      <c r="J126" s="16"/>
      <c r="K126" s="16"/>
      <c r="L126" s="16"/>
      <c r="M126" s="16"/>
      <c r="N126" s="16">
        <f t="shared" si="3"/>
        <v>0</v>
      </c>
    </row>
    <row r="127" spans="1:14" x14ac:dyDescent="0.3">
      <c r="A127" s="24">
        <v>120</v>
      </c>
      <c r="B127" s="24" t="s">
        <v>232</v>
      </c>
      <c r="C127" s="23" t="s">
        <v>351</v>
      </c>
      <c r="D127" s="25">
        <v>3879380</v>
      </c>
      <c r="E127" s="23" t="s">
        <v>358</v>
      </c>
      <c r="F127" s="23" t="s">
        <v>358</v>
      </c>
      <c r="G127" s="16"/>
      <c r="H127" s="16"/>
      <c r="I127" s="16"/>
      <c r="J127" s="16"/>
      <c r="K127" s="16"/>
      <c r="L127" s="16"/>
      <c r="M127" s="16"/>
      <c r="N127" s="16">
        <f t="shared" si="3"/>
        <v>0</v>
      </c>
    </row>
    <row r="128" spans="1:14" x14ac:dyDescent="0.3">
      <c r="A128" s="19"/>
      <c r="B128" s="19"/>
      <c r="C128" s="20" t="s">
        <v>108</v>
      </c>
      <c r="D128" s="21">
        <f>SUM(D8:D127)</f>
        <v>1590825777</v>
      </c>
      <c r="E128" s="20"/>
      <c r="F128" s="20"/>
      <c r="G128" s="21">
        <f>SUM(G8:G127)</f>
        <v>1000000</v>
      </c>
      <c r="H128" s="21">
        <f t="shared" ref="H128:M128" si="4">SUM(H8:H127)</f>
        <v>0</v>
      </c>
      <c r="I128" s="21">
        <f t="shared" si="4"/>
        <v>0</v>
      </c>
      <c r="J128" s="21">
        <f t="shared" si="4"/>
        <v>0</v>
      </c>
      <c r="K128" s="21">
        <f t="shared" si="4"/>
        <v>0</v>
      </c>
      <c r="L128" s="21">
        <f t="shared" si="4"/>
        <v>0</v>
      </c>
      <c r="M128" s="21">
        <f t="shared" si="4"/>
        <v>82441626</v>
      </c>
      <c r="N128" s="21"/>
    </row>
  </sheetData>
  <conditionalFormatting sqref="B8:B127">
    <cfRule type="duplicateValues" dxfId="1" priority="31"/>
  </conditionalFormatting>
  <conditionalFormatting sqref="A8:A127">
    <cfRule type="duplicateValues" dxfId="0" priority="33"/>
  </conditionalFormatting>
  <pageMargins left="0.7" right="0.7" top="0.75" bottom="0.75" header="0.3" footer="0.3"/>
  <pageSetup paperSize="9" scale="60" fitToHeight="0" orientation="landscape" r:id="rId1"/>
  <customProperties>
    <customPr name="Epm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M46"/>
  <sheetViews>
    <sheetView view="pageBreakPreview" zoomScale="61" zoomScaleNormal="32" zoomScaleSheetLayoutView="85" workbookViewId="0"/>
  </sheetViews>
  <sheetFormatPr defaultRowHeight="14.4" x14ac:dyDescent="0.3"/>
  <cols>
    <col min="1" max="1" width="7.5546875" style="30" bestFit="1" customWidth="1"/>
    <col min="2" max="2" width="53.77734375" style="30" customWidth="1"/>
    <col min="3" max="13" width="18.6640625" style="30" customWidth="1"/>
    <col min="14" max="253" width="9.109375" style="30"/>
    <col min="254" max="254" width="1.109375" style="30" customWidth="1"/>
    <col min="255" max="255" width="9.33203125" style="30" customWidth="1"/>
    <col min="256" max="256" width="69.33203125" style="30" customWidth="1"/>
    <col min="257" max="257" width="33" style="30" customWidth="1"/>
    <col min="258" max="258" width="20.5546875" style="30" customWidth="1"/>
    <col min="259" max="259" width="21.33203125" style="30" customWidth="1"/>
    <col min="260" max="260" width="21.88671875" style="30" customWidth="1"/>
    <col min="261" max="261" width="20.44140625" style="30" customWidth="1"/>
    <col min="262" max="262" width="21.88671875" style="30" customWidth="1"/>
    <col min="263" max="263" width="22.33203125" style="30" customWidth="1"/>
    <col min="264" max="266" width="20.44140625" style="30" customWidth="1"/>
    <col min="267" max="267" width="21.88671875" style="30" customWidth="1"/>
    <col min="268" max="268" width="22.33203125" style="30" customWidth="1"/>
    <col min="269" max="269" width="24.44140625" style="30" bestFit="1" customWidth="1"/>
    <col min="270" max="509" width="9.109375" style="30"/>
    <col min="510" max="510" width="1.109375" style="30" customWidth="1"/>
    <col min="511" max="511" width="9.33203125" style="30" customWidth="1"/>
    <col min="512" max="512" width="69.33203125" style="30" customWidth="1"/>
    <col min="513" max="513" width="33" style="30" customWidth="1"/>
    <col min="514" max="514" width="20.5546875" style="30" customWidth="1"/>
    <col min="515" max="515" width="21.33203125" style="30" customWidth="1"/>
    <col min="516" max="516" width="21.88671875" style="30" customWidth="1"/>
    <col min="517" max="517" width="20.44140625" style="30" customWidth="1"/>
    <col min="518" max="518" width="21.88671875" style="30" customWidth="1"/>
    <col min="519" max="519" width="22.33203125" style="30" customWidth="1"/>
    <col min="520" max="522" width="20.44140625" style="30" customWidth="1"/>
    <col min="523" max="523" width="21.88671875" style="30" customWidth="1"/>
    <col min="524" max="524" width="22.33203125" style="30" customWidth="1"/>
    <col min="525" max="525" width="24.44140625" style="30" bestFit="1" customWidth="1"/>
    <col min="526" max="765" width="9.109375" style="30"/>
    <col min="766" max="766" width="1.109375" style="30" customWidth="1"/>
    <col min="767" max="767" width="9.33203125" style="30" customWidth="1"/>
    <col min="768" max="768" width="69.33203125" style="30" customWidth="1"/>
    <col min="769" max="769" width="33" style="30" customWidth="1"/>
    <col min="770" max="770" width="20.5546875" style="30" customWidth="1"/>
    <col min="771" max="771" width="21.33203125" style="30" customWidth="1"/>
    <col min="772" max="772" width="21.88671875" style="30" customWidth="1"/>
    <col min="773" max="773" width="20.44140625" style="30" customWidth="1"/>
    <col min="774" max="774" width="21.88671875" style="30" customWidth="1"/>
    <col min="775" max="775" width="22.33203125" style="30" customWidth="1"/>
    <col min="776" max="778" width="20.44140625" style="30" customWidth="1"/>
    <col min="779" max="779" width="21.88671875" style="30" customWidth="1"/>
    <col min="780" max="780" width="22.33203125" style="30" customWidth="1"/>
    <col min="781" max="781" width="24.44140625" style="30" bestFit="1" customWidth="1"/>
    <col min="782" max="1021" width="9.109375" style="30"/>
    <col min="1022" max="1022" width="1.109375" style="30" customWidth="1"/>
    <col min="1023" max="1023" width="9.33203125" style="30" customWidth="1"/>
    <col min="1024" max="1024" width="69.33203125" style="30" customWidth="1"/>
    <col min="1025" max="1025" width="33" style="30" customWidth="1"/>
    <col min="1026" max="1026" width="20.5546875" style="30" customWidth="1"/>
    <col min="1027" max="1027" width="21.33203125" style="30" customWidth="1"/>
    <col min="1028" max="1028" width="21.88671875" style="30" customWidth="1"/>
    <col min="1029" max="1029" width="20.44140625" style="30" customWidth="1"/>
    <col min="1030" max="1030" width="21.88671875" style="30" customWidth="1"/>
    <col min="1031" max="1031" width="22.33203125" style="30" customWidth="1"/>
    <col min="1032" max="1034" width="20.44140625" style="30" customWidth="1"/>
    <col min="1035" max="1035" width="21.88671875" style="30" customWidth="1"/>
    <col min="1036" max="1036" width="22.33203125" style="30" customWidth="1"/>
    <col min="1037" max="1037" width="24.44140625" style="30" bestFit="1" customWidth="1"/>
    <col min="1038" max="1277" width="9.109375" style="30"/>
    <col min="1278" max="1278" width="1.109375" style="30" customWidth="1"/>
    <col min="1279" max="1279" width="9.33203125" style="30" customWidth="1"/>
    <col min="1280" max="1280" width="69.33203125" style="30" customWidth="1"/>
    <col min="1281" max="1281" width="33" style="30" customWidth="1"/>
    <col min="1282" max="1282" width="20.5546875" style="30" customWidth="1"/>
    <col min="1283" max="1283" width="21.33203125" style="30" customWidth="1"/>
    <col min="1284" max="1284" width="21.88671875" style="30" customWidth="1"/>
    <col min="1285" max="1285" width="20.44140625" style="30" customWidth="1"/>
    <col min="1286" max="1286" width="21.88671875" style="30" customWidth="1"/>
    <col min="1287" max="1287" width="22.33203125" style="30" customWidth="1"/>
    <col min="1288" max="1290" width="20.44140625" style="30" customWidth="1"/>
    <col min="1291" max="1291" width="21.88671875" style="30" customWidth="1"/>
    <col min="1292" max="1292" width="22.33203125" style="30" customWidth="1"/>
    <col min="1293" max="1293" width="24.44140625" style="30" bestFit="1" customWidth="1"/>
    <col min="1294" max="1533" width="9.109375" style="30"/>
    <col min="1534" max="1534" width="1.109375" style="30" customWidth="1"/>
    <col min="1535" max="1535" width="9.33203125" style="30" customWidth="1"/>
    <col min="1536" max="1536" width="69.33203125" style="30" customWidth="1"/>
    <col min="1537" max="1537" width="33" style="30" customWidth="1"/>
    <col min="1538" max="1538" width="20.5546875" style="30" customWidth="1"/>
    <col min="1539" max="1539" width="21.33203125" style="30" customWidth="1"/>
    <col min="1540" max="1540" width="21.88671875" style="30" customWidth="1"/>
    <col min="1541" max="1541" width="20.44140625" style="30" customWidth="1"/>
    <col min="1542" max="1542" width="21.88671875" style="30" customWidth="1"/>
    <col min="1543" max="1543" width="22.33203125" style="30" customWidth="1"/>
    <col min="1544" max="1546" width="20.44140625" style="30" customWidth="1"/>
    <col min="1547" max="1547" width="21.88671875" style="30" customWidth="1"/>
    <col min="1548" max="1548" width="22.33203125" style="30" customWidth="1"/>
    <col min="1549" max="1549" width="24.44140625" style="30" bestFit="1" customWidth="1"/>
    <col min="1550" max="1789" width="9.109375" style="30"/>
    <col min="1790" max="1790" width="1.109375" style="30" customWidth="1"/>
    <col min="1791" max="1791" width="9.33203125" style="30" customWidth="1"/>
    <col min="1792" max="1792" width="69.33203125" style="30" customWidth="1"/>
    <col min="1793" max="1793" width="33" style="30" customWidth="1"/>
    <col min="1794" max="1794" width="20.5546875" style="30" customWidth="1"/>
    <col min="1795" max="1795" width="21.33203125" style="30" customWidth="1"/>
    <col min="1796" max="1796" width="21.88671875" style="30" customWidth="1"/>
    <col min="1797" max="1797" width="20.44140625" style="30" customWidth="1"/>
    <col min="1798" max="1798" width="21.88671875" style="30" customWidth="1"/>
    <col min="1799" max="1799" width="22.33203125" style="30" customWidth="1"/>
    <col min="1800" max="1802" width="20.44140625" style="30" customWidth="1"/>
    <col min="1803" max="1803" width="21.88671875" style="30" customWidth="1"/>
    <col min="1804" max="1804" width="22.33203125" style="30" customWidth="1"/>
    <col min="1805" max="1805" width="24.44140625" style="30" bestFit="1" customWidth="1"/>
    <col min="1806" max="2045" width="9.109375" style="30"/>
    <col min="2046" max="2046" width="1.109375" style="30" customWidth="1"/>
    <col min="2047" max="2047" width="9.33203125" style="30" customWidth="1"/>
    <col min="2048" max="2048" width="69.33203125" style="30" customWidth="1"/>
    <col min="2049" max="2049" width="33" style="30" customWidth="1"/>
    <col min="2050" max="2050" width="20.5546875" style="30" customWidth="1"/>
    <col min="2051" max="2051" width="21.33203125" style="30" customWidth="1"/>
    <col min="2052" max="2052" width="21.88671875" style="30" customWidth="1"/>
    <col min="2053" max="2053" width="20.44140625" style="30" customWidth="1"/>
    <col min="2054" max="2054" width="21.88671875" style="30" customWidth="1"/>
    <col min="2055" max="2055" width="22.33203125" style="30" customWidth="1"/>
    <col min="2056" max="2058" width="20.44140625" style="30" customWidth="1"/>
    <col min="2059" max="2059" width="21.88671875" style="30" customWidth="1"/>
    <col min="2060" max="2060" width="22.33203125" style="30" customWidth="1"/>
    <col min="2061" max="2061" width="24.44140625" style="30" bestFit="1" customWidth="1"/>
    <col min="2062" max="2301" width="9.109375" style="30"/>
    <col min="2302" max="2302" width="1.109375" style="30" customWidth="1"/>
    <col min="2303" max="2303" width="9.33203125" style="30" customWidth="1"/>
    <col min="2304" max="2304" width="69.33203125" style="30" customWidth="1"/>
    <col min="2305" max="2305" width="33" style="30" customWidth="1"/>
    <col min="2306" max="2306" width="20.5546875" style="30" customWidth="1"/>
    <col min="2307" max="2307" width="21.33203125" style="30" customWidth="1"/>
    <col min="2308" max="2308" width="21.88671875" style="30" customWidth="1"/>
    <col min="2309" max="2309" width="20.44140625" style="30" customWidth="1"/>
    <col min="2310" max="2310" width="21.88671875" style="30" customWidth="1"/>
    <col min="2311" max="2311" width="22.33203125" style="30" customWidth="1"/>
    <col min="2312" max="2314" width="20.44140625" style="30" customWidth="1"/>
    <col min="2315" max="2315" width="21.88671875" style="30" customWidth="1"/>
    <col min="2316" max="2316" width="22.33203125" style="30" customWidth="1"/>
    <col min="2317" max="2317" width="24.44140625" style="30" bestFit="1" customWidth="1"/>
    <col min="2318" max="2557" width="9.109375" style="30"/>
    <col min="2558" max="2558" width="1.109375" style="30" customWidth="1"/>
    <col min="2559" max="2559" width="9.33203125" style="30" customWidth="1"/>
    <col min="2560" max="2560" width="69.33203125" style="30" customWidth="1"/>
    <col min="2561" max="2561" width="33" style="30" customWidth="1"/>
    <col min="2562" max="2562" width="20.5546875" style="30" customWidth="1"/>
    <col min="2563" max="2563" width="21.33203125" style="30" customWidth="1"/>
    <col min="2564" max="2564" width="21.88671875" style="30" customWidth="1"/>
    <col min="2565" max="2565" width="20.44140625" style="30" customWidth="1"/>
    <col min="2566" max="2566" width="21.88671875" style="30" customWidth="1"/>
    <col min="2567" max="2567" width="22.33203125" style="30" customWidth="1"/>
    <col min="2568" max="2570" width="20.44140625" style="30" customWidth="1"/>
    <col min="2571" max="2571" width="21.88671875" style="30" customWidth="1"/>
    <col min="2572" max="2572" width="22.33203125" style="30" customWidth="1"/>
    <col min="2573" max="2573" width="24.44140625" style="30" bestFit="1" customWidth="1"/>
    <col min="2574" max="2813" width="9.109375" style="30"/>
    <col min="2814" max="2814" width="1.109375" style="30" customWidth="1"/>
    <col min="2815" max="2815" width="9.33203125" style="30" customWidth="1"/>
    <col min="2816" max="2816" width="69.33203125" style="30" customWidth="1"/>
    <col min="2817" max="2817" width="33" style="30" customWidth="1"/>
    <col min="2818" max="2818" width="20.5546875" style="30" customWidth="1"/>
    <col min="2819" max="2819" width="21.33203125" style="30" customWidth="1"/>
    <col min="2820" max="2820" width="21.88671875" style="30" customWidth="1"/>
    <col min="2821" max="2821" width="20.44140625" style="30" customWidth="1"/>
    <col min="2822" max="2822" width="21.88671875" style="30" customWidth="1"/>
    <col min="2823" max="2823" width="22.33203125" style="30" customWidth="1"/>
    <col min="2824" max="2826" width="20.44140625" style="30" customWidth="1"/>
    <col min="2827" max="2827" width="21.88671875" style="30" customWidth="1"/>
    <col min="2828" max="2828" width="22.33203125" style="30" customWidth="1"/>
    <col min="2829" max="2829" width="24.44140625" style="30" bestFit="1" customWidth="1"/>
    <col min="2830" max="3069" width="9.109375" style="30"/>
    <col min="3070" max="3070" width="1.109375" style="30" customWidth="1"/>
    <col min="3071" max="3071" width="9.33203125" style="30" customWidth="1"/>
    <col min="3072" max="3072" width="69.33203125" style="30" customWidth="1"/>
    <col min="3073" max="3073" width="33" style="30" customWidth="1"/>
    <col min="3074" max="3074" width="20.5546875" style="30" customWidth="1"/>
    <col min="3075" max="3075" width="21.33203125" style="30" customWidth="1"/>
    <col min="3076" max="3076" width="21.88671875" style="30" customWidth="1"/>
    <col min="3077" max="3077" width="20.44140625" style="30" customWidth="1"/>
    <col min="3078" max="3078" width="21.88671875" style="30" customWidth="1"/>
    <col min="3079" max="3079" width="22.33203125" style="30" customWidth="1"/>
    <col min="3080" max="3082" width="20.44140625" style="30" customWidth="1"/>
    <col min="3083" max="3083" width="21.88671875" style="30" customWidth="1"/>
    <col min="3084" max="3084" width="22.33203125" style="30" customWidth="1"/>
    <col min="3085" max="3085" width="24.44140625" style="30" bestFit="1" customWidth="1"/>
    <col min="3086" max="3325" width="9.109375" style="30"/>
    <col min="3326" max="3326" width="1.109375" style="30" customWidth="1"/>
    <col min="3327" max="3327" width="9.33203125" style="30" customWidth="1"/>
    <col min="3328" max="3328" width="69.33203125" style="30" customWidth="1"/>
    <col min="3329" max="3329" width="33" style="30" customWidth="1"/>
    <col min="3330" max="3330" width="20.5546875" style="30" customWidth="1"/>
    <col min="3331" max="3331" width="21.33203125" style="30" customWidth="1"/>
    <col min="3332" max="3332" width="21.88671875" style="30" customWidth="1"/>
    <col min="3333" max="3333" width="20.44140625" style="30" customWidth="1"/>
    <col min="3334" max="3334" width="21.88671875" style="30" customWidth="1"/>
    <col min="3335" max="3335" width="22.33203125" style="30" customWidth="1"/>
    <col min="3336" max="3338" width="20.44140625" style="30" customWidth="1"/>
    <col min="3339" max="3339" width="21.88671875" style="30" customWidth="1"/>
    <col min="3340" max="3340" width="22.33203125" style="30" customWidth="1"/>
    <col min="3341" max="3341" width="24.44140625" style="30" bestFit="1" customWidth="1"/>
    <col min="3342" max="3581" width="9.109375" style="30"/>
    <col min="3582" max="3582" width="1.109375" style="30" customWidth="1"/>
    <col min="3583" max="3583" width="9.33203125" style="30" customWidth="1"/>
    <col min="3584" max="3584" width="69.33203125" style="30" customWidth="1"/>
    <col min="3585" max="3585" width="33" style="30" customWidth="1"/>
    <col min="3586" max="3586" width="20.5546875" style="30" customWidth="1"/>
    <col min="3587" max="3587" width="21.33203125" style="30" customWidth="1"/>
    <col min="3588" max="3588" width="21.88671875" style="30" customWidth="1"/>
    <col min="3589" max="3589" width="20.44140625" style="30" customWidth="1"/>
    <col min="3590" max="3590" width="21.88671875" style="30" customWidth="1"/>
    <col min="3591" max="3591" width="22.33203125" style="30" customWidth="1"/>
    <col min="3592" max="3594" width="20.44140625" style="30" customWidth="1"/>
    <col min="3595" max="3595" width="21.88671875" style="30" customWidth="1"/>
    <col min="3596" max="3596" width="22.33203125" style="30" customWidth="1"/>
    <col min="3597" max="3597" width="24.44140625" style="30" bestFit="1" customWidth="1"/>
    <col min="3598" max="3837" width="9.109375" style="30"/>
    <col min="3838" max="3838" width="1.109375" style="30" customWidth="1"/>
    <col min="3839" max="3839" width="9.33203125" style="30" customWidth="1"/>
    <col min="3840" max="3840" width="69.33203125" style="30" customWidth="1"/>
    <col min="3841" max="3841" width="33" style="30" customWidth="1"/>
    <col min="3842" max="3842" width="20.5546875" style="30" customWidth="1"/>
    <col min="3843" max="3843" width="21.33203125" style="30" customWidth="1"/>
    <col min="3844" max="3844" width="21.88671875" style="30" customWidth="1"/>
    <col min="3845" max="3845" width="20.44140625" style="30" customWidth="1"/>
    <col min="3846" max="3846" width="21.88671875" style="30" customWidth="1"/>
    <col min="3847" max="3847" width="22.33203125" style="30" customWidth="1"/>
    <col min="3848" max="3850" width="20.44140625" style="30" customWidth="1"/>
    <col min="3851" max="3851" width="21.88671875" style="30" customWidth="1"/>
    <col min="3852" max="3852" width="22.33203125" style="30" customWidth="1"/>
    <col min="3853" max="3853" width="24.44140625" style="30" bestFit="1" customWidth="1"/>
    <col min="3854" max="4093" width="9.109375" style="30"/>
    <col min="4094" max="4094" width="1.109375" style="30" customWidth="1"/>
    <col min="4095" max="4095" width="9.33203125" style="30" customWidth="1"/>
    <col min="4096" max="4096" width="69.33203125" style="30" customWidth="1"/>
    <col min="4097" max="4097" width="33" style="30" customWidth="1"/>
    <col min="4098" max="4098" width="20.5546875" style="30" customWidth="1"/>
    <col min="4099" max="4099" width="21.33203125" style="30" customWidth="1"/>
    <col min="4100" max="4100" width="21.88671875" style="30" customWidth="1"/>
    <col min="4101" max="4101" width="20.44140625" style="30" customWidth="1"/>
    <col min="4102" max="4102" width="21.88671875" style="30" customWidth="1"/>
    <col min="4103" max="4103" width="22.33203125" style="30" customWidth="1"/>
    <col min="4104" max="4106" width="20.44140625" style="30" customWidth="1"/>
    <col min="4107" max="4107" width="21.88671875" style="30" customWidth="1"/>
    <col min="4108" max="4108" width="22.33203125" style="30" customWidth="1"/>
    <col min="4109" max="4109" width="24.44140625" style="30" bestFit="1" customWidth="1"/>
    <col min="4110" max="4349" width="9.109375" style="30"/>
    <col min="4350" max="4350" width="1.109375" style="30" customWidth="1"/>
    <col min="4351" max="4351" width="9.33203125" style="30" customWidth="1"/>
    <col min="4352" max="4352" width="69.33203125" style="30" customWidth="1"/>
    <col min="4353" max="4353" width="33" style="30" customWidth="1"/>
    <col min="4354" max="4354" width="20.5546875" style="30" customWidth="1"/>
    <col min="4355" max="4355" width="21.33203125" style="30" customWidth="1"/>
    <col min="4356" max="4356" width="21.88671875" style="30" customWidth="1"/>
    <col min="4357" max="4357" width="20.44140625" style="30" customWidth="1"/>
    <col min="4358" max="4358" width="21.88671875" style="30" customWidth="1"/>
    <col min="4359" max="4359" width="22.33203125" style="30" customWidth="1"/>
    <col min="4360" max="4362" width="20.44140625" style="30" customWidth="1"/>
    <col min="4363" max="4363" width="21.88671875" style="30" customWidth="1"/>
    <col min="4364" max="4364" width="22.33203125" style="30" customWidth="1"/>
    <col min="4365" max="4365" width="24.44140625" style="30" bestFit="1" customWidth="1"/>
    <col min="4366" max="4605" width="9.109375" style="30"/>
    <col min="4606" max="4606" width="1.109375" style="30" customWidth="1"/>
    <col min="4607" max="4607" width="9.33203125" style="30" customWidth="1"/>
    <col min="4608" max="4608" width="69.33203125" style="30" customWidth="1"/>
    <col min="4609" max="4609" width="33" style="30" customWidth="1"/>
    <col min="4610" max="4610" width="20.5546875" style="30" customWidth="1"/>
    <col min="4611" max="4611" width="21.33203125" style="30" customWidth="1"/>
    <col min="4612" max="4612" width="21.88671875" style="30" customWidth="1"/>
    <col min="4613" max="4613" width="20.44140625" style="30" customWidth="1"/>
    <col min="4614" max="4614" width="21.88671875" style="30" customWidth="1"/>
    <col min="4615" max="4615" width="22.33203125" style="30" customWidth="1"/>
    <col min="4616" max="4618" width="20.44140625" style="30" customWidth="1"/>
    <col min="4619" max="4619" width="21.88671875" style="30" customWidth="1"/>
    <col min="4620" max="4620" width="22.33203125" style="30" customWidth="1"/>
    <col min="4621" max="4621" width="24.44140625" style="30" bestFit="1" customWidth="1"/>
    <col min="4622" max="4861" width="9.109375" style="30"/>
    <col min="4862" max="4862" width="1.109375" style="30" customWidth="1"/>
    <col min="4863" max="4863" width="9.33203125" style="30" customWidth="1"/>
    <col min="4864" max="4864" width="69.33203125" style="30" customWidth="1"/>
    <col min="4865" max="4865" width="33" style="30" customWidth="1"/>
    <col min="4866" max="4866" width="20.5546875" style="30" customWidth="1"/>
    <col min="4867" max="4867" width="21.33203125" style="30" customWidth="1"/>
    <col min="4868" max="4868" width="21.88671875" style="30" customWidth="1"/>
    <col min="4869" max="4869" width="20.44140625" style="30" customWidth="1"/>
    <col min="4870" max="4870" width="21.88671875" style="30" customWidth="1"/>
    <col min="4871" max="4871" width="22.33203125" style="30" customWidth="1"/>
    <col min="4872" max="4874" width="20.44140625" style="30" customWidth="1"/>
    <col min="4875" max="4875" width="21.88671875" style="30" customWidth="1"/>
    <col min="4876" max="4876" width="22.33203125" style="30" customWidth="1"/>
    <col min="4877" max="4877" width="24.44140625" style="30" bestFit="1" customWidth="1"/>
    <col min="4878" max="5117" width="9.109375" style="30"/>
    <col min="5118" max="5118" width="1.109375" style="30" customWidth="1"/>
    <col min="5119" max="5119" width="9.33203125" style="30" customWidth="1"/>
    <col min="5120" max="5120" width="69.33203125" style="30" customWidth="1"/>
    <col min="5121" max="5121" width="33" style="30" customWidth="1"/>
    <col min="5122" max="5122" width="20.5546875" style="30" customWidth="1"/>
    <col min="5123" max="5123" width="21.33203125" style="30" customWidth="1"/>
    <col min="5124" max="5124" width="21.88671875" style="30" customWidth="1"/>
    <col min="5125" max="5125" width="20.44140625" style="30" customWidth="1"/>
    <col min="5126" max="5126" width="21.88671875" style="30" customWidth="1"/>
    <col min="5127" max="5127" width="22.33203125" style="30" customWidth="1"/>
    <col min="5128" max="5130" width="20.44140625" style="30" customWidth="1"/>
    <col min="5131" max="5131" width="21.88671875" style="30" customWidth="1"/>
    <col min="5132" max="5132" width="22.33203125" style="30" customWidth="1"/>
    <col min="5133" max="5133" width="24.44140625" style="30" bestFit="1" customWidth="1"/>
    <col min="5134" max="5373" width="9.109375" style="30"/>
    <col min="5374" max="5374" width="1.109375" style="30" customWidth="1"/>
    <col min="5375" max="5375" width="9.33203125" style="30" customWidth="1"/>
    <col min="5376" max="5376" width="69.33203125" style="30" customWidth="1"/>
    <col min="5377" max="5377" width="33" style="30" customWidth="1"/>
    <col min="5378" max="5378" width="20.5546875" style="30" customWidth="1"/>
    <col min="5379" max="5379" width="21.33203125" style="30" customWidth="1"/>
    <col min="5380" max="5380" width="21.88671875" style="30" customWidth="1"/>
    <col min="5381" max="5381" width="20.44140625" style="30" customWidth="1"/>
    <col min="5382" max="5382" width="21.88671875" style="30" customWidth="1"/>
    <col min="5383" max="5383" width="22.33203125" style="30" customWidth="1"/>
    <col min="5384" max="5386" width="20.44140625" style="30" customWidth="1"/>
    <col min="5387" max="5387" width="21.88671875" style="30" customWidth="1"/>
    <col min="5388" max="5388" width="22.33203125" style="30" customWidth="1"/>
    <col min="5389" max="5389" width="24.44140625" style="30" bestFit="1" customWidth="1"/>
    <col min="5390" max="5629" width="9.109375" style="30"/>
    <col min="5630" max="5630" width="1.109375" style="30" customWidth="1"/>
    <col min="5631" max="5631" width="9.33203125" style="30" customWidth="1"/>
    <col min="5632" max="5632" width="69.33203125" style="30" customWidth="1"/>
    <col min="5633" max="5633" width="33" style="30" customWidth="1"/>
    <col min="5634" max="5634" width="20.5546875" style="30" customWidth="1"/>
    <col min="5635" max="5635" width="21.33203125" style="30" customWidth="1"/>
    <col min="5636" max="5636" width="21.88671875" style="30" customWidth="1"/>
    <col min="5637" max="5637" width="20.44140625" style="30" customWidth="1"/>
    <col min="5638" max="5638" width="21.88671875" style="30" customWidth="1"/>
    <col min="5639" max="5639" width="22.33203125" style="30" customWidth="1"/>
    <col min="5640" max="5642" width="20.44140625" style="30" customWidth="1"/>
    <col min="5643" max="5643" width="21.88671875" style="30" customWidth="1"/>
    <col min="5644" max="5644" width="22.33203125" style="30" customWidth="1"/>
    <col min="5645" max="5645" width="24.44140625" style="30" bestFit="1" customWidth="1"/>
    <col min="5646" max="5885" width="9.109375" style="30"/>
    <col min="5886" max="5886" width="1.109375" style="30" customWidth="1"/>
    <col min="5887" max="5887" width="9.33203125" style="30" customWidth="1"/>
    <col min="5888" max="5888" width="69.33203125" style="30" customWidth="1"/>
    <col min="5889" max="5889" width="33" style="30" customWidth="1"/>
    <col min="5890" max="5890" width="20.5546875" style="30" customWidth="1"/>
    <col min="5891" max="5891" width="21.33203125" style="30" customWidth="1"/>
    <col min="5892" max="5892" width="21.88671875" style="30" customWidth="1"/>
    <col min="5893" max="5893" width="20.44140625" style="30" customWidth="1"/>
    <col min="5894" max="5894" width="21.88671875" style="30" customWidth="1"/>
    <col min="5895" max="5895" width="22.33203125" style="30" customWidth="1"/>
    <col min="5896" max="5898" width="20.44140625" style="30" customWidth="1"/>
    <col min="5899" max="5899" width="21.88671875" style="30" customWidth="1"/>
    <col min="5900" max="5900" width="22.33203125" style="30" customWidth="1"/>
    <col min="5901" max="5901" width="24.44140625" style="30" bestFit="1" customWidth="1"/>
    <col min="5902" max="6141" width="9.109375" style="30"/>
    <col min="6142" max="6142" width="1.109375" style="30" customWidth="1"/>
    <col min="6143" max="6143" width="9.33203125" style="30" customWidth="1"/>
    <col min="6144" max="6144" width="69.33203125" style="30" customWidth="1"/>
    <col min="6145" max="6145" width="33" style="30" customWidth="1"/>
    <col min="6146" max="6146" width="20.5546875" style="30" customWidth="1"/>
    <col min="6147" max="6147" width="21.33203125" style="30" customWidth="1"/>
    <col min="6148" max="6148" width="21.88671875" style="30" customWidth="1"/>
    <col min="6149" max="6149" width="20.44140625" style="30" customWidth="1"/>
    <col min="6150" max="6150" width="21.88671875" style="30" customWidth="1"/>
    <col min="6151" max="6151" width="22.33203125" style="30" customWidth="1"/>
    <col min="6152" max="6154" width="20.44140625" style="30" customWidth="1"/>
    <col min="6155" max="6155" width="21.88671875" style="30" customWidth="1"/>
    <col min="6156" max="6156" width="22.33203125" style="30" customWidth="1"/>
    <col min="6157" max="6157" width="24.44140625" style="30" bestFit="1" customWidth="1"/>
    <col min="6158" max="6397" width="9.109375" style="30"/>
    <col min="6398" max="6398" width="1.109375" style="30" customWidth="1"/>
    <col min="6399" max="6399" width="9.33203125" style="30" customWidth="1"/>
    <col min="6400" max="6400" width="69.33203125" style="30" customWidth="1"/>
    <col min="6401" max="6401" width="33" style="30" customWidth="1"/>
    <col min="6402" max="6402" width="20.5546875" style="30" customWidth="1"/>
    <col min="6403" max="6403" width="21.33203125" style="30" customWidth="1"/>
    <col min="6404" max="6404" width="21.88671875" style="30" customWidth="1"/>
    <col min="6405" max="6405" width="20.44140625" style="30" customWidth="1"/>
    <col min="6406" max="6406" width="21.88671875" style="30" customWidth="1"/>
    <col min="6407" max="6407" width="22.33203125" style="30" customWidth="1"/>
    <col min="6408" max="6410" width="20.44140625" style="30" customWidth="1"/>
    <col min="6411" max="6411" width="21.88671875" style="30" customWidth="1"/>
    <col min="6412" max="6412" width="22.33203125" style="30" customWidth="1"/>
    <col min="6413" max="6413" width="24.44140625" style="30" bestFit="1" customWidth="1"/>
    <col min="6414" max="6653" width="9.109375" style="30"/>
    <col min="6654" max="6654" width="1.109375" style="30" customWidth="1"/>
    <col min="6655" max="6655" width="9.33203125" style="30" customWidth="1"/>
    <col min="6656" max="6656" width="69.33203125" style="30" customWidth="1"/>
    <col min="6657" max="6657" width="33" style="30" customWidth="1"/>
    <col min="6658" max="6658" width="20.5546875" style="30" customWidth="1"/>
    <col min="6659" max="6659" width="21.33203125" style="30" customWidth="1"/>
    <col min="6660" max="6660" width="21.88671875" style="30" customWidth="1"/>
    <col min="6661" max="6661" width="20.44140625" style="30" customWidth="1"/>
    <col min="6662" max="6662" width="21.88671875" style="30" customWidth="1"/>
    <col min="6663" max="6663" width="22.33203125" style="30" customWidth="1"/>
    <col min="6664" max="6666" width="20.44140625" style="30" customWidth="1"/>
    <col min="6667" max="6667" width="21.88671875" style="30" customWidth="1"/>
    <col min="6668" max="6668" width="22.33203125" style="30" customWidth="1"/>
    <col min="6669" max="6669" width="24.44140625" style="30" bestFit="1" customWidth="1"/>
    <col min="6670" max="6909" width="9.109375" style="30"/>
    <col min="6910" max="6910" width="1.109375" style="30" customWidth="1"/>
    <col min="6911" max="6911" width="9.33203125" style="30" customWidth="1"/>
    <col min="6912" max="6912" width="69.33203125" style="30" customWidth="1"/>
    <col min="6913" max="6913" width="33" style="30" customWidth="1"/>
    <col min="6914" max="6914" width="20.5546875" style="30" customWidth="1"/>
    <col min="6915" max="6915" width="21.33203125" style="30" customWidth="1"/>
    <col min="6916" max="6916" width="21.88671875" style="30" customWidth="1"/>
    <col min="6917" max="6917" width="20.44140625" style="30" customWidth="1"/>
    <col min="6918" max="6918" width="21.88671875" style="30" customWidth="1"/>
    <col min="6919" max="6919" width="22.33203125" style="30" customWidth="1"/>
    <col min="6920" max="6922" width="20.44140625" style="30" customWidth="1"/>
    <col min="6923" max="6923" width="21.88671875" style="30" customWidth="1"/>
    <col min="6924" max="6924" width="22.33203125" style="30" customWidth="1"/>
    <col min="6925" max="6925" width="24.44140625" style="30" bestFit="1" customWidth="1"/>
    <col min="6926" max="7165" width="9.109375" style="30"/>
    <col min="7166" max="7166" width="1.109375" style="30" customWidth="1"/>
    <col min="7167" max="7167" width="9.33203125" style="30" customWidth="1"/>
    <col min="7168" max="7168" width="69.33203125" style="30" customWidth="1"/>
    <col min="7169" max="7169" width="33" style="30" customWidth="1"/>
    <col min="7170" max="7170" width="20.5546875" style="30" customWidth="1"/>
    <col min="7171" max="7171" width="21.33203125" style="30" customWidth="1"/>
    <col min="7172" max="7172" width="21.88671875" style="30" customWidth="1"/>
    <col min="7173" max="7173" width="20.44140625" style="30" customWidth="1"/>
    <col min="7174" max="7174" width="21.88671875" style="30" customWidth="1"/>
    <col min="7175" max="7175" width="22.33203125" style="30" customWidth="1"/>
    <col min="7176" max="7178" width="20.44140625" style="30" customWidth="1"/>
    <col min="7179" max="7179" width="21.88671875" style="30" customWidth="1"/>
    <col min="7180" max="7180" width="22.33203125" style="30" customWidth="1"/>
    <col min="7181" max="7181" width="24.44140625" style="30" bestFit="1" customWidth="1"/>
    <col min="7182" max="7421" width="9.109375" style="30"/>
    <col min="7422" max="7422" width="1.109375" style="30" customWidth="1"/>
    <col min="7423" max="7423" width="9.33203125" style="30" customWidth="1"/>
    <col min="7424" max="7424" width="69.33203125" style="30" customWidth="1"/>
    <col min="7425" max="7425" width="33" style="30" customWidth="1"/>
    <col min="7426" max="7426" width="20.5546875" style="30" customWidth="1"/>
    <col min="7427" max="7427" width="21.33203125" style="30" customWidth="1"/>
    <col min="7428" max="7428" width="21.88671875" style="30" customWidth="1"/>
    <col min="7429" max="7429" width="20.44140625" style="30" customWidth="1"/>
    <col min="7430" max="7430" width="21.88671875" style="30" customWidth="1"/>
    <col min="7431" max="7431" width="22.33203125" style="30" customWidth="1"/>
    <col min="7432" max="7434" width="20.44140625" style="30" customWidth="1"/>
    <col min="7435" max="7435" width="21.88671875" style="30" customWidth="1"/>
    <col min="7436" max="7436" width="22.33203125" style="30" customWidth="1"/>
    <col min="7437" max="7437" width="24.44140625" style="30" bestFit="1" customWidth="1"/>
    <col min="7438" max="7677" width="9.109375" style="30"/>
    <col min="7678" max="7678" width="1.109375" style="30" customWidth="1"/>
    <col min="7679" max="7679" width="9.33203125" style="30" customWidth="1"/>
    <col min="7680" max="7680" width="69.33203125" style="30" customWidth="1"/>
    <col min="7681" max="7681" width="33" style="30" customWidth="1"/>
    <col min="7682" max="7682" width="20.5546875" style="30" customWidth="1"/>
    <col min="7683" max="7683" width="21.33203125" style="30" customWidth="1"/>
    <col min="7684" max="7684" width="21.88671875" style="30" customWidth="1"/>
    <col min="7685" max="7685" width="20.44140625" style="30" customWidth="1"/>
    <col min="7686" max="7686" width="21.88671875" style="30" customWidth="1"/>
    <col min="7687" max="7687" width="22.33203125" style="30" customWidth="1"/>
    <col min="7688" max="7690" width="20.44140625" style="30" customWidth="1"/>
    <col min="7691" max="7691" width="21.88671875" style="30" customWidth="1"/>
    <col min="7692" max="7692" width="22.33203125" style="30" customWidth="1"/>
    <col min="7693" max="7693" width="24.44140625" style="30" bestFit="1" customWidth="1"/>
    <col min="7694" max="7933" width="9.109375" style="30"/>
    <col min="7934" max="7934" width="1.109375" style="30" customWidth="1"/>
    <col min="7935" max="7935" width="9.33203125" style="30" customWidth="1"/>
    <col min="7936" max="7936" width="69.33203125" style="30" customWidth="1"/>
    <col min="7937" max="7937" width="33" style="30" customWidth="1"/>
    <col min="7938" max="7938" width="20.5546875" style="30" customWidth="1"/>
    <col min="7939" max="7939" width="21.33203125" style="30" customWidth="1"/>
    <col min="7940" max="7940" width="21.88671875" style="30" customWidth="1"/>
    <col min="7941" max="7941" width="20.44140625" style="30" customWidth="1"/>
    <col min="7942" max="7942" width="21.88671875" style="30" customWidth="1"/>
    <col min="7943" max="7943" width="22.33203125" style="30" customWidth="1"/>
    <col min="7944" max="7946" width="20.44140625" style="30" customWidth="1"/>
    <col min="7947" max="7947" width="21.88671875" style="30" customWidth="1"/>
    <col min="7948" max="7948" width="22.33203125" style="30" customWidth="1"/>
    <col min="7949" max="7949" width="24.44140625" style="30" bestFit="1" customWidth="1"/>
    <col min="7950" max="8189" width="9.109375" style="30"/>
    <col min="8190" max="8190" width="1.109375" style="30" customWidth="1"/>
    <col min="8191" max="8191" width="9.33203125" style="30" customWidth="1"/>
    <col min="8192" max="8192" width="69.33203125" style="30" customWidth="1"/>
    <col min="8193" max="8193" width="33" style="30" customWidth="1"/>
    <col min="8194" max="8194" width="20.5546875" style="30" customWidth="1"/>
    <col min="8195" max="8195" width="21.33203125" style="30" customWidth="1"/>
    <col min="8196" max="8196" width="21.88671875" style="30" customWidth="1"/>
    <col min="8197" max="8197" width="20.44140625" style="30" customWidth="1"/>
    <col min="8198" max="8198" width="21.88671875" style="30" customWidth="1"/>
    <col min="8199" max="8199" width="22.33203125" style="30" customWidth="1"/>
    <col min="8200" max="8202" width="20.44140625" style="30" customWidth="1"/>
    <col min="8203" max="8203" width="21.88671875" style="30" customWidth="1"/>
    <col min="8204" max="8204" width="22.33203125" style="30" customWidth="1"/>
    <col min="8205" max="8205" width="24.44140625" style="30" bestFit="1" customWidth="1"/>
    <col min="8206" max="8445" width="9.109375" style="30"/>
    <col min="8446" max="8446" width="1.109375" style="30" customWidth="1"/>
    <col min="8447" max="8447" width="9.33203125" style="30" customWidth="1"/>
    <col min="8448" max="8448" width="69.33203125" style="30" customWidth="1"/>
    <col min="8449" max="8449" width="33" style="30" customWidth="1"/>
    <col min="8450" max="8450" width="20.5546875" style="30" customWidth="1"/>
    <col min="8451" max="8451" width="21.33203125" style="30" customWidth="1"/>
    <col min="8452" max="8452" width="21.88671875" style="30" customWidth="1"/>
    <col min="8453" max="8453" width="20.44140625" style="30" customWidth="1"/>
    <col min="8454" max="8454" width="21.88671875" style="30" customWidth="1"/>
    <col min="8455" max="8455" width="22.33203125" style="30" customWidth="1"/>
    <col min="8456" max="8458" width="20.44140625" style="30" customWidth="1"/>
    <col min="8459" max="8459" width="21.88671875" style="30" customWidth="1"/>
    <col min="8460" max="8460" width="22.33203125" style="30" customWidth="1"/>
    <col min="8461" max="8461" width="24.44140625" style="30" bestFit="1" customWidth="1"/>
    <col min="8462" max="8701" width="9.109375" style="30"/>
    <col min="8702" max="8702" width="1.109375" style="30" customWidth="1"/>
    <col min="8703" max="8703" width="9.33203125" style="30" customWidth="1"/>
    <col min="8704" max="8704" width="69.33203125" style="30" customWidth="1"/>
    <col min="8705" max="8705" width="33" style="30" customWidth="1"/>
    <col min="8706" max="8706" width="20.5546875" style="30" customWidth="1"/>
    <col min="8707" max="8707" width="21.33203125" style="30" customWidth="1"/>
    <col min="8708" max="8708" width="21.88671875" style="30" customWidth="1"/>
    <col min="8709" max="8709" width="20.44140625" style="30" customWidth="1"/>
    <col min="8710" max="8710" width="21.88671875" style="30" customWidth="1"/>
    <col min="8711" max="8711" width="22.33203125" style="30" customWidth="1"/>
    <col min="8712" max="8714" width="20.44140625" style="30" customWidth="1"/>
    <col min="8715" max="8715" width="21.88671875" style="30" customWidth="1"/>
    <col min="8716" max="8716" width="22.33203125" style="30" customWidth="1"/>
    <col min="8717" max="8717" width="24.44140625" style="30" bestFit="1" customWidth="1"/>
    <col min="8718" max="8957" width="9.109375" style="30"/>
    <col min="8958" max="8958" width="1.109375" style="30" customWidth="1"/>
    <col min="8959" max="8959" width="9.33203125" style="30" customWidth="1"/>
    <col min="8960" max="8960" width="69.33203125" style="30" customWidth="1"/>
    <col min="8961" max="8961" width="33" style="30" customWidth="1"/>
    <col min="8962" max="8962" width="20.5546875" style="30" customWidth="1"/>
    <col min="8963" max="8963" width="21.33203125" style="30" customWidth="1"/>
    <col min="8964" max="8964" width="21.88671875" style="30" customWidth="1"/>
    <col min="8965" max="8965" width="20.44140625" style="30" customWidth="1"/>
    <col min="8966" max="8966" width="21.88671875" style="30" customWidth="1"/>
    <col min="8967" max="8967" width="22.33203125" style="30" customWidth="1"/>
    <col min="8968" max="8970" width="20.44140625" style="30" customWidth="1"/>
    <col min="8971" max="8971" width="21.88671875" style="30" customWidth="1"/>
    <col min="8972" max="8972" width="22.33203125" style="30" customWidth="1"/>
    <col min="8973" max="8973" width="24.44140625" style="30" bestFit="1" customWidth="1"/>
    <col min="8974" max="9213" width="9.109375" style="30"/>
    <col min="9214" max="9214" width="1.109375" style="30" customWidth="1"/>
    <col min="9215" max="9215" width="9.33203125" style="30" customWidth="1"/>
    <col min="9216" max="9216" width="69.33203125" style="30" customWidth="1"/>
    <col min="9217" max="9217" width="33" style="30" customWidth="1"/>
    <col min="9218" max="9218" width="20.5546875" style="30" customWidth="1"/>
    <col min="9219" max="9219" width="21.33203125" style="30" customWidth="1"/>
    <col min="9220" max="9220" width="21.88671875" style="30" customWidth="1"/>
    <col min="9221" max="9221" width="20.44140625" style="30" customWidth="1"/>
    <col min="9222" max="9222" width="21.88671875" style="30" customWidth="1"/>
    <col min="9223" max="9223" width="22.33203125" style="30" customWidth="1"/>
    <col min="9224" max="9226" width="20.44140625" style="30" customWidth="1"/>
    <col min="9227" max="9227" width="21.88671875" style="30" customWidth="1"/>
    <col min="9228" max="9228" width="22.33203125" style="30" customWidth="1"/>
    <col min="9229" max="9229" width="24.44140625" style="30" bestFit="1" customWidth="1"/>
    <col min="9230" max="9469" width="9.109375" style="30"/>
    <col min="9470" max="9470" width="1.109375" style="30" customWidth="1"/>
    <col min="9471" max="9471" width="9.33203125" style="30" customWidth="1"/>
    <col min="9472" max="9472" width="69.33203125" style="30" customWidth="1"/>
    <col min="9473" max="9473" width="33" style="30" customWidth="1"/>
    <col min="9474" max="9474" width="20.5546875" style="30" customWidth="1"/>
    <col min="9475" max="9475" width="21.33203125" style="30" customWidth="1"/>
    <col min="9476" max="9476" width="21.88671875" style="30" customWidth="1"/>
    <col min="9477" max="9477" width="20.44140625" style="30" customWidth="1"/>
    <col min="9478" max="9478" width="21.88671875" style="30" customWidth="1"/>
    <col min="9479" max="9479" width="22.33203125" style="30" customWidth="1"/>
    <col min="9480" max="9482" width="20.44140625" style="30" customWidth="1"/>
    <col min="9483" max="9483" width="21.88671875" style="30" customWidth="1"/>
    <col min="9484" max="9484" width="22.33203125" style="30" customWidth="1"/>
    <col min="9485" max="9485" width="24.44140625" style="30" bestFit="1" customWidth="1"/>
    <col min="9486" max="9725" width="9.109375" style="30"/>
    <col min="9726" max="9726" width="1.109375" style="30" customWidth="1"/>
    <col min="9727" max="9727" width="9.33203125" style="30" customWidth="1"/>
    <col min="9728" max="9728" width="69.33203125" style="30" customWidth="1"/>
    <col min="9729" max="9729" width="33" style="30" customWidth="1"/>
    <col min="9730" max="9730" width="20.5546875" style="30" customWidth="1"/>
    <col min="9731" max="9731" width="21.33203125" style="30" customWidth="1"/>
    <col min="9732" max="9732" width="21.88671875" style="30" customWidth="1"/>
    <col min="9733" max="9733" width="20.44140625" style="30" customWidth="1"/>
    <col min="9734" max="9734" width="21.88671875" style="30" customWidth="1"/>
    <col min="9735" max="9735" width="22.33203125" style="30" customWidth="1"/>
    <col min="9736" max="9738" width="20.44140625" style="30" customWidth="1"/>
    <col min="9739" max="9739" width="21.88671875" style="30" customWidth="1"/>
    <col min="9740" max="9740" width="22.33203125" style="30" customWidth="1"/>
    <col min="9741" max="9741" width="24.44140625" style="30" bestFit="1" customWidth="1"/>
    <col min="9742" max="9981" width="9.109375" style="30"/>
    <col min="9982" max="9982" width="1.109375" style="30" customWidth="1"/>
    <col min="9983" max="9983" width="9.33203125" style="30" customWidth="1"/>
    <col min="9984" max="9984" width="69.33203125" style="30" customWidth="1"/>
    <col min="9985" max="9985" width="33" style="30" customWidth="1"/>
    <col min="9986" max="9986" width="20.5546875" style="30" customWidth="1"/>
    <col min="9987" max="9987" width="21.33203125" style="30" customWidth="1"/>
    <col min="9988" max="9988" width="21.88671875" style="30" customWidth="1"/>
    <col min="9989" max="9989" width="20.44140625" style="30" customWidth="1"/>
    <col min="9990" max="9990" width="21.88671875" style="30" customWidth="1"/>
    <col min="9991" max="9991" width="22.33203125" style="30" customWidth="1"/>
    <col min="9992" max="9994" width="20.44140625" style="30" customWidth="1"/>
    <col min="9995" max="9995" width="21.88671875" style="30" customWidth="1"/>
    <col min="9996" max="9996" width="22.33203125" style="30" customWidth="1"/>
    <col min="9997" max="9997" width="24.44140625" style="30" bestFit="1" customWidth="1"/>
    <col min="9998" max="10237" width="9.109375" style="30"/>
    <col min="10238" max="10238" width="1.109375" style="30" customWidth="1"/>
    <col min="10239" max="10239" width="9.33203125" style="30" customWidth="1"/>
    <col min="10240" max="10240" width="69.33203125" style="30" customWidth="1"/>
    <col min="10241" max="10241" width="33" style="30" customWidth="1"/>
    <col min="10242" max="10242" width="20.5546875" style="30" customWidth="1"/>
    <col min="10243" max="10243" width="21.33203125" style="30" customWidth="1"/>
    <col min="10244" max="10244" width="21.88671875" style="30" customWidth="1"/>
    <col min="10245" max="10245" width="20.44140625" style="30" customWidth="1"/>
    <col min="10246" max="10246" width="21.88671875" style="30" customWidth="1"/>
    <col min="10247" max="10247" width="22.33203125" style="30" customWidth="1"/>
    <col min="10248" max="10250" width="20.44140625" style="30" customWidth="1"/>
    <col min="10251" max="10251" width="21.88671875" style="30" customWidth="1"/>
    <col min="10252" max="10252" width="22.33203125" style="30" customWidth="1"/>
    <col min="10253" max="10253" width="24.44140625" style="30" bestFit="1" customWidth="1"/>
    <col min="10254" max="10493" width="9.109375" style="30"/>
    <col min="10494" max="10494" width="1.109375" style="30" customWidth="1"/>
    <col min="10495" max="10495" width="9.33203125" style="30" customWidth="1"/>
    <col min="10496" max="10496" width="69.33203125" style="30" customWidth="1"/>
    <col min="10497" max="10497" width="33" style="30" customWidth="1"/>
    <col min="10498" max="10498" width="20.5546875" style="30" customWidth="1"/>
    <col min="10499" max="10499" width="21.33203125" style="30" customWidth="1"/>
    <col min="10500" max="10500" width="21.88671875" style="30" customWidth="1"/>
    <col min="10501" max="10501" width="20.44140625" style="30" customWidth="1"/>
    <col min="10502" max="10502" width="21.88671875" style="30" customWidth="1"/>
    <col min="10503" max="10503" width="22.33203125" style="30" customWidth="1"/>
    <col min="10504" max="10506" width="20.44140625" style="30" customWidth="1"/>
    <col min="10507" max="10507" width="21.88671875" style="30" customWidth="1"/>
    <col min="10508" max="10508" width="22.33203125" style="30" customWidth="1"/>
    <col min="10509" max="10509" width="24.44140625" style="30" bestFit="1" customWidth="1"/>
    <col min="10510" max="10749" width="9.109375" style="30"/>
    <col min="10750" max="10750" width="1.109375" style="30" customWidth="1"/>
    <col min="10751" max="10751" width="9.33203125" style="30" customWidth="1"/>
    <col min="10752" max="10752" width="69.33203125" style="30" customWidth="1"/>
    <col min="10753" max="10753" width="33" style="30" customWidth="1"/>
    <col min="10754" max="10754" width="20.5546875" style="30" customWidth="1"/>
    <col min="10755" max="10755" width="21.33203125" style="30" customWidth="1"/>
    <col min="10756" max="10756" width="21.88671875" style="30" customWidth="1"/>
    <col min="10757" max="10757" width="20.44140625" style="30" customWidth="1"/>
    <col min="10758" max="10758" width="21.88671875" style="30" customWidth="1"/>
    <col min="10759" max="10759" width="22.33203125" style="30" customWidth="1"/>
    <col min="10760" max="10762" width="20.44140625" style="30" customWidth="1"/>
    <col min="10763" max="10763" width="21.88671875" style="30" customWidth="1"/>
    <col min="10764" max="10764" width="22.33203125" style="30" customWidth="1"/>
    <col min="10765" max="10765" width="24.44140625" style="30" bestFit="1" customWidth="1"/>
    <col min="10766" max="11005" width="9.109375" style="30"/>
    <col min="11006" max="11006" width="1.109375" style="30" customWidth="1"/>
    <col min="11007" max="11007" width="9.33203125" style="30" customWidth="1"/>
    <col min="11008" max="11008" width="69.33203125" style="30" customWidth="1"/>
    <col min="11009" max="11009" width="33" style="30" customWidth="1"/>
    <col min="11010" max="11010" width="20.5546875" style="30" customWidth="1"/>
    <col min="11011" max="11011" width="21.33203125" style="30" customWidth="1"/>
    <col min="11012" max="11012" width="21.88671875" style="30" customWidth="1"/>
    <col min="11013" max="11013" width="20.44140625" style="30" customWidth="1"/>
    <col min="11014" max="11014" width="21.88671875" style="30" customWidth="1"/>
    <col min="11015" max="11015" width="22.33203125" style="30" customWidth="1"/>
    <col min="11016" max="11018" width="20.44140625" style="30" customWidth="1"/>
    <col min="11019" max="11019" width="21.88671875" style="30" customWidth="1"/>
    <col min="11020" max="11020" width="22.33203125" style="30" customWidth="1"/>
    <col min="11021" max="11021" width="24.44140625" style="30" bestFit="1" customWidth="1"/>
    <col min="11022" max="11261" width="9.109375" style="30"/>
    <col min="11262" max="11262" width="1.109375" style="30" customWidth="1"/>
    <col min="11263" max="11263" width="9.33203125" style="30" customWidth="1"/>
    <col min="11264" max="11264" width="69.33203125" style="30" customWidth="1"/>
    <col min="11265" max="11265" width="33" style="30" customWidth="1"/>
    <col min="11266" max="11266" width="20.5546875" style="30" customWidth="1"/>
    <col min="11267" max="11267" width="21.33203125" style="30" customWidth="1"/>
    <col min="11268" max="11268" width="21.88671875" style="30" customWidth="1"/>
    <col min="11269" max="11269" width="20.44140625" style="30" customWidth="1"/>
    <col min="11270" max="11270" width="21.88671875" style="30" customWidth="1"/>
    <col min="11271" max="11271" width="22.33203125" style="30" customWidth="1"/>
    <col min="11272" max="11274" width="20.44140625" style="30" customWidth="1"/>
    <col min="11275" max="11275" width="21.88671875" style="30" customWidth="1"/>
    <col min="11276" max="11276" width="22.33203125" style="30" customWidth="1"/>
    <col min="11277" max="11277" width="24.44140625" style="30" bestFit="1" customWidth="1"/>
    <col min="11278" max="11517" width="9.109375" style="30"/>
    <col min="11518" max="11518" width="1.109375" style="30" customWidth="1"/>
    <col min="11519" max="11519" width="9.33203125" style="30" customWidth="1"/>
    <col min="11520" max="11520" width="69.33203125" style="30" customWidth="1"/>
    <col min="11521" max="11521" width="33" style="30" customWidth="1"/>
    <col min="11522" max="11522" width="20.5546875" style="30" customWidth="1"/>
    <col min="11523" max="11523" width="21.33203125" style="30" customWidth="1"/>
    <col min="11524" max="11524" width="21.88671875" style="30" customWidth="1"/>
    <col min="11525" max="11525" width="20.44140625" style="30" customWidth="1"/>
    <col min="11526" max="11526" width="21.88671875" style="30" customWidth="1"/>
    <col min="11527" max="11527" width="22.33203125" style="30" customWidth="1"/>
    <col min="11528" max="11530" width="20.44140625" style="30" customWidth="1"/>
    <col min="11531" max="11531" width="21.88671875" style="30" customWidth="1"/>
    <col min="11532" max="11532" width="22.33203125" style="30" customWidth="1"/>
    <col min="11533" max="11533" width="24.44140625" style="30" bestFit="1" customWidth="1"/>
    <col min="11534" max="11773" width="9.109375" style="30"/>
    <col min="11774" max="11774" width="1.109375" style="30" customWidth="1"/>
    <col min="11775" max="11775" width="9.33203125" style="30" customWidth="1"/>
    <col min="11776" max="11776" width="69.33203125" style="30" customWidth="1"/>
    <col min="11777" max="11777" width="33" style="30" customWidth="1"/>
    <col min="11778" max="11778" width="20.5546875" style="30" customWidth="1"/>
    <col min="11779" max="11779" width="21.33203125" style="30" customWidth="1"/>
    <col min="11780" max="11780" width="21.88671875" style="30" customWidth="1"/>
    <col min="11781" max="11781" width="20.44140625" style="30" customWidth="1"/>
    <col min="11782" max="11782" width="21.88671875" style="30" customWidth="1"/>
    <col min="11783" max="11783" width="22.33203125" style="30" customWidth="1"/>
    <col min="11784" max="11786" width="20.44140625" style="30" customWidth="1"/>
    <col min="11787" max="11787" width="21.88671875" style="30" customWidth="1"/>
    <col min="11788" max="11788" width="22.33203125" style="30" customWidth="1"/>
    <col min="11789" max="11789" width="24.44140625" style="30" bestFit="1" customWidth="1"/>
    <col min="11790" max="12029" width="9.109375" style="30"/>
    <col min="12030" max="12030" width="1.109375" style="30" customWidth="1"/>
    <col min="12031" max="12031" width="9.33203125" style="30" customWidth="1"/>
    <col min="12032" max="12032" width="69.33203125" style="30" customWidth="1"/>
    <col min="12033" max="12033" width="33" style="30" customWidth="1"/>
    <col min="12034" max="12034" width="20.5546875" style="30" customWidth="1"/>
    <col min="12035" max="12035" width="21.33203125" style="30" customWidth="1"/>
    <col min="12036" max="12036" width="21.88671875" style="30" customWidth="1"/>
    <col min="12037" max="12037" width="20.44140625" style="30" customWidth="1"/>
    <col min="12038" max="12038" width="21.88671875" style="30" customWidth="1"/>
    <col min="12039" max="12039" width="22.33203125" style="30" customWidth="1"/>
    <col min="12040" max="12042" width="20.44140625" style="30" customWidth="1"/>
    <col min="12043" max="12043" width="21.88671875" style="30" customWidth="1"/>
    <col min="12044" max="12044" width="22.33203125" style="30" customWidth="1"/>
    <col min="12045" max="12045" width="24.44140625" style="30" bestFit="1" customWidth="1"/>
    <col min="12046" max="12285" width="9.109375" style="30"/>
    <col min="12286" max="12286" width="1.109375" style="30" customWidth="1"/>
    <col min="12287" max="12287" width="9.33203125" style="30" customWidth="1"/>
    <col min="12288" max="12288" width="69.33203125" style="30" customWidth="1"/>
    <col min="12289" max="12289" width="33" style="30" customWidth="1"/>
    <col min="12290" max="12290" width="20.5546875" style="30" customWidth="1"/>
    <col min="12291" max="12291" width="21.33203125" style="30" customWidth="1"/>
    <col min="12292" max="12292" width="21.88671875" style="30" customWidth="1"/>
    <col min="12293" max="12293" width="20.44140625" style="30" customWidth="1"/>
    <col min="12294" max="12294" width="21.88671875" style="30" customWidth="1"/>
    <col min="12295" max="12295" width="22.33203125" style="30" customWidth="1"/>
    <col min="12296" max="12298" width="20.44140625" style="30" customWidth="1"/>
    <col min="12299" max="12299" width="21.88671875" style="30" customWidth="1"/>
    <col min="12300" max="12300" width="22.33203125" style="30" customWidth="1"/>
    <col min="12301" max="12301" width="24.44140625" style="30" bestFit="1" customWidth="1"/>
    <col min="12302" max="12541" width="9.109375" style="30"/>
    <col min="12542" max="12542" width="1.109375" style="30" customWidth="1"/>
    <col min="12543" max="12543" width="9.33203125" style="30" customWidth="1"/>
    <col min="12544" max="12544" width="69.33203125" style="30" customWidth="1"/>
    <col min="12545" max="12545" width="33" style="30" customWidth="1"/>
    <col min="12546" max="12546" width="20.5546875" style="30" customWidth="1"/>
    <col min="12547" max="12547" width="21.33203125" style="30" customWidth="1"/>
    <col min="12548" max="12548" width="21.88671875" style="30" customWidth="1"/>
    <col min="12549" max="12549" width="20.44140625" style="30" customWidth="1"/>
    <col min="12550" max="12550" width="21.88671875" style="30" customWidth="1"/>
    <col min="12551" max="12551" width="22.33203125" style="30" customWidth="1"/>
    <col min="12552" max="12554" width="20.44140625" style="30" customWidth="1"/>
    <col min="12555" max="12555" width="21.88671875" style="30" customWidth="1"/>
    <col min="12556" max="12556" width="22.33203125" style="30" customWidth="1"/>
    <col min="12557" max="12557" width="24.44140625" style="30" bestFit="1" customWidth="1"/>
    <col min="12558" max="12797" width="9.109375" style="30"/>
    <col min="12798" max="12798" width="1.109375" style="30" customWidth="1"/>
    <col min="12799" max="12799" width="9.33203125" style="30" customWidth="1"/>
    <col min="12800" max="12800" width="69.33203125" style="30" customWidth="1"/>
    <col min="12801" max="12801" width="33" style="30" customWidth="1"/>
    <col min="12802" max="12802" width="20.5546875" style="30" customWidth="1"/>
    <col min="12803" max="12803" width="21.33203125" style="30" customWidth="1"/>
    <col min="12804" max="12804" width="21.88671875" style="30" customWidth="1"/>
    <col min="12805" max="12805" width="20.44140625" style="30" customWidth="1"/>
    <col min="12806" max="12806" width="21.88671875" style="30" customWidth="1"/>
    <col min="12807" max="12807" width="22.33203125" style="30" customWidth="1"/>
    <col min="12808" max="12810" width="20.44140625" style="30" customWidth="1"/>
    <col min="12811" max="12811" width="21.88671875" style="30" customWidth="1"/>
    <col min="12812" max="12812" width="22.33203125" style="30" customWidth="1"/>
    <col min="12813" max="12813" width="24.44140625" style="30" bestFit="1" customWidth="1"/>
    <col min="12814" max="13053" width="9.109375" style="30"/>
    <col min="13054" max="13054" width="1.109375" style="30" customWidth="1"/>
    <col min="13055" max="13055" width="9.33203125" style="30" customWidth="1"/>
    <col min="13056" max="13056" width="69.33203125" style="30" customWidth="1"/>
    <col min="13057" max="13057" width="33" style="30" customWidth="1"/>
    <col min="13058" max="13058" width="20.5546875" style="30" customWidth="1"/>
    <col min="13059" max="13059" width="21.33203125" style="30" customWidth="1"/>
    <col min="13060" max="13060" width="21.88671875" style="30" customWidth="1"/>
    <col min="13061" max="13061" width="20.44140625" style="30" customWidth="1"/>
    <col min="13062" max="13062" width="21.88671875" style="30" customWidth="1"/>
    <col min="13063" max="13063" width="22.33203125" style="30" customWidth="1"/>
    <col min="13064" max="13066" width="20.44140625" style="30" customWidth="1"/>
    <col min="13067" max="13067" width="21.88671875" style="30" customWidth="1"/>
    <col min="13068" max="13068" width="22.33203125" style="30" customWidth="1"/>
    <col min="13069" max="13069" width="24.44140625" style="30" bestFit="1" customWidth="1"/>
    <col min="13070" max="13309" width="9.109375" style="30"/>
    <col min="13310" max="13310" width="1.109375" style="30" customWidth="1"/>
    <col min="13311" max="13311" width="9.33203125" style="30" customWidth="1"/>
    <col min="13312" max="13312" width="69.33203125" style="30" customWidth="1"/>
    <col min="13313" max="13313" width="33" style="30" customWidth="1"/>
    <col min="13314" max="13314" width="20.5546875" style="30" customWidth="1"/>
    <col min="13315" max="13315" width="21.33203125" style="30" customWidth="1"/>
    <col min="13316" max="13316" width="21.88671875" style="30" customWidth="1"/>
    <col min="13317" max="13317" width="20.44140625" style="30" customWidth="1"/>
    <col min="13318" max="13318" width="21.88671875" style="30" customWidth="1"/>
    <col min="13319" max="13319" width="22.33203125" style="30" customWidth="1"/>
    <col min="13320" max="13322" width="20.44140625" style="30" customWidth="1"/>
    <col min="13323" max="13323" width="21.88671875" style="30" customWidth="1"/>
    <col min="13324" max="13324" width="22.33203125" style="30" customWidth="1"/>
    <col min="13325" max="13325" width="24.44140625" style="30" bestFit="1" customWidth="1"/>
    <col min="13326" max="13565" width="9.109375" style="30"/>
    <col min="13566" max="13566" width="1.109375" style="30" customWidth="1"/>
    <col min="13567" max="13567" width="9.33203125" style="30" customWidth="1"/>
    <col min="13568" max="13568" width="69.33203125" style="30" customWidth="1"/>
    <col min="13569" max="13569" width="33" style="30" customWidth="1"/>
    <col min="13570" max="13570" width="20.5546875" style="30" customWidth="1"/>
    <col min="13571" max="13571" width="21.33203125" style="30" customWidth="1"/>
    <col min="13572" max="13572" width="21.88671875" style="30" customWidth="1"/>
    <col min="13573" max="13573" width="20.44140625" style="30" customWidth="1"/>
    <col min="13574" max="13574" width="21.88671875" style="30" customWidth="1"/>
    <col min="13575" max="13575" width="22.33203125" style="30" customWidth="1"/>
    <col min="13576" max="13578" width="20.44140625" style="30" customWidth="1"/>
    <col min="13579" max="13579" width="21.88671875" style="30" customWidth="1"/>
    <col min="13580" max="13580" width="22.33203125" style="30" customWidth="1"/>
    <col min="13581" max="13581" width="24.44140625" style="30" bestFit="1" customWidth="1"/>
    <col min="13582" max="13821" width="9.109375" style="30"/>
    <col min="13822" max="13822" width="1.109375" style="30" customWidth="1"/>
    <col min="13823" max="13823" width="9.33203125" style="30" customWidth="1"/>
    <col min="13824" max="13824" width="69.33203125" style="30" customWidth="1"/>
    <col min="13825" max="13825" width="33" style="30" customWidth="1"/>
    <col min="13826" max="13826" width="20.5546875" style="30" customWidth="1"/>
    <col min="13827" max="13827" width="21.33203125" style="30" customWidth="1"/>
    <col min="13828" max="13828" width="21.88671875" style="30" customWidth="1"/>
    <col min="13829" max="13829" width="20.44140625" style="30" customWidth="1"/>
    <col min="13830" max="13830" width="21.88671875" style="30" customWidth="1"/>
    <col min="13831" max="13831" width="22.33203125" style="30" customWidth="1"/>
    <col min="13832" max="13834" width="20.44140625" style="30" customWidth="1"/>
    <col min="13835" max="13835" width="21.88671875" style="30" customWidth="1"/>
    <col min="13836" max="13836" width="22.33203125" style="30" customWidth="1"/>
    <col min="13837" max="13837" width="24.44140625" style="30" bestFit="1" customWidth="1"/>
    <col min="13838" max="14077" width="9.109375" style="30"/>
    <col min="14078" max="14078" width="1.109375" style="30" customWidth="1"/>
    <col min="14079" max="14079" width="9.33203125" style="30" customWidth="1"/>
    <col min="14080" max="14080" width="69.33203125" style="30" customWidth="1"/>
    <col min="14081" max="14081" width="33" style="30" customWidth="1"/>
    <col min="14082" max="14082" width="20.5546875" style="30" customWidth="1"/>
    <col min="14083" max="14083" width="21.33203125" style="30" customWidth="1"/>
    <col min="14084" max="14084" width="21.88671875" style="30" customWidth="1"/>
    <col min="14085" max="14085" width="20.44140625" style="30" customWidth="1"/>
    <col min="14086" max="14086" width="21.88671875" style="30" customWidth="1"/>
    <col min="14087" max="14087" width="22.33203125" style="30" customWidth="1"/>
    <col min="14088" max="14090" width="20.44140625" style="30" customWidth="1"/>
    <col min="14091" max="14091" width="21.88671875" style="30" customWidth="1"/>
    <col min="14092" max="14092" width="22.33203125" style="30" customWidth="1"/>
    <col min="14093" max="14093" width="24.44140625" style="30" bestFit="1" customWidth="1"/>
    <col min="14094" max="14333" width="9.109375" style="30"/>
    <col min="14334" max="14334" width="1.109375" style="30" customWidth="1"/>
    <col min="14335" max="14335" width="9.33203125" style="30" customWidth="1"/>
    <col min="14336" max="14336" width="69.33203125" style="30" customWidth="1"/>
    <col min="14337" max="14337" width="33" style="30" customWidth="1"/>
    <col min="14338" max="14338" width="20.5546875" style="30" customWidth="1"/>
    <col min="14339" max="14339" width="21.33203125" style="30" customWidth="1"/>
    <col min="14340" max="14340" width="21.88671875" style="30" customWidth="1"/>
    <col min="14341" max="14341" width="20.44140625" style="30" customWidth="1"/>
    <col min="14342" max="14342" width="21.88671875" style="30" customWidth="1"/>
    <col min="14343" max="14343" width="22.33203125" style="30" customWidth="1"/>
    <col min="14344" max="14346" width="20.44140625" style="30" customWidth="1"/>
    <col min="14347" max="14347" width="21.88671875" style="30" customWidth="1"/>
    <col min="14348" max="14348" width="22.33203125" style="30" customWidth="1"/>
    <col min="14349" max="14349" width="24.44140625" style="30" bestFit="1" customWidth="1"/>
    <col min="14350" max="14589" width="9.109375" style="30"/>
    <col min="14590" max="14590" width="1.109375" style="30" customWidth="1"/>
    <col min="14591" max="14591" width="9.33203125" style="30" customWidth="1"/>
    <col min="14592" max="14592" width="69.33203125" style="30" customWidth="1"/>
    <col min="14593" max="14593" width="33" style="30" customWidth="1"/>
    <col min="14594" max="14594" width="20.5546875" style="30" customWidth="1"/>
    <col min="14595" max="14595" width="21.33203125" style="30" customWidth="1"/>
    <col min="14596" max="14596" width="21.88671875" style="30" customWidth="1"/>
    <col min="14597" max="14597" width="20.44140625" style="30" customWidth="1"/>
    <col min="14598" max="14598" width="21.88671875" style="30" customWidth="1"/>
    <col min="14599" max="14599" width="22.33203125" style="30" customWidth="1"/>
    <col min="14600" max="14602" width="20.44140625" style="30" customWidth="1"/>
    <col min="14603" max="14603" width="21.88671875" style="30" customWidth="1"/>
    <col min="14604" max="14604" width="22.33203125" style="30" customWidth="1"/>
    <col min="14605" max="14605" width="24.44140625" style="30" bestFit="1" customWidth="1"/>
    <col min="14606" max="14845" width="9.109375" style="30"/>
    <col min="14846" max="14846" width="1.109375" style="30" customWidth="1"/>
    <col min="14847" max="14847" width="9.33203125" style="30" customWidth="1"/>
    <col min="14848" max="14848" width="69.33203125" style="30" customWidth="1"/>
    <col min="14849" max="14849" width="33" style="30" customWidth="1"/>
    <col min="14850" max="14850" width="20.5546875" style="30" customWidth="1"/>
    <col min="14851" max="14851" width="21.33203125" style="30" customWidth="1"/>
    <col min="14852" max="14852" width="21.88671875" style="30" customWidth="1"/>
    <col min="14853" max="14853" width="20.44140625" style="30" customWidth="1"/>
    <col min="14854" max="14854" width="21.88671875" style="30" customWidth="1"/>
    <col min="14855" max="14855" width="22.33203125" style="30" customWidth="1"/>
    <col min="14856" max="14858" width="20.44140625" style="30" customWidth="1"/>
    <col min="14859" max="14859" width="21.88671875" style="30" customWidth="1"/>
    <col min="14860" max="14860" width="22.33203125" style="30" customWidth="1"/>
    <col min="14861" max="14861" width="24.44140625" style="30" bestFit="1" customWidth="1"/>
    <col min="14862" max="15101" width="9.109375" style="30"/>
    <col min="15102" max="15102" width="1.109375" style="30" customWidth="1"/>
    <col min="15103" max="15103" width="9.33203125" style="30" customWidth="1"/>
    <col min="15104" max="15104" width="69.33203125" style="30" customWidth="1"/>
    <col min="15105" max="15105" width="33" style="30" customWidth="1"/>
    <col min="15106" max="15106" width="20.5546875" style="30" customWidth="1"/>
    <col min="15107" max="15107" width="21.33203125" style="30" customWidth="1"/>
    <col min="15108" max="15108" width="21.88671875" style="30" customWidth="1"/>
    <col min="15109" max="15109" width="20.44140625" style="30" customWidth="1"/>
    <col min="15110" max="15110" width="21.88671875" style="30" customWidth="1"/>
    <col min="15111" max="15111" width="22.33203125" style="30" customWidth="1"/>
    <col min="15112" max="15114" width="20.44140625" style="30" customWidth="1"/>
    <col min="15115" max="15115" width="21.88671875" style="30" customWidth="1"/>
    <col min="15116" max="15116" width="22.33203125" style="30" customWidth="1"/>
    <col min="15117" max="15117" width="24.44140625" style="30" bestFit="1" customWidth="1"/>
    <col min="15118" max="15357" width="9.109375" style="30"/>
    <col min="15358" max="15358" width="1.109375" style="30" customWidth="1"/>
    <col min="15359" max="15359" width="9.33203125" style="30" customWidth="1"/>
    <col min="15360" max="15360" width="69.33203125" style="30" customWidth="1"/>
    <col min="15361" max="15361" width="33" style="30" customWidth="1"/>
    <col min="15362" max="15362" width="20.5546875" style="30" customWidth="1"/>
    <col min="15363" max="15363" width="21.33203125" style="30" customWidth="1"/>
    <col min="15364" max="15364" width="21.88671875" style="30" customWidth="1"/>
    <col min="15365" max="15365" width="20.44140625" style="30" customWidth="1"/>
    <col min="15366" max="15366" width="21.88671875" style="30" customWidth="1"/>
    <col min="15367" max="15367" width="22.33203125" style="30" customWidth="1"/>
    <col min="15368" max="15370" width="20.44140625" style="30" customWidth="1"/>
    <col min="15371" max="15371" width="21.88671875" style="30" customWidth="1"/>
    <col min="15372" max="15372" width="22.33203125" style="30" customWidth="1"/>
    <col min="15373" max="15373" width="24.44140625" style="30" bestFit="1" customWidth="1"/>
    <col min="15374" max="15613" width="9.109375" style="30"/>
    <col min="15614" max="15614" width="1.109375" style="30" customWidth="1"/>
    <col min="15615" max="15615" width="9.33203125" style="30" customWidth="1"/>
    <col min="15616" max="15616" width="69.33203125" style="30" customWidth="1"/>
    <col min="15617" max="15617" width="33" style="30" customWidth="1"/>
    <col min="15618" max="15618" width="20.5546875" style="30" customWidth="1"/>
    <col min="15619" max="15619" width="21.33203125" style="30" customWidth="1"/>
    <col min="15620" max="15620" width="21.88671875" style="30" customWidth="1"/>
    <col min="15621" max="15621" width="20.44140625" style="30" customWidth="1"/>
    <col min="15622" max="15622" width="21.88671875" style="30" customWidth="1"/>
    <col min="15623" max="15623" width="22.33203125" style="30" customWidth="1"/>
    <col min="15624" max="15626" width="20.44140625" style="30" customWidth="1"/>
    <col min="15627" max="15627" width="21.88671875" style="30" customWidth="1"/>
    <col min="15628" max="15628" width="22.33203125" style="30" customWidth="1"/>
    <col min="15629" max="15629" width="24.44140625" style="30" bestFit="1" customWidth="1"/>
    <col min="15630" max="15869" width="9.109375" style="30"/>
    <col min="15870" max="15870" width="1.109375" style="30" customWidth="1"/>
    <col min="15871" max="15871" width="9.33203125" style="30" customWidth="1"/>
    <col min="15872" max="15872" width="69.33203125" style="30" customWidth="1"/>
    <col min="15873" max="15873" width="33" style="30" customWidth="1"/>
    <col min="15874" max="15874" width="20.5546875" style="30" customWidth="1"/>
    <col min="15875" max="15875" width="21.33203125" style="30" customWidth="1"/>
    <col min="15876" max="15876" width="21.88671875" style="30" customWidth="1"/>
    <col min="15877" max="15877" width="20.44140625" style="30" customWidth="1"/>
    <col min="15878" max="15878" width="21.88671875" style="30" customWidth="1"/>
    <col min="15879" max="15879" width="22.33203125" style="30" customWidth="1"/>
    <col min="15880" max="15882" width="20.44140625" style="30" customWidth="1"/>
    <col min="15883" max="15883" width="21.88671875" style="30" customWidth="1"/>
    <col min="15884" max="15884" width="22.33203125" style="30" customWidth="1"/>
    <col min="15885" max="15885" width="24.44140625" style="30" bestFit="1" customWidth="1"/>
    <col min="15886" max="16125" width="9.109375" style="30"/>
    <col min="16126" max="16126" width="1.109375" style="30" customWidth="1"/>
    <col min="16127" max="16127" width="9.33203125" style="30" customWidth="1"/>
    <col min="16128" max="16128" width="69.33203125" style="30" customWidth="1"/>
    <col min="16129" max="16129" width="33" style="30" customWidth="1"/>
    <col min="16130" max="16130" width="20.5546875" style="30" customWidth="1"/>
    <col min="16131" max="16131" width="21.33203125" style="30" customWidth="1"/>
    <col min="16132" max="16132" width="21.88671875" style="30" customWidth="1"/>
    <col min="16133" max="16133" width="20.44140625" style="30" customWidth="1"/>
    <col min="16134" max="16134" width="21.88671875" style="30" customWidth="1"/>
    <col min="16135" max="16135" width="22.33203125" style="30" customWidth="1"/>
    <col min="16136" max="16138" width="20.44140625" style="30" customWidth="1"/>
    <col min="16139" max="16139" width="21.88671875" style="30" customWidth="1"/>
    <col min="16140" max="16140" width="22.33203125" style="30" customWidth="1"/>
    <col min="16141" max="16141" width="24.44140625" style="30" bestFit="1" customWidth="1"/>
    <col min="16142" max="16382" width="9.109375" style="30"/>
    <col min="16383" max="16384" width="9.109375" style="30" customWidth="1"/>
  </cols>
  <sheetData>
    <row r="1" spans="1:13" ht="15.6" x14ac:dyDescent="0.3">
      <c r="A1" s="29"/>
      <c r="B1" s="29"/>
      <c r="C1" s="29"/>
      <c r="D1" s="29"/>
      <c r="E1" s="29"/>
      <c r="F1" s="29"/>
      <c r="G1" s="29"/>
      <c r="H1" s="29"/>
      <c r="I1" s="70"/>
      <c r="J1" s="70"/>
      <c r="K1" s="71" t="s">
        <v>379</v>
      </c>
      <c r="L1" s="70"/>
      <c r="M1" s="70"/>
    </row>
    <row r="2" spans="1:13" ht="15.6" x14ac:dyDescent="0.3">
      <c r="A2" s="29"/>
      <c r="B2" s="29"/>
      <c r="C2" s="29"/>
      <c r="D2" s="29"/>
      <c r="E2" s="29"/>
      <c r="F2" s="29"/>
      <c r="G2" s="29"/>
      <c r="H2" s="29"/>
      <c r="I2" s="70"/>
      <c r="J2" s="70"/>
      <c r="K2" s="71" t="s">
        <v>382</v>
      </c>
      <c r="L2" s="70"/>
      <c r="M2" s="70"/>
    </row>
    <row r="3" spans="1:13" ht="15.6" x14ac:dyDescent="0.3">
      <c r="A3" s="29"/>
      <c r="B3" s="29"/>
      <c r="C3" s="29"/>
      <c r="D3" s="29"/>
      <c r="E3" s="29"/>
      <c r="F3" s="29"/>
      <c r="G3" s="29"/>
      <c r="H3" s="29"/>
      <c r="I3" s="70"/>
      <c r="J3" s="70"/>
      <c r="K3" s="71" t="s">
        <v>383</v>
      </c>
      <c r="L3" s="70"/>
      <c r="M3" s="70"/>
    </row>
    <row r="4" spans="1:13" ht="18" x14ac:dyDescent="0.3">
      <c r="A4" s="74" t="s">
        <v>380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5" spans="1:13" ht="18" x14ac:dyDescent="0.3">
      <c r="A5" s="74" t="s">
        <v>381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x14ac:dyDescent="0.3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</row>
    <row r="7" spans="1:13" x14ac:dyDescent="0.3">
      <c r="A7" s="76" t="s">
        <v>40</v>
      </c>
      <c r="B7" s="76" t="s">
        <v>39</v>
      </c>
      <c r="C7" s="78" t="s">
        <v>38</v>
      </c>
      <c r="D7" s="79"/>
      <c r="E7" s="79"/>
      <c r="F7" s="79"/>
      <c r="G7" s="79"/>
      <c r="H7" s="79"/>
      <c r="I7" s="80"/>
      <c r="J7" s="31"/>
      <c r="K7" s="31"/>
      <c r="L7" s="31"/>
      <c r="M7" s="32" t="s">
        <v>37</v>
      </c>
    </row>
    <row r="8" spans="1:13" x14ac:dyDescent="0.3">
      <c r="A8" s="77"/>
      <c r="B8" s="77"/>
      <c r="C8" s="33">
        <v>44228</v>
      </c>
      <c r="D8" s="33">
        <v>44256</v>
      </c>
      <c r="E8" s="33">
        <v>44287</v>
      </c>
      <c r="F8" s="33">
        <v>44317</v>
      </c>
      <c r="G8" s="33">
        <v>44348</v>
      </c>
      <c r="H8" s="33">
        <v>44378</v>
      </c>
      <c r="I8" s="33">
        <v>44409</v>
      </c>
      <c r="J8" s="33">
        <v>44440</v>
      </c>
      <c r="K8" s="33">
        <v>44470</v>
      </c>
      <c r="L8" s="33">
        <v>44501</v>
      </c>
      <c r="M8" s="32" t="s">
        <v>36</v>
      </c>
    </row>
    <row r="9" spans="1:13" x14ac:dyDescent="0.3">
      <c r="A9" s="34" t="s">
        <v>35</v>
      </c>
      <c r="B9" s="40" t="s">
        <v>34</v>
      </c>
      <c r="C9" s="47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x14ac:dyDescent="0.3">
      <c r="A10" s="35"/>
      <c r="B10" s="41" t="s">
        <v>59</v>
      </c>
      <c r="C10" s="50">
        <v>2391800</v>
      </c>
      <c r="D10" s="50">
        <v>0</v>
      </c>
      <c r="E10" s="51">
        <v>0</v>
      </c>
      <c r="F10" s="51">
        <v>0</v>
      </c>
      <c r="G10" s="51">
        <v>0</v>
      </c>
      <c r="H10" s="51">
        <v>0</v>
      </c>
      <c r="I10" s="51">
        <v>0</v>
      </c>
      <c r="J10" s="51">
        <v>0</v>
      </c>
      <c r="K10" s="51">
        <v>0</v>
      </c>
      <c r="L10" s="51">
        <v>0</v>
      </c>
      <c r="M10" s="52">
        <f>SUM(C10:L10)</f>
        <v>2391800</v>
      </c>
    </row>
    <row r="11" spans="1:13" x14ac:dyDescent="0.3">
      <c r="A11" s="35"/>
      <c r="B11" s="41" t="s">
        <v>60</v>
      </c>
      <c r="C11" s="50">
        <v>0</v>
      </c>
      <c r="D11" s="50">
        <v>0</v>
      </c>
      <c r="E11" s="50">
        <v>110456216</v>
      </c>
      <c r="F11" s="50">
        <v>0</v>
      </c>
      <c r="G11" s="51">
        <v>0</v>
      </c>
      <c r="H11" s="51">
        <v>0</v>
      </c>
      <c r="I11" s="51">
        <v>0</v>
      </c>
      <c r="J11" s="51">
        <v>0</v>
      </c>
      <c r="K11" s="51">
        <v>0</v>
      </c>
      <c r="L11" s="51">
        <v>0</v>
      </c>
      <c r="M11" s="52">
        <f t="shared" ref="M11:M43" si="0">SUM(C11:L11)</f>
        <v>110456216</v>
      </c>
    </row>
    <row r="12" spans="1:13" x14ac:dyDescent="0.3">
      <c r="A12" s="35"/>
      <c r="B12" s="40" t="s">
        <v>33</v>
      </c>
      <c r="C12" s="51">
        <f>SUM(C10:C11)</f>
        <v>2391800</v>
      </c>
      <c r="D12" s="51">
        <f t="shared" ref="D12:I12" si="1">SUM(D10:D11)</f>
        <v>0</v>
      </c>
      <c r="E12" s="51">
        <f t="shared" ref="E12" si="2">SUM(E10:E11)</f>
        <v>110456216</v>
      </c>
      <c r="F12" s="51"/>
      <c r="G12" s="51">
        <f t="shared" si="1"/>
        <v>0</v>
      </c>
      <c r="H12" s="51">
        <f t="shared" si="1"/>
        <v>0</v>
      </c>
      <c r="I12" s="51">
        <f t="shared" si="1"/>
        <v>0</v>
      </c>
      <c r="J12" s="51">
        <f t="shared" ref="J12:L12" si="3">SUM(J10:J11)</f>
        <v>0</v>
      </c>
      <c r="K12" s="51">
        <f t="shared" si="3"/>
        <v>0</v>
      </c>
      <c r="L12" s="51">
        <f t="shared" si="3"/>
        <v>0</v>
      </c>
      <c r="M12" s="52">
        <f t="shared" si="0"/>
        <v>112848016</v>
      </c>
    </row>
    <row r="13" spans="1:13" x14ac:dyDescent="0.3">
      <c r="A13" s="35"/>
      <c r="B13" s="41"/>
      <c r="C13" s="53"/>
      <c r="D13" s="51"/>
      <c r="E13" s="51"/>
      <c r="F13" s="51"/>
      <c r="G13" s="48"/>
      <c r="H13" s="48"/>
      <c r="I13" s="48"/>
      <c r="J13" s="48"/>
      <c r="K13" s="48"/>
      <c r="L13" s="48"/>
      <c r="M13" s="49">
        <f t="shared" si="0"/>
        <v>0</v>
      </c>
    </row>
    <row r="14" spans="1:13" x14ac:dyDescent="0.3">
      <c r="A14" s="34" t="s">
        <v>32</v>
      </c>
      <c r="B14" s="40" t="s">
        <v>31</v>
      </c>
      <c r="C14" s="53"/>
      <c r="D14" s="51"/>
      <c r="E14" s="51"/>
      <c r="F14" s="51"/>
      <c r="G14" s="48"/>
      <c r="H14" s="48"/>
      <c r="I14" s="48"/>
      <c r="J14" s="48"/>
      <c r="K14" s="48"/>
      <c r="L14" s="48"/>
      <c r="M14" s="49">
        <f t="shared" si="0"/>
        <v>0</v>
      </c>
    </row>
    <row r="15" spans="1:13" x14ac:dyDescent="0.3">
      <c r="A15" s="35"/>
      <c r="B15" s="41" t="s">
        <v>58</v>
      </c>
      <c r="C15" s="53">
        <f>'1.4 Rincian HB'!G128</f>
        <v>1000000</v>
      </c>
      <c r="D15" s="51">
        <f>'1.4 Rincian HB'!H128</f>
        <v>0</v>
      </c>
      <c r="E15" s="51">
        <f>'1.4 Rincian HB'!I128</f>
        <v>0</v>
      </c>
      <c r="F15" s="50">
        <f>'1.4 Rincian HB'!J128</f>
        <v>0</v>
      </c>
      <c r="G15" s="50">
        <f>'1.4 Rincian HB'!K128</f>
        <v>0</v>
      </c>
      <c r="H15" s="50">
        <f>'1.4 Rincian HB'!L128</f>
        <v>0</v>
      </c>
      <c r="I15" s="50">
        <f>'1.4 Rincian HB'!M128</f>
        <v>82441626</v>
      </c>
      <c r="J15" s="50">
        <v>0</v>
      </c>
      <c r="K15" s="50">
        <v>0</v>
      </c>
      <c r="L15" s="50">
        <v>0</v>
      </c>
      <c r="M15" s="52">
        <f t="shared" si="0"/>
        <v>83441626</v>
      </c>
    </row>
    <row r="16" spans="1:13" x14ac:dyDescent="0.3">
      <c r="A16" s="35"/>
      <c r="B16" s="41" t="s">
        <v>30</v>
      </c>
      <c r="C16" s="53">
        <f>'1.3 Rincian ATI'!G79</f>
        <v>0</v>
      </c>
      <c r="D16" s="53">
        <f>'1.3 Rincian ATI'!H79</f>
        <v>0</v>
      </c>
      <c r="E16" s="53">
        <f>'1.3 Rincian ATI'!I79</f>
        <v>0</v>
      </c>
      <c r="F16" s="53">
        <f>'1.3 Rincian ATI'!J79</f>
        <v>0</v>
      </c>
      <c r="G16" s="53">
        <f>'1.3 Rincian ATI'!K79</f>
        <v>0</v>
      </c>
      <c r="H16" s="53">
        <f>'1.3 Rincian ATI'!L79</f>
        <v>0</v>
      </c>
      <c r="I16" s="53">
        <f>'1.3 Rincian ATI'!M79</f>
        <v>5902500</v>
      </c>
      <c r="J16" s="53">
        <f>'1.3 Rincian ATI'!N79</f>
        <v>0</v>
      </c>
      <c r="K16" s="53">
        <f>'1.3 Rincian ATI'!O79</f>
        <v>0</v>
      </c>
      <c r="L16" s="53">
        <f>'1.3 Rincian ATI'!P79</f>
        <v>0</v>
      </c>
      <c r="M16" s="52">
        <f t="shared" si="0"/>
        <v>5902500</v>
      </c>
    </row>
    <row r="17" spans="1:13" s="29" customFormat="1" x14ac:dyDescent="0.3">
      <c r="A17" s="34"/>
      <c r="B17" s="40" t="s">
        <v>29</v>
      </c>
      <c r="C17" s="54">
        <f t="shared" ref="C17:L17" si="4">SUM(C15:C16)</f>
        <v>1000000</v>
      </c>
      <c r="D17" s="54">
        <f t="shared" si="4"/>
        <v>0</v>
      </c>
      <c r="E17" s="54">
        <f t="shared" si="4"/>
        <v>0</v>
      </c>
      <c r="F17" s="54">
        <f t="shared" si="4"/>
        <v>0</v>
      </c>
      <c r="G17" s="47">
        <f t="shared" si="4"/>
        <v>0</v>
      </c>
      <c r="H17" s="47">
        <f t="shared" si="4"/>
        <v>0</v>
      </c>
      <c r="I17" s="47">
        <f t="shared" si="4"/>
        <v>88344126</v>
      </c>
      <c r="J17" s="47">
        <f t="shared" si="4"/>
        <v>0</v>
      </c>
      <c r="K17" s="47">
        <f t="shared" si="4"/>
        <v>0</v>
      </c>
      <c r="L17" s="47">
        <f t="shared" si="4"/>
        <v>0</v>
      </c>
      <c r="M17" s="47">
        <f t="shared" si="0"/>
        <v>89344126</v>
      </c>
    </row>
    <row r="18" spans="1:13" x14ac:dyDescent="0.3">
      <c r="A18" s="35"/>
      <c r="B18" s="42"/>
      <c r="C18" s="53"/>
      <c r="D18" s="51"/>
      <c r="E18" s="51"/>
      <c r="F18" s="51"/>
      <c r="G18" s="48"/>
      <c r="H18" s="48"/>
      <c r="I18" s="48"/>
      <c r="J18" s="48"/>
      <c r="K18" s="48"/>
      <c r="L18" s="48"/>
      <c r="M18" s="49">
        <f t="shared" si="0"/>
        <v>0</v>
      </c>
    </row>
    <row r="19" spans="1:13" x14ac:dyDescent="0.3">
      <c r="A19" s="36" t="s">
        <v>28</v>
      </c>
      <c r="B19" s="43" t="s">
        <v>27</v>
      </c>
      <c r="C19" s="55"/>
      <c r="D19" s="56"/>
      <c r="E19" s="56"/>
      <c r="F19" s="56"/>
      <c r="G19" s="52"/>
      <c r="H19" s="52"/>
      <c r="I19" s="52"/>
      <c r="J19" s="52"/>
      <c r="K19" s="52"/>
      <c r="L19" s="52"/>
      <c r="M19" s="57">
        <f t="shared" si="0"/>
        <v>0</v>
      </c>
    </row>
    <row r="20" spans="1:13" x14ac:dyDescent="0.3">
      <c r="A20" s="37" t="s">
        <v>22</v>
      </c>
      <c r="B20" s="44" t="s">
        <v>42</v>
      </c>
      <c r="C20" s="58">
        <f>'1.2 Usulan Anggaran Biaya'!E9</f>
        <v>0</v>
      </c>
      <c r="D20" s="58">
        <f>'1.2 Usulan Anggaran Biaya'!F9</f>
        <v>34508269.714285716</v>
      </c>
      <c r="E20" s="58">
        <f>'1.2 Usulan Anggaran Biaya'!G9</f>
        <v>17254134.857142858</v>
      </c>
      <c r="F20" s="58">
        <f>'1.2 Usulan Anggaran Biaya'!H9</f>
        <v>17254134.857142858</v>
      </c>
      <c r="G20" s="58">
        <f>'1.2 Usulan Anggaran Biaya'!I9</f>
        <v>17254134.857142858</v>
      </c>
      <c r="H20" s="58">
        <f>'1.2 Usulan Anggaran Biaya'!J9</f>
        <v>17254134.857142858</v>
      </c>
      <c r="I20" s="58">
        <f>'1.2 Usulan Anggaran Biaya'!K9</f>
        <v>17254134.857142858</v>
      </c>
      <c r="J20" s="58">
        <f>'1.2 Usulan Anggaran Biaya'!L9</f>
        <v>0</v>
      </c>
      <c r="K20" s="58">
        <f>'1.2 Usulan Anggaran Biaya'!M9</f>
        <v>0</v>
      </c>
      <c r="L20" s="58">
        <f>'1.2 Usulan Anggaran Biaya'!N9</f>
        <v>0</v>
      </c>
      <c r="M20" s="58">
        <f t="shared" si="0"/>
        <v>120778944.00000003</v>
      </c>
    </row>
    <row r="21" spans="1:13" x14ac:dyDescent="0.3">
      <c r="A21" s="37" t="s">
        <v>20</v>
      </c>
      <c r="B21" s="44" t="s">
        <v>43</v>
      </c>
      <c r="C21" s="58">
        <f>'1.2 Usulan Anggaran Biaya'!E10</f>
        <v>0</v>
      </c>
      <c r="D21" s="58">
        <f>'1.2 Usulan Anggaran Biaya'!F10</f>
        <v>6113595.4285714282</v>
      </c>
      <c r="E21" s="58">
        <f>'1.2 Usulan Anggaran Biaya'!G10</f>
        <v>3056797.7142857141</v>
      </c>
      <c r="F21" s="58">
        <f>'1.2 Usulan Anggaran Biaya'!H10</f>
        <v>3056797.7142857141</v>
      </c>
      <c r="G21" s="58">
        <f>'1.2 Usulan Anggaran Biaya'!I10</f>
        <v>3056797.7142857141</v>
      </c>
      <c r="H21" s="58">
        <f>'1.2 Usulan Anggaran Biaya'!J10</f>
        <v>3056797.7142857141</v>
      </c>
      <c r="I21" s="58">
        <f>'1.2 Usulan Anggaran Biaya'!K10</f>
        <v>3056797.7142857141</v>
      </c>
      <c r="J21" s="58">
        <f>'1.2 Usulan Anggaran Biaya'!L10</f>
        <v>0</v>
      </c>
      <c r="K21" s="58">
        <f>'1.2 Usulan Anggaran Biaya'!M10</f>
        <v>0</v>
      </c>
      <c r="L21" s="58">
        <f>'1.2 Usulan Anggaran Biaya'!N10</f>
        <v>0</v>
      </c>
      <c r="M21" s="58">
        <f t="shared" si="0"/>
        <v>21397583.999999996</v>
      </c>
    </row>
    <row r="22" spans="1:13" x14ac:dyDescent="0.3">
      <c r="A22" s="37" t="s">
        <v>18</v>
      </c>
      <c r="B22" s="41" t="s">
        <v>57</v>
      </c>
      <c r="C22" s="58">
        <f>'1.2 Usulan Anggaran Biaya'!E11</f>
        <v>0</v>
      </c>
      <c r="D22" s="58">
        <f>'1.2 Usulan Anggaran Biaya'!F11</f>
        <v>1612380.9523809522</v>
      </c>
      <c r="E22" s="58">
        <f>'1.2 Usulan Anggaran Biaya'!G11</f>
        <v>806190.4761904761</v>
      </c>
      <c r="F22" s="58">
        <f>'1.2 Usulan Anggaran Biaya'!H11</f>
        <v>806190.4761904761</v>
      </c>
      <c r="G22" s="58">
        <f>'1.2 Usulan Anggaran Biaya'!I11</f>
        <v>806190.4761904761</v>
      </c>
      <c r="H22" s="58">
        <f>'1.2 Usulan Anggaran Biaya'!J11</f>
        <v>806190.4761904761</v>
      </c>
      <c r="I22" s="58">
        <f>'1.2 Usulan Anggaran Biaya'!K11</f>
        <v>806190.4761904761</v>
      </c>
      <c r="J22" s="58">
        <f>'1.2 Usulan Anggaran Biaya'!L11</f>
        <v>0</v>
      </c>
      <c r="K22" s="58">
        <f>'1.2 Usulan Anggaran Biaya'!M11</f>
        <v>0</v>
      </c>
      <c r="L22" s="58">
        <f>'1.2 Usulan Anggaran Biaya'!N11</f>
        <v>0</v>
      </c>
      <c r="M22" s="58">
        <f t="shared" si="0"/>
        <v>5643333.3333333321</v>
      </c>
    </row>
    <row r="23" spans="1:13" x14ac:dyDescent="0.3">
      <c r="A23" s="37" t="s">
        <v>17</v>
      </c>
      <c r="B23" s="41" t="s">
        <v>26</v>
      </c>
      <c r="C23" s="58">
        <f>'1.2 Usulan Anggaran Biaya'!E12</f>
        <v>0</v>
      </c>
      <c r="D23" s="58">
        <f>'1.2 Usulan Anggaran Biaya'!F12</f>
        <v>7408400</v>
      </c>
      <c r="E23" s="58">
        <f>'1.2 Usulan Anggaran Biaya'!G12</f>
        <v>3704200</v>
      </c>
      <c r="F23" s="58">
        <f>'1.2 Usulan Anggaran Biaya'!H12</f>
        <v>3704200</v>
      </c>
      <c r="G23" s="58">
        <f>'1.2 Usulan Anggaran Biaya'!I12</f>
        <v>3704200</v>
      </c>
      <c r="H23" s="58">
        <f>'1.2 Usulan Anggaran Biaya'!J12</f>
        <v>3704200</v>
      </c>
      <c r="I23" s="58">
        <f>'1.2 Usulan Anggaran Biaya'!K12</f>
        <v>3704200</v>
      </c>
      <c r="J23" s="58">
        <f>'1.2 Usulan Anggaran Biaya'!L12</f>
        <v>0</v>
      </c>
      <c r="K23" s="58">
        <f>'1.2 Usulan Anggaran Biaya'!M12</f>
        <v>0</v>
      </c>
      <c r="L23" s="58">
        <f>'1.2 Usulan Anggaran Biaya'!N12</f>
        <v>0</v>
      </c>
      <c r="M23" s="58">
        <f t="shared" si="0"/>
        <v>25929400</v>
      </c>
    </row>
    <row r="24" spans="1:13" x14ac:dyDescent="0.3">
      <c r="A24" s="37" t="s">
        <v>16</v>
      </c>
      <c r="B24" s="45" t="s">
        <v>46</v>
      </c>
      <c r="C24" s="58">
        <f>'1.2 Usulan Anggaran Biaya'!E13</f>
        <v>0</v>
      </c>
      <c r="D24" s="58">
        <f>'1.2 Usulan Anggaran Biaya'!F13</f>
        <v>3439486.9335714281</v>
      </c>
      <c r="E24" s="58">
        <f>'1.2 Usulan Anggaran Biaya'!G13</f>
        <v>1719743.466785714</v>
      </c>
      <c r="F24" s="58">
        <f>'1.2 Usulan Anggaran Biaya'!H13</f>
        <v>1719743.466785714</v>
      </c>
      <c r="G24" s="58">
        <f>'1.2 Usulan Anggaran Biaya'!I13</f>
        <v>1719743.466785714</v>
      </c>
      <c r="H24" s="58">
        <f>'1.2 Usulan Anggaran Biaya'!J13</f>
        <v>1719743.466785714</v>
      </c>
      <c r="I24" s="58">
        <f>'1.2 Usulan Anggaran Biaya'!K13</f>
        <v>1719743.466785714</v>
      </c>
      <c r="J24" s="58">
        <f>'1.2 Usulan Anggaran Biaya'!L13</f>
        <v>0</v>
      </c>
      <c r="K24" s="58">
        <f>'1.2 Usulan Anggaran Biaya'!M13</f>
        <v>0</v>
      </c>
      <c r="L24" s="58">
        <f>'1.2 Usulan Anggaran Biaya'!N13</f>
        <v>0</v>
      </c>
      <c r="M24" s="58">
        <f t="shared" si="0"/>
        <v>12038204.267499998</v>
      </c>
    </row>
    <row r="25" spans="1:13" x14ac:dyDescent="0.3">
      <c r="A25" s="39"/>
      <c r="B25" s="40" t="s">
        <v>25</v>
      </c>
      <c r="C25" s="59">
        <f t="shared" ref="C25:I25" si="5">SUM(C20:C24)</f>
        <v>0</v>
      </c>
      <c r="D25" s="59">
        <f t="shared" si="5"/>
        <v>53082133.028809525</v>
      </c>
      <c r="E25" s="59">
        <f t="shared" si="5"/>
        <v>26541066.514404763</v>
      </c>
      <c r="F25" s="59">
        <f t="shared" si="5"/>
        <v>26541066.514404763</v>
      </c>
      <c r="G25" s="59">
        <f t="shared" si="5"/>
        <v>26541066.514404763</v>
      </c>
      <c r="H25" s="59">
        <f t="shared" si="5"/>
        <v>26541066.514404763</v>
      </c>
      <c r="I25" s="59">
        <f t="shared" si="5"/>
        <v>26541066.514404763</v>
      </c>
      <c r="J25" s="59">
        <f t="shared" ref="J25:L25" si="6">SUM(J20:J24)</f>
        <v>0</v>
      </c>
      <c r="K25" s="59">
        <f t="shared" si="6"/>
        <v>0</v>
      </c>
      <c r="L25" s="59">
        <f t="shared" si="6"/>
        <v>0</v>
      </c>
      <c r="M25" s="59">
        <f t="shared" si="0"/>
        <v>185787465.60083336</v>
      </c>
    </row>
    <row r="26" spans="1:13" x14ac:dyDescent="0.3">
      <c r="A26" s="39"/>
      <c r="B26" s="40"/>
      <c r="C26" s="60"/>
      <c r="D26" s="61"/>
      <c r="E26" s="61"/>
      <c r="F26" s="61"/>
      <c r="G26" s="57"/>
      <c r="H26" s="57"/>
      <c r="I26" s="57"/>
      <c r="J26" s="57"/>
      <c r="K26" s="57"/>
      <c r="L26" s="57"/>
      <c r="M26" s="57">
        <f t="shared" si="0"/>
        <v>0</v>
      </c>
    </row>
    <row r="27" spans="1:13" x14ac:dyDescent="0.3">
      <c r="A27" s="36" t="s">
        <v>24</v>
      </c>
      <c r="B27" s="43" t="s">
        <v>23</v>
      </c>
      <c r="C27" s="55"/>
      <c r="D27" s="56"/>
      <c r="E27" s="56"/>
      <c r="F27" s="56"/>
      <c r="G27" s="52"/>
      <c r="H27" s="52"/>
      <c r="I27" s="52"/>
      <c r="J27" s="52"/>
      <c r="K27" s="52"/>
      <c r="L27" s="52"/>
      <c r="M27" s="52">
        <f t="shared" si="0"/>
        <v>0</v>
      </c>
    </row>
    <row r="28" spans="1:13" x14ac:dyDescent="0.3">
      <c r="A28" s="37" t="s">
        <v>22</v>
      </c>
      <c r="B28" s="41" t="s">
        <v>21</v>
      </c>
      <c r="C28" s="56">
        <f>'1.2 Usulan Anggaran Biaya'!E15</f>
        <v>0</v>
      </c>
      <c r="D28" s="56">
        <f>'1.2 Usulan Anggaran Biaya'!F15</f>
        <v>1242000</v>
      </c>
      <c r="E28" s="56">
        <f>'1.2 Usulan Anggaran Biaya'!G15</f>
        <v>0</v>
      </c>
      <c r="F28" s="56">
        <f>'1.2 Usulan Anggaran Biaya'!H15</f>
        <v>0</v>
      </c>
      <c r="G28" s="56">
        <f>'1.2 Usulan Anggaran Biaya'!I15</f>
        <v>0</v>
      </c>
      <c r="H28" s="56">
        <f>'1.2 Usulan Anggaran Biaya'!J15</f>
        <v>0</v>
      </c>
      <c r="I28" s="56">
        <f>'1.2 Usulan Anggaran Biaya'!K15</f>
        <v>0</v>
      </c>
      <c r="J28" s="56">
        <f>'1.2 Usulan Anggaran Biaya'!L15</f>
        <v>0</v>
      </c>
      <c r="K28" s="56">
        <f>'1.2 Usulan Anggaran Biaya'!M15</f>
        <v>0</v>
      </c>
      <c r="L28" s="56">
        <f>'1.2 Usulan Anggaran Biaya'!N15</f>
        <v>0</v>
      </c>
      <c r="M28" s="56">
        <f t="shared" si="0"/>
        <v>1242000</v>
      </c>
    </row>
    <row r="29" spans="1:13" ht="28.8" x14ac:dyDescent="0.3">
      <c r="A29" s="37" t="s">
        <v>20</v>
      </c>
      <c r="B29" s="41" t="s">
        <v>19</v>
      </c>
      <c r="C29" s="56">
        <f>'1.2 Usulan Anggaran Biaya'!E16</f>
        <v>0</v>
      </c>
      <c r="D29" s="56">
        <f>'1.2 Usulan Anggaran Biaya'!F16</f>
        <v>6727000</v>
      </c>
      <c r="E29" s="56">
        <f>'1.2 Usulan Anggaran Biaya'!G16</f>
        <v>0</v>
      </c>
      <c r="F29" s="56">
        <f>'1.2 Usulan Anggaran Biaya'!H16</f>
        <v>0</v>
      </c>
      <c r="G29" s="56">
        <f>'1.2 Usulan Anggaran Biaya'!I16</f>
        <v>0</v>
      </c>
      <c r="H29" s="56">
        <f>'1.2 Usulan Anggaran Biaya'!J16</f>
        <v>0</v>
      </c>
      <c r="I29" s="56">
        <f>'1.2 Usulan Anggaran Biaya'!K16</f>
        <v>0</v>
      </c>
      <c r="J29" s="56">
        <f>'1.2 Usulan Anggaran Biaya'!L16</f>
        <v>0</v>
      </c>
      <c r="K29" s="56">
        <f>'1.2 Usulan Anggaran Biaya'!M16</f>
        <v>0</v>
      </c>
      <c r="L29" s="56">
        <f>'1.2 Usulan Anggaran Biaya'!N16</f>
        <v>0</v>
      </c>
      <c r="M29" s="56">
        <f t="shared" si="0"/>
        <v>6727000</v>
      </c>
    </row>
    <row r="30" spans="1:13" ht="28.8" x14ac:dyDescent="0.3">
      <c r="A30" s="37" t="s">
        <v>18</v>
      </c>
      <c r="B30" s="41" t="s">
        <v>367</v>
      </c>
      <c r="C30" s="56">
        <f>'1.2 Usulan Anggaran Biaya'!E17</f>
        <v>0</v>
      </c>
      <c r="D30" s="56">
        <f>'1.2 Usulan Anggaran Biaya'!F17</f>
        <v>38705206</v>
      </c>
      <c r="E30" s="56">
        <f>'1.2 Usulan Anggaran Biaya'!G17</f>
        <v>19352603</v>
      </c>
      <c r="F30" s="56">
        <f>'1.2 Usulan Anggaran Biaya'!H17</f>
        <v>86168909</v>
      </c>
      <c r="G30" s="56">
        <f>'1.2 Usulan Anggaran Biaya'!I17</f>
        <v>0</v>
      </c>
      <c r="H30" s="56">
        <f>'1.2 Usulan Anggaran Biaya'!J17</f>
        <v>0</v>
      </c>
      <c r="I30" s="56">
        <f>'1.2 Usulan Anggaran Biaya'!K17</f>
        <v>0</v>
      </c>
      <c r="J30" s="56">
        <f>'1.2 Usulan Anggaran Biaya'!L17</f>
        <v>0</v>
      </c>
      <c r="K30" s="56">
        <f>'1.2 Usulan Anggaran Biaya'!M17</f>
        <v>0</v>
      </c>
      <c r="L30" s="56">
        <f>'1.2 Usulan Anggaran Biaya'!N17</f>
        <v>0</v>
      </c>
      <c r="M30" s="62">
        <f t="shared" si="0"/>
        <v>144226718</v>
      </c>
    </row>
    <row r="31" spans="1:13" ht="28.8" x14ac:dyDescent="0.3">
      <c r="A31" s="37" t="s">
        <v>17</v>
      </c>
      <c r="B31" s="41" t="s">
        <v>368</v>
      </c>
      <c r="C31" s="56">
        <f>'1.2 Usulan Anggaran Biaya'!E18</f>
        <v>0</v>
      </c>
      <c r="D31" s="56">
        <f>'1.2 Usulan Anggaran Biaya'!F18</f>
        <v>48398000</v>
      </c>
      <c r="E31" s="56">
        <f>'1.2 Usulan Anggaran Biaya'!G18</f>
        <v>48398000</v>
      </c>
      <c r="F31" s="56">
        <f>'1.2 Usulan Anggaran Biaya'!H18</f>
        <v>0</v>
      </c>
      <c r="G31" s="56">
        <f>'1.2 Usulan Anggaran Biaya'!I18</f>
        <v>0</v>
      </c>
      <c r="H31" s="56">
        <f>'1.2 Usulan Anggaran Biaya'!J18</f>
        <v>0</v>
      </c>
      <c r="I31" s="56">
        <f>'1.2 Usulan Anggaran Biaya'!K18</f>
        <v>0</v>
      </c>
      <c r="J31" s="56">
        <f>'1.2 Usulan Anggaran Biaya'!L18</f>
        <v>0</v>
      </c>
      <c r="K31" s="56">
        <f>'1.2 Usulan Anggaran Biaya'!M18</f>
        <v>0</v>
      </c>
      <c r="L31" s="56">
        <f>'1.2 Usulan Anggaran Biaya'!N18</f>
        <v>0</v>
      </c>
      <c r="M31" s="62">
        <f t="shared" si="0"/>
        <v>96796000</v>
      </c>
    </row>
    <row r="32" spans="1:13" x14ac:dyDescent="0.3">
      <c r="A32" s="37" t="s">
        <v>16</v>
      </c>
      <c r="B32" s="41" t="s">
        <v>15</v>
      </c>
      <c r="C32" s="56">
        <f>'1.2 Usulan Anggaran Biaya'!E19</f>
        <v>0</v>
      </c>
      <c r="D32" s="56">
        <f>'1.2 Usulan Anggaran Biaya'!F19</f>
        <v>200000</v>
      </c>
      <c r="E32" s="56">
        <f>'1.2 Usulan Anggaran Biaya'!G19</f>
        <v>100000</v>
      </c>
      <c r="F32" s="56">
        <f>'1.2 Usulan Anggaran Biaya'!H19</f>
        <v>100000</v>
      </c>
      <c r="G32" s="56">
        <f>'1.2 Usulan Anggaran Biaya'!I19</f>
        <v>100000</v>
      </c>
      <c r="H32" s="56">
        <f>'1.2 Usulan Anggaran Biaya'!J19</f>
        <v>100000</v>
      </c>
      <c r="I32" s="56">
        <f>'1.2 Usulan Anggaran Biaya'!K19</f>
        <v>100000</v>
      </c>
      <c r="J32" s="56">
        <f>'1.2 Usulan Anggaran Biaya'!L19</f>
        <v>0</v>
      </c>
      <c r="K32" s="56">
        <f>'1.2 Usulan Anggaran Biaya'!M19</f>
        <v>0</v>
      </c>
      <c r="L32" s="56">
        <f>'1.2 Usulan Anggaran Biaya'!N19</f>
        <v>0</v>
      </c>
      <c r="M32" s="56">
        <f t="shared" si="0"/>
        <v>700000</v>
      </c>
    </row>
    <row r="33" spans="1:13" ht="28.8" x14ac:dyDescent="0.3">
      <c r="A33" s="37" t="s">
        <v>14</v>
      </c>
      <c r="B33" s="41" t="s">
        <v>13</v>
      </c>
      <c r="C33" s="56">
        <f>'1.2 Usulan Anggaran Biaya'!E20</f>
        <v>0</v>
      </c>
      <c r="D33" s="56">
        <f>'1.2 Usulan Anggaran Biaya'!F20</f>
        <v>0</v>
      </c>
      <c r="E33" s="56">
        <f>'1.2 Usulan Anggaran Biaya'!G20</f>
        <v>0</v>
      </c>
      <c r="F33" s="56">
        <f>'1.2 Usulan Anggaran Biaya'!H20</f>
        <v>0</v>
      </c>
      <c r="G33" s="56">
        <f>'1.2 Usulan Anggaran Biaya'!I20</f>
        <v>0</v>
      </c>
      <c r="H33" s="56">
        <f>'1.2 Usulan Anggaran Biaya'!J20</f>
        <v>0</v>
      </c>
      <c r="I33" s="56">
        <f>'1.2 Usulan Anggaran Biaya'!K20</f>
        <v>0</v>
      </c>
      <c r="J33" s="56">
        <f>'1.2 Usulan Anggaran Biaya'!L20</f>
        <v>0</v>
      </c>
      <c r="K33" s="56">
        <f>'1.2 Usulan Anggaran Biaya'!M20</f>
        <v>0</v>
      </c>
      <c r="L33" s="56">
        <f>'1.2 Usulan Anggaran Biaya'!N20</f>
        <v>0</v>
      </c>
      <c r="M33" s="56">
        <f t="shared" si="0"/>
        <v>0</v>
      </c>
    </row>
    <row r="34" spans="1:13" ht="28.8" x14ac:dyDescent="0.3">
      <c r="A34" s="37" t="s">
        <v>12</v>
      </c>
      <c r="B34" s="41" t="s">
        <v>369</v>
      </c>
      <c r="C34" s="56">
        <f>'1.2 Usulan Anggaran Biaya'!E21</f>
        <v>0</v>
      </c>
      <c r="D34" s="56">
        <f>'1.2 Usulan Anggaran Biaya'!F21</f>
        <v>0</v>
      </c>
      <c r="E34" s="56">
        <f>'1.2 Usulan Anggaran Biaya'!G21</f>
        <v>0</v>
      </c>
      <c r="F34" s="56">
        <f>'1.2 Usulan Anggaran Biaya'!H21</f>
        <v>25665250</v>
      </c>
      <c r="G34" s="56">
        <f>'1.2 Usulan Anggaran Biaya'!I21</f>
        <v>25665250</v>
      </c>
      <c r="H34" s="56">
        <f>'1.2 Usulan Anggaran Biaya'!J21</f>
        <v>0</v>
      </c>
      <c r="I34" s="56">
        <f>'1.2 Usulan Anggaran Biaya'!K21</f>
        <v>0</v>
      </c>
      <c r="J34" s="56">
        <f>'1.2 Usulan Anggaran Biaya'!L21</f>
        <v>0</v>
      </c>
      <c r="K34" s="56">
        <f>'1.2 Usulan Anggaran Biaya'!M21</f>
        <v>0</v>
      </c>
      <c r="L34" s="56">
        <f>'1.2 Usulan Anggaran Biaya'!N21</f>
        <v>0</v>
      </c>
      <c r="M34" s="62">
        <f t="shared" si="0"/>
        <v>51330500</v>
      </c>
    </row>
    <row r="35" spans="1:13" x14ac:dyDescent="0.3">
      <c r="A35" s="37" t="s">
        <v>11</v>
      </c>
      <c r="B35" s="44" t="str">
        <f>'1.2 Usulan Anggaran Biaya'!B22</f>
        <v>Melakukan pencairan aset.</v>
      </c>
      <c r="C35" s="56">
        <f>'1.2 Usulan Anggaran Biaya'!E22</f>
        <v>0</v>
      </c>
      <c r="D35" s="56">
        <f>'1.2 Usulan Anggaran Biaya'!F22</f>
        <v>0</v>
      </c>
      <c r="E35" s="56">
        <f>'1.2 Usulan Anggaran Biaya'!G22</f>
        <v>1000000</v>
      </c>
      <c r="F35" s="56">
        <f>'1.2 Usulan Anggaran Biaya'!H22</f>
        <v>1000000</v>
      </c>
      <c r="G35" s="56">
        <f>'1.2 Usulan Anggaran Biaya'!I22</f>
        <v>1000000</v>
      </c>
      <c r="H35" s="56">
        <f>'1.2 Usulan Anggaran Biaya'!J22</f>
        <v>0</v>
      </c>
      <c r="I35" s="56">
        <f>'1.2 Usulan Anggaran Biaya'!K22</f>
        <v>0</v>
      </c>
      <c r="J35" s="56">
        <f>'1.2 Usulan Anggaran Biaya'!L22</f>
        <v>0</v>
      </c>
      <c r="K35" s="56">
        <f>'1.2 Usulan Anggaran Biaya'!M22</f>
        <v>0</v>
      </c>
      <c r="L35" s="56">
        <f>'1.2 Usulan Anggaran Biaya'!N22</f>
        <v>0</v>
      </c>
      <c r="M35" s="56">
        <f t="shared" si="0"/>
        <v>3000000</v>
      </c>
    </row>
    <row r="36" spans="1:13" x14ac:dyDescent="0.3">
      <c r="A36" s="37" t="s">
        <v>9</v>
      </c>
      <c r="B36" s="44" t="str">
        <f>'1.2 Usulan Anggaran Biaya'!B23</f>
        <v>Melakukan penagihan piutang.</v>
      </c>
      <c r="C36" s="56">
        <f>'1.2 Usulan Anggaran Biaya'!E23</f>
        <v>0</v>
      </c>
      <c r="D36" s="56">
        <f>'1.2 Usulan Anggaran Biaya'!F23</f>
        <v>17504857.142857142</v>
      </c>
      <c r="E36" s="56">
        <f>'1.2 Usulan Anggaran Biaya'!G23</f>
        <v>8752428.5714285709</v>
      </c>
      <c r="F36" s="56">
        <f>'1.2 Usulan Anggaran Biaya'!H23</f>
        <v>8752428.5714285709</v>
      </c>
      <c r="G36" s="56">
        <f>'1.2 Usulan Anggaran Biaya'!I23</f>
        <v>8752428.5714285709</v>
      </c>
      <c r="H36" s="56">
        <f>'1.2 Usulan Anggaran Biaya'!J23</f>
        <v>8752428.5714285709</v>
      </c>
      <c r="I36" s="56">
        <f>'1.2 Usulan Anggaran Biaya'!K23</f>
        <v>8752428.5714285709</v>
      </c>
      <c r="J36" s="56">
        <f>'1.2 Usulan Anggaran Biaya'!L23</f>
        <v>0</v>
      </c>
      <c r="K36" s="56">
        <f>'1.2 Usulan Anggaran Biaya'!M23</f>
        <v>0</v>
      </c>
      <c r="L36" s="56">
        <f>'1.2 Usulan Anggaran Biaya'!N23</f>
        <v>0</v>
      </c>
      <c r="M36" s="56">
        <f t="shared" si="0"/>
        <v>61266999.999999985</v>
      </c>
    </row>
    <row r="37" spans="1:13" ht="28.8" x14ac:dyDescent="0.3">
      <c r="A37" s="37" t="s">
        <v>8</v>
      </c>
      <c r="B37" s="44" t="str">
        <f>'1.2 Usulan Anggaran Biaya'!B24</f>
        <v>Menyampaikan Laporan Perubahan Aset Neto Selama Periode untuk mendapat persetujuan LPS.</v>
      </c>
      <c r="C37" s="56">
        <f>'1.2 Usulan Anggaran Biaya'!E24</f>
        <v>0</v>
      </c>
      <c r="D37" s="56">
        <f>'1.2 Usulan Anggaran Biaya'!F24</f>
        <v>0</v>
      </c>
      <c r="E37" s="56">
        <f>'1.2 Usulan Anggaran Biaya'!G24</f>
        <v>0</v>
      </c>
      <c r="F37" s="56">
        <f>'1.2 Usulan Anggaran Biaya'!H24</f>
        <v>0</v>
      </c>
      <c r="G37" s="56">
        <f>'1.2 Usulan Anggaran Biaya'!I24</f>
        <v>0</v>
      </c>
      <c r="H37" s="56">
        <f>'1.2 Usulan Anggaran Biaya'!J24</f>
        <v>0</v>
      </c>
      <c r="I37" s="56">
        <f>'1.2 Usulan Anggaran Biaya'!K24</f>
        <v>0</v>
      </c>
      <c r="J37" s="56">
        <f>'1.2 Usulan Anggaran Biaya'!L24</f>
        <v>0</v>
      </c>
      <c r="K37" s="56">
        <f>'1.2 Usulan Anggaran Biaya'!M24</f>
        <v>0</v>
      </c>
      <c r="L37" s="56">
        <f>'1.2 Usulan Anggaran Biaya'!N24</f>
        <v>0</v>
      </c>
      <c r="M37" s="56">
        <f t="shared" si="0"/>
        <v>0</v>
      </c>
    </row>
    <row r="38" spans="1:13" x14ac:dyDescent="0.3">
      <c r="A38" s="37" t="s">
        <v>6</v>
      </c>
      <c r="B38" s="41" t="s">
        <v>7</v>
      </c>
      <c r="C38" s="56">
        <f>'1.2 Usulan Anggaran Biaya'!E25</f>
        <v>0</v>
      </c>
      <c r="D38" s="56">
        <f>'1.2 Usulan Anggaran Biaya'!F25</f>
        <v>1742000</v>
      </c>
      <c r="E38" s="56">
        <f>'1.2 Usulan Anggaran Biaya'!G25</f>
        <v>871000</v>
      </c>
      <c r="F38" s="56">
        <f>'1.2 Usulan Anggaran Biaya'!H25</f>
        <v>871000</v>
      </c>
      <c r="G38" s="56">
        <f>'1.2 Usulan Anggaran Biaya'!I25</f>
        <v>871000</v>
      </c>
      <c r="H38" s="56">
        <f>'1.2 Usulan Anggaran Biaya'!J25</f>
        <v>871000</v>
      </c>
      <c r="I38" s="56">
        <f>'1.2 Usulan Anggaran Biaya'!K25</f>
        <v>871000</v>
      </c>
      <c r="J38" s="56">
        <f>'1.2 Usulan Anggaran Biaya'!L25</f>
        <v>0</v>
      </c>
      <c r="K38" s="56">
        <f>'1.2 Usulan Anggaran Biaya'!M25</f>
        <v>0</v>
      </c>
      <c r="L38" s="56">
        <f>'1.2 Usulan Anggaran Biaya'!N25</f>
        <v>0</v>
      </c>
      <c r="M38" s="56">
        <f t="shared" si="0"/>
        <v>6097000</v>
      </c>
    </row>
    <row r="39" spans="1:13" x14ac:dyDescent="0.3">
      <c r="A39" s="37" t="s">
        <v>4</v>
      </c>
      <c r="B39" s="41" t="str">
        <f>'1.2 Usulan Anggaran Biaya'!B26</f>
        <v>Mempertanggungjawabkan pelaksanaan likuidasi.</v>
      </c>
      <c r="C39" s="56">
        <f>'1.2 Usulan Anggaran Biaya'!E26</f>
        <v>0</v>
      </c>
      <c r="D39" s="56">
        <f>'1.2 Usulan Anggaran Biaya'!F26</f>
        <v>0</v>
      </c>
      <c r="E39" s="56">
        <f>'1.2 Usulan Anggaran Biaya'!G26</f>
        <v>0</v>
      </c>
      <c r="F39" s="56">
        <f>'1.2 Usulan Anggaran Biaya'!H26</f>
        <v>0</v>
      </c>
      <c r="G39" s="56">
        <f>'1.2 Usulan Anggaran Biaya'!I26</f>
        <v>0</v>
      </c>
      <c r="H39" s="56">
        <f>'1.2 Usulan Anggaran Biaya'!J26</f>
        <v>0</v>
      </c>
      <c r="I39" s="56">
        <f>'1.2 Usulan Anggaran Biaya'!K26</f>
        <v>117000</v>
      </c>
      <c r="J39" s="56">
        <f>'1.2 Usulan Anggaran Biaya'!L26</f>
        <v>0</v>
      </c>
      <c r="K39" s="56">
        <f>'1.2 Usulan Anggaran Biaya'!M26</f>
        <v>0</v>
      </c>
      <c r="L39" s="56">
        <f>'1.2 Usulan Anggaran Biaya'!N26</f>
        <v>0</v>
      </c>
      <c r="M39" s="56">
        <f t="shared" si="0"/>
        <v>117000</v>
      </c>
    </row>
    <row r="40" spans="1:13" x14ac:dyDescent="0.3">
      <c r="A40" s="37">
        <v>13</v>
      </c>
      <c r="B40" s="46" t="str">
        <f>'1.2 Usulan Anggaran Biaya'!B27</f>
        <v>Menindaklanjuti pengakhiran proses likuidasi.</v>
      </c>
      <c r="C40" s="56">
        <f>'1.2 Usulan Anggaran Biaya'!E27</f>
        <v>0</v>
      </c>
      <c r="D40" s="56">
        <f>'1.2 Usulan Anggaran Biaya'!F27</f>
        <v>0</v>
      </c>
      <c r="E40" s="56">
        <f>'1.2 Usulan Anggaran Biaya'!G27</f>
        <v>0</v>
      </c>
      <c r="F40" s="56">
        <f>'1.2 Usulan Anggaran Biaya'!H27</f>
        <v>0</v>
      </c>
      <c r="G40" s="56">
        <f>'1.2 Usulan Anggaran Biaya'!I27</f>
        <v>0</v>
      </c>
      <c r="H40" s="56">
        <f>'1.2 Usulan Anggaran Biaya'!J27</f>
        <v>0</v>
      </c>
      <c r="I40" s="56">
        <f>'1.2 Usulan Anggaran Biaya'!K27</f>
        <v>8630500</v>
      </c>
      <c r="J40" s="56">
        <f>'1.2 Usulan Anggaran Biaya'!L27</f>
        <v>23370346.333333332</v>
      </c>
      <c r="K40" s="56">
        <f>'1.2 Usulan Anggaran Biaya'!M27</f>
        <v>23370346.333333332</v>
      </c>
      <c r="L40" s="56">
        <f>'1.2 Usulan Anggaran Biaya'!N27</f>
        <v>23370346.333333332</v>
      </c>
      <c r="M40" s="63">
        <f t="shared" si="0"/>
        <v>78741539</v>
      </c>
    </row>
    <row r="41" spans="1:13" x14ac:dyDescent="0.3">
      <c r="A41" s="37"/>
      <c r="B41" s="40" t="s">
        <v>2</v>
      </c>
      <c r="C41" s="64">
        <f t="shared" ref="C41:I41" si="7">SUM(C28:C40)</f>
        <v>0</v>
      </c>
      <c r="D41" s="64">
        <f t="shared" si="7"/>
        <v>114519063.14285713</v>
      </c>
      <c r="E41" s="64">
        <f t="shared" si="7"/>
        <v>78474031.571428567</v>
      </c>
      <c r="F41" s="64">
        <f t="shared" si="7"/>
        <v>122557587.57142857</v>
      </c>
      <c r="G41" s="64">
        <f t="shared" si="7"/>
        <v>36388678.571428567</v>
      </c>
      <c r="H41" s="64">
        <f t="shared" si="7"/>
        <v>9723428.5714285709</v>
      </c>
      <c r="I41" s="64">
        <f t="shared" si="7"/>
        <v>18470928.571428571</v>
      </c>
      <c r="J41" s="64">
        <f t="shared" ref="J41:L41" si="8">SUM(J28:J40)</f>
        <v>23370346.333333332</v>
      </c>
      <c r="K41" s="64">
        <f t="shared" si="8"/>
        <v>23370346.333333332</v>
      </c>
      <c r="L41" s="64">
        <f t="shared" si="8"/>
        <v>23370346.333333332</v>
      </c>
      <c r="M41" s="64">
        <f t="shared" si="0"/>
        <v>450244756.99999994</v>
      </c>
    </row>
    <row r="42" spans="1:13" x14ac:dyDescent="0.3">
      <c r="A42" s="37"/>
      <c r="B42" s="40" t="s">
        <v>1</v>
      </c>
      <c r="C42" s="61">
        <f t="shared" ref="C42:I42" si="9">C25+C41</f>
        <v>0</v>
      </c>
      <c r="D42" s="61">
        <f t="shared" si="9"/>
        <v>167601196.17166665</v>
      </c>
      <c r="E42" s="61">
        <f t="shared" si="9"/>
        <v>105015098.08583333</v>
      </c>
      <c r="F42" s="61">
        <f t="shared" si="9"/>
        <v>149098654.08583334</v>
      </c>
      <c r="G42" s="61">
        <f t="shared" si="9"/>
        <v>62929745.085833326</v>
      </c>
      <c r="H42" s="61">
        <f t="shared" si="9"/>
        <v>36264495.085833333</v>
      </c>
      <c r="I42" s="61">
        <f t="shared" si="9"/>
        <v>45011995.085833333</v>
      </c>
      <c r="J42" s="61">
        <f t="shared" ref="J42:L42" si="10">J25+J41</f>
        <v>23370346.333333332</v>
      </c>
      <c r="K42" s="61">
        <f t="shared" si="10"/>
        <v>23370346.333333332</v>
      </c>
      <c r="L42" s="61">
        <f t="shared" si="10"/>
        <v>23370346.333333332</v>
      </c>
      <c r="M42" s="61">
        <f>ROUNDDOWN(SUM(C42:L42),0)</f>
        <v>636032222</v>
      </c>
    </row>
    <row r="43" spans="1:13" x14ac:dyDescent="0.3">
      <c r="A43" s="38"/>
      <c r="B43" s="40" t="s">
        <v>0</v>
      </c>
      <c r="C43" s="61">
        <f t="shared" ref="C43:I43" si="11">C12+C17-C42</f>
        <v>3391800</v>
      </c>
      <c r="D43" s="61">
        <f t="shared" si="11"/>
        <v>-167601196.17166665</v>
      </c>
      <c r="E43" s="61">
        <f t="shared" si="11"/>
        <v>5441117.914166674</v>
      </c>
      <c r="F43" s="61">
        <f t="shared" si="11"/>
        <v>-149098654.08583334</v>
      </c>
      <c r="G43" s="61">
        <f t="shared" si="11"/>
        <v>-62929745.085833326</v>
      </c>
      <c r="H43" s="61">
        <f t="shared" si="11"/>
        <v>-36264495.085833333</v>
      </c>
      <c r="I43" s="61">
        <f t="shared" si="11"/>
        <v>43332130.914166667</v>
      </c>
      <c r="J43" s="61">
        <f t="shared" ref="J43:L43" si="12">J12+J17-J42</f>
        <v>-23370346.333333332</v>
      </c>
      <c r="K43" s="61">
        <f t="shared" si="12"/>
        <v>-23370346.333333332</v>
      </c>
      <c r="L43" s="61">
        <f t="shared" si="12"/>
        <v>-23370346.333333332</v>
      </c>
      <c r="M43" s="61">
        <f t="shared" si="0"/>
        <v>-433840080.60083324</v>
      </c>
    </row>
    <row r="46" spans="1:13" x14ac:dyDescent="0.3">
      <c r="I46" s="75"/>
      <c r="J46" s="75"/>
      <c r="K46" s="75"/>
      <c r="L46" s="75"/>
      <c r="M46" s="75"/>
    </row>
  </sheetData>
  <mergeCells count="6">
    <mergeCell ref="A4:M4"/>
    <mergeCell ref="A5:M5"/>
    <mergeCell ref="I46:M46"/>
    <mergeCell ref="A7:A8"/>
    <mergeCell ref="B7:B8"/>
    <mergeCell ref="C7:I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3" fitToHeight="0" orientation="landscape" r:id="rId1"/>
  <customProperties>
    <customPr name="EpmWorksheetKeyString_GUID" r:id="rId2"/>
  </customPropertie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C747F347A034FA0018CAF7D99052D" ma:contentTypeVersion="8" ma:contentTypeDescription="Create a new document." ma:contentTypeScope="" ma:versionID="f062dc1f9491f3faec7cf0ae28391ea9">
  <xsd:schema xmlns:xsd="http://www.w3.org/2001/XMLSchema" xmlns:xs="http://www.w3.org/2001/XMLSchema" xmlns:p="http://schemas.microsoft.com/office/2006/metadata/properties" xmlns:ns2="1c9ab29b-20bf-44a4-a666-f4222d918f76" targetNamespace="http://schemas.microsoft.com/office/2006/metadata/properties" ma:root="true" ma:fieldsID="78db0b84c272b9d2637594810e5a6fb9" ns2:_="">
    <xsd:import namespace="1c9ab29b-20bf-44a4-a666-f4222d918f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9ab29b-20bf-44a4-a666-f4222d918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2158C8-992B-459E-9F6E-F0C2BBDA5336}"/>
</file>

<file path=customXml/itemProps2.xml><?xml version="1.0" encoding="utf-8"?>
<ds:datastoreItem xmlns:ds="http://schemas.openxmlformats.org/officeDocument/2006/customXml" ds:itemID="{23CDBBAF-C4FF-4144-802C-3435B7437F36}"/>
</file>

<file path=customXml/itemProps3.xml><?xml version="1.0" encoding="utf-8"?>
<ds:datastoreItem xmlns:ds="http://schemas.openxmlformats.org/officeDocument/2006/customXml" ds:itemID="{F06319E0-224A-4434-BE60-7D782B728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1.2 Usulan Anggaran Biaya</vt:lpstr>
      <vt:lpstr>1.3 Rincian ATI</vt:lpstr>
      <vt:lpstr>1.4 Rincian HB</vt:lpstr>
      <vt:lpstr>1.5 Kebutuhan Biaya</vt:lpstr>
      <vt:lpstr>'1.2 Usulan Anggaran Biaya'!Print_Area</vt:lpstr>
      <vt:lpstr>'1.5 Kebutuhan Biaya'!Print_Area</vt:lpstr>
      <vt:lpstr>'1.3 Rincian ATI'!Print_Titles</vt:lpstr>
      <vt:lpstr>'1.4 Rincian HB'!Print_Titles</vt:lpstr>
      <vt:lpstr>'1.5 Kebutuhan Biaya'!Print_Titles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Adhitama</dc:creator>
  <cp:lastModifiedBy>Kahfiendra Nugrahsatya</cp:lastModifiedBy>
  <cp:lastPrinted>2021-03-23T01:48:15Z</cp:lastPrinted>
  <dcterms:created xsi:type="dcterms:W3CDTF">2019-09-02T13:29:28Z</dcterms:created>
  <dcterms:modified xsi:type="dcterms:W3CDTF">2021-03-23T08:15:22Z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0x010100AEBC747F347A034FA0018CAF7D99052D</vt:lpwstr>
  </property>
</Properties>
</file>